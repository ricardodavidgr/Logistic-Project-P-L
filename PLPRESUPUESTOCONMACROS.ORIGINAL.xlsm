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PL EXAMPLES YOUTUBE\LOGISTIC\"/>
    </mc:Choice>
  </mc:AlternateContent>
  <xr:revisionPtr revIDLastSave="0" documentId="13_ncr:1_{C713EA7F-1B17-4084-B9DD-9DFFBB5EDFCB}" xr6:coauthVersionLast="47" xr6:coauthVersionMax="47" xr10:uidLastSave="{00000000-0000-0000-0000-000000000000}"/>
  <bookViews>
    <workbookView xWindow="-120" yWindow="-120" windowWidth="20730" windowHeight="11160" tabRatio="911" firstSheet="12" activeTab="18" xr2:uid="{F5EC5EDF-DCB6-4480-AE25-D26697208636}"/>
  </bookViews>
  <sheets>
    <sheet name="ZARA PE83" sheetId="1" r:id="rId1"/>
    <sheet name="Centre DW1" sheetId="2" r:id="rId2"/>
    <sheet name="Centre WP1" sheetId="3" r:id="rId3"/>
    <sheet name="Centre WR1" sheetId="4" r:id="rId4"/>
    <sheet name="Centre WV1" sheetId="5" r:id="rId5"/>
    <sheet name="APPLE PE83" sheetId="6" r:id="rId6"/>
    <sheet name="Centre DW5" sheetId="7" r:id="rId7"/>
    <sheet name="Centre WP5" sheetId="8" r:id="rId8"/>
    <sheet name="Centre WR5" sheetId="9" r:id="rId9"/>
    <sheet name="LG PE83" sheetId="10" r:id="rId10"/>
    <sheet name="Centre DW11" sheetId="11" r:id="rId11"/>
    <sheet name="Centre WP11" sheetId="12" r:id="rId12"/>
    <sheet name="Centre WR11" sheetId="13" r:id="rId13"/>
    <sheet name="Centre WV11" sheetId="14" r:id="rId14"/>
    <sheet name="BOSCH PE83" sheetId="18" r:id="rId15"/>
    <sheet name="Centre DW13" sheetId="16" r:id="rId16"/>
    <sheet name="Centre WP13" sheetId="17" r:id="rId17"/>
    <sheet name="Centre WR13" sheetId="15" r:id="rId18"/>
    <sheet name="HUAWEI PE83" sheetId="19" r:id="rId19"/>
    <sheet name="Centre DW14" sheetId="22" r:id="rId20"/>
    <sheet name="Centre WP14" sheetId="20" r:id="rId21"/>
    <sheet name="Centre WR14" sheetId="21" r:id="rId2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6" l="1"/>
  <c r="D17" i="20"/>
  <c r="E17" i="20"/>
  <c r="F17" i="20"/>
  <c r="G17" i="20"/>
  <c r="H17" i="20"/>
  <c r="I17" i="20"/>
  <c r="J17" i="20"/>
  <c r="K17" i="20"/>
  <c r="L17" i="20"/>
  <c r="M17" i="20"/>
  <c r="N17" i="20"/>
  <c r="C17" i="20"/>
  <c r="E24" i="20"/>
  <c r="D21" i="20"/>
  <c r="E21" i="20"/>
  <c r="F21" i="20"/>
  <c r="F24" i="20" s="1"/>
  <c r="G21" i="20"/>
  <c r="H21" i="20"/>
  <c r="I21" i="20"/>
  <c r="J21" i="20"/>
  <c r="K21" i="20"/>
  <c r="L21" i="20"/>
  <c r="M21" i="20"/>
  <c r="M24" i="20" s="1"/>
  <c r="N21" i="20"/>
  <c r="C21" i="20"/>
  <c r="D13" i="20"/>
  <c r="E13" i="20"/>
  <c r="F13" i="20"/>
  <c r="G13" i="20"/>
  <c r="H13" i="20"/>
  <c r="I13" i="20"/>
  <c r="J13" i="20"/>
  <c r="K13" i="20"/>
  <c r="L13" i="20"/>
  <c r="M13" i="20"/>
  <c r="N13" i="20"/>
  <c r="C13" i="20"/>
  <c r="D57" i="21"/>
  <c r="E57" i="21"/>
  <c r="F57" i="21"/>
  <c r="G57" i="21"/>
  <c r="H57" i="21"/>
  <c r="I57" i="21"/>
  <c r="J57" i="21"/>
  <c r="K57" i="21"/>
  <c r="L57" i="21"/>
  <c r="M57" i="21"/>
  <c r="N57" i="21"/>
  <c r="D48" i="21"/>
  <c r="E48" i="21"/>
  <c r="F48" i="21"/>
  <c r="G48" i="21"/>
  <c r="H48" i="21"/>
  <c r="I48" i="21"/>
  <c r="J48" i="21"/>
  <c r="K48" i="21"/>
  <c r="L48" i="21"/>
  <c r="M48" i="21"/>
  <c r="N48" i="21"/>
  <c r="D21" i="21"/>
  <c r="E21" i="21"/>
  <c r="F21" i="21"/>
  <c r="G21" i="21"/>
  <c r="H21" i="21"/>
  <c r="I21" i="21"/>
  <c r="J21" i="21"/>
  <c r="K21" i="21"/>
  <c r="L21" i="21"/>
  <c r="M21" i="21"/>
  <c r="N21" i="21"/>
  <c r="C21" i="21"/>
  <c r="C7" i="21"/>
  <c r="C15" i="21" s="1"/>
  <c r="C22" i="21" s="1"/>
  <c r="D23" i="22"/>
  <c r="E23" i="22"/>
  <c r="F23" i="22"/>
  <c r="G23" i="22"/>
  <c r="H23" i="22"/>
  <c r="I23" i="22"/>
  <c r="J23" i="22"/>
  <c r="K23" i="22"/>
  <c r="L23" i="22"/>
  <c r="M23" i="22"/>
  <c r="N23" i="22"/>
  <c r="C17" i="22"/>
  <c r="D17" i="22"/>
  <c r="E17" i="22"/>
  <c r="F17" i="22"/>
  <c r="G17" i="22"/>
  <c r="H17" i="22"/>
  <c r="I17" i="22"/>
  <c r="J17" i="22"/>
  <c r="K17" i="22"/>
  <c r="L17" i="22"/>
  <c r="M17" i="22"/>
  <c r="C13" i="22"/>
  <c r="D7" i="22"/>
  <c r="E7" i="22"/>
  <c r="F7" i="22"/>
  <c r="G7" i="22"/>
  <c r="H7" i="22"/>
  <c r="I7" i="22"/>
  <c r="J7" i="22"/>
  <c r="K7" i="22"/>
  <c r="L7" i="22"/>
  <c r="M7" i="22"/>
  <c r="N7" i="22"/>
  <c r="C7" i="22"/>
  <c r="D18" i="16"/>
  <c r="E18" i="16"/>
  <c r="F18" i="16"/>
  <c r="G18" i="16"/>
  <c r="H18" i="16"/>
  <c r="I18" i="16"/>
  <c r="J18" i="16"/>
  <c r="K18" i="16"/>
  <c r="L18" i="16"/>
  <c r="M18" i="16"/>
  <c r="N18" i="16"/>
  <c r="C38" i="15"/>
  <c r="C52" i="17"/>
  <c r="D52" i="17"/>
  <c r="E52" i="17"/>
  <c r="F52" i="17"/>
  <c r="G52" i="17"/>
  <c r="H52" i="17"/>
  <c r="I52" i="17"/>
  <c r="J52" i="17"/>
  <c r="K52" i="17"/>
  <c r="L52" i="17"/>
  <c r="M52" i="17"/>
  <c r="C32" i="17"/>
  <c r="D32" i="17"/>
  <c r="E32" i="17"/>
  <c r="F32" i="17"/>
  <c r="G32" i="17"/>
  <c r="H32" i="17"/>
  <c r="I32" i="17"/>
  <c r="J32" i="17"/>
  <c r="K32" i="17"/>
  <c r="L32" i="17"/>
  <c r="M32" i="17"/>
  <c r="C30" i="17"/>
  <c r="D30" i="17"/>
  <c r="E30" i="17"/>
  <c r="F30" i="17"/>
  <c r="G30" i="17"/>
  <c r="H30" i="17"/>
  <c r="I30" i="17"/>
  <c r="J30" i="17"/>
  <c r="K30" i="17"/>
  <c r="L30" i="17"/>
  <c r="M30" i="17"/>
  <c r="C29" i="17"/>
  <c r="D29" i="17"/>
  <c r="E29" i="17"/>
  <c r="F29" i="17"/>
  <c r="G29" i="17"/>
  <c r="H29" i="17"/>
  <c r="I29" i="17"/>
  <c r="J29" i="17"/>
  <c r="K29" i="17"/>
  <c r="L29" i="17"/>
  <c r="M29" i="17"/>
  <c r="C17" i="17"/>
  <c r="D17" i="17"/>
  <c r="E17" i="17"/>
  <c r="F17" i="17"/>
  <c r="G17" i="17"/>
  <c r="H17" i="17"/>
  <c r="I17" i="17"/>
  <c r="J17" i="17"/>
  <c r="K17" i="17"/>
  <c r="L17" i="17"/>
  <c r="M17" i="17"/>
  <c r="D91" i="17"/>
  <c r="E91" i="17"/>
  <c r="F91" i="17"/>
  <c r="G91" i="17"/>
  <c r="H91" i="17"/>
  <c r="I91" i="17"/>
  <c r="J91" i="17"/>
  <c r="K91" i="17"/>
  <c r="L91" i="17"/>
  <c r="M91" i="17"/>
  <c r="N91" i="17"/>
  <c r="D59" i="15"/>
  <c r="E59" i="15"/>
  <c r="F59" i="15"/>
  <c r="G59" i="15"/>
  <c r="H59" i="15"/>
  <c r="I59" i="15"/>
  <c r="J59" i="15"/>
  <c r="K59" i="15"/>
  <c r="L59" i="15"/>
  <c r="M59" i="15"/>
  <c r="N59" i="15"/>
  <c r="C13" i="14"/>
  <c r="J59" i="14"/>
  <c r="K59" i="14"/>
  <c r="D57" i="14"/>
  <c r="E57" i="14"/>
  <c r="F57" i="14"/>
  <c r="G57" i="14"/>
  <c r="H57" i="14"/>
  <c r="I57" i="14"/>
  <c r="J57" i="14"/>
  <c r="K57" i="14"/>
  <c r="L57" i="14"/>
  <c r="M57" i="14"/>
  <c r="N57" i="14"/>
  <c r="C57" i="14"/>
  <c r="C23" i="14"/>
  <c r="D14" i="14"/>
  <c r="D20" i="14" s="1"/>
  <c r="E14" i="14"/>
  <c r="E20" i="14" s="1"/>
  <c r="F14" i="14"/>
  <c r="F20" i="14" s="1"/>
  <c r="G14" i="14"/>
  <c r="G20" i="14" s="1"/>
  <c r="H14" i="14"/>
  <c r="H20" i="14" s="1"/>
  <c r="I14" i="14"/>
  <c r="I20" i="14" s="1"/>
  <c r="J14" i="14"/>
  <c r="J20" i="14" s="1"/>
  <c r="K14" i="14"/>
  <c r="K20" i="14" s="1"/>
  <c r="L14" i="14"/>
  <c r="L20" i="14" s="1"/>
  <c r="M14" i="14"/>
  <c r="M20" i="14" s="1"/>
  <c r="N14" i="14"/>
  <c r="N20" i="14" s="1"/>
  <c r="C14" i="14"/>
  <c r="C20" i="14" s="1"/>
  <c r="C21" i="14" s="1"/>
  <c r="D48" i="14"/>
  <c r="E48" i="14"/>
  <c r="F48" i="14"/>
  <c r="G48" i="14"/>
  <c r="H48" i="14"/>
  <c r="I48" i="14"/>
  <c r="J48" i="14"/>
  <c r="K48" i="14"/>
  <c r="L48" i="14"/>
  <c r="M48" i="14"/>
  <c r="N48" i="14"/>
  <c r="D36" i="14"/>
  <c r="D59" i="14" s="1"/>
  <c r="E36" i="14"/>
  <c r="E59" i="14" s="1"/>
  <c r="F36" i="14"/>
  <c r="F59" i="14" s="1"/>
  <c r="G36" i="14"/>
  <c r="G59" i="14" s="1"/>
  <c r="H36" i="14"/>
  <c r="H59" i="14" s="1"/>
  <c r="I36" i="14"/>
  <c r="I59" i="14" s="1"/>
  <c r="J36" i="14"/>
  <c r="K36" i="14"/>
  <c r="L36" i="14"/>
  <c r="L59" i="14" s="1"/>
  <c r="M36" i="14"/>
  <c r="M59" i="14" s="1"/>
  <c r="N36" i="14"/>
  <c r="N59" i="14" s="1"/>
  <c r="D23" i="14"/>
  <c r="D34" i="14" s="1"/>
  <c r="E23" i="14"/>
  <c r="E34" i="14" s="1"/>
  <c r="F23" i="14"/>
  <c r="F34" i="14" s="1"/>
  <c r="G23" i="14"/>
  <c r="G34" i="14" s="1"/>
  <c r="H23" i="14"/>
  <c r="H34" i="14" s="1"/>
  <c r="I23" i="14"/>
  <c r="I34" i="14" s="1"/>
  <c r="J23" i="14"/>
  <c r="J34" i="14" s="1"/>
  <c r="K23" i="14"/>
  <c r="K34" i="14" s="1"/>
  <c r="L23" i="14"/>
  <c r="L34" i="14" s="1"/>
  <c r="M23" i="14"/>
  <c r="M34" i="14" s="1"/>
  <c r="N23" i="14"/>
  <c r="N34" i="14" s="1"/>
  <c r="D7" i="14"/>
  <c r="D13" i="14" s="1"/>
  <c r="E7" i="14"/>
  <c r="E13" i="14" s="1"/>
  <c r="F7" i="14"/>
  <c r="F13" i="14" s="1"/>
  <c r="G7" i="14"/>
  <c r="G13" i="14" s="1"/>
  <c r="H7" i="14"/>
  <c r="H13" i="14" s="1"/>
  <c r="I7" i="14"/>
  <c r="I13" i="14" s="1"/>
  <c r="J7" i="14"/>
  <c r="J13" i="14" s="1"/>
  <c r="K7" i="14"/>
  <c r="K13" i="14" s="1"/>
  <c r="L7" i="14"/>
  <c r="L13" i="14" s="1"/>
  <c r="M7" i="14"/>
  <c r="M13" i="14" s="1"/>
  <c r="N7" i="14"/>
  <c r="N13" i="14" s="1"/>
  <c r="C7" i="14"/>
  <c r="D32" i="12"/>
  <c r="E32" i="12"/>
  <c r="F32" i="12"/>
  <c r="G32" i="12"/>
  <c r="H32" i="12"/>
  <c r="I32" i="12"/>
  <c r="J32" i="12"/>
  <c r="K32" i="12"/>
  <c r="L32" i="12"/>
  <c r="M32" i="12"/>
  <c r="N32" i="12"/>
  <c r="C32" i="12"/>
  <c r="D51" i="11"/>
  <c r="E51" i="11"/>
  <c r="F51" i="11"/>
  <c r="G51" i="11"/>
  <c r="H51" i="11"/>
  <c r="I51" i="11"/>
  <c r="J51" i="11"/>
  <c r="K51" i="11"/>
  <c r="L51" i="11"/>
  <c r="M51" i="11"/>
  <c r="N51" i="11"/>
  <c r="C51" i="11"/>
  <c r="D43" i="11"/>
  <c r="E43" i="11"/>
  <c r="F43" i="11"/>
  <c r="G43" i="11"/>
  <c r="H43" i="11"/>
  <c r="I43" i="11"/>
  <c r="J43" i="11"/>
  <c r="K43" i="11"/>
  <c r="L43" i="11"/>
  <c r="M43" i="11"/>
  <c r="N43" i="11"/>
  <c r="C43" i="11"/>
  <c r="D38" i="11"/>
  <c r="E38" i="11"/>
  <c r="F38" i="11"/>
  <c r="G38" i="11"/>
  <c r="H38" i="11"/>
  <c r="I38" i="11"/>
  <c r="J38" i="11"/>
  <c r="K38" i="11"/>
  <c r="L38" i="11"/>
  <c r="M38" i="11"/>
  <c r="N38" i="11"/>
  <c r="C38" i="11"/>
  <c r="J36" i="11"/>
  <c r="D25" i="11"/>
  <c r="D36" i="11" s="1"/>
  <c r="E25" i="11"/>
  <c r="E36" i="11" s="1"/>
  <c r="F25" i="11"/>
  <c r="F36" i="11" s="1"/>
  <c r="G25" i="11"/>
  <c r="G36" i="11" s="1"/>
  <c r="H25" i="11"/>
  <c r="H36" i="11" s="1"/>
  <c r="I25" i="11"/>
  <c r="I36" i="11" s="1"/>
  <c r="J25" i="11"/>
  <c r="K25" i="11"/>
  <c r="K36" i="11" s="1"/>
  <c r="L25" i="11"/>
  <c r="L36" i="11" s="1"/>
  <c r="M25" i="11"/>
  <c r="M36" i="11" s="1"/>
  <c r="N25" i="11"/>
  <c r="N36" i="11" s="1"/>
  <c r="C25" i="11"/>
  <c r="C36" i="11" s="1"/>
  <c r="D14" i="11"/>
  <c r="E14" i="11"/>
  <c r="F14" i="11"/>
  <c r="G14" i="11"/>
  <c r="H14" i="11"/>
  <c r="I14" i="11"/>
  <c r="J14" i="11"/>
  <c r="K14" i="11"/>
  <c r="L14" i="11"/>
  <c r="M14" i="11"/>
  <c r="N14" i="11"/>
  <c r="C14" i="11"/>
  <c r="D77" i="9"/>
  <c r="D135" i="8"/>
  <c r="E135" i="8"/>
  <c r="F135" i="8"/>
  <c r="G135" i="8"/>
  <c r="H135" i="8"/>
  <c r="I135" i="8"/>
  <c r="J135" i="8"/>
  <c r="K135" i="8"/>
  <c r="L135" i="8"/>
  <c r="M135" i="8"/>
  <c r="N135" i="8"/>
  <c r="J130" i="8"/>
  <c r="K130" i="8"/>
  <c r="L130" i="8"/>
  <c r="M130" i="8"/>
  <c r="N130" i="8"/>
  <c r="J116" i="8"/>
  <c r="K116" i="8"/>
  <c r="L116" i="8"/>
  <c r="M116" i="8"/>
  <c r="N116" i="8"/>
  <c r="J101" i="8"/>
  <c r="K101" i="8"/>
  <c r="L101" i="8"/>
  <c r="M101" i="8"/>
  <c r="N101" i="8"/>
  <c r="K42" i="7"/>
  <c r="L42" i="7"/>
  <c r="M42" i="7"/>
  <c r="N42" i="7"/>
  <c r="K36" i="7"/>
  <c r="L36" i="7"/>
  <c r="M36" i="7"/>
  <c r="N36" i="7"/>
  <c r="J36" i="7"/>
  <c r="D42" i="7"/>
  <c r="E42" i="7"/>
  <c r="F42" i="7"/>
  <c r="G42" i="7"/>
  <c r="H42" i="7"/>
  <c r="I42" i="7"/>
  <c r="J42" i="7"/>
  <c r="D36" i="7"/>
  <c r="E36" i="7"/>
  <c r="F36" i="7"/>
  <c r="G36" i="7"/>
  <c r="H36" i="7"/>
  <c r="I36" i="7"/>
  <c r="C67" i="9"/>
  <c r="D67" i="9"/>
  <c r="E67" i="9"/>
  <c r="F67" i="9"/>
  <c r="G67" i="9"/>
  <c r="H67" i="9"/>
  <c r="I67" i="9"/>
  <c r="J67" i="9"/>
  <c r="K67" i="9"/>
  <c r="L67" i="9"/>
  <c r="M67" i="9"/>
  <c r="N67" i="9"/>
  <c r="C65" i="9"/>
  <c r="D65" i="9"/>
  <c r="E65" i="9"/>
  <c r="F65" i="9"/>
  <c r="G65" i="9"/>
  <c r="H65" i="9"/>
  <c r="I65" i="9"/>
  <c r="J65" i="9"/>
  <c r="K65" i="9"/>
  <c r="L65" i="9"/>
  <c r="M65" i="9"/>
  <c r="C57" i="9"/>
  <c r="D57" i="9"/>
  <c r="E57" i="9"/>
  <c r="F57" i="9"/>
  <c r="G57" i="9"/>
  <c r="H57" i="9"/>
  <c r="I57" i="9"/>
  <c r="J57" i="9"/>
  <c r="K57" i="9"/>
  <c r="L57" i="9"/>
  <c r="M57" i="9"/>
  <c r="C54" i="9"/>
  <c r="D54" i="9"/>
  <c r="E54" i="9"/>
  <c r="F54" i="9"/>
  <c r="G54" i="9"/>
  <c r="H54" i="9"/>
  <c r="I54" i="9"/>
  <c r="J54" i="9"/>
  <c r="K54" i="9"/>
  <c r="L54" i="9"/>
  <c r="M54" i="9"/>
  <c r="C48" i="9"/>
  <c r="D48" i="9"/>
  <c r="E48" i="9"/>
  <c r="F48" i="9"/>
  <c r="G48" i="9"/>
  <c r="H48" i="9"/>
  <c r="I48" i="9"/>
  <c r="J48" i="9"/>
  <c r="K48" i="9"/>
  <c r="L48" i="9"/>
  <c r="M48" i="9"/>
  <c r="C43" i="9"/>
  <c r="D43" i="9"/>
  <c r="E43" i="9"/>
  <c r="F43" i="9"/>
  <c r="G43" i="9"/>
  <c r="H43" i="9"/>
  <c r="I43" i="9"/>
  <c r="J43" i="9"/>
  <c r="K43" i="9"/>
  <c r="L43" i="9"/>
  <c r="M43" i="9"/>
  <c r="C40" i="9"/>
  <c r="D40" i="9"/>
  <c r="E40" i="9"/>
  <c r="F40" i="9"/>
  <c r="G40" i="9"/>
  <c r="H40" i="9"/>
  <c r="I40" i="9"/>
  <c r="J40" i="9"/>
  <c r="K40" i="9"/>
  <c r="L40" i="9"/>
  <c r="M40" i="9"/>
  <c r="C34" i="9"/>
  <c r="D34" i="9"/>
  <c r="E34" i="9"/>
  <c r="F34" i="9"/>
  <c r="G34" i="9"/>
  <c r="H34" i="9"/>
  <c r="I34" i="9"/>
  <c r="J34" i="9"/>
  <c r="K34" i="9"/>
  <c r="L34" i="9"/>
  <c r="M34" i="9"/>
  <c r="C97" i="8"/>
  <c r="D97" i="8"/>
  <c r="E97" i="8"/>
  <c r="F97" i="8"/>
  <c r="G97" i="8"/>
  <c r="H97" i="8"/>
  <c r="I97" i="8"/>
  <c r="J97" i="8"/>
  <c r="K97" i="8"/>
  <c r="L97" i="8"/>
  <c r="M97" i="8"/>
  <c r="C90" i="8"/>
  <c r="D90" i="8"/>
  <c r="E90" i="8"/>
  <c r="F90" i="8"/>
  <c r="G90" i="8"/>
  <c r="H90" i="8"/>
  <c r="I90" i="8"/>
  <c r="J90" i="8"/>
  <c r="K90" i="8"/>
  <c r="L90" i="8"/>
  <c r="M90" i="8"/>
  <c r="N90" i="8"/>
  <c r="C83" i="8"/>
  <c r="D83" i="8"/>
  <c r="E83" i="8"/>
  <c r="F83" i="8"/>
  <c r="G83" i="8"/>
  <c r="H83" i="8"/>
  <c r="I83" i="8"/>
  <c r="J83" i="8"/>
  <c r="K83" i="8"/>
  <c r="L83" i="8"/>
  <c r="M83" i="8"/>
  <c r="C75" i="8"/>
  <c r="D75" i="8"/>
  <c r="E75" i="8"/>
  <c r="F75" i="8"/>
  <c r="G75" i="8"/>
  <c r="H75" i="8"/>
  <c r="I75" i="8"/>
  <c r="J75" i="8"/>
  <c r="K75" i="8"/>
  <c r="L75" i="8"/>
  <c r="M75" i="8"/>
  <c r="C67" i="8"/>
  <c r="D67" i="8"/>
  <c r="E67" i="8"/>
  <c r="F67" i="8"/>
  <c r="G67" i="8"/>
  <c r="H67" i="8"/>
  <c r="I67" i="8"/>
  <c r="J67" i="8"/>
  <c r="K67" i="8"/>
  <c r="L67" i="8"/>
  <c r="M67" i="8"/>
  <c r="C63" i="8"/>
  <c r="D63" i="8"/>
  <c r="E63" i="8"/>
  <c r="F63" i="8"/>
  <c r="G63" i="8"/>
  <c r="H63" i="8"/>
  <c r="I63" i="8"/>
  <c r="J63" i="8"/>
  <c r="K63" i="8"/>
  <c r="L63" i="8"/>
  <c r="M63" i="8"/>
  <c r="C56" i="8"/>
  <c r="D56" i="8"/>
  <c r="E56" i="8"/>
  <c r="F56" i="8"/>
  <c r="G56" i="8"/>
  <c r="H56" i="8"/>
  <c r="I56" i="8"/>
  <c r="J56" i="8"/>
  <c r="K56" i="8"/>
  <c r="L56" i="8"/>
  <c r="M56" i="8"/>
  <c r="C35" i="8"/>
  <c r="D35" i="8"/>
  <c r="E35" i="8"/>
  <c r="F35" i="8"/>
  <c r="G35" i="8"/>
  <c r="H35" i="8"/>
  <c r="I35" i="8"/>
  <c r="J35" i="8"/>
  <c r="K35" i="8"/>
  <c r="L35" i="8"/>
  <c r="M35" i="8"/>
  <c r="E52" i="7" l="1"/>
  <c r="J52" i="7"/>
  <c r="K24" i="20"/>
  <c r="G24" i="20"/>
  <c r="N24" i="20"/>
  <c r="H24" i="20"/>
  <c r="L24" i="20"/>
  <c r="D24" i="20"/>
  <c r="L27" i="22"/>
  <c r="G27" i="22"/>
  <c r="F27" i="22"/>
  <c r="J24" i="20"/>
  <c r="I24" i="20"/>
  <c r="C16" i="22"/>
  <c r="J21" i="14"/>
  <c r="J35" i="14" s="1"/>
  <c r="J60" i="14" s="1"/>
  <c r="J63" i="14" s="1"/>
  <c r="G21" i="14"/>
  <c r="G35" i="14" s="1"/>
  <c r="G60" i="14" s="1"/>
  <c r="G63" i="14" s="1"/>
  <c r="E21" i="14"/>
  <c r="E35" i="14" s="1"/>
  <c r="E60" i="14" s="1"/>
  <c r="E63" i="14" s="1"/>
  <c r="M21" i="14"/>
  <c r="M35" i="14" s="1"/>
  <c r="M60" i="14" s="1"/>
  <c r="M63" i="14" s="1"/>
  <c r="K21" i="14"/>
  <c r="K35" i="14" s="1"/>
  <c r="K60" i="14" s="1"/>
  <c r="K63" i="14" s="1"/>
  <c r="I21" i="14"/>
  <c r="I35" i="14" s="1"/>
  <c r="I60" i="14" s="1"/>
  <c r="I63" i="14" s="1"/>
  <c r="H21" i="14"/>
  <c r="H35" i="14" s="1"/>
  <c r="H60" i="14" s="1"/>
  <c r="H63" i="14" s="1"/>
  <c r="N21" i="14"/>
  <c r="N35" i="14" s="1"/>
  <c r="N60" i="14" s="1"/>
  <c r="N63" i="14" s="1"/>
  <c r="F21" i="14"/>
  <c r="F35" i="14" s="1"/>
  <c r="F60" i="14" s="1"/>
  <c r="F63" i="14" s="1"/>
  <c r="L21" i="14"/>
  <c r="L35" i="14" s="1"/>
  <c r="L60" i="14" s="1"/>
  <c r="L63" i="14" s="1"/>
  <c r="D21" i="14"/>
  <c r="D35" i="14" s="1"/>
  <c r="D60" i="14" s="1"/>
  <c r="D63" i="14" s="1"/>
  <c r="D50" i="7"/>
  <c r="D52" i="7" s="1"/>
  <c r="E50" i="7"/>
  <c r="F50" i="7"/>
  <c r="F52" i="7" s="1"/>
  <c r="G50" i="7"/>
  <c r="G52" i="7" s="1"/>
  <c r="H50" i="7"/>
  <c r="H52" i="7" s="1"/>
  <c r="I50" i="7"/>
  <c r="I52" i="7" s="1"/>
  <c r="J50" i="7"/>
  <c r="K50" i="7"/>
  <c r="K52" i="7" s="1"/>
  <c r="L50" i="7"/>
  <c r="L52" i="7" s="1"/>
  <c r="M50" i="7"/>
  <c r="M52" i="7" s="1"/>
  <c r="N50" i="7"/>
  <c r="N52" i="7" s="1"/>
  <c r="D23" i="7"/>
  <c r="D34" i="7" s="1"/>
  <c r="E23" i="7"/>
  <c r="E34" i="7" s="1"/>
  <c r="F23" i="7"/>
  <c r="F34" i="7" s="1"/>
  <c r="G23" i="7"/>
  <c r="G34" i="7" s="1"/>
  <c r="H23" i="7"/>
  <c r="H34" i="7" s="1"/>
  <c r="I23" i="7"/>
  <c r="I34" i="7" s="1"/>
  <c r="J23" i="7"/>
  <c r="J34" i="7" s="1"/>
  <c r="K23" i="7"/>
  <c r="K34" i="7" s="1"/>
  <c r="L23" i="7"/>
  <c r="L34" i="7" s="1"/>
  <c r="M23" i="7"/>
  <c r="M34" i="7" s="1"/>
  <c r="N23" i="7"/>
  <c r="N34" i="7" s="1"/>
  <c r="C23" i="7"/>
  <c r="C34" i="7" s="1"/>
  <c r="D14" i="7"/>
  <c r="D20" i="7" s="1"/>
  <c r="E14" i="7"/>
  <c r="E20" i="7" s="1"/>
  <c r="F14" i="7"/>
  <c r="F20" i="7" s="1"/>
  <c r="G14" i="7"/>
  <c r="G20" i="7" s="1"/>
  <c r="H14" i="7"/>
  <c r="H20" i="7" s="1"/>
  <c r="I14" i="7"/>
  <c r="I20" i="7" s="1"/>
  <c r="J14" i="7"/>
  <c r="J20" i="7" s="1"/>
  <c r="K14" i="7"/>
  <c r="K20" i="7" s="1"/>
  <c r="L14" i="7"/>
  <c r="L20" i="7" s="1"/>
  <c r="M14" i="7"/>
  <c r="M20" i="7" s="1"/>
  <c r="N14" i="7"/>
  <c r="N20" i="7" s="1"/>
  <c r="C14" i="7"/>
  <c r="D17" i="8"/>
  <c r="E17" i="8"/>
  <c r="F17" i="8"/>
  <c r="G17" i="8"/>
  <c r="H17" i="8"/>
  <c r="I17" i="8"/>
  <c r="J17" i="8"/>
  <c r="K17" i="8"/>
  <c r="L17" i="8"/>
  <c r="M17" i="8"/>
  <c r="N17" i="8"/>
  <c r="D7" i="8"/>
  <c r="E7" i="8"/>
  <c r="F7" i="8"/>
  <c r="G7" i="8"/>
  <c r="H7" i="8"/>
  <c r="I7" i="8"/>
  <c r="J7" i="8"/>
  <c r="K7" i="8"/>
  <c r="L7" i="8"/>
  <c r="M7" i="8"/>
  <c r="N7" i="8"/>
  <c r="D7" i="7"/>
  <c r="D13" i="7" s="1"/>
  <c r="E7" i="7"/>
  <c r="E13" i="7" s="1"/>
  <c r="F7" i="7"/>
  <c r="F13" i="7" s="1"/>
  <c r="G7" i="7"/>
  <c r="G13" i="7" s="1"/>
  <c r="H7" i="7"/>
  <c r="H13" i="7" s="1"/>
  <c r="H21" i="7" s="1"/>
  <c r="I7" i="7"/>
  <c r="I13" i="7" s="1"/>
  <c r="J7" i="7"/>
  <c r="K7" i="7"/>
  <c r="K13" i="7" s="1"/>
  <c r="L7" i="7"/>
  <c r="L13" i="7" s="1"/>
  <c r="M7" i="7"/>
  <c r="M13" i="7" s="1"/>
  <c r="N7" i="7"/>
  <c r="N13" i="7" s="1"/>
  <c r="C7" i="7"/>
  <c r="D57" i="4"/>
  <c r="E57" i="4"/>
  <c r="F57" i="4"/>
  <c r="G57" i="4"/>
  <c r="H57" i="4"/>
  <c r="I57" i="4"/>
  <c r="J57" i="4"/>
  <c r="K57" i="4"/>
  <c r="L57" i="4"/>
  <c r="M57" i="4"/>
  <c r="N57" i="4"/>
  <c r="D71" i="3"/>
  <c r="E71" i="3"/>
  <c r="F71" i="3"/>
  <c r="G71" i="3"/>
  <c r="H71" i="3"/>
  <c r="I71" i="3"/>
  <c r="J71" i="3"/>
  <c r="K71" i="3"/>
  <c r="L71" i="3"/>
  <c r="M71" i="3"/>
  <c r="N71" i="3"/>
  <c r="D65" i="2"/>
  <c r="E65" i="2"/>
  <c r="F65" i="2"/>
  <c r="G65" i="2"/>
  <c r="H65" i="2"/>
  <c r="C65" i="2"/>
  <c r="C66" i="2" s="1"/>
  <c r="C36" i="2"/>
  <c r="C36" i="4"/>
  <c r="D36" i="4"/>
  <c r="E36" i="4"/>
  <c r="F36" i="4"/>
  <c r="G36" i="4"/>
  <c r="H36" i="4"/>
  <c r="I36" i="4"/>
  <c r="D22" i="3"/>
  <c r="E22" i="3"/>
  <c r="F22" i="3"/>
  <c r="G22" i="3"/>
  <c r="H22" i="3"/>
  <c r="I22" i="3"/>
  <c r="J22" i="3"/>
  <c r="K22" i="3"/>
  <c r="L22" i="3"/>
  <c r="M22" i="3"/>
  <c r="N22" i="3"/>
  <c r="D66" i="2"/>
  <c r="E66" i="2"/>
  <c r="F66" i="2"/>
  <c r="G66" i="2"/>
  <c r="H66" i="2"/>
  <c r="C62" i="2"/>
  <c r="D62" i="2"/>
  <c r="E62" i="2"/>
  <c r="F62" i="2"/>
  <c r="G62" i="2"/>
  <c r="H62" i="2"/>
  <c r="I62" i="2"/>
  <c r="C56" i="2"/>
  <c r="D56" i="2"/>
  <c r="E56" i="2"/>
  <c r="F56" i="2"/>
  <c r="G56" i="2"/>
  <c r="H56" i="2"/>
  <c r="I56" i="2"/>
  <c r="J56" i="2"/>
  <c r="K56" i="2"/>
  <c r="L56" i="2"/>
  <c r="M56" i="2"/>
  <c r="C54" i="2"/>
  <c r="D54" i="2"/>
  <c r="E54" i="2"/>
  <c r="F54" i="2"/>
  <c r="G54" i="2"/>
  <c r="H54" i="2"/>
  <c r="I54" i="2"/>
  <c r="J54" i="2"/>
  <c r="K54" i="2"/>
  <c r="L54" i="2"/>
  <c r="M54" i="2"/>
  <c r="C51" i="2"/>
  <c r="D51" i="2"/>
  <c r="E51" i="2"/>
  <c r="F51" i="2"/>
  <c r="G51" i="2"/>
  <c r="H51" i="2"/>
  <c r="I51" i="2"/>
  <c r="D36" i="2"/>
  <c r="E36" i="2"/>
  <c r="F36" i="2"/>
  <c r="G36" i="2"/>
  <c r="H36" i="2"/>
  <c r="I36" i="2"/>
  <c r="I65" i="2" s="1"/>
  <c r="I66" i="2" s="1"/>
  <c r="C34" i="2"/>
  <c r="D34" i="2"/>
  <c r="E34" i="2"/>
  <c r="F34" i="2"/>
  <c r="G34" i="2"/>
  <c r="H34" i="2"/>
  <c r="I34" i="2"/>
  <c r="J34" i="2"/>
  <c r="K34" i="2"/>
  <c r="L34" i="2"/>
  <c r="M34" i="2"/>
  <c r="L33" i="2"/>
  <c r="L20" i="2"/>
  <c r="D14" i="5"/>
  <c r="D20" i="5" s="1"/>
  <c r="E14" i="5"/>
  <c r="E20" i="5" s="1"/>
  <c r="F14" i="5"/>
  <c r="F20" i="5" s="1"/>
  <c r="G14" i="5"/>
  <c r="G20" i="5" s="1"/>
  <c r="H14" i="5"/>
  <c r="H20" i="5" s="1"/>
  <c r="I14" i="5"/>
  <c r="I20" i="5" s="1"/>
  <c r="J14" i="5"/>
  <c r="J20" i="5" s="1"/>
  <c r="K14" i="5"/>
  <c r="K20" i="5" s="1"/>
  <c r="L14" i="5"/>
  <c r="L20" i="5" s="1"/>
  <c r="M14" i="5"/>
  <c r="M20" i="5" s="1"/>
  <c r="N14" i="5"/>
  <c r="N20" i="5" s="1"/>
  <c r="C14" i="5"/>
  <c r="C20" i="5" s="1"/>
  <c r="D7" i="5"/>
  <c r="D13" i="5" s="1"/>
  <c r="E7" i="5"/>
  <c r="E13" i="5" s="1"/>
  <c r="F7" i="5"/>
  <c r="F13" i="5" s="1"/>
  <c r="G7" i="5"/>
  <c r="H7" i="5"/>
  <c r="H13" i="5" s="1"/>
  <c r="I7" i="5"/>
  <c r="I13" i="5" s="1"/>
  <c r="J7" i="5"/>
  <c r="J13" i="5" s="1"/>
  <c r="K7" i="5"/>
  <c r="K13" i="5" s="1"/>
  <c r="L7" i="5"/>
  <c r="L13" i="5" s="1"/>
  <c r="M7" i="5"/>
  <c r="M13" i="5" s="1"/>
  <c r="N7" i="5"/>
  <c r="N13" i="5" s="1"/>
  <c r="G13" i="5"/>
  <c r="E7" i="4"/>
  <c r="E16" i="4" s="1"/>
  <c r="E25" i="4" s="1"/>
  <c r="C19" i="2"/>
  <c r="D19" i="2"/>
  <c r="E19" i="2"/>
  <c r="F19" i="2"/>
  <c r="G19" i="2"/>
  <c r="H19" i="2"/>
  <c r="I19" i="2"/>
  <c r="J19" i="2"/>
  <c r="K19" i="2"/>
  <c r="L19" i="2"/>
  <c r="M19" i="2"/>
  <c r="C16" i="2"/>
  <c r="D16" i="2"/>
  <c r="E16" i="2"/>
  <c r="F16" i="2"/>
  <c r="G16" i="2"/>
  <c r="H16" i="2"/>
  <c r="I16" i="2"/>
  <c r="J16" i="2"/>
  <c r="K16" i="2"/>
  <c r="L16" i="2"/>
  <c r="M16" i="2"/>
  <c r="C7" i="3"/>
  <c r="D8" i="3"/>
  <c r="E8" i="3" s="1"/>
  <c r="E7" i="3" s="1"/>
  <c r="E13" i="3" s="1"/>
  <c r="N19" i="2"/>
  <c r="D23" i="5"/>
  <c r="D34" i="5" s="1"/>
  <c r="E23" i="5"/>
  <c r="E34" i="5" s="1"/>
  <c r="F23" i="5"/>
  <c r="F34" i="5" s="1"/>
  <c r="G23" i="5"/>
  <c r="G34" i="5" s="1"/>
  <c r="H23" i="5"/>
  <c r="H34" i="5" s="1"/>
  <c r="I23" i="5"/>
  <c r="I34" i="5" s="1"/>
  <c r="J23" i="5"/>
  <c r="J34" i="5" s="1"/>
  <c r="K23" i="5"/>
  <c r="K34" i="5" s="1"/>
  <c r="L23" i="5"/>
  <c r="L34" i="5" s="1"/>
  <c r="M23" i="5"/>
  <c r="M34" i="5" s="1"/>
  <c r="N23" i="5"/>
  <c r="N34" i="5" s="1"/>
  <c r="C23" i="5"/>
  <c r="C34" i="5" s="1"/>
  <c r="C7" i="5"/>
  <c r="N50" i="18"/>
  <c r="E55" i="21"/>
  <c r="F55" i="21"/>
  <c r="K55" i="21"/>
  <c r="M55" i="21"/>
  <c r="N55" i="21"/>
  <c r="D53" i="21"/>
  <c r="D55" i="21" s="1"/>
  <c r="E53" i="21"/>
  <c r="F53" i="21"/>
  <c r="G53" i="21"/>
  <c r="G55" i="21" s="1"/>
  <c r="H53" i="21"/>
  <c r="H55" i="21" s="1"/>
  <c r="I53" i="21"/>
  <c r="I55" i="21" s="1"/>
  <c r="J53" i="21"/>
  <c r="J55" i="21" s="1"/>
  <c r="K53" i="21"/>
  <c r="L53" i="21"/>
  <c r="L55" i="21" s="1"/>
  <c r="M53" i="21"/>
  <c r="N53" i="21"/>
  <c r="C53" i="21"/>
  <c r="D43" i="21"/>
  <c r="E43" i="21"/>
  <c r="F43" i="21"/>
  <c r="G43" i="21"/>
  <c r="H43" i="21"/>
  <c r="I43" i="21"/>
  <c r="J43" i="21"/>
  <c r="K43" i="21"/>
  <c r="L43" i="21"/>
  <c r="M43" i="21"/>
  <c r="N43" i="21"/>
  <c r="D35" i="21"/>
  <c r="E35" i="21"/>
  <c r="F35" i="21"/>
  <c r="G35" i="21"/>
  <c r="H35" i="21"/>
  <c r="I35" i="21"/>
  <c r="J35" i="21"/>
  <c r="K35" i="21"/>
  <c r="L35" i="21"/>
  <c r="M35" i="21"/>
  <c r="N35" i="21"/>
  <c r="D29" i="21"/>
  <c r="E29" i="21"/>
  <c r="F29" i="21"/>
  <c r="F45" i="21" s="1"/>
  <c r="G29" i="21"/>
  <c r="H29" i="21"/>
  <c r="I29" i="21"/>
  <c r="J29" i="21"/>
  <c r="K29" i="21"/>
  <c r="L29" i="21"/>
  <c r="M29" i="21"/>
  <c r="M45" i="21" s="1"/>
  <c r="N29" i="21"/>
  <c r="D27" i="21"/>
  <c r="E27" i="21"/>
  <c r="E45" i="21" s="1"/>
  <c r="F27" i="21"/>
  <c r="G27" i="21"/>
  <c r="H27" i="21"/>
  <c r="I27" i="21"/>
  <c r="J27" i="21"/>
  <c r="J45" i="21" s="1"/>
  <c r="K27" i="21"/>
  <c r="L27" i="21"/>
  <c r="M27" i="21"/>
  <c r="N27" i="21"/>
  <c r="C27" i="21"/>
  <c r="K7" i="20"/>
  <c r="K16" i="20" s="1"/>
  <c r="C7" i="20"/>
  <c r="D80" i="20"/>
  <c r="E80" i="20"/>
  <c r="F80" i="20"/>
  <c r="G80" i="20"/>
  <c r="H80" i="20"/>
  <c r="I80" i="20"/>
  <c r="J80" i="20"/>
  <c r="K80" i="20"/>
  <c r="L80" i="20"/>
  <c r="M80" i="20"/>
  <c r="N80" i="20"/>
  <c r="D75" i="20"/>
  <c r="E75" i="20"/>
  <c r="F75" i="20"/>
  <c r="G75" i="20"/>
  <c r="H75" i="20"/>
  <c r="I75" i="20"/>
  <c r="J75" i="20"/>
  <c r="K75" i="20"/>
  <c r="L75" i="20"/>
  <c r="M75" i="20"/>
  <c r="N75" i="20"/>
  <c r="C75" i="20"/>
  <c r="D70" i="20"/>
  <c r="E70" i="20"/>
  <c r="F70" i="20"/>
  <c r="G70" i="20"/>
  <c r="H70" i="20"/>
  <c r="I70" i="20"/>
  <c r="J70" i="20"/>
  <c r="K70" i="20"/>
  <c r="L70" i="20"/>
  <c r="M70" i="20"/>
  <c r="N70" i="20"/>
  <c r="C70" i="20"/>
  <c r="D65" i="20"/>
  <c r="E65" i="20"/>
  <c r="F65" i="20"/>
  <c r="G65" i="20"/>
  <c r="H65" i="20"/>
  <c r="H78" i="20" s="1"/>
  <c r="I65" i="20"/>
  <c r="J65" i="20"/>
  <c r="K65" i="20"/>
  <c r="L65" i="20"/>
  <c r="M65" i="20"/>
  <c r="N65" i="20"/>
  <c r="C65" i="20"/>
  <c r="D61" i="20"/>
  <c r="E61" i="20"/>
  <c r="F61" i="20"/>
  <c r="G61" i="20"/>
  <c r="H61" i="20"/>
  <c r="I61" i="20"/>
  <c r="J61" i="20"/>
  <c r="K61" i="20"/>
  <c r="L61" i="20"/>
  <c r="M61" i="20"/>
  <c r="N61" i="20"/>
  <c r="C61" i="20"/>
  <c r="D59" i="20"/>
  <c r="E59" i="20"/>
  <c r="F59" i="20"/>
  <c r="G59" i="20"/>
  <c r="H59" i="20"/>
  <c r="I59" i="20"/>
  <c r="J59" i="20"/>
  <c r="K59" i="20"/>
  <c r="L59" i="20"/>
  <c r="M59" i="20"/>
  <c r="N59" i="20"/>
  <c r="C59" i="20"/>
  <c r="D54" i="20"/>
  <c r="E54" i="20"/>
  <c r="F54" i="20"/>
  <c r="G54" i="20"/>
  <c r="H54" i="20"/>
  <c r="I54" i="20"/>
  <c r="J54" i="20"/>
  <c r="K54" i="20"/>
  <c r="L54" i="20"/>
  <c r="M54" i="20"/>
  <c r="N54" i="20"/>
  <c r="C54" i="20"/>
  <c r="D50" i="20"/>
  <c r="E50" i="20"/>
  <c r="F50" i="20"/>
  <c r="G50" i="20"/>
  <c r="H50" i="20"/>
  <c r="I50" i="20"/>
  <c r="J50" i="20"/>
  <c r="K50" i="20"/>
  <c r="L50" i="20"/>
  <c r="M50" i="20"/>
  <c r="N50" i="20"/>
  <c r="C50" i="20"/>
  <c r="D47" i="20"/>
  <c r="E47" i="20"/>
  <c r="F47" i="20"/>
  <c r="G47" i="20"/>
  <c r="H47" i="20"/>
  <c r="I47" i="20"/>
  <c r="J47" i="20"/>
  <c r="K47" i="20"/>
  <c r="L47" i="20"/>
  <c r="M47" i="20"/>
  <c r="N47" i="20"/>
  <c r="C47" i="20"/>
  <c r="D43" i="20"/>
  <c r="E43" i="20"/>
  <c r="F43" i="20"/>
  <c r="G43" i="20"/>
  <c r="H43" i="20"/>
  <c r="I43" i="20"/>
  <c r="J43" i="20"/>
  <c r="K43" i="20"/>
  <c r="L43" i="20"/>
  <c r="M43" i="20"/>
  <c r="N43" i="20"/>
  <c r="C43" i="20"/>
  <c r="C27" i="20"/>
  <c r="D27" i="20"/>
  <c r="E27" i="20"/>
  <c r="F27" i="20"/>
  <c r="G27" i="20"/>
  <c r="H27" i="20"/>
  <c r="I27" i="20"/>
  <c r="J27" i="20"/>
  <c r="K27" i="20"/>
  <c r="L27" i="20"/>
  <c r="M27" i="20"/>
  <c r="N27" i="20"/>
  <c r="D61" i="22"/>
  <c r="E61" i="22"/>
  <c r="F61" i="22"/>
  <c r="G61" i="22"/>
  <c r="H61" i="22"/>
  <c r="I61" i="22"/>
  <c r="J61" i="22"/>
  <c r="K61" i="22"/>
  <c r="L61" i="22"/>
  <c r="M61" i="22"/>
  <c r="N61" i="22"/>
  <c r="D56" i="22"/>
  <c r="E56" i="22"/>
  <c r="F56" i="22"/>
  <c r="G56" i="22"/>
  <c r="H56" i="22"/>
  <c r="I56" i="22"/>
  <c r="J56" i="22"/>
  <c r="K56" i="22"/>
  <c r="L56" i="22"/>
  <c r="M56" i="22"/>
  <c r="N56" i="22"/>
  <c r="D50" i="22"/>
  <c r="E50" i="22"/>
  <c r="F50" i="22"/>
  <c r="G50" i="22"/>
  <c r="H50" i="22"/>
  <c r="I50" i="22"/>
  <c r="J50" i="22"/>
  <c r="K50" i="22"/>
  <c r="L50" i="22"/>
  <c r="M50" i="22"/>
  <c r="N50" i="22"/>
  <c r="D46" i="22"/>
  <c r="D59" i="22" s="1"/>
  <c r="E46" i="22"/>
  <c r="F46" i="22"/>
  <c r="G46" i="22"/>
  <c r="H46" i="22"/>
  <c r="I46" i="22"/>
  <c r="J46" i="22"/>
  <c r="J59" i="22" s="1"/>
  <c r="K46" i="22"/>
  <c r="L46" i="22"/>
  <c r="M46" i="22"/>
  <c r="N46" i="22"/>
  <c r="D42" i="22"/>
  <c r="E42" i="22"/>
  <c r="F42" i="22"/>
  <c r="G42" i="22"/>
  <c r="H42" i="22"/>
  <c r="I42" i="22"/>
  <c r="J42" i="22"/>
  <c r="K42" i="22"/>
  <c r="L42" i="22"/>
  <c r="M42" i="22"/>
  <c r="N42" i="22"/>
  <c r="D40" i="22"/>
  <c r="E40" i="22"/>
  <c r="F40" i="22"/>
  <c r="G40" i="22"/>
  <c r="H40" i="22"/>
  <c r="I40" i="22"/>
  <c r="J40" i="22"/>
  <c r="K40" i="22"/>
  <c r="L40" i="22"/>
  <c r="M40" i="22"/>
  <c r="N40" i="22"/>
  <c r="D34" i="22"/>
  <c r="E34" i="22"/>
  <c r="F34" i="22"/>
  <c r="G34" i="22"/>
  <c r="H34" i="22"/>
  <c r="I34" i="22"/>
  <c r="J34" i="22"/>
  <c r="K34" i="22"/>
  <c r="L34" i="22"/>
  <c r="M34" i="22"/>
  <c r="N34" i="22"/>
  <c r="D30" i="22"/>
  <c r="E30" i="22"/>
  <c r="E44" i="22" s="1"/>
  <c r="F30" i="22"/>
  <c r="G30" i="22"/>
  <c r="H30" i="22"/>
  <c r="I30" i="22"/>
  <c r="J30" i="22"/>
  <c r="K30" i="22"/>
  <c r="L30" i="22"/>
  <c r="M30" i="22"/>
  <c r="M44" i="22" s="1"/>
  <c r="N30" i="22"/>
  <c r="D25" i="22"/>
  <c r="D27" i="22" s="1"/>
  <c r="E25" i="22"/>
  <c r="E27" i="22" s="1"/>
  <c r="F25" i="22"/>
  <c r="G25" i="22"/>
  <c r="H25" i="22"/>
  <c r="H27" i="22" s="1"/>
  <c r="I25" i="22"/>
  <c r="I27" i="22" s="1"/>
  <c r="J25" i="22"/>
  <c r="J27" i="22" s="1"/>
  <c r="K25" i="22"/>
  <c r="K27" i="22" s="1"/>
  <c r="L25" i="22"/>
  <c r="M25" i="22"/>
  <c r="M27" i="22" s="1"/>
  <c r="N25" i="22"/>
  <c r="D13" i="22"/>
  <c r="D16" i="22" s="1"/>
  <c r="E13" i="22"/>
  <c r="E16" i="22" s="1"/>
  <c r="F13" i="22"/>
  <c r="F16" i="22" s="1"/>
  <c r="G13" i="22"/>
  <c r="G16" i="22" s="1"/>
  <c r="H13" i="22"/>
  <c r="H16" i="22" s="1"/>
  <c r="I13" i="22"/>
  <c r="I16" i="22" s="1"/>
  <c r="J13" i="22"/>
  <c r="J16" i="22" s="1"/>
  <c r="K13" i="22"/>
  <c r="K16" i="22" s="1"/>
  <c r="L13" i="22"/>
  <c r="L16" i="22" s="1"/>
  <c r="M13" i="22"/>
  <c r="M16" i="22" s="1"/>
  <c r="N13" i="22"/>
  <c r="N16" i="22" s="1"/>
  <c r="D89" i="17"/>
  <c r="E89" i="17"/>
  <c r="F89" i="17"/>
  <c r="G89" i="17"/>
  <c r="H89" i="17"/>
  <c r="I89" i="17"/>
  <c r="J89" i="17"/>
  <c r="K89" i="17"/>
  <c r="L89" i="17"/>
  <c r="M89" i="17"/>
  <c r="N89" i="17"/>
  <c r="D86" i="17"/>
  <c r="E86" i="17"/>
  <c r="F86" i="17"/>
  <c r="G86" i="17"/>
  <c r="H86" i="17"/>
  <c r="I86" i="17"/>
  <c r="J86" i="17"/>
  <c r="K86" i="17"/>
  <c r="L86" i="17"/>
  <c r="M86" i="17"/>
  <c r="N86" i="17"/>
  <c r="D74" i="17"/>
  <c r="E74" i="17"/>
  <c r="F74" i="17"/>
  <c r="G74" i="17"/>
  <c r="H74" i="17"/>
  <c r="I74" i="17"/>
  <c r="J74" i="17"/>
  <c r="K74" i="17"/>
  <c r="L74" i="17"/>
  <c r="M74" i="17"/>
  <c r="N74" i="17"/>
  <c r="D79" i="17"/>
  <c r="E79" i="17"/>
  <c r="F79" i="17"/>
  <c r="G79" i="17"/>
  <c r="H79" i="17"/>
  <c r="I79" i="17"/>
  <c r="J79" i="17"/>
  <c r="K79" i="17"/>
  <c r="L79" i="17"/>
  <c r="M79" i="17"/>
  <c r="N79" i="17"/>
  <c r="D70" i="17"/>
  <c r="E70" i="17"/>
  <c r="F70" i="17"/>
  <c r="G70" i="17"/>
  <c r="H70" i="17"/>
  <c r="I70" i="17"/>
  <c r="J70" i="17"/>
  <c r="K70" i="17"/>
  <c r="L70" i="17"/>
  <c r="M70" i="17"/>
  <c r="N70" i="17"/>
  <c r="D65" i="17"/>
  <c r="E65" i="17"/>
  <c r="F65" i="17"/>
  <c r="G65" i="17"/>
  <c r="H65" i="17"/>
  <c r="I65" i="17"/>
  <c r="J65" i="17"/>
  <c r="K65" i="17"/>
  <c r="L65" i="17"/>
  <c r="M65" i="17"/>
  <c r="N65" i="17"/>
  <c r="D63" i="17"/>
  <c r="E63" i="17"/>
  <c r="F63" i="17"/>
  <c r="G63" i="17"/>
  <c r="H63" i="17"/>
  <c r="I63" i="17"/>
  <c r="J63" i="17"/>
  <c r="K63" i="17"/>
  <c r="L63" i="17"/>
  <c r="M63" i="17"/>
  <c r="N63" i="17"/>
  <c r="D60" i="17"/>
  <c r="E60" i="17"/>
  <c r="F60" i="17"/>
  <c r="G60" i="17"/>
  <c r="H60" i="17"/>
  <c r="I60" i="17"/>
  <c r="J60" i="17"/>
  <c r="K60" i="17"/>
  <c r="L60" i="17"/>
  <c r="M60" i="17"/>
  <c r="N60" i="17"/>
  <c r="D57" i="17"/>
  <c r="E57" i="17"/>
  <c r="F57" i="17"/>
  <c r="G57" i="17"/>
  <c r="H57" i="17"/>
  <c r="I57" i="17"/>
  <c r="J57" i="17"/>
  <c r="K57" i="17"/>
  <c r="L57" i="17"/>
  <c r="M57" i="17"/>
  <c r="N57" i="17"/>
  <c r="N52" i="17"/>
  <c r="D27" i="17"/>
  <c r="E27" i="17"/>
  <c r="F27" i="17"/>
  <c r="G27" i="17"/>
  <c r="H27" i="17"/>
  <c r="I27" i="17"/>
  <c r="J27" i="17"/>
  <c r="K27" i="17"/>
  <c r="L27" i="17"/>
  <c r="M27" i="17"/>
  <c r="N27" i="17"/>
  <c r="D25" i="17"/>
  <c r="E25" i="17"/>
  <c r="F25" i="17"/>
  <c r="G25" i="17"/>
  <c r="H25" i="17"/>
  <c r="I25" i="17"/>
  <c r="J25" i="17"/>
  <c r="K25" i="17"/>
  <c r="L25" i="17"/>
  <c r="M25" i="17"/>
  <c r="N25" i="17"/>
  <c r="C25" i="17"/>
  <c r="D14" i="17"/>
  <c r="E14" i="17"/>
  <c r="F14" i="17"/>
  <c r="G14" i="17"/>
  <c r="H14" i="17"/>
  <c r="I14" i="17"/>
  <c r="J14" i="17"/>
  <c r="K14" i="17"/>
  <c r="L14" i="17"/>
  <c r="M14" i="17"/>
  <c r="N14" i="17"/>
  <c r="C59" i="15"/>
  <c r="D57" i="15"/>
  <c r="E57" i="15"/>
  <c r="F57" i="15"/>
  <c r="G57" i="15"/>
  <c r="H57" i="15"/>
  <c r="I57" i="15"/>
  <c r="J57" i="15"/>
  <c r="K57" i="15"/>
  <c r="L57" i="15"/>
  <c r="M57" i="15"/>
  <c r="N57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D45" i="15"/>
  <c r="E45" i="15"/>
  <c r="F45" i="15"/>
  <c r="G45" i="15"/>
  <c r="H45" i="15"/>
  <c r="I45" i="15"/>
  <c r="J45" i="15"/>
  <c r="K45" i="15"/>
  <c r="L45" i="15"/>
  <c r="M45" i="15"/>
  <c r="N45" i="15"/>
  <c r="C45" i="15"/>
  <c r="D35" i="15"/>
  <c r="E35" i="15"/>
  <c r="F35" i="15"/>
  <c r="G35" i="15"/>
  <c r="H35" i="15"/>
  <c r="I35" i="15"/>
  <c r="J35" i="15"/>
  <c r="K35" i="15"/>
  <c r="L35" i="15"/>
  <c r="M35" i="15"/>
  <c r="N35" i="15"/>
  <c r="C35" i="15"/>
  <c r="D32" i="15"/>
  <c r="E32" i="15"/>
  <c r="F32" i="15"/>
  <c r="G32" i="15"/>
  <c r="H32" i="15"/>
  <c r="I32" i="15"/>
  <c r="J32" i="15"/>
  <c r="K32" i="15"/>
  <c r="L32" i="15"/>
  <c r="M32" i="15"/>
  <c r="N32" i="15"/>
  <c r="C32" i="15"/>
  <c r="D25" i="15"/>
  <c r="E25" i="15"/>
  <c r="F25" i="15"/>
  <c r="G25" i="15"/>
  <c r="H25" i="15"/>
  <c r="I25" i="15"/>
  <c r="J25" i="15"/>
  <c r="K25" i="15"/>
  <c r="L25" i="15"/>
  <c r="M25" i="15"/>
  <c r="N25" i="15"/>
  <c r="C25" i="15"/>
  <c r="D23" i="15"/>
  <c r="E23" i="15"/>
  <c r="F23" i="15"/>
  <c r="G23" i="15"/>
  <c r="H23" i="15"/>
  <c r="I23" i="15"/>
  <c r="J23" i="15"/>
  <c r="K23" i="15"/>
  <c r="L23" i="15"/>
  <c r="M23" i="15"/>
  <c r="N23" i="15"/>
  <c r="C23" i="15"/>
  <c r="D18" i="15"/>
  <c r="E18" i="15"/>
  <c r="F18" i="15"/>
  <c r="G18" i="15"/>
  <c r="H18" i="15"/>
  <c r="I18" i="15"/>
  <c r="J18" i="15"/>
  <c r="K18" i="15"/>
  <c r="L18" i="15"/>
  <c r="M18" i="15"/>
  <c r="N18" i="15"/>
  <c r="C18" i="15"/>
  <c r="G17" i="15"/>
  <c r="G26" i="15" s="1"/>
  <c r="D14" i="15"/>
  <c r="E14" i="15"/>
  <c r="F14" i="15"/>
  <c r="G14" i="15"/>
  <c r="H14" i="15"/>
  <c r="I14" i="15"/>
  <c r="J14" i="15"/>
  <c r="K14" i="15"/>
  <c r="L14" i="15"/>
  <c r="M14" i="15"/>
  <c r="N14" i="15"/>
  <c r="C14" i="15"/>
  <c r="G7" i="15"/>
  <c r="D97" i="16"/>
  <c r="E97" i="16"/>
  <c r="F97" i="16"/>
  <c r="G97" i="16"/>
  <c r="H97" i="16"/>
  <c r="I97" i="16"/>
  <c r="J97" i="16"/>
  <c r="K97" i="16"/>
  <c r="L97" i="16"/>
  <c r="M97" i="16"/>
  <c r="N97" i="16"/>
  <c r="C97" i="16"/>
  <c r="D92" i="16"/>
  <c r="E92" i="16"/>
  <c r="F92" i="16"/>
  <c r="G92" i="16"/>
  <c r="H92" i="16"/>
  <c r="I92" i="16"/>
  <c r="J92" i="16"/>
  <c r="K92" i="16"/>
  <c r="L92" i="16"/>
  <c r="M92" i="16"/>
  <c r="N92" i="16"/>
  <c r="C92" i="16"/>
  <c r="D78" i="16"/>
  <c r="E78" i="16"/>
  <c r="F78" i="16"/>
  <c r="G78" i="16"/>
  <c r="H78" i="16"/>
  <c r="I78" i="16"/>
  <c r="J78" i="16"/>
  <c r="K78" i="16"/>
  <c r="L78" i="16"/>
  <c r="M78" i="16"/>
  <c r="N78" i="16"/>
  <c r="C78" i="16"/>
  <c r="D62" i="16"/>
  <c r="E62" i="16"/>
  <c r="E95" i="16" s="1"/>
  <c r="F62" i="16"/>
  <c r="G62" i="16"/>
  <c r="H62" i="16"/>
  <c r="I62" i="16"/>
  <c r="J62" i="16"/>
  <c r="K62" i="16"/>
  <c r="L62" i="16"/>
  <c r="M62" i="16"/>
  <c r="N62" i="16"/>
  <c r="N95" i="16" s="1"/>
  <c r="D58" i="16"/>
  <c r="E58" i="16"/>
  <c r="F58" i="16"/>
  <c r="G58" i="16"/>
  <c r="H58" i="16"/>
  <c r="I58" i="16"/>
  <c r="J58" i="16"/>
  <c r="K58" i="16"/>
  <c r="L58" i="16"/>
  <c r="M58" i="16"/>
  <c r="N58" i="16"/>
  <c r="C58" i="16"/>
  <c r="D56" i="16"/>
  <c r="E56" i="16"/>
  <c r="F56" i="16"/>
  <c r="G56" i="16"/>
  <c r="H56" i="16"/>
  <c r="I56" i="16"/>
  <c r="J56" i="16"/>
  <c r="K56" i="16"/>
  <c r="L56" i="16"/>
  <c r="M56" i="16"/>
  <c r="N56" i="16"/>
  <c r="D51" i="16"/>
  <c r="E51" i="16"/>
  <c r="F51" i="16"/>
  <c r="G51" i="16"/>
  <c r="H51" i="16"/>
  <c r="I51" i="16"/>
  <c r="J51" i="16"/>
  <c r="K51" i="16"/>
  <c r="L51" i="16"/>
  <c r="M51" i="16"/>
  <c r="N51" i="16"/>
  <c r="C51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D27" i="16"/>
  <c r="E27" i="16"/>
  <c r="F27" i="16"/>
  <c r="G27" i="16"/>
  <c r="H27" i="16"/>
  <c r="I27" i="16"/>
  <c r="J27" i="16"/>
  <c r="K27" i="16"/>
  <c r="L27" i="16"/>
  <c r="M27" i="16"/>
  <c r="N27" i="16"/>
  <c r="D14" i="16"/>
  <c r="E14" i="16"/>
  <c r="F14" i="16"/>
  <c r="G14" i="16"/>
  <c r="H14" i="16"/>
  <c r="I14" i="16"/>
  <c r="J14" i="16"/>
  <c r="K14" i="16"/>
  <c r="L14" i="16"/>
  <c r="M14" i="16"/>
  <c r="N14" i="16"/>
  <c r="D83" i="13"/>
  <c r="E83" i="13"/>
  <c r="F83" i="13"/>
  <c r="G83" i="13"/>
  <c r="H83" i="13"/>
  <c r="I83" i="13"/>
  <c r="J83" i="13"/>
  <c r="K83" i="13"/>
  <c r="L83" i="13"/>
  <c r="M83" i="13"/>
  <c r="N83" i="13"/>
  <c r="N81" i="13"/>
  <c r="D34" i="13"/>
  <c r="D71" i="13" s="1"/>
  <c r="E34" i="13"/>
  <c r="E71" i="13" s="1"/>
  <c r="F34" i="13"/>
  <c r="F71" i="13" s="1"/>
  <c r="G34" i="13"/>
  <c r="G71" i="13" s="1"/>
  <c r="H34" i="13"/>
  <c r="H71" i="13" s="1"/>
  <c r="I34" i="13"/>
  <c r="J34" i="13"/>
  <c r="J71" i="13" s="1"/>
  <c r="K34" i="13"/>
  <c r="K71" i="13" s="1"/>
  <c r="L34" i="13"/>
  <c r="L71" i="13" s="1"/>
  <c r="M34" i="13"/>
  <c r="M71" i="13" s="1"/>
  <c r="N34" i="13"/>
  <c r="N71" i="13" s="1"/>
  <c r="H31" i="13"/>
  <c r="D29" i="13"/>
  <c r="E29" i="13"/>
  <c r="F29" i="13"/>
  <c r="G29" i="13"/>
  <c r="H29" i="13"/>
  <c r="I29" i="13"/>
  <c r="J29" i="13"/>
  <c r="K29" i="13"/>
  <c r="L29" i="13"/>
  <c r="M29" i="13"/>
  <c r="N29" i="13"/>
  <c r="D27" i="13"/>
  <c r="E27" i="13"/>
  <c r="F27" i="13"/>
  <c r="G27" i="13"/>
  <c r="H27" i="13"/>
  <c r="I27" i="13"/>
  <c r="J27" i="13"/>
  <c r="K27" i="13"/>
  <c r="L27" i="13"/>
  <c r="M27" i="13"/>
  <c r="N27" i="13"/>
  <c r="D22" i="13"/>
  <c r="D31" i="13" s="1"/>
  <c r="E22" i="13"/>
  <c r="E31" i="13" s="1"/>
  <c r="F22" i="13"/>
  <c r="F31" i="13" s="1"/>
  <c r="G22" i="13"/>
  <c r="G31" i="13" s="1"/>
  <c r="H22" i="13"/>
  <c r="I22" i="13"/>
  <c r="I31" i="13" s="1"/>
  <c r="J22" i="13"/>
  <c r="J31" i="13" s="1"/>
  <c r="K22" i="13"/>
  <c r="K31" i="13" s="1"/>
  <c r="L22" i="13"/>
  <c r="L31" i="13" s="1"/>
  <c r="M22" i="13"/>
  <c r="M31" i="13" s="1"/>
  <c r="N22" i="13"/>
  <c r="N31" i="13" s="1"/>
  <c r="D18" i="13"/>
  <c r="E18" i="13"/>
  <c r="F18" i="13"/>
  <c r="G18" i="13"/>
  <c r="H18" i="13"/>
  <c r="I18" i="13"/>
  <c r="J18" i="13"/>
  <c r="K18" i="13"/>
  <c r="L18" i="13"/>
  <c r="M18" i="13"/>
  <c r="N18" i="13"/>
  <c r="D128" i="12"/>
  <c r="E128" i="12"/>
  <c r="F128" i="12"/>
  <c r="G128" i="12"/>
  <c r="H128" i="12"/>
  <c r="I128" i="12"/>
  <c r="J128" i="12"/>
  <c r="K128" i="12"/>
  <c r="L128" i="12"/>
  <c r="M128" i="12"/>
  <c r="N128" i="12"/>
  <c r="G126" i="12"/>
  <c r="D123" i="12"/>
  <c r="E123" i="12"/>
  <c r="F123" i="12"/>
  <c r="G123" i="12"/>
  <c r="H123" i="12"/>
  <c r="I123" i="12"/>
  <c r="J123" i="12"/>
  <c r="K123" i="12"/>
  <c r="L123" i="12"/>
  <c r="M123" i="12"/>
  <c r="N123" i="12"/>
  <c r="D110" i="12"/>
  <c r="E110" i="12"/>
  <c r="F110" i="12"/>
  <c r="G110" i="12"/>
  <c r="H110" i="12"/>
  <c r="I110" i="12"/>
  <c r="J110" i="12"/>
  <c r="K110" i="12"/>
  <c r="L110" i="12"/>
  <c r="M110" i="12"/>
  <c r="N110" i="12"/>
  <c r="D95" i="12"/>
  <c r="E95" i="12"/>
  <c r="E126" i="12" s="1"/>
  <c r="F95" i="12"/>
  <c r="G95" i="12"/>
  <c r="H95" i="12"/>
  <c r="I95" i="12"/>
  <c r="J95" i="12"/>
  <c r="K95" i="12"/>
  <c r="L95" i="12"/>
  <c r="M95" i="12"/>
  <c r="M126" i="12" s="1"/>
  <c r="N95" i="12"/>
  <c r="D91" i="12"/>
  <c r="E91" i="12"/>
  <c r="F91" i="12"/>
  <c r="G91" i="12"/>
  <c r="H91" i="12"/>
  <c r="I91" i="12"/>
  <c r="J91" i="12"/>
  <c r="K91" i="12"/>
  <c r="L91" i="12"/>
  <c r="M91" i="12"/>
  <c r="N91" i="12"/>
  <c r="D84" i="12"/>
  <c r="E84" i="12"/>
  <c r="F84" i="12"/>
  <c r="G84" i="12"/>
  <c r="H84" i="12"/>
  <c r="I84" i="12"/>
  <c r="J84" i="12"/>
  <c r="K84" i="12"/>
  <c r="L84" i="12"/>
  <c r="M84" i="12"/>
  <c r="N84" i="12"/>
  <c r="D82" i="12"/>
  <c r="E82" i="12"/>
  <c r="F82" i="12"/>
  <c r="G82" i="12"/>
  <c r="H82" i="12"/>
  <c r="I82" i="12"/>
  <c r="J82" i="12"/>
  <c r="K82" i="12"/>
  <c r="L82" i="12"/>
  <c r="M82" i="12"/>
  <c r="N82" i="12"/>
  <c r="C82" i="12"/>
  <c r="D75" i="12"/>
  <c r="E75" i="12"/>
  <c r="F75" i="12"/>
  <c r="G75" i="12"/>
  <c r="H75" i="12"/>
  <c r="I75" i="12"/>
  <c r="D66" i="12"/>
  <c r="E66" i="12"/>
  <c r="F66" i="12"/>
  <c r="G66" i="12"/>
  <c r="H66" i="12"/>
  <c r="I66" i="12"/>
  <c r="D61" i="12"/>
  <c r="E61" i="12"/>
  <c r="F61" i="12"/>
  <c r="G61" i="12"/>
  <c r="H61" i="12"/>
  <c r="I61" i="12"/>
  <c r="J61" i="12"/>
  <c r="K61" i="12"/>
  <c r="L61" i="12"/>
  <c r="M61" i="12"/>
  <c r="N61" i="12"/>
  <c r="D58" i="12"/>
  <c r="E58" i="12"/>
  <c r="F58" i="12"/>
  <c r="G58" i="12"/>
  <c r="H58" i="12"/>
  <c r="I58" i="12"/>
  <c r="J58" i="12"/>
  <c r="K58" i="12"/>
  <c r="L58" i="12"/>
  <c r="M58" i="12"/>
  <c r="N58" i="12"/>
  <c r="D52" i="12"/>
  <c r="E52" i="12"/>
  <c r="F52" i="12"/>
  <c r="G52" i="12"/>
  <c r="H52" i="12"/>
  <c r="I52" i="12"/>
  <c r="J52" i="12"/>
  <c r="K52" i="12"/>
  <c r="L52" i="12"/>
  <c r="M52" i="12"/>
  <c r="N52" i="12"/>
  <c r="D27" i="12"/>
  <c r="E27" i="12"/>
  <c r="F27" i="12"/>
  <c r="G27" i="12"/>
  <c r="H27" i="12"/>
  <c r="I27" i="12"/>
  <c r="J27" i="12"/>
  <c r="K27" i="12"/>
  <c r="L27" i="12"/>
  <c r="M27" i="12"/>
  <c r="N27" i="12"/>
  <c r="D25" i="12"/>
  <c r="E25" i="12"/>
  <c r="F25" i="12"/>
  <c r="G25" i="12"/>
  <c r="H25" i="12"/>
  <c r="I25" i="12"/>
  <c r="J25" i="12"/>
  <c r="K25" i="12"/>
  <c r="L25" i="12"/>
  <c r="M25" i="12"/>
  <c r="N25" i="12"/>
  <c r="D18" i="12"/>
  <c r="E18" i="12"/>
  <c r="F18" i="12"/>
  <c r="F29" i="12" s="1"/>
  <c r="G18" i="12"/>
  <c r="H18" i="12"/>
  <c r="I18" i="12"/>
  <c r="J18" i="12"/>
  <c r="K18" i="12"/>
  <c r="L18" i="12"/>
  <c r="M18" i="12"/>
  <c r="M29" i="12" s="1"/>
  <c r="N18" i="12"/>
  <c r="N29" i="12" s="1"/>
  <c r="D14" i="12"/>
  <c r="E14" i="12"/>
  <c r="F14" i="12"/>
  <c r="G14" i="12"/>
  <c r="H14" i="12"/>
  <c r="I14" i="12"/>
  <c r="J14" i="12"/>
  <c r="K14" i="12"/>
  <c r="L14" i="12"/>
  <c r="M14" i="12"/>
  <c r="N14" i="12"/>
  <c r="C48" i="14"/>
  <c r="C36" i="14"/>
  <c r="C59" i="14" s="1"/>
  <c r="D79" i="9"/>
  <c r="E79" i="9"/>
  <c r="F79" i="9"/>
  <c r="G79" i="9"/>
  <c r="H79" i="9"/>
  <c r="I79" i="9"/>
  <c r="J79" i="9"/>
  <c r="K79" i="9"/>
  <c r="L79" i="9"/>
  <c r="M79" i="9"/>
  <c r="N79" i="9"/>
  <c r="D75" i="9"/>
  <c r="E75" i="9"/>
  <c r="F75" i="9"/>
  <c r="G75" i="9"/>
  <c r="H75" i="9"/>
  <c r="I75" i="9"/>
  <c r="J75" i="9"/>
  <c r="K75" i="9"/>
  <c r="L75" i="9"/>
  <c r="M75" i="9"/>
  <c r="N75" i="9"/>
  <c r="C75" i="9"/>
  <c r="D70" i="9"/>
  <c r="E70" i="9"/>
  <c r="F70" i="9"/>
  <c r="G70" i="9"/>
  <c r="H70" i="9"/>
  <c r="I70" i="9"/>
  <c r="J70" i="9"/>
  <c r="K70" i="9"/>
  <c r="L70" i="9"/>
  <c r="M70" i="9"/>
  <c r="N70" i="9"/>
  <c r="N65" i="9"/>
  <c r="N57" i="9"/>
  <c r="N54" i="9"/>
  <c r="N48" i="9"/>
  <c r="N43" i="9"/>
  <c r="N40" i="9"/>
  <c r="N34" i="9"/>
  <c r="D28" i="9"/>
  <c r="E28" i="9"/>
  <c r="F28" i="9"/>
  <c r="G28" i="9"/>
  <c r="H28" i="9"/>
  <c r="I28" i="9"/>
  <c r="J28" i="9"/>
  <c r="K28" i="9"/>
  <c r="L28" i="9"/>
  <c r="M28" i="9"/>
  <c r="N28" i="9"/>
  <c r="C28" i="9"/>
  <c r="D26" i="9"/>
  <c r="E26" i="9"/>
  <c r="F26" i="9"/>
  <c r="G26" i="9"/>
  <c r="H26" i="9"/>
  <c r="I26" i="9"/>
  <c r="J26" i="9"/>
  <c r="K26" i="9"/>
  <c r="L26" i="9"/>
  <c r="M26" i="9"/>
  <c r="N26" i="9"/>
  <c r="C26" i="9"/>
  <c r="D20" i="9"/>
  <c r="E20" i="9"/>
  <c r="E30" i="9" s="1"/>
  <c r="F20" i="9"/>
  <c r="F30" i="9" s="1"/>
  <c r="G20" i="9"/>
  <c r="G30" i="9" s="1"/>
  <c r="H20" i="9"/>
  <c r="H30" i="9" s="1"/>
  <c r="I20" i="9"/>
  <c r="I30" i="9" s="1"/>
  <c r="J20" i="9"/>
  <c r="J30" i="9" s="1"/>
  <c r="K20" i="9"/>
  <c r="K30" i="9" s="1"/>
  <c r="L20" i="9"/>
  <c r="M20" i="9"/>
  <c r="M30" i="9" s="1"/>
  <c r="N20" i="9"/>
  <c r="N30" i="9" s="1"/>
  <c r="C20" i="9"/>
  <c r="D16" i="9"/>
  <c r="E16" i="9"/>
  <c r="F16" i="9"/>
  <c r="G16" i="9"/>
  <c r="H16" i="9"/>
  <c r="I16" i="9"/>
  <c r="J16" i="9"/>
  <c r="K16" i="9"/>
  <c r="L16" i="9"/>
  <c r="M16" i="9"/>
  <c r="N16" i="9"/>
  <c r="C16" i="9"/>
  <c r="C135" i="8"/>
  <c r="D130" i="8"/>
  <c r="E130" i="8"/>
  <c r="F130" i="8"/>
  <c r="G130" i="8"/>
  <c r="H130" i="8"/>
  <c r="I130" i="8"/>
  <c r="D128" i="8"/>
  <c r="E128" i="8"/>
  <c r="F128" i="8"/>
  <c r="G128" i="8"/>
  <c r="H128" i="8"/>
  <c r="I128" i="8"/>
  <c r="J128" i="8"/>
  <c r="J133" i="8" s="1"/>
  <c r="K128" i="8"/>
  <c r="K133" i="8" s="1"/>
  <c r="L128" i="8"/>
  <c r="L133" i="8" s="1"/>
  <c r="M128" i="8"/>
  <c r="M133" i="8" s="1"/>
  <c r="N128" i="8"/>
  <c r="N133" i="8" s="1"/>
  <c r="D116" i="8"/>
  <c r="E116" i="8"/>
  <c r="F116" i="8"/>
  <c r="G116" i="8"/>
  <c r="H116" i="8"/>
  <c r="I116" i="8"/>
  <c r="C116" i="8"/>
  <c r="C111" i="6"/>
  <c r="N97" i="8"/>
  <c r="N83" i="8"/>
  <c r="N75" i="8"/>
  <c r="N67" i="8"/>
  <c r="N63" i="8"/>
  <c r="D28" i="8"/>
  <c r="E28" i="8"/>
  <c r="F28" i="8"/>
  <c r="G28" i="8"/>
  <c r="H28" i="8"/>
  <c r="I28" i="8"/>
  <c r="J28" i="8"/>
  <c r="K28" i="8"/>
  <c r="L28" i="8"/>
  <c r="M28" i="8"/>
  <c r="N28" i="8"/>
  <c r="D38" i="5"/>
  <c r="E38" i="5"/>
  <c r="F38" i="5"/>
  <c r="G38" i="5"/>
  <c r="H38" i="5"/>
  <c r="I38" i="5"/>
  <c r="J38" i="5"/>
  <c r="K38" i="5"/>
  <c r="L38" i="5"/>
  <c r="M38" i="5"/>
  <c r="N38" i="5"/>
  <c r="C38" i="5"/>
  <c r="D17" i="4"/>
  <c r="E17" i="4"/>
  <c r="E24" i="4" s="1"/>
  <c r="F17" i="4"/>
  <c r="G17" i="4"/>
  <c r="G24" i="4" s="1"/>
  <c r="H17" i="4"/>
  <c r="I17" i="4"/>
  <c r="J17" i="4"/>
  <c r="K17" i="4"/>
  <c r="L17" i="4"/>
  <c r="L24" i="4" s="1"/>
  <c r="M17" i="4"/>
  <c r="N17" i="4"/>
  <c r="C71" i="3"/>
  <c r="D66" i="3"/>
  <c r="E66" i="3"/>
  <c r="F66" i="3"/>
  <c r="G66" i="3"/>
  <c r="H66" i="3"/>
  <c r="I66" i="3"/>
  <c r="J66" i="3"/>
  <c r="K66" i="3"/>
  <c r="L66" i="3"/>
  <c r="M66" i="3"/>
  <c r="N66" i="3"/>
  <c r="C66" i="3"/>
  <c r="D59" i="3"/>
  <c r="E59" i="3"/>
  <c r="F59" i="3"/>
  <c r="G59" i="3"/>
  <c r="H59" i="3"/>
  <c r="I59" i="3"/>
  <c r="J59" i="3"/>
  <c r="K59" i="3"/>
  <c r="L59" i="3"/>
  <c r="M59" i="3"/>
  <c r="N59" i="3"/>
  <c r="D54" i="3"/>
  <c r="E54" i="3"/>
  <c r="F54" i="3"/>
  <c r="G54" i="3"/>
  <c r="H54" i="3"/>
  <c r="I54" i="3"/>
  <c r="J54" i="3"/>
  <c r="K54" i="3"/>
  <c r="L54" i="3"/>
  <c r="M54" i="3"/>
  <c r="N54" i="3"/>
  <c r="D50" i="3"/>
  <c r="E50" i="3"/>
  <c r="F50" i="3"/>
  <c r="G50" i="3"/>
  <c r="H50" i="3"/>
  <c r="I50" i="3"/>
  <c r="J50" i="3"/>
  <c r="K50" i="3"/>
  <c r="L50" i="3"/>
  <c r="M50" i="3"/>
  <c r="N50" i="3"/>
  <c r="C50" i="3"/>
  <c r="D43" i="3"/>
  <c r="E43" i="3"/>
  <c r="F43" i="3"/>
  <c r="G43" i="3"/>
  <c r="H43" i="3"/>
  <c r="I43" i="3"/>
  <c r="J43" i="3"/>
  <c r="K43" i="3"/>
  <c r="L43" i="3"/>
  <c r="M43" i="3"/>
  <c r="N43" i="3"/>
  <c r="D40" i="3"/>
  <c r="E40" i="3"/>
  <c r="F40" i="3"/>
  <c r="G40" i="3"/>
  <c r="H40" i="3"/>
  <c r="I40" i="3"/>
  <c r="J40" i="3"/>
  <c r="K40" i="3"/>
  <c r="L40" i="3"/>
  <c r="M40" i="3"/>
  <c r="N40" i="3"/>
  <c r="C40" i="3"/>
  <c r="D37" i="3"/>
  <c r="E37" i="3"/>
  <c r="F37" i="3"/>
  <c r="G37" i="3"/>
  <c r="H37" i="3"/>
  <c r="I37" i="3"/>
  <c r="J37" i="3"/>
  <c r="K37" i="3"/>
  <c r="L37" i="3"/>
  <c r="M37" i="3"/>
  <c r="N37" i="3"/>
  <c r="D97" i="2"/>
  <c r="E97" i="2"/>
  <c r="E100" i="2" s="1"/>
  <c r="F97" i="2"/>
  <c r="F100" i="2" s="1"/>
  <c r="G97" i="2"/>
  <c r="H97" i="2"/>
  <c r="I97" i="2"/>
  <c r="C97" i="2"/>
  <c r="D83" i="2"/>
  <c r="E83" i="2"/>
  <c r="F83" i="2"/>
  <c r="G83" i="2"/>
  <c r="G100" i="2" s="1"/>
  <c r="H83" i="2"/>
  <c r="I83" i="2"/>
  <c r="J83" i="2"/>
  <c r="K83" i="2"/>
  <c r="L83" i="2"/>
  <c r="M83" i="2"/>
  <c r="N83" i="2"/>
  <c r="D67" i="2"/>
  <c r="E67" i="2"/>
  <c r="F67" i="2"/>
  <c r="G67" i="2"/>
  <c r="H67" i="2"/>
  <c r="I67" i="2"/>
  <c r="N56" i="2"/>
  <c r="N54" i="2"/>
  <c r="D31" i="2"/>
  <c r="D31" i="1" s="1"/>
  <c r="E31" i="2"/>
  <c r="E31" i="1" s="1"/>
  <c r="F31" i="2"/>
  <c r="G31" i="2"/>
  <c r="H31" i="2"/>
  <c r="I31" i="2"/>
  <c r="J31" i="2"/>
  <c r="K31" i="2"/>
  <c r="L31" i="2"/>
  <c r="L31" i="1" s="1"/>
  <c r="M31" i="2"/>
  <c r="M31" i="1" s="1"/>
  <c r="N31" i="2"/>
  <c r="D29" i="2"/>
  <c r="E29" i="2"/>
  <c r="F29" i="2"/>
  <c r="G29" i="2"/>
  <c r="H29" i="2"/>
  <c r="I29" i="2"/>
  <c r="J29" i="2"/>
  <c r="K29" i="2"/>
  <c r="L29" i="2"/>
  <c r="M29" i="2"/>
  <c r="N29" i="2"/>
  <c r="D20" i="2"/>
  <c r="D33" i="2" s="1"/>
  <c r="E20" i="2"/>
  <c r="F20" i="2"/>
  <c r="F33" i="2" s="1"/>
  <c r="G20" i="2"/>
  <c r="G33" i="2" s="1"/>
  <c r="H20" i="2"/>
  <c r="H33" i="2" s="1"/>
  <c r="I20" i="2"/>
  <c r="N16" i="2"/>
  <c r="I13" i="6"/>
  <c r="H13" i="6"/>
  <c r="D19" i="3"/>
  <c r="E19" i="3"/>
  <c r="F19" i="3"/>
  <c r="G19" i="3"/>
  <c r="H19" i="3"/>
  <c r="I19" i="3"/>
  <c r="J19" i="3"/>
  <c r="K19" i="3"/>
  <c r="L19" i="3"/>
  <c r="M19" i="3"/>
  <c r="N19" i="3"/>
  <c r="C19" i="3"/>
  <c r="I101" i="19"/>
  <c r="H101" i="19"/>
  <c r="G101" i="19"/>
  <c r="F101" i="19"/>
  <c r="E101" i="19"/>
  <c r="D101" i="19"/>
  <c r="C101" i="19"/>
  <c r="I100" i="19"/>
  <c r="H100" i="19"/>
  <c r="G100" i="19"/>
  <c r="F100" i="19"/>
  <c r="E100" i="19"/>
  <c r="D100" i="19"/>
  <c r="C100" i="19"/>
  <c r="I99" i="19"/>
  <c r="H99" i="19"/>
  <c r="G99" i="19"/>
  <c r="F99" i="19"/>
  <c r="E99" i="19"/>
  <c r="D99" i="19"/>
  <c r="C99" i="19"/>
  <c r="I98" i="19"/>
  <c r="H98" i="19"/>
  <c r="G98" i="19"/>
  <c r="F98" i="19"/>
  <c r="E98" i="19"/>
  <c r="D98" i="19"/>
  <c r="C98" i="19"/>
  <c r="I97" i="19"/>
  <c r="H97" i="19"/>
  <c r="G97" i="19"/>
  <c r="F97" i="19"/>
  <c r="E97" i="19"/>
  <c r="D97" i="19"/>
  <c r="C97" i="19"/>
  <c r="C78" i="19"/>
  <c r="D78" i="19"/>
  <c r="E78" i="19"/>
  <c r="F78" i="19"/>
  <c r="G78" i="19"/>
  <c r="H78" i="19"/>
  <c r="I78" i="19"/>
  <c r="C79" i="19"/>
  <c r="D79" i="19"/>
  <c r="E79" i="19"/>
  <c r="F79" i="19"/>
  <c r="G79" i="19"/>
  <c r="H79" i="19"/>
  <c r="I79" i="19"/>
  <c r="C80" i="19"/>
  <c r="D80" i="19"/>
  <c r="E80" i="19"/>
  <c r="F80" i="19"/>
  <c r="G80" i="19"/>
  <c r="H80" i="19"/>
  <c r="I80" i="19"/>
  <c r="C81" i="19"/>
  <c r="D81" i="19"/>
  <c r="E81" i="19"/>
  <c r="F81" i="19"/>
  <c r="G81" i="19"/>
  <c r="H81" i="19"/>
  <c r="I81" i="19"/>
  <c r="C82" i="19"/>
  <c r="D82" i="19"/>
  <c r="E82" i="19"/>
  <c r="F82" i="19"/>
  <c r="G82" i="19"/>
  <c r="H82" i="19"/>
  <c r="I82" i="19"/>
  <c r="C83" i="19"/>
  <c r="D83" i="19"/>
  <c r="E83" i="19"/>
  <c r="F83" i="19"/>
  <c r="G83" i="19"/>
  <c r="H83" i="19"/>
  <c r="I83" i="19"/>
  <c r="C85" i="19"/>
  <c r="D85" i="19"/>
  <c r="E85" i="19"/>
  <c r="F85" i="19"/>
  <c r="G85" i="19"/>
  <c r="H85" i="19"/>
  <c r="I85" i="19"/>
  <c r="C86" i="19"/>
  <c r="D86" i="19"/>
  <c r="E86" i="19"/>
  <c r="F86" i="19"/>
  <c r="G86" i="19"/>
  <c r="H86" i="19"/>
  <c r="I86" i="19"/>
  <c r="C87" i="19"/>
  <c r="D87" i="19"/>
  <c r="E87" i="19"/>
  <c r="F87" i="19"/>
  <c r="G87" i="19"/>
  <c r="H87" i="19"/>
  <c r="I87" i="19"/>
  <c r="C88" i="19"/>
  <c r="D88" i="19"/>
  <c r="E88" i="19"/>
  <c r="F88" i="19"/>
  <c r="G88" i="19"/>
  <c r="H88" i="19"/>
  <c r="I88" i="19"/>
  <c r="C89" i="19"/>
  <c r="D89" i="19"/>
  <c r="E89" i="19"/>
  <c r="F89" i="19"/>
  <c r="G89" i="19"/>
  <c r="H89" i="19"/>
  <c r="I89" i="19"/>
  <c r="C90" i="19"/>
  <c r="D90" i="19"/>
  <c r="E90" i="19"/>
  <c r="F90" i="19"/>
  <c r="G90" i="19"/>
  <c r="H90" i="19"/>
  <c r="I90" i="19"/>
  <c r="C92" i="19"/>
  <c r="D92" i="19"/>
  <c r="E92" i="19"/>
  <c r="F92" i="19"/>
  <c r="G92" i="19"/>
  <c r="H92" i="19"/>
  <c r="I92" i="19"/>
  <c r="C93" i="19"/>
  <c r="D93" i="19"/>
  <c r="E93" i="19"/>
  <c r="F93" i="19"/>
  <c r="G93" i="19"/>
  <c r="H93" i="19"/>
  <c r="I93" i="19"/>
  <c r="C69" i="19"/>
  <c r="D69" i="19"/>
  <c r="E69" i="19"/>
  <c r="F69" i="19"/>
  <c r="G69" i="19"/>
  <c r="H69" i="19"/>
  <c r="I69" i="19"/>
  <c r="C70" i="19"/>
  <c r="D70" i="19"/>
  <c r="E70" i="19"/>
  <c r="F70" i="19"/>
  <c r="G70" i="19"/>
  <c r="H70" i="19"/>
  <c r="I70" i="19"/>
  <c r="C71" i="19"/>
  <c r="D71" i="19"/>
  <c r="E71" i="19"/>
  <c r="F71" i="19"/>
  <c r="G71" i="19"/>
  <c r="H71" i="19"/>
  <c r="I71" i="19"/>
  <c r="C72" i="19"/>
  <c r="D72" i="19"/>
  <c r="E72" i="19"/>
  <c r="F72" i="19"/>
  <c r="G72" i="19"/>
  <c r="H72" i="19"/>
  <c r="I72" i="19"/>
  <c r="C74" i="19"/>
  <c r="C73" i="19" s="1"/>
  <c r="D74" i="19"/>
  <c r="D73" i="19" s="1"/>
  <c r="E74" i="19"/>
  <c r="E73" i="19" s="1"/>
  <c r="F74" i="19"/>
  <c r="F73" i="19" s="1"/>
  <c r="G74" i="19"/>
  <c r="G73" i="19" s="1"/>
  <c r="H74" i="19"/>
  <c r="H73" i="19" s="1"/>
  <c r="I74" i="19"/>
  <c r="I73" i="19" s="1"/>
  <c r="C55" i="19"/>
  <c r="D55" i="19"/>
  <c r="E55" i="19"/>
  <c r="F55" i="19"/>
  <c r="G55" i="19"/>
  <c r="H55" i="19"/>
  <c r="I55" i="19"/>
  <c r="C56" i="19"/>
  <c r="D56" i="19"/>
  <c r="E56" i="19"/>
  <c r="F56" i="19"/>
  <c r="G56" i="19"/>
  <c r="H56" i="19"/>
  <c r="I56" i="19"/>
  <c r="C57" i="19"/>
  <c r="D57" i="19"/>
  <c r="E57" i="19"/>
  <c r="F57" i="19"/>
  <c r="G57" i="19"/>
  <c r="H57" i="19"/>
  <c r="I57" i="19"/>
  <c r="C59" i="19"/>
  <c r="D59" i="19"/>
  <c r="E59" i="19"/>
  <c r="F59" i="19"/>
  <c r="G59" i="19"/>
  <c r="H59" i="19"/>
  <c r="I59" i="19"/>
  <c r="C60" i="19"/>
  <c r="D60" i="19"/>
  <c r="E60" i="19"/>
  <c r="F60" i="19"/>
  <c r="G60" i="19"/>
  <c r="H60" i="19"/>
  <c r="I60" i="19"/>
  <c r="C61" i="19"/>
  <c r="D61" i="19"/>
  <c r="E61" i="19"/>
  <c r="F61" i="19"/>
  <c r="G61" i="19"/>
  <c r="H61" i="19"/>
  <c r="I61" i="19"/>
  <c r="C62" i="19"/>
  <c r="D62" i="19"/>
  <c r="E62" i="19"/>
  <c r="F62" i="19"/>
  <c r="G62" i="19"/>
  <c r="H62" i="19"/>
  <c r="I62" i="19"/>
  <c r="C63" i="19"/>
  <c r="D63" i="19"/>
  <c r="E63" i="19"/>
  <c r="F63" i="19"/>
  <c r="G63" i="19"/>
  <c r="H63" i="19"/>
  <c r="I63" i="19"/>
  <c r="C64" i="19"/>
  <c r="D64" i="19"/>
  <c r="E64" i="19"/>
  <c r="F64" i="19"/>
  <c r="G64" i="19"/>
  <c r="H64" i="19"/>
  <c r="I64" i="19"/>
  <c r="C66" i="19"/>
  <c r="D66" i="19"/>
  <c r="E66" i="19"/>
  <c r="F66" i="19"/>
  <c r="G66" i="19"/>
  <c r="H66" i="19"/>
  <c r="I66" i="19"/>
  <c r="C67" i="19"/>
  <c r="D67" i="19"/>
  <c r="E67" i="19"/>
  <c r="F67" i="19"/>
  <c r="G67" i="19"/>
  <c r="H67" i="19"/>
  <c r="I67" i="19"/>
  <c r="C68" i="19"/>
  <c r="D68" i="19"/>
  <c r="E68" i="19"/>
  <c r="F68" i="19"/>
  <c r="G68" i="19"/>
  <c r="H68" i="19"/>
  <c r="I68" i="19"/>
  <c r="C32" i="19"/>
  <c r="D32" i="19"/>
  <c r="E32" i="19"/>
  <c r="F32" i="19"/>
  <c r="G32" i="19"/>
  <c r="H32" i="19"/>
  <c r="I32" i="19"/>
  <c r="C33" i="19"/>
  <c r="D33" i="19"/>
  <c r="E33" i="19"/>
  <c r="F33" i="19"/>
  <c r="G33" i="19"/>
  <c r="H33" i="19"/>
  <c r="I33" i="19"/>
  <c r="C34" i="19"/>
  <c r="D34" i="19"/>
  <c r="E34" i="19"/>
  <c r="F34" i="19"/>
  <c r="G34" i="19"/>
  <c r="H34" i="19"/>
  <c r="I34" i="19"/>
  <c r="C35" i="19"/>
  <c r="D35" i="19"/>
  <c r="E35" i="19"/>
  <c r="F35" i="19"/>
  <c r="G35" i="19"/>
  <c r="H35" i="19"/>
  <c r="I35" i="19"/>
  <c r="C36" i="19"/>
  <c r="D36" i="19"/>
  <c r="E36" i="19"/>
  <c r="F36" i="19"/>
  <c r="G36" i="19"/>
  <c r="H36" i="19"/>
  <c r="I36" i="19"/>
  <c r="C37" i="19"/>
  <c r="D37" i="19"/>
  <c r="E37" i="19"/>
  <c r="F37" i="19"/>
  <c r="G37" i="19"/>
  <c r="H37" i="19"/>
  <c r="I37" i="19"/>
  <c r="C38" i="19"/>
  <c r="D38" i="19"/>
  <c r="E38" i="19"/>
  <c r="F38" i="19"/>
  <c r="G38" i="19"/>
  <c r="H38" i="19"/>
  <c r="I38" i="19"/>
  <c r="C39" i="19"/>
  <c r="D39" i="19"/>
  <c r="E39" i="19"/>
  <c r="F39" i="19"/>
  <c r="G39" i="19"/>
  <c r="H39" i="19"/>
  <c r="I39" i="19"/>
  <c r="C40" i="19"/>
  <c r="D40" i="19"/>
  <c r="E40" i="19"/>
  <c r="F40" i="19"/>
  <c r="G40" i="19"/>
  <c r="H40" i="19"/>
  <c r="I40" i="19"/>
  <c r="C41" i="19"/>
  <c r="D41" i="19"/>
  <c r="E41" i="19"/>
  <c r="F41" i="19"/>
  <c r="G41" i="19"/>
  <c r="H41" i="19"/>
  <c r="I41" i="19"/>
  <c r="C42" i="19"/>
  <c r="D42" i="19"/>
  <c r="E42" i="19"/>
  <c r="F42" i="19"/>
  <c r="G42" i="19"/>
  <c r="H42" i="19"/>
  <c r="I42" i="19"/>
  <c r="C43" i="19"/>
  <c r="D43" i="19"/>
  <c r="E43" i="19"/>
  <c r="F43" i="19"/>
  <c r="G43" i="19"/>
  <c r="H43" i="19"/>
  <c r="I43" i="19"/>
  <c r="C44" i="19"/>
  <c r="D44" i="19"/>
  <c r="E44" i="19"/>
  <c r="F44" i="19"/>
  <c r="G44" i="19"/>
  <c r="H44" i="19"/>
  <c r="I44" i="19"/>
  <c r="C45" i="19"/>
  <c r="D45" i="19"/>
  <c r="E45" i="19"/>
  <c r="F45" i="19"/>
  <c r="G45" i="19"/>
  <c r="H45" i="19"/>
  <c r="I45" i="19"/>
  <c r="C46" i="19"/>
  <c r="D46" i="19"/>
  <c r="E46" i="19"/>
  <c r="F46" i="19"/>
  <c r="G46" i="19"/>
  <c r="H46" i="19"/>
  <c r="I46" i="19"/>
  <c r="C48" i="19"/>
  <c r="D48" i="19"/>
  <c r="E48" i="19"/>
  <c r="F48" i="19"/>
  <c r="G48" i="19"/>
  <c r="H48" i="19"/>
  <c r="I48" i="19"/>
  <c r="C49" i="19"/>
  <c r="D49" i="19"/>
  <c r="E49" i="19"/>
  <c r="F49" i="19"/>
  <c r="G49" i="19"/>
  <c r="H49" i="19"/>
  <c r="I49" i="19"/>
  <c r="C50" i="19"/>
  <c r="D50" i="19"/>
  <c r="E50" i="19"/>
  <c r="F50" i="19"/>
  <c r="G50" i="19"/>
  <c r="H50" i="19"/>
  <c r="I50" i="19"/>
  <c r="C52" i="19"/>
  <c r="D52" i="19"/>
  <c r="E52" i="19"/>
  <c r="F52" i="19"/>
  <c r="G52" i="19"/>
  <c r="H52" i="19"/>
  <c r="I52" i="19"/>
  <c r="C53" i="19"/>
  <c r="D53" i="19"/>
  <c r="E53" i="19"/>
  <c r="F53" i="19"/>
  <c r="G53" i="19"/>
  <c r="H53" i="19"/>
  <c r="I53" i="19"/>
  <c r="C19" i="19"/>
  <c r="D19" i="19"/>
  <c r="E19" i="19"/>
  <c r="F19" i="19"/>
  <c r="G19" i="19"/>
  <c r="H19" i="19"/>
  <c r="I19" i="19"/>
  <c r="C21" i="19"/>
  <c r="D21" i="19"/>
  <c r="E21" i="19"/>
  <c r="F21" i="19"/>
  <c r="G21" i="19"/>
  <c r="H21" i="19"/>
  <c r="I21" i="19"/>
  <c r="C22" i="19"/>
  <c r="D22" i="19"/>
  <c r="E22" i="19"/>
  <c r="F22" i="19"/>
  <c r="G22" i="19"/>
  <c r="H22" i="19"/>
  <c r="I22" i="19"/>
  <c r="C23" i="19"/>
  <c r="D23" i="19"/>
  <c r="E23" i="19"/>
  <c r="F23" i="19"/>
  <c r="G23" i="19"/>
  <c r="H23" i="19"/>
  <c r="I23" i="19"/>
  <c r="C25" i="19"/>
  <c r="C24" i="19" s="1"/>
  <c r="D25" i="19"/>
  <c r="D24" i="19" s="1"/>
  <c r="E25" i="19"/>
  <c r="E24" i="19" s="1"/>
  <c r="F25" i="19"/>
  <c r="F24" i="19" s="1"/>
  <c r="G25" i="19"/>
  <c r="G24" i="19" s="1"/>
  <c r="H25" i="19"/>
  <c r="H24" i="19" s="1"/>
  <c r="I25" i="19"/>
  <c r="I24" i="19" s="1"/>
  <c r="C27" i="19"/>
  <c r="C26" i="19" s="1"/>
  <c r="D27" i="19"/>
  <c r="D26" i="19" s="1"/>
  <c r="E27" i="19"/>
  <c r="E26" i="19" s="1"/>
  <c r="F27" i="19"/>
  <c r="F26" i="19" s="1"/>
  <c r="G27" i="19"/>
  <c r="G26" i="19" s="1"/>
  <c r="H27" i="19"/>
  <c r="H26" i="19" s="1"/>
  <c r="I27" i="19"/>
  <c r="I26" i="19" s="1"/>
  <c r="C8" i="19"/>
  <c r="D8" i="19"/>
  <c r="E8" i="19"/>
  <c r="F8" i="19"/>
  <c r="G8" i="19"/>
  <c r="H8" i="19"/>
  <c r="I8" i="19"/>
  <c r="C9" i="19"/>
  <c r="D9" i="19"/>
  <c r="E9" i="19"/>
  <c r="F9" i="19"/>
  <c r="G9" i="19"/>
  <c r="H9" i="19"/>
  <c r="I9" i="19"/>
  <c r="C11" i="19"/>
  <c r="D11" i="19"/>
  <c r="E11" i="19"/>
  <c r="F11" i="19"/>
  <c r="G11" i="19"/>
  <c r="H11" i="19"/>
  <c r="I11" i="19"/>
  <c r="C12" i="19"/>
  <c r="D12" i="19"/>
  <c r="E12" i="19"/>
  <c r="F12" i="19"/>
  <c r="G12" i="19"/>
  <c r="H12" i="19"/>
  <c r="I12" i="19"/>
  <c r="C13" i="19"/>
  <c r="D13" i="19"/>
  <c r="E13" i="19"/>
  <c r="F13" i="19"/>
  <c r="G13" i="19"/>
  <c r="H13" i="19"/>
  <c r="I13" i="19"/>
  <c r="C15" i="19"/>
  <c r="C14" i="19" s="1"/>
  <c r="D15" i="19"/>
  <c r="D14" i="19" s="1"/>
  <c r="E15" i="19"/>
  <c r="E14" i="19" s="1"/>
  <c r="F15" i="19"/>
  <c r="F14" i="19" s="1"/>
  <c r="G15" i="19"/>
  <c r="G14" i="19" s="1"/>
  <c r="H15" i="19"/>
  <c r="H14" i="19" s="1"/>
  <c r="I15" i="19"/>
  <c r="I14" i="19" s="1"/>
  <c r="C16" i="19"/>
  <c r="D16" i="19"/>
  <c r="E16" i="19"/>
  <c r="F16" i="19"/>
  <c r="G16" i="19"/>
  <c r="H16" i="19"/>
  <c r="I16" i="19"/>
  <c r="I127" i="18"/>
  <c r="H127" i="18"/>
  <c r="G127" i="18"/>
  <c r="F127" i="18"/>
  <c r="E127" i="18"/>
  <c r="D127" i="18"/>
  <c r="C127" i="18"/>
  <c r="I126" i="18"/>
  <c r="H126" i="18"/>
  <c r="G126" i="18"/>
  <c r="F126" i="18"/>
  <c r="E126" i="18"/>
  <c r="D126" i="18"/>
  <c r="C126" i="18"/>
  <c r="I125" i="18"/>
  <c r="H125" i="18"/>
  <c r="G125" i="18"/>
  <c r="F125" i="18"/>
  <c r="E125" i="18"/>
  <c r="D125" i="18"/>
  <c r="C125" i="18"/>
  <c r="I124" i="18"/>
  <c r="H124" i="18"/>
  <c r="G124" i="18"/>
  <c r="F124" i="18"/>
  <c r="E124" i="18"/>
  <c r="D124" i="18"/>
  <c r="C124" i="18"/>
  <c r="I123" i="18"/>
  <c r="H123" i="18"/>
  <c r="G123" i="18"/>
  <c r="F123" i="18"/>
  <c r="E123" i="18"/>
  <c r="D123" i="18"/>
  <c r="C123" i="18"/>
  <c r="C103" i="18"/>
  <c r="D103" i="18"/>
  <c r="E103" i="18"/>
  <c r="F103" i="18"/>
  <c r="G103" i="18"/>
  <c r="H103" i="18"/>
  <c r="I103" i="18"/>
  <c r="C104" i="18"/>
  <c r="D104" i="18"/>
  <c r="E104" i="18"/>
  <c r="F104" i="18"/>
  <c r="G104" i="18"/>
  <c r="H104" i="18"/>
  <c r="I104" i="18"/>
  <c r="C105" i="18"/>
  <c r="D105" i="18"/>
  <c r="E105" i="18"/>
  <c r="F105" i="18"/>
  <c r="G105" i="18"/>
  <c r="H105" i="18"/>
  <c r="I105" i="18"/>
  <c r="C106" i="18"/>
  <c r="D106" i="18"/>
  <c r="E106" i="18"/>
  <c r="F106" i="18"/>
  <c r="G106" i="18"/>
  <c r="H106" i="18"/>
  <c r="I106" i="18"/>
  <c r="C107" i="18"/>
  <c r="D107" i="18"/>
  <c r="E107" i="18"/>
  <c r="F107" i="18"/>
  <c r="G107" i="18"/>
  <c r="H107" i="18"/>
  <c r="I107" i="18"/>
  <c r="C108" i="18"/>
  <c r="D108" i="18"/>
  <c r="E108" i="18"/>
  <c r="F108" i="18"/>
  <c r="G108" i="18"/>
  <c r="H108" i="18"/>
  <c r="I108" i="18"/>
  <c r="C109" i="18"/>
  <c r="D109" i="18"/>
  <c r="E109" i="18"/>
  <c r="F109" i="18"/>
  <c r="G109" i="18"/>
  <c r="H109" i="18"/>
  <c r="I109" i="18"/>
  <c r="C110" i="18"/>
  <c r="D110" i="18"/>
  <c r="E110" i="18"/>
  <c r="F110" i="18"/>
  <c r="G110" i="18"/>
  <c r="H110" i="18"/>
  <c r="I110" i="18"/>
  <c r="C111" i="18"/>
  <c r="D111" i="18"/>
  <c r="E111" i="18"/>
  <c r="F111" i="18"/>
  <c r="G111" i="18"/>
  <c r="H111" i="18"/>
  <c r="I111" i="18"/>
  <c r="C112" i="18"/>
  <c r="D112" i="18"/>
  <c r="E112" i="18"/>
  <c r="F112" i="18"/>
  <c r="G112" i="18"/>
  <c r="H112" i="18"/>
  <c r="I112" i="18"/>
  <c r="C113" i="18"/>
  <c r="D113" i="18"/>
  <c r="E113" i="18"/>
  <c r="F113" i="18"/>
  <c r="G113" i="18"/>
  <c r="H113" i="18"/>
  <c r="I113" i="18"/>
  <c r="C114" i="18"/>
  <c r="D114" i="18"/>
  <c r="E114" i="18"/>
  <c r="F114" i="18"/>
  <c r="G114" i="18"/>
  <c r="H114" i="18"/>
  <c r="I114" i="18"/>
  <c r="C115" i="18"/>
  <c r="D115" i="18"/>
  <c r="E115" i="18"/>
  <c r="F115" i="18"/>
  <c r="G115" i="18"/>
  <c r="H115" i="18"/>
  <c r="I115" i="18"/>
  <c r="C116" i="18"/>
  <c r="D116" i="18"/>
  <c r="E116" i="18"/>
  <c r="F116" i="18"/>
  <c r="G116" i="18"/>
  <c r="H116" i="18"/>
  <c r="I116" i="18"/>
  <c r="C118" i="18"/>
  <c r="D118" i="18"/>
  <c r="E118" i="18"/>
  <c r="F118" i="18"/>
  <c r="G118" i="18"/>
  <c r="H118" i="18"/>
  <c r="I118" i="18"/>
  <c r="C119" i="18"/>
  <c r="D119" i="18"/>
  <c r="E119" i="18"/>
  <c r="F119" i="18"/>
  <c r="G119" i="18"/>
  <c r="H119" i="18"/>
  <c r="I119" i="18"/>
  <c r="C86" i="18"/>
  <c r="D86" i="18"/>
  <c r="E86" i="18"/>
  <c r="F86" i="18"/>
  <c r="G86" i="18"/>
  <c r="H86" i="18"/>
  <c r="I86" i="18"/>
  <c r="C87" i="18"/>
  <c r="D87" i="18"/>
  <c r="E87" i="18"/>
  <c r="F87" i="18"/>
  <c r="G87" i="18"/>
  <c r="H87" i="18"/>
  <c r="I87" i="18"/>
  <c r="C88" i="18"/>
  <c r="D88" i="18"/>
  <c r="E88" i="18"/>
  <c r="F88" i="18"/>
  <c r="G88" i="18"/>
  <c r="H88" i="18"/>
  <c r="I88" i="18"/>
  <c r="C89" i="18"/>
  <c r="D89" i="18"/>
  <c r="E89" i="18"/>
  <c r="F89" i="18"/>
  <c r="G89" i="18"/>
  <c r="H89" i="18"/>
  <c r="I89" i="18"/>
  <c r="C90" i="18"/>
  <c r="D90" i="18"/>
  <c r="E90" i="18"/>
  <c r="F90" i="18"/>
  <c r="G90" i="18"/>
  <c r="H90" i="18"/>
  <c r="I90" i="18"/>
  <c r="C91" i="18"/>
  <c r="D91" i="18"/>
  <c r="E91" i="18"/>
  <c r="F91" i="18"/>
  <c r="G91" i="18"/>
  <c r="H91" i="18"/>
  <c r="I91" i="18"/>
  <c r="C92" i="18"/>
  <c r="D92" i="18"/>
  <c r="E92" i="18"/>
  <c r="F92" i="18"/>
  <c r="G92" i="18"/>
  <c r="H92" i="18"/>
  <c r="I92" i="18"/>
  <c r="C93" i="18"/>
  <c r="D93" i="18"/>
  <c r="E93" i="18"/>
  <c r="F93" i="18"/>
  <c r="G93" i="18"/>
  <c r="H93" i="18"/>
  <c r="I93" i="18"/>
  <c r="C94" i="18"/>
  <c r="D94" i="18"/>
  <c r="E94" i="18"/>
  <c r="F94" i="18"/>
  <c r="G94" i="18"/>
  <c r="H94" i="18"/>
  <c r="I94" i="18"/>
  <c r="C95" i="18"/>
  <c r="D95" i="18"/>
  <c r="E95" i="18"/>
  <c r="F95" i="18"/>
  <c r="G95" i="18"/>
  <c r="H95" i="18"/>
  <c r="I95" i="18"/>
  <c r="C96" i="18"/>
  <c r="D96" i="18"/>
  <c r="E96" i="18"/>
  <c r="F96" i="18"/>
  <c r="G96" i="18"/>
  <c r="H96" i="18"/>
  <c r="I96" i="18"/>
  <c r="C97" i="18"/>
  <c r="D97" i="18"/>
  <c r="E97" i="18"/>
  <c r="F97" i="18"/>
  <c r="G97" i="18"/>
  <c r="H97" i="18"/>
  <c r="I97" i="18"/>
  <c r="C98" i="18"/>
  <c r="D98" i="18"/>
  <c r="E98" i="18"/>
  <c r="F98" i="18"/>
  <c r="G98" i="18"/>
  <c r="H98" i="18"/>
  <c r="I98" i="18"/>
  <c r="C99" i="18"/>
  <c r="D99" i="18"/>
  <c r="E99" i="18"/>
  <c r="F99" i="18"/>
  <c r="G99" i="18"/>
  <c r="H99" i="18"/>
  <c r="I99" i="18"/>
  <c r="C100" i="18"/>
  <c r="D100" i="18"/>
  <c r="E100" i="18"/>
  <c r="F100" i="18"/>
  <c r="G100" i="18"/>
  <c r="H100" i="18"/>
  <c r="I100" i="18"/>
  <c r="C101" i="18"/>
  <c r="D101" i="18"/>
  <c r="E101" i="18"/>
  <c r="F101" i="18"/>
  <c r="G101" i="18"/>
  <c r="H101" i="18"/>
  <c r="I101" i="18"/>
  <c r="I82" i="18"/>
  <c r="I81" i="18" s="1"/>
  <c r="H82" i="18"/>
  <c r="H81" i="18" s="1"/>
  <c r="G82" i="18"/>
  <c r="G81" i="18" s="1"/>
  <c r="F82" i="18"/>
  <c r="F81" i="18" s="1"/>
  <c r="E82" i="18"/>
  <c r="E81" i="18" s="1"/>
  <c r="D82" i="18"/>
  <c r="D81" i="18" s="1"/>
  <c r="C82" i="18"/>
  <c r="C81" i="18" s="1"/>
  <c r="I80" i="18"/>
  <c r="H80" i="18"/>
  <c r="G80" i="18"/>
  <c r="F80" i="18"/>
  <c r="E80" i="18"/>
  <c r="D80" i="18"/>
  <c r="C80" i="18"/>
  <c r="I79" i="18"/>
  <c r="H79" i="18"/>
  <c r="G79" i="18"/>
  <c r="F79" i="18"/>
  <c r="E79" i="18"/>
  <c r="D79" i="18"/>
  <c r="C79" i="18"/>
  <c r="I78" i="18"/>
  <c r="H78" i="18"/>
  <c r="G78" i="18"/>
  <c r="F78" i="18"/>
  <c r="E78" i="18"/>
  <c r="D78" i="18"/>
  <c r="C78" i="18"/>
  <c r="I77" i="18"/>
  <c r="H77" i="18"/>
  <c r="G77" i="18"/>
  <c r="F77" i="18"/>
  <c r="E77" i="18"/>
  <c r="D77" i="18"/>
  <c r="C77" i="18"/>
  <c r="I76" i="18"/>
  <c r="H76" i="18"/>
  <c r="G76" i="18"/>
  <c r="F76" i="18"/>
  <c r="E76" i="18"/>
  <c r="D76" i="18"/>
  <c r="C76" i="18"/>
  <c r="I73" i="18"/>
  <c r="H73" i="18"/>
  <c r="G73" i="18"/>
  <c r="F73" i="18"/>
  <c r="E73" i="18"/>
  <c r="D73" i="18"/>
  <c r="C73" i="18"/>
  <c r="I72" i="18"/>
  <c r="I71" i="18" s="1"/>
  <c r="H72" i="18"/>
  <c r="H71" i="18" s="1"/>
  <c r="G72" i="18"/>
  <c r="G71" i="18" s="1"/>
  <c r="F72" i="18"/>
  <c r="F71" i="18" s="1"/>
  <c r="E72" i="18"/>
  <c r="E71" i="18" s="1"/>
  <c r="D72" i="18"/>
  <c r="D71" i="18" s="1"/>
  <c r="C72" i="18"/>
  <c r="C71" i="18" s="1"/>
  <c r="I70" i="18"/>
  <c r="I69" i="18" s="1"/>
  <c r="H70" i="18"/>
  <c r="H69" i="18" s="1"/>
  <c r="G70" i="18"/>
  <c r="G69" i="18" s="1"/>
  <c r="F70" i="18"/>
  <c r="F69" i="18" s="1"/>
  <c r="E70" i="18"/>
  <c r="E69" i="18" s="1"/>
  <c r="D70" i="18"/>
  <c r="D69" i="18" s="1"/>
  <c r="C70" i="18"/>
  <c r="C69" i="18" s="1"/>
  <c r="I68" i="18"/>
  <c r="H68" i="18"/>
  <c r="G68" i="18"/>
  <c r="F68" i="18"/>
  <c r="E68" i="18"/>
  <c r="D68" i="18"/>
  <c r="C68" i="18"/>
  <c r="I67" i="18"/>
  <c r="H67" i="18"/>
  <c r="G67" i="18"/>
  <c r="F67" i="18"/>
  <c r="E67" i="18"/>
  <c r="D67" i="18"/>
  <c r="C67" i="18"/>
  <c r="I66" i="18"/>
  <c r="H66" i="18"/>
  <c r="G66" i="18"/>
  <c r="F66" i="18"/>
  <c r="E66" i="18"/>
  <c r="D66" i="18"/>
  <c r="C66" i="18"/>
  <c r="I64" i="18"/>
  <c r="H64" i="18"/>
  <c r="G64" i="18"/>
  <c r="F64" i="18"/>
  <c r="E64" i="18"/>
  <c r="D64" i="18"/>
  <c r="C64" i="18"/>
  <c r="I63" i="18"/>
  <c r="H63" i="18"/>
  <c r="G63" i="18"/>
  <c r="F63" i="18"/>
  <c r="E63" i="18"/>
  <c r="D63" i="18"/>
  <c r="C63" i="18"/>
  <c r="I61" i="18"/>
  <c r="H61" i="18"/>
  <c r="G61" i="18"/>
  <c r="F61" i="18"/>
  <c r="E61" i="18"/>
  <c r="D61" i="18"/>
  <c r="C61" i="18"/>
  <c r="I60" i="18"/>
  <c r="H60" i="18"/>
  <c r="G60" i="18"/>
  <c r="F60" i="18"/>
  <c r="E60" i="18"/>
  <c r="D60" i="18"/>
  <c r="C60" i="18"/>
  <c r="I58" i="18"/>
  <c r="H58" i="18"/>
  <c r="G58" i="18"/>
  <c r="F58" i="18"/>
  <c r="E58" i="18"/>
  <c r="D58" i="18"/>
  <c r="C58" i="18"/>
  <c r="I57" i="18"/>
  <c r="H57" i="18"/>
  <c r="G57" i="18"/>
  <c r="F57" i="18"/>
  <c r="E57" i="18"/>
  <c r="D57" i="18"/>
  <c r="C57" i="18"/>
  <c r="I56" i="18"/>
  <c r="H56" i="18"/>
  <c r="G56" i="18"/>
  <c r="F56" i="18"/>
  <c r="E56" i="18"/>
  <c r="D56" i="18"/>
  <c r="C56" i="18"/>
  <c r="I55" i="18"/>
  <c r="H55" i="18"/>
  <c r="G55" i="18"/>
  <c r="F55" i="18"/>
  <c r="E55" i="18"/>
  <c r="D55" i="18"/>
  <c r="C55" i="18"/>
  <c r="I53" i="18"/>
  <c r="H53" i="18"/>
  <c r="G53" i="18"/>
  <c r="F53" i="18"/>
  <c r="E53" i="18"/>
  <c r="D53" i="18"/>
  <c r="C53" i="18"/>
  <c r="I52" i="18"/>
  <c r="H52" i="18"/>
  <c r="G52" i="18"/>
  <c r="F52" i="18"/>
  <c r="E52" i="18"/>
  <c r="D52" i="18"/>
  <c r="C52" i="18"/>
  <c r="I51" i="18"/>
  <c r="H51" i="18"/>
  <c r="G51" i="18"/>
  <c r="F51" i="18"/>
  <c r="E51" i="18"/>
  <c r="D51" i="18"/>
  <c r="C51" i="18"/>
  <c r="I49" i="18"/>
  <c r="H49" i="18"/>
  <c r="G49" i="18"/>
  <c r="F49" i="18"/>
  <c r="E49" i="18"/>
  <c r="D49" i="18"/>
  <c r="C49" i="18"/>
  <c r="I48" i="18"/>
  <c r="H48" i="18"/>
  <c r="G48" i="18"/>
  <c r="F48" i="18"/>
  <c r="E48" i="18"/>
  <c r="D48" i="18"/>
  <c r="C48" i="18"/>
  <c r="I47" i="18"/>
  <c r="H47" i="18"/>
  <c r="G47" i="18"/>
  <c r="F47" i="18"/>
  <c r="E47" i="18"/>
  <c r="D47" i="18"/>
  <c r="C47" i="18"/>
  <c r="I46" i="18"/>
  <c r="H46" i="18"/>
  <c r="G46" i="18"/>
  <c r="F46" i="18"/>
  <c r="E46" i="18"/>
  <c r="D46" i="18"/>
  <c r="C46" i="18"/>
  <c r="I45" i="18"/>
  <c r="H45" i="18"/>
  <c r="G45" i="18"/>
  <c r="F45" i="18"/>
  <c r="E45" i="18"/>
  <c r="D45" i="18"/>
  <c r="C45" i="18"/>
  <c r="I44" i="18"/>
  <c r="H44" i="18"/>
  <c r="G44" i="18"/>
  <c r="F44" i="18"/>
  <c r="E44" i="18"/>
  <c r="D44" i="18"/>
  <c r="C44" i="18"/>
  <c r="I43" i="18"/>
  <c r="H43" i="18"/>
  <c r="G43" i="18"/>
  <c r="F43" i="18"/>
  <c r="E43" i="18"/>
  <c r="D43" i="18"/>
  <c r="C43" i="18"/>
  <c r="I42" i="18"/>
  <c r="H42" i="18"/>
  <c r="G42" i="18"/>
  <c r="F42" i="18"/>
  <c r="E42" i="18"/>
  <c r="D42" i="18"/>
  <c r="C42" i="18"/>
  <c r="I41" i="18"/>
  <c r="H41" i="18"/>
  <c r="G41" i="18"/>
  <c r="F41" i="18"/>
  <c r="E41" i="18"/>
  <c r="D41" i="18"/>
  <c r="C41" i="18"/>
  <c r="I40" i="18"/>
  <c r="H40" i="18"/>
  <c r="G40" i="18"/>
  <c r="F40" i="18"/>
  <c r="E40" i="18"/>
  <c r="D40" i="18"/>
  <c r="C40" i="18"/>
  <c r="I39" i="18"/>
  <c r="H39" i="18"/>
  <c r="G39" i="18"/>
  <c r="F39" i="18"/>
  <c r="E39" i="18"/>
  <c r="D39" i="18"/>
  <c r="C39" i="18"/>
  <c r="I38" i="18"/>
  <c r="H38" i="18"/>
  <c r="G38" i="18"/>
  <c r="F38" i="18"/>
  <c r="E38" i="18"/>
  <c r="D38" i="18"/>
  <c r="C38" i="18"/>
  <c r="I37" i="18"/>
  <c r="H37" i="18"/>
  <c r="G37" i="18"/>
  <c r="F37" i="18"/>
  <c r="E37" i="18"/>
  <c r="D37" i="18"/>
  <c r="C37" i="18"/>
  <c r="I36" i="18"/>
  <c r="H36" i="18"/>
  <c r="G36" i="18"/>
  <c r="F36" i="18"/>
  <c r="E36" i="18"/>
  <c r="D36" i="18"/>
  <c r="C36" i="18"/>
  <c r="I35" i="18"/>
  <c r="H35" i="18"/>
  <c r="G35" i="18"/>
  <c r="F35" i="18"/>
  <c r="E35" i="18"/>
  <c r="D35" i="18"/>
  <c r="C35" i="18"/>
  <c r="I29" i="18"/>
  <c r="I28" i="18" s="1"/>
  <c r="H29" i="18"/>
  <c r="H28" i="18" s="1"/>
  <c r="G29" i="18"/>
  <c r="G28" i="18" s="1"/>
  <c r="F29" i="18"/>
  <c r="F28" i="18" s="1"/>
  <c r="E29" i="18"/>
  <c r="E28" i="18" s="1"/>
  <c r="D29" i="18"/>
  <c r="D28" i="18" s="1"/>
  <c r="C29" i="18"/>
  <c r="C28" i="18" s="1"/>
  <c r="I25" i="18"/>
  <c r="H25" i="18"/>
  <c r="G25" i="18"/>
  <c r="F25" i="18"/>
  <c r="E25" i="18"/>
  <c r="D25" i="18"/>
  <c r="C25" i="18"/>
  <c r="I24" i="18"/>
  <c r="H24" i="18"/>
  <c r="G24" i="18"/>
  <c r="F24" i="18"/>
  <c r="E24" i="18"/>
  <c r="D24" i="18"/>
  <c r="C24" i="18"/>
  <c r="I23" i="18"/>
  <c r="H23" i="18"/>
  <c r="G23" i="18"/>
  <c r="F23" i="18"/>
  <c r="E23" i="18"/>
  <c r="D23" i="18"/>
  <c r="C23" i="18"/>
  <c r="I22" i="18"/>
  <c r="H22" i="18"/>
  <c r="G22" i="18"/>
  <c r="F22" i="18"/>
  <c r="E22" i="18"/>
  <c r="D22" i="18"/>
  <c r="C22" i="18"/>
  <c r="I20" i="18"/>
  <c r="H20" i="18"/>
  <c r="G20" i="18"/>
  <c r="F20" i="18"/>
  <c r="E20" i="18"/>
  <c r="D20" i="18"/>
  <c r="C20" i="18"/>
  <c r="C8" i="18"/>
  <c r="D8" i="18"/>
  <c r="E8" i="18"/>
  <c r="F8" i="18"/>
  <c r="G8" i="18"/>
  <c r="H8" i="18"/>
  <c r="I8" i="18"/>
  <c r="C9" i="18"/>
  <c r="D9" i="18"/>
  <c r="E9" i="18"/>
  <c r="F9" i="18"/>
  <c r="G9" i="18"/>
  <c r="H9" i="18"/>
  <c r="I9" i="18"/>
  <c r="C10" i="18"/>
  <c r="D10" i="18"/>
  <c r="E10" i="18"/>
  <c r="F10" i="18"/>
  <c r="G10" i="18"/>
  <c r="C12" i="18"/>
  <c r="D12" i="18"/>
  <c r="E12" i="18"/>
  <c r="F12" i="18"/>
  <c r="G12" i="18"/>
  <c r="H12" i="18"/>
  <c r="I12" i="18"/>
  <c r="C13" i="18"/>
  <c r="D13" i="18"/>
  <c r="E13" i="18"/>
  <c r="F13" i="18"/>
  <c r="G13" i="18"/>
  <c r="H13" i="18"/>
  <c r="I13" i="18"/>
  <c r="C14" i="18"/>
  <c r="D14" i="18"/>
  <c r="E14" i="18"/>
  <c r="F14" i="18"/>
  <c r="G14" i="18"/>
  <c r="H14" i="18"/>
  <c r="I14" i="18"/>
  <c r="C16" i="18"/>
  <c r="C15" i="18" s="1"/>
  <c r="D16" i="18"/>
  <c r="D15" i="18" s="1"/>
  <c r="E16" i="18"/>
  <c r="E15" i="18" s="1"/>
  <c r="F16" i="18"/>
  <c r="F15" i="18" s="1"/>
  <c r="G16" i="18"/>
  <c r="G15" i="18" s="1"/>
  <c r="H16" i="18"/>
  <c r="H15" i="18" s="1"/>
  <c r="I16" i="18"/>
  <c r="I15" i="18" s="1"/>
  <c r="C17" i="18"/>
  <c r="D17" i="18"/>
  <c r="E17" i="18"/>
  <c r="F17" i="18"/>
  <c r="G17" i="18"/>
  <c r="H17" i="18"/>
  <c r="I17" i="18"/>
  <c r="C142" i="10"/>
  <c r="D142" i="10"/>
  <c r="E142" i="10"/>
  <c r="F142" i="10"/>
  <c r="G142" i="10"/>
  <c r="H142" i="10"/>
  <c r="I142" i="10"/>
  <c r="C143" i="10"/>
  <c r="D143" i="10"/>
  <c r="E143" i="10"/>
  <c r="F143" i="10"/>
  <c r="G143" i="10"/>
  <c r="H143" i="10"/>
  <c r="I143" i="10"/>
  <c r="C144" i="10"/>
  <c r="D144" i="10"/>
  <c r="E144" i="10"/>
  <c r="F144" i="10"/>
  <c r="G144" i="10"/>
  <c r="H144" i="10"/>
  <c r="I144" i="10"/>
  <c r="C145" i="10"/>
  <c r="D145" i="10"/>
  <c r="E145" i="10"/>
  <c r="F145" i="10"/>
  <c r="G145" i="10"/>
  <c r="H145" i="10"/>
  <c r="I145" i="10"/>
  <c r="C146" i="10"/>
  <c r="D146" i="10"/>
  <c r="E146" i="10"/>
  <c r="F146" i="10"/>
  <c r="G146" i="10"/>
  <c r="H146" i="10"/>
  <c r="I146" i="10"/>
  <c r="C133" i="10"/>
  <c r="D133" i="10"/>
  <c r="E133" i="10"/>
  <c r="F133" i="10"/>
  <c r="G133" i="10"/>
  <c r="H133" i="10"/>
  <c r="I133" i="10"/>
  <c r="C134" i="10"/>
  <c r="D134" i="10"/>
  <c r="E134" i="10"/>
  <c r="F134" i="10"/>
  <c r="G134" i="10"/>
  <c r="H134" i="10"/>
  <c r="I134" i="10"/>
  <c r="C135" i="10"/>
  <c r="D135" i="10"/>
  <c r="E135" i="10"/>
  <c r="F135" i="10"/>
  <c r="G135" i="10"/>
  <c r="H135" i="10"/>
  <c r="I135" i="10"/>
  <c r="C137" i="10"/>
  <c r="D137" i="10"/>
  <c r="E137" i="10"/>
  <c r="F137" i="10"/>
  <c r="G137" i="10"/>
  <c r="H137" i="10"/>
  <c r="I137" i="10"/>
  <c r="C138" i="10"/>
  <c r="D138" i="10"/>
  <c r="E138" i="10"/>
  <c r="F138" i="10"/>
  <c r="G138" i="10"/>
  <c r="H138" i="10"/>
  <c r="I138" i="10"/>
  <c r="C105" i="10"/>
  <c r="D105" i="10"/>
  <c r="E105" i="10"/>
  <c r="F105" i="10"/>
  <c r="G105" i="10"/>
  <c r="H105" i="10"/>
  <c r="I105" i="10"/>
  <c r="C106" i="10"/>
  <c r="D106" i="10"/>
  <c r="E106" i="10"/>
  <c r="F106" i="10"/>
  <c r="G106" i="10"/>
  <c r="H106" i="10"/>
  <c r="I106" i="10"/>
  <c r="C107" i="10"/>
  <c r="D107" i="10"/>
  <c r="E107" i="10"/>
  <c r="F107" i="10"/>
  <c r="G107" i="10"/>
  <c r="H107" i="10"/>
  <c r="I107" i="10"/>
  <c r="C108" i="10"/>
  <c r="D108" i="10"/>
  <c r="E108" i="10"/>
  <c r="F108" i="10"/>
  <c r="G108" i="10"/>
  <c r="H108" i="10"/>
  <c r="I108" i="10"/>
  <c r="C109" i="10"/>
  <c r="D109" i="10"/>
  <c r="E109" i="10"/>
  <c r="F109" i="10"/>
  <c r="G109" i="10"/>
  <c r="H109" i="10"/>
  <c r="I109" i="10"/>
  <c r="C110" i="10"/>
  <c r="D110" i="10"/>
  <c r="E110" i="10"/>
  <c r="F110" i="10"/>
  <c r="G110" i="10"/>
  <c r="H110" i="10"/>
  <c r="I110" i="10"/>
  <c r="C111" i="10"/>
  <c r="D111" i="10"/>
  <c r="E111" i="10"/>
  <c r="F111" i="10"/>
  <c r="G111" i="10"/>
  <c r="H111" i="10"/>
  <c r="I111" i="10"/>
  <c r="C112" i="10"/>
  <c r="D112" i="10"/>
  <c r="E112" i="10"/>
  <c r="F112" i="10"/>
  <c r="G112" i="10"/>
  <c r="H112" i="10"/>
  <c r="I112" i="10"/>
  <c r="C113" i="10"/>
  <c r="D113" i="10"/>
  <c r="E113" i="10"/>
  <c r="F113" i="10"/>
  <c r="G113" i="10"/>
  <c r="H113" i="10"/>
  <c r="I113" i="10"/>
  <c r="C114" i="10"/>
  <c r="D114" i="10"/>
  <c r="E114" i="10"/>
  <c r="F114" i="10"/>
  <c r="G114" i="10"/>
  <c r="H114" i="10"/>
  <c r="I114" i="10"/>
  <c r="C115" i="10"/>
  <c r="D115" i="10"/>
  <c r="E115" i="10"/>
  <c r="F115" i="10"/>
  <c r="G115" i="10"/>
  <c r="H115" i="10"/>
  <c r="I115" i="10"/>
  <c r="C116" i="10"/>
  <c r="D116" i="10"/>
  <c r="E116" i="10"/>
  <c r="F116" i="10"/>
  <c r="G116" i="10"/>
  <c r="H116" i="10"/>
  <c r="I116" i="10"/>
  <c r="C117" i="10"/>
  <c r="D117" i="10"/>
  <c r="E117" i="10"/>
  <c r="F117" i="10"/>
  <c r="G117" i="10"/>
  <c r="H117" i="10"/>
  <c r="I117" i="10"/>
  <c r="C118" i="10"/>
  <c r="D118" i="10"/>
  <c r="E118" i="10"/>
  <c r="F118" i="10"/>
  <c r="G118" i="10"/>
  <c r="H118" i="10"/>
  <c r="I118" i="10"/>
  <c r="C119" i="10"/>
  <c r="D119" i="10"/>
  <c r="E119" i="10"/>
  <c r="F119" i="10"/>
  <c r="G119" i="10"/>
  <c r="H119" i="10"/>
  <c r="I119" i="10"/>
  <c r="C120" i="10"/>
  <c r="D120" i="10"/>
  <c r="E120" i="10"/>
  <c r="F120" i="10"/>
  <c r="G120" i="10"/>
  <c r="H120" i="10"/>
  <c r="I120" i="10"/>
  <c r="C122" i="10"/>
  <c r="D122" i="10"/>
  <c r="E122" i="10"/>
  <c r="F122" i="10"/>
  <c r="G122" i="10"/>
  <c r="H122" i="10"/>
  <c r="I122" i="10"/>
  <c r="C123" i="10"/>
  <c r="D123" i="10"/>
  <c r="E123" i="10"/>
  <c r="F123" i="10"/>
  <c r="G123" i="10"/>
  <c r="H123" i="10"/>
  <c r="I123" i="10"/>
  <c r="C124" i="10"/>
  <c r="D124" i="10"/>
  <c r="E124" i="10"/>
  <c r="F124" i="10"/>
  <c r="G124" i="10"/>
  <c r="H124" i="10"/>
  <c r="I124" i="10"/>
  <c r="C125" i="10"/>
  <c r="D125" i="10"/>
  <c r="E125" i="10"/>
  <c r="F125" i="10"/>
  <c r="G125" i="10"/>
  <c r="H125" i="10"/>
  <c r="I125" i="10"/>
  <c r="C126" i="10"/>
  <c r="D126" i="10"/>
  <c r="E126" i="10"/>
  <c r="F126" i="10"/>
  <c r="G126" i="10"/>
  <c r="H126" i="10"/>
  <c r="I126" i="10"/>
  <c r="C127" i="10"/>
  <c r="D127" i="10"/>
  <c r="E127" i="10"/>
  <c r="F127" i="10"/>
  <c r="G127" i="10"/>
  <c r="H127" i="10"/>
  <c r="I127" i="10"/>
  <c r="C128" i="10"/>
  <c r="D128" i="10"/>
  <c r="E128" i="10"/>
  <c r="F128" i="10"/>
  <c r="G128" i="10"/>
  <c r="H128" i="10"/>
  <c r="I128" i="10"/>
  <c r="C129" i="10"/>
  <c r="D129" i="10"/>
  <c r="E129" i="10"/>
  <c r="F129" i="10"/>
  <c r="G129" i="10"/>
  <c r="H129" i="10"/>
  <c r="I129" i="10"/>
  <c r="C130" i="10"/>
  <c r="D130" i="10"/>
  <c r="E130" i="10"/>
  <c r="F130" i="10"/>
  <c r="G130" i="10"/>
  <c r="H130" i="10"/>
  <c r="I130" i="10"/>
  <c r="C131" i="10"/>
  <c r="D131" i="10"/>
  <c r="E131" i="10"/>
  <c r="F131" i="10"/>
  <c r="G131" i="10"/>
  <c r="H131" i="10"/>
  <c r="I131" i="10"/>
  <c r="C132" i="10"/>
  <c r="D132" i="10"/>
  <c r="E132" i="10"/>
  <c r="F132" i="10"/>
  <c r="G132" i="10"/>
  <c r="H132" i="10"/>
  <c r="I132" i="10"/>
  <c r="C101" i="10"/>
  <c r="C100" i="10" s="1"/>
  <c r="D101" i="10"/>
  <c r="D100" i="10" s="1"/>
  <c r="E101" i="10"/>
  <c r="E100" i="10" s="1"/>
  <c r="F101" i="10"/>
  <c r="F100" i="10" s="1"/>
  <c r="G101" i="10"/>
  <c r="G100" i="10" s="1"/>
  <c r="H101" i="10"/>
  <c r="H100" i="10" s="1"/>
  <c r="I101" i="10"/>
  <c r="I100" i="10" s="1"/>
  <c r="C83" i="10"/>
  <c r="D83" i="10"/>
  <c r="E83" i="10"/>
  <c r="F83" i="10"/>
  <c r="G83" i="10"/>
  <c r="H83" i="10"/>
  <c r="I83" i="10"/>
  <c r="C84" i="10"/>
  <c r="D84" i="10"/>
  <c r="E84" i="10"/>
  <c r="F84" i="10"/>
  <c r="G84" i="10"/>
  <c r="H84" i="10"/>
  <c r="I84" i="10"/>
  <c r="C85" i="10"/>
  <c r="D85" i="10"/>
  <c r="E85" i="10"/>
  <c r="F85" i="10"/>
  <c r="G85" i="10"/>
  <c r="H85" i="10"/>
  <c r="I85" i="10"/>
  <c r="C86" i="10"/>
  <c r="D86" i="10"/>
  <c r="E86" i="10"/>
  <c r="F86" i="10"/>
  <c r="G86" i="10"/>
  <c r="H86" i="10"/>
  <c r="I86" i="10"/>
  <c r="C87" i="10"/>
  <c r="D87" i="10"/>
  <c r="E87" i="10"/>
  <c r="F87" i="10"/>
  <c r="G87" i="10"/>
  <c r="H87" i="10"/>
  <c r="I87" i="10"/>
  <c r="C89" i="10"/>
  <c r="C88" i="10" s="1"/>
  <c r="D89" i="10"/>
  <c r="D88" i="10" s="1"/>
  <c r="E89" i="10"/>
  <c r="E88" i="10" s="1"/>
  <c r="F89" i="10"/>
  <c r="F88" i="10" s="1"/>
  <c r="G89" i="10"/>
  <c r="G88" i="10" s="1"/>
  <c r="H89" i="10"/>
  <c r="H88" i="10" s="1"/>
  <c r="I89" i="10"/>
  <c r="I88" i="10" s="1"/>
  <c r="C91" i="10"/>
  <c r="C90" i="10" s="1"/>
  <c r="D91" i="10"/>
  <c r="D90" i="10" s="1"/>
  <c r="E91" i="10"/>
  <c r="E90" i="10" s="1"/>
  <c r="F91" i="10"/>
  <c r="F90" i="10" s="1"/>
  <c r="G91" i="10"/>
  <c r="G90" i="10" s="1"/>
  <c r="H91" i="10"/>
  <c r="H90" i="10" s="1"/>
  <c r="I91" i="10"/>
  <c r="I90" i="10" s="1"/>
  <c r="C93" i="10"/>
  <c r="D93" i="10"/>
  <c r="E93" i="10"/>
  <c r="F93" i="10"/>
  <c r="G93" i="10"/>
  <c r="H93" i="10"/>
  <c r="I93" i="10"/>
  <c r="C94" i="10"/>
  <c r="D94" i="10"/>
  <c r="E94" i="10"/>
  <c r="F94" i="10"/>
  <c r="G94" i="10"/>
  <c r="H94" i="10"/>
  <c r="I94" i="10"/>
  <c r="C95" i="10"/>
  <c r="D95" i="10"/>
  <c r="E95" i="10"/>
  <c r="F95" i="10"/>
  <c r="G95" i="10"/>
  <c r="H95" i="10"/>
  <c r="I95" i="10"/>
  <c r="C96" i="10"/>
  <c r="D96" i="10"/>
  <c r="E96" i="10"/>
  <c r="F96" i="10"/>
  <c r="G96" i="10"/>
  <c r="H96" i="10"/>
  <c r="I96" i="10"/>
  <c r="C97" i="10"/>
  <c r="D97" i="10"/>
  <c r="E97" i="10"/>
  <c r="F97" i="10"/>
  <c r="G97" i="10"/>
  <c r="H97" i="10"/>
  <c r="I97" i="10"/>
  <c r="C98" i="10"/>
  <c r="D98" i="10"/>
  <c r="E98" i="10"/>
  <c r="F98" i="10"/>
  <c r="G98" i="10"/>
  <c r="H98" i="10"/>
  <c r="I98" i="10"/>
  <c r="C99" i="10"/>
  <c r="D99" i="10"/>
  <c r="E99" i="10"/>
  <c r="F99" i="10"/>
  <c r="G99" i="10"/>
  <c r="H99" i="10"/>
  <c r="I99" i="10"/>
  <c r="C65" i="10"/>
  <c r="D65" i="10"/>
  <c r="E65" i="10"/>
  <c r="F65" i="10"/>
  <c r="G65" i="10"/>
  <c r="H65" i="10"/>
  <c r="I65" i="10"/>
  <c r="C67" i="10"/>
  <c r="D67" i="10"/>
  <c r="E67" i="10"/>
  <c r="F67" i="10"/>
  <c r="G67" i="10"/>
  <c r="H67" i="10"/>
  <c r="I67" i="10"/>
  <c r="C68" i="10"/>
  <c r="D68" i="10"/>
  <c r="E68" i="10"/>
  <c r="F68" i="10"/>
  <c r="G68" i="10"/>
  <c r="H68" i="10"/>
  <c r="I68" i="10"/>
  <c r="C69" i="10"/>
  <c r="D69" i="10"/>
  <c r="E69" i="10"/>
  <c r="F69" i="10"/>
  <c r="G69" i="10"/>
  <c r="H69" i="10"/>
  <c r="I69" i="10"/>
  <c r="C70" i="10"/>
  <c r="D70" i="10"/>
  <c r="E70" i="10"/>
  <c r="F70" i="10"/>
  <c r="G70" i="10"/>
  <c r="H70" i="10"/>
  <c r="I70" i="10"/>
  <c r="C72" i="10"/>
  <c r="D72" i="10"/>
  <c r="E72" i="10"/>
  <c r="F72" i="10"/>
  <c r="G72" i="10"/>
  <c r="H72" i="10"/>
  <c r="I72" i="10"/>
  <c r="C73" i="10"/>
  <c r="D73" i="10"/>
  <c r="E73" i="10"/>
  <c r="F73" i="10"/>
  <c r="G73" i="10"/>
  <c r="H73" i="10"/>
  <c r="I73" i="10"/>
  <c r="C74" i="10"/>
  <c r="D74" i="10"/>
  <c r="E74" i="10"/>
  <c r="F74" i="10"/>
  <c r="G74" i="10"/>
  <c r="H74" i="10"/>
  <c r="I74" i="10"/>
  <c r="C75" i="10"/>
  <c r="D75" i="10"/>
  <c r="E75" i="10"/>
  <c r="F75" i="10"/>
  <c r="G75" i="10"/>
  <c r="H75" i="10"/>
  <c r="I75" i="10"/>
  <c r="C76" i="10"/>
  <c r="D76" i="10"/>
  <c r="E76" i="10"/>
  <c r="F76" i="10"/>
  <c r="G76" i="10"/>
  <c r="H76" i="10"/>
  <c r="I76" i="10"/>
  <c r="C77" i="10"/>
  <c r="D77" i="10"/>
  <c r="E77" i="10"/>
  <c r="F77" i="10"/>
  <c r="G77" i="10"/>
  <c r="H77" i="10"/>
  <c r="I77" i="10"/>
  <c r="C78" i="10"/>
  <c r="D78" i="10"/>
  <c r="E78" i="10"/>
  <c r="F78" i="10"/>
  <c r="G78" i="10"/>
  <c r="H78" i="10"/>
  <c r="I78" i="10"/>
  <c r="C79" i="10"/>
  <c r="D79" i="10"/>
  <c r="E79" i="10"/>
  <c r="F79" i="10"/>
  <c r="G79" i="10"/>
  <c r="H79" i="10"/>
  <c r="I79" i="10"/>
  <c r="C81" i="10"/>
  <c r="D81" i="10"/>
  <c r="E81" i="10"/>
  <c r="F81" i="10"/>
  <c r="G81" i="10"/>
  <c r="H81" i="10"/>
  <c r="I81" i="10"/>
  <c r="C82" i="10"/>
  <c r="D82" i="10"/>
  <c r="E82" i="10"/>
  <c r="F82" i="10"/>
  <c r="G82" i="10"/>
  <c r="H82" i="10"/>
  <c r="I82" i="10"/>
  <c r="C38" i="10"/>
  <c r="D38" i="10"/>
  <c r="E38" i="10"/>
  <c r="F38" i="10"/>
  <c r="G38" i="10"/>
  <c r="H38" i="10"/>
  <c r="I38" i="10"/>
  <c r="C39" i="10"/>
  <c r="D39" i="10"/>
  <c r="E39" i="10"/>
  <c r="F39" i="10"/>
  <c r="G39" i="10"/>
  <c r="H39" i="10"/>
  <c r="I39" i="10"/>
  <c r="C40" i="10"/>
  <c r="D40" i="10"/>
  <c r="E40" i="10"/>
  <c r="F40" i="10"/>
  <c r="G40" i="10"/>
  <c r="H40" i="10"/>
  <c r="I40" i="10"/>
  <c r="C41" i="10"/>
  <c r="D41" i="10"/>
  <c r="E41" i="10"/>
  <c r="F41" i="10"/>
  <c r="G41" i="10"/>
  <c r="H41" i="10"/>
  <c r="I41" i="10"/>
  <c r="C42" i="10"/>
  <c r="D42" i="10"/>
  <c r="E42" i="10"/>
  <c r="F42" i="10"/>
  <c r="G42" i="10"/>
  <c r="H42" i="10"/>
  <c r="I42" i="10"/>
  <c r="C43" i="10"/>
  <c r="D43" i="10"/>
  <c r="E43" i="10"/>
  <c r="F43" i="10"/>
  <c r="G43" i="10"/>
  <c r="H43" i="10"/>
  <c r="I43" i="10"/>
  <c r="C44" i="10"/>
  <c r="D44" i="10"/>
  <c r="E44" i="10"/>
  <c r="F44" i="10"/>
  <c r="G44" i="10"/>
  <c r="H44" i="10"/>
  <c r="I44" i="10"/>
  <c r="C45" i="10"/>
  <c r="D45" i="10"/>
  <c r="E45" i="10"/>
  <c r="F45" i="10"/>
  <c r="G45" i="10"/>
  <c r="H45" i="10"/>
  <c r="I45" i="10"/>
  <c r="C46" i="10"/>
  <c r="D46" i="10"/>
  <c r="E46" i="10"/>
  <c r="F46" i="10"/>
  <c r="G46" i="10"/>
  <c r="H46" i="10"/>
  <c r="I46" i="10"/>
  <c r="C47" i="10"/>
  <c r="D47" i="10"/>
  <c r="E47" i="10"/>
  <c r="F47" i="10"/>
  <c r="G47" i="10"/>
  <c r="H47" i="10"/>
  <c r="I47" i="10"/>
  <c r="C48" i="10"/>
  <c r="D48" i="10"/>
  <c r="E48" i="10"/>
  <c r="F48" i="10"/>
  <c r="G48" i="10"/>
  <c r="H48" i="10"/>
  <c r="I48" i="10"/>
  <c r="C49" i="10"/>
  <c r="D49" i="10"/>
  <c r="E49" i="10"/>
  <c r="F49" i="10"/>
  <c r="G49" i="10"/>
  <c r="H49" i="10"/>
  <c r="I49" i="10"/>
  <c r="C50" i="10"/>
  <c r="D50" i="10"/>
  <c r="E50" i="10"/>
  <c r="F50" i="10"/>
  <c r="G50" i="10"/>
  <c r="H50" i="10"/>
  <c r="I50" i="10"/>
  <c r="C51" i="10"/>
  <c r="D51" i="10"/>
  <c r="E51" i="10"/>
  <c r="F51" i="10"/>
  <c r="G51" i="10"/>
  <c r="H51" i="10"/>
  <c r="I51" i="10"/>
  <c r="C52" i="10"/>
  <c r="D52" i="10"/>
  <c r="E52" i="10"/>
  <c r="F52" i="10"/>
  <c r="G52" i="10"/>
  <c r="H52" i="10"/>
  <c r="I52" i="10"/>
  <c r="C53" i="10"/>
  <c r="D53" i="10"/>
  <c r="E53" i="10"/>
  <c r="F53" i="10"/>
  <c r="G53" i="10"/>
  <c r="H53" i="10"/>
  <c r="I53" i="10"/>
  <c r="C54" i="10"/>
  <c r="D54" i="10"/>
  <c r="E54" i="10"/>
  <c r="F54" i="10"/>
  <c r="G54" i="10"/>
  <c r="H54" i="10"/>
  <c r="I54" i="10"/>
  <c r="C55" i="10"/>
  <c r="D55" i="10"/>
  <c r="E55" i="10"/>
  <c r="F55" i="10"/>
  <c r="G55" i="10"/>
  <c r="H55" i="10"/>
  <c r="I55" i="10"/>
  <c r="C56" i="10"/>
  <c r="D56" i="10"/>
  <c r="E56" i="10"/>
  <c r="F56" i="10"/>
  <c r="G56" i="10"/>
  <c r="H56" i="10"/>
  <c r="I56" i="10"/>
  <c r="C58" i="10"/>
  <c r="D58" i="10"/>
  <c r="E58" i="10"/>
  <c r="F58" i="10"/>
  <c r="G58" i="10"/>
  <c r="H58" i="10"/>
  <c r="I58" i="10"/>
  <c r="C59" i="10"/>
  <c r="D59" i="10"/>
  <c r="E59" i="10"/>
  <c r="F59" i="10"/>
  <c r="G59" i="10"/>
  <c r="H59" i="10"/>
  <c r="I59" i="10"/>
  <c r="C60" i="10"/>
  <c r="D60" i="10"/>
  <c r="E60" i="10"/>
  <c r="F60" i="10"/>
  <c r="G60" i="10"/>
  <c r="H60" i="10"/>
  <c r="I60" i="10"/>
  <c r="C61" i="10"/>
  <c r="D61" i="10"/>
  <c r="E61" i="10"/>
  <c r="F61" i="10"/>
  <c r="G61" i="10"/>
  <c r="H61" i="10"/>
  <c r="I61" i="10"/>
  <c r="C62" i="10"/>
  <c r="D62" i="10"/>
  <c r="E62" i="10"/>
  <c r="F62" i="10"/>
  <c r="G62" i="10"/>
  <c r="H62" i="10"/>
  <c r="I62" i="10"/>
  <c r="C64" i="10"/>
  <c r="D64" i="10"/>
  <c r="E64" i="10"/>
  <c r="F64" i="10"/>
  <c r="G64" i="10"/>
  <c r="H64" i="10"/>
  <c r="I64" i="10"/>
  <c r="C23" i="10"/>
  <c r="D23" i="10"/>
  <c r="E23" i="10"/>
  <c r="F23" i="10"/>
  <c r="G23" i="10"/>
  <c r="H23" i="10"/>
  <c r="I23" i="10"/>
  <c r="C24" i="10"/>
  <c r="D24" i="10"/>
  <c r="E24" i="10"/>
  <c r="F24" i="10"/>
  <c r="G24" i="10"/>
  <c r="H24" i="10"/>
  <c r="I24" i="10"/>
  <c r="C25" i="10"/>
  <c r="D25" i="10"/>
  <c r="E25" i="10"/>
  <c r="F25" i="10"/>
  <c r="G25" i="10"/>
  <c r="H25" i="10"/>
  <c r="I25" i="10"/>
  <c r="C26" i="10"/>
  <c r="D26" i="10"/>
  <c r="E26" i="10"/>
  <c r="F26" i="10"/>
  <c r="G26" i="10"/>
  <c r="H26" i="10"/>
  <c r="I26" i="10"/>
  <c r="C27" i="10"/>
  <c r="D27" i="10"/>
  <c r="E27" i="10"/>
  <c r="F27" i="10"/>
  <c r="G27" i="10"/>
  <c r="H27" i="10"/>
  <c r="I27" i="10"/>
  <c r="C28" i="10"/>
  <c r="D28" i="10"/>
  <c r="E28" i="10"/>
  <c r="F28" i="10"/>
  <c r="G28" i="10"/>
  <c r="H28" i="10"/>
  <c r="I28" i="10"/>
  <c r="C29" i="10"/>
  <c r="D29" i="10"/>
  <c r="E29" i="10"/>
  <c r="F29" i="10"/>
  <c r="G29" i="10"/>
  <c r="H29" i="10"/>
  <c r="I29" i="10"/>
  <c r="C31" i="10"/>
  <c r="C30" i="10" s="1"/>
  <c r="D31" i="10"/>
  <c r="D30" i="10" s="1"/>
  <c r="E31" i="10"/>
  <c r="E30" i="10" s="1"/>
  <c r="F31" i="10"/>
  <c r="F30" i="10" s="1"/>
  <c r="G31" i="10"/>
  <c r="G30" i="10" s="1"/>
  <c r="H31" i="10"/>
  <c r="H30" i="10" s="1"/>
  <c r="I31" i="10"/>
  <c r="I30" i="10" s="1"/>
  <c r="C33" i="10"/>
  <c r="C32" i="10" s="1"/>
  <c r="D33" i="10"/>
  <c r="D32" i="10" s="1"/>
  <c r="E33" i="10"/>
  <c r="E32" i="10" s="1"/>
  <c r="F33" i="10"/>
  <c r="F32" i="10" s="1"/>
  <c r="G33" i="10"/>
  <c r="G32" i="10" s="1"/>
  <c r="H33" i="10"/>
  <c r="H32" i="10" s="1"/>
  <c r="I33" i="10"/>
  <c r="I32" i="10" s="1"/>
  <c r="C8" i="10"/>
  <c r="D8" i="10"/>
  <c r="E8" i="10"/>
  <c r="F8" i="10"/>
  <c r="G8" i="10"/>
  <c r="H8" i="10"/>
  <c r="I8" i="10"/>
  <c r="C9" i="10"/>
  <c r="D9" i="10"/>
  <c r="E9" i="10"/>
  <c r="F9" i="10"/>
  <c r="G9" i="10"/>
  <c r="H9" i="10"/>
  <c r="I9" i="10"/>
  <c r="C10" i="10"/>
  <c r="D10" i="10"/>
  <c r="E10" i="10"/>
  <c r="F10" i="10"/>
  <c r="G10" i="10"/>
  <c r="H10" i="10"/>
  <c r="I10" i="10"/>
  <c r="F12" i="10"/>
  <c r="G12" i="10"/>
  <c r="H12" i="10"/>
  <c r="I12" i="10"/>
  <c r="C13" i="10"/>
  <c r="D13" i="10"/>
  <c r="E13" i="10"/>
  <c r="F13" i="10"/>
  <c r="G13" i="10"/>
  <c r="C15" i="10"/>
  <c r="D15" i="10"/>
  <c r="E15" i="10"/>
  <c r="F15" i="10"/>
  <c r="G15" i="10"/>
  <c r="H15" i="10"/>
  <c r="I15" i="10"/>
  <c r="C16" i="10"/>
  <c r="D16" i="10"/>
  <c r="E16" i="10"/>
  <c r="F16" i="10"/>
  <c r="G16" i="10"/>
  <c r="H16" i="10"/>
  <c r="I16" i="10"/>
  <c r="C17" i="10"/>
  <c r="D17" i="10"/>
  <c r="E17" i="10"/>
  <c r="F17" i="10"/>
  <c r="G17" i="10"/>
  <c r="H17" i="10"/>
  <c r="I17" i="10"/>
  <c r="C19" i="10"/>
  <c r="C18" i="10" s="1"/>
  <c r="D19" i="10"/>
  <c r="D18" i="10" s="1"/>
  <c r="E19" i="10"/>
  <c r="E18" i="10" s="1"/>
  <c r="F19" i="10"/>
  <c r="F18" i="10" s="1"/>
  <c r="G19" i="10"/>
  <c r="G18" i="10" s="1"/>
  <c r="H19" i="10"/>
  <c r="H18" i="10" s="1"/>
  <c r="I19" i="10"/>
  <c r="I18" i="10" s="1"/>
  <c r="C20" i="10"/>
  <c r="D20" i="10"/>
  <c r="E20" i="10"/>
  <c r="F20" i="10"/>
  <c r="G20" i="10"/>
  <c r="H20" i="10"/>
  <c r="I20" i="10"/>
  <c r="I150" i="6"/>
  <c r="H150" i="6"/>
  <c r="G150" i="6"/>
  <c r="F150" i="6"/>
  <c r="E150" i="6"/>
  <c r="D150" i="6"/>
  <c r="C150" i="6"/>
  <c r="I149" i="6"/>
  <c r="H149" i="6"/>
  <c r="G149" i="6"/>
  <c r="F149" i="6"/>
  <c r="E149" i="6"/>
  <c r="D149" i="6"/>
  <c r="C149" i="6"/>
  <c r="I148" i="6"/>
  <c r="H148" i="6"/>
  <c r="G148" i="6"/>
  <c r="F148" i="6"/>
  <c r="E148" i="6"/>
  <c r="D148" i="6"/>
  <c r="C148" i="6"/>
  <c r="I147" i="6"/>
  <c r="H147" i="6"/>
  <c r="G147" i="6"/>
  <c r="F147" i="6"/>
  <c r="E147" i="6"/>
  <c r="D147" i="6"/>
  <c r="C147" i="6"/>
  <c r="I146" i="6"/>
  <c r="H146" i="6"/>
  <c r="G146" i="6"/>
  <c r="F146" i="6"/>
  <c r="E146" i="6"/>
  <c r="D146" i="6"/>
  <c r="C146" i="6"/>
  <c r="I142" i="6"/>
  <c r="H142" i="6"/>
  <c r="G142" i="6"/>
  <c r="F142" i="6"/>
  <c r="E142" i="6"/>
  <c r="D142" i="6"/>
  <c r="C142" i="6"/>
  <c r="I141" i="6"/>
  <c r="H141" i="6"/>
  <c r="G141" i="6"/>
  <c r="F141" i="6"/>
  <c r="E141" i="6"/>
  <c r="D141" i="6"/>
  <c r="C141" i="6"/>
  <c r="I139" i="6"/>
  <c r="I138" i="6" s="1"/>
  <c r="H139" i="6"/>
  <c r="H138" i="6" s="1"/>
  <c r="G139" i="6"/>
  <c r="G138" i="6" s="1"/>
  <c r="F139" i="6"/>
  <c r="F138" i="6" s="1"/>
  <c r="E139" i="6"/>
  <c r="E138" i="6" s="1"/>
  <c r="D139" i="6"/>
  <c r="D138" i="6" s="1"/>
  <c r="C139" i="6"/>
  <c r="C138" i="6" s="1"/>
  <c r="I137" i="6"/>
  <c r="H137" i="6"/>
  <c r="G137" i="6"/>
  <c r="F137" i="6"/>
  <c r="E137" i="6"/>
  <c r="D137" i="6"/>
  <c r="C137" i="6"/>
  <c r="I136" i="6"/>
  <c r="H136" i="6"/>
  <c r="G136" i="6"/>
  <c r="F136" i="6"/>
  <c r="E136" i="6"/>
  <c r="D136" i="6"/>
  <c r="C136" i="6"/>
  <c r="I135" i="6"/>
  <c r="H135" i="6"/>
  <c r="G135" i="6"/>
  <c r="F135" i="6"/>
  <c r="E135" i="6"/>
  <c r="D135" i="6"/>
  <c r="C135" i="6"/>
  <c r="I134" i="6"/>
  <c r="H134" i="6"/>
  <c r="G134" i="6"/>
  <c r="F134" i="6"/>
  <c r="E134" i="6"/>
  <c r="D134" i="6"/>
  <c r="C134" i="6"/>
  <c r="I133" i="6"/>
  <c r="H133" i="6"/>
  <c r="G133" i="6"/>
  <c r="F133" i="6"/>
  <c r="E133" i="6"/>
  <c r="D133" i="6"/>
  <c r="C133" i="6"/>
  <c r="I132" i="6"/>
  <c r="H132" i="6"/>
  <c r="G132" i="6"/>
  <c r="F132" i="6"/>
  <c r="E132" i="6"/>
  <c r="D132" i="6"/>
  <c r="C132" i="6"/>
  <c r="I131" i="6"/>
  <c r="H131" i="6"/>
  <c r="G131" i="6"/>
  <c r="F131" i="6"/>
  <c r="E131" i="6"/>
  <c r="D131" i="6"/>
  <c r="C131" i="6"/>
  <c r="I130" i="6"/>
  <c r="H130" i="6"/>
  <c r="G130" i="6"/>
  <c r="F130" i="6"/>
  <c r="E130" i="6"/>
  <c r="D130" i="6"/>
  <c r="C130" i="6"/>
  <c r="I129" i="6"/>
  <c r="H129" i="6"/>
  <c r="G129" i="6"/>
  <c r="F129" i="6"/>
  <c r="E129" i="6"/>
  <c r="D129" i="6"/>
  <c r="C129" i="6"/>
  <c r="I128" i="6"/>
  <c r="H128" i="6"/>
  <c r="G128" i="6"/>
  <c r="F128" i="6"/>
  <c r="E128" i="6"/>
  <c r="D128" i="6"/>
  <c r="C128" i="6"/>
  <c r="I127" i="6"/>
  <c r="H127" i="6"/>
  <c r="G127" i="6"/>
  <c r="F127" i="6"/>
  <c r="E127" i="6"/>
  <c r="D127" i="6"/>
  <c r="C127" i="6"/>
  <c r="I126" i="6"/>
  <c r="H126" i="6"/>
  <c r="G126" i="6"/>
  <c r="F126" i="6"/>
  <c r="E126" i="6"/>
  <c r="D126" i="6"/>
  <c r="C126" i="6"/>
  <c r="I125" i="6"/>
  <c r="H125" i="6"/>
  <c r="G125" i="6"/>
  <c r="F125" i="6"/>
  <c r="E125" i="6"/>
  <c r="D125" i="6"/>
  <c r="C125" i="6"/>
  <c r="I123" i="6"/>
  <c r="H123" i="6"/>
  <c r="G123" i="6"/>
  <c r="F123" i="6"/>
  <c r="E123" i="6"/>
  <c r="D123" i="6"/>
  <c r="C123" i="6"/>
  <c r="I122" i="6"/>
  <c r="H122" i="6"/>
  <c r="G122" i="6"/>
  <c r="F122" i="6"/>
  <c r="E122" i="6"/>
  <c r="D122" i="6"/>
  <c r="C122" i="6"/>
  <c r="I121" i="6"/>
  <c r="H121" i="6"/>
  <c r="G121" i="6"/>
  <c r="F121" i="6"/>
  <c r="E121" i="6"/>
  <c r="D121" i="6"/>
  <c r="C121" i="6"/>
  <c r="I120" i="6"/>
  <c r="H120" i="6"/>
  <c r="G120" i="6"/>
  <c r="F120" i="6"/>
  <c r="E120" i="6"/>
  <c r="D120" i="6"/>
  <c r="C120" i="6"/>
  <c r="I119" i="6"/>
  <c r="H119" i="6"/>
  <c r="G119" i="6"/>
  <c r="F119" i="6"/>
  <c r="E119" i="6"/>
  <c r="D119" i="6"/>
  <c r="C119" i="6"/>
  <c r="I118" i="6"/>
  <c r="H118" i="6"/>
  <c r="G118" i="6"/>
  <c r="F118" i="6"/>
  <c r="E118" i="6"/>
  <c r="D118" i="6"/>
  <c r="C118" i="6"/>
  <c r="I117" i="6"/>
  <c r="H117" i="6"/>
  <c r="G117" i="6"/>
  <c r="F117" i="6"/>
  <c r="E117" i="6"/>
  <c r="D117" i="6"/>
  <c r="C117" i="6"/>
  <c r="I116" i="6"/>
  <c r="H116" i="6"/>
  <c r="G116" i="6"/>
  <c r="F116" i="6"/>
  <c r="E116" i="6"/>
  <c r="D116" i="6"/>
  <c r="C116" i="6"/>
  <c r="I115" i="6"/>
  <c r="H115" i="6"/>
  <c r="G115" i="6"/>
  <c r="F115" i="6"/>
  <c r="E115" i="6"/>
  <c r="D115" i="6"/>
  <c r="C115" i="6"/>
  <c r="I114" i="6"/>
  <c r="H114" i="6"/>
  <c r="G114" i="6"/>
  <c r="F114" i="6"/>
  <c r="E114" i="6"/>
  <c r="D114" i="6"/>
  <c r="C114" i="6"/>
  <c r="I113" i="6"/>
  <c r="H113" i="6"/>
  <c r="G113" i="6"/>
  <c r="F113" i="6"/>
  <c r="E113" i="6"/>
  <c r="D113" i="6"/>
  <c r="C113" i="6"/>
  <c r="I112" i="6"/>
  <c r="H112" i="6"/>
  <c r="G112" i="6"/>
  <c r="F112" i="6"/>
  <c r="E112" i="6"/>
  <c r="D112" i="6"/>
  <c r="C112" i="6"/>
  <c r="I110" i="6"/>
  <c r="H110" i="6"/>
  <c r="G110" i="6"/>
  <c r="F110" i="6"/>
  <c r="E110" i="6"/>
  <c r="D110" i="6"/>
  <c r="C110" i="6"/>
  <c r="I109" i="6"/>
  <c r="H109" i="6"/>
  <c r="G109" i="6"/>
  <c r="F109" i="6"/>
  <c r="E109" i="6"/>
  <c r="D109" i="6"/>
  <c r="C109" i="6"/>
  <c r="I108" i="6"/>
  <c r="H108" i="6"/>
  <c r="G108" i="6"/>
  <c r="F108" i="6"/>
  <c r="E108" i="6"/>
  <c r="D108" i="6"/>
  <c r="C108" i="6"/>
  <c r="I104" i="6"/>
  <c r="I103" i="6" s="1"/>
  <c r="H104" i="6"/>
  <c r="H103" i="6" s="1"/>
  <c r="G104" i="6"/>
  <c r="G103" i="6" s="1"/>
  <c r="F104" i="6"/>
  <c r="F103" i="6" s="1"/>
  <c r="E104" i="6"/>
  <c r="E103" i="6" s="1"/>
  <c r="D104" i="6"/>
  <c r="D103" i="6" s="1"/>
  <c r="C104" i="6"/>
  <c r="C103" i="6" s="1"/>
  <c r="I102" i="6"/>
  <c r="H102" i="6"/>
  <c r="G102" i="6"/>
  <c r="F102" i="6"/>
  <c r="E102" i="6"/>
  <c r="D102" i="6"/>
  <c r="C102" i="6"/>
  <c r="I101" i="6"/>
  <c r="H101" i="6"/>
  <c r="G101" i="6"/>
  <c r="F101" i="6"/>
  <c r="E101" i="6"/>
  <c r="D101" i="6"/>
  <c r="C101" i="6"/>
  <c r="I99" i="6"/>
  <c r="H99" i="6"/>
  <c r="G99" i="6"/>
  <c r="F99" i="6"/>
  <c r="E99" i="6"/>
  <c r="D99" i="6"/>
  <c r="C99" i="6"/>
  <c r="I98" i="6"/>
  <c r="H98" i="6"/>
  <c r="G98" i="6"/>
  <c r="F98" i="6"/>
  <c r="E98" i="6"/>
  <c r="D98" i="6"/>
  <c r="C98" i="6"/>
  <c r="I97" i="6"/>
  <c r="H97" i="6"/>
  <c r="G97" i="6"/>
  <c r="F97" i="6"/>
  <c r="E97" i="6"/>
  <c r="D97" i="6"/>
  <c r="C97" i="6"/>
  <c r="I96" i="6"/>
  <c r="H96" i="6"/>
  <c r="G96" i="6"/>
  <c r="F96" i="6"/>
  <c r="E96" i="6"/>
  <c r="D96" i="6"/>
  <c r="C96" i="6"/>
  <c r="I94" i="6"/>
  <c r="H94" i="6"/>
  <c r="G94" i="6"/>
  <c r="F94" i="6"/>
  <c r="E94" i="6"/>
  <c r="D94" i="6"/>
  <c r="C94" i="6"/>
  <c r="I93" i="6"/>
  <c r="I92" i="6" s="1"/>
  <c r="H93" i="6"/>
  <c r="H92" i="6" s="1"/>
  <c r="G93" i="6"/>
  <c r="G92" i="6" s="1"/>
  <c r="F93" i="6"/>
  <c r="F92" i="6" s="1"/>
  <c r="E93" i="6"/>
  <c r="E92" i="6" s="1"/>
  <c r="D93" i="6"/>
  <c r="D92" i="6" s="1"/>
  <c r="C93" i="6"/>
  <c r="C92" i="6" s="1"/>
  <c r="I91" i="6"/>
  <c r="H91" i="6"/>
  <c r="G91" i="6"/>
  <c r="F91" i="6"/>
  <c r="E91" i="6"/>
  <c r="D91" i="6"/>
  <c r="C91" i="6"/>
  <c r="I90" i="6"/>
  <c r="H90" i="6"/>
  <c r="G90" i="6"/>
  <c r="F90" i="6"/>
  <c r="E90" i="6"/>
  <c r="D90" i="6"/>
  <c r="C90" i="6"/>
  <c r="I89" i="6"/>
  <c r="H89" i="6"/>
  <c r="G89" i="6"/>
  <c r="F89" i="6"/>
  <c r="E89" i="6"/>
  <c r="D89" i="6"/>
  <c r="C89" i="6"/>
  <c r="I88" i="6"/>
  <c r="H88" i="6"/>
  <c r="G88" i="6"/>
  <c r="F88" i="6"/>
  <c r="E88" i="6"/>
  <c r="D88" i="6"/>
  <c r="C88" i="6"/>
  <c r="I87" i="6"/>
  <c r="H87" i="6"/>
  <c r="G87" i="6"/>
  <c r="F87" i="6"/>
  <c r="E87" i="6"/>
  <c r="D87" i="6"/>
  <c r="C87" i="6"/>
  <c r="I86" i="6"/>
  <c r="H86" i="6"/>
  <c r="G86" i="6"/>
  <c r="F86" i="6"/>
  <c r="E86" i="6"/>
  <c r="D86" i="6"/>
  <c r="C86" i="6"/>
  <c r="I85" i="6"/>
  <c r="H85" i="6"/>
  <c r="G85" i="6"/>
  <c r="F85" i="6"/>
  <c r="E85" i="6"/>
  <c r="D85" i="6"/>
  <c r="C85" i="6"/>
  <c r="I83" i="6"/>
  <c r="H83" i="6"/>
  <c r="G83" i="6"/>
  <c r="F83" i="6"/>
  <c r="E83" i="6"/>
  <c r="D83" i="6"/>
  <c r="C83" i="6"/>
  <c r="I82" i="6"/>
  <c r="H82" i="6"/>
  <c r="G82" i="6"/>
  <c r="F82" i="6"/>
  <c r="E82" i="6"/>
  <c r="D82" i="6"/>
  <c r="C82" i="6"/>
  <c r="I81" i="6"/>
  <c r="H81" i="6"/>
  <c r="G81" i="6"/>
  <c r="F81" i="6"/>
  <c r="E81" i="6"/>
  <c r="D81" i="6"/>
  <c r="C81" i="6"/>
  <c r="I80" i="6"/>
  <c r="H80" i="6"/>
  <c r="G80" i="6"/>
  <c r="F80" i="6"/>
  <c r="E80" i="6"/>
  <c r="D80" i="6"/>
  <c r="C80" i="6"/>
  <c r="I79" i="6"/>
  <c r="H79" i="6"/>
  <c r="G79" i="6"/>
  <c r="F79" i="6"/>
  <c r="E79" i="6"/>
  <c r="D79" i="6"/>
  <c r="C79" i="6"/>
  <c r="I78" i="6"/>
  <c r="H78" i="6"/>
  <c r="G78" i="6"/>
  <c r="F78" i="6"/>
  <c r="E78" i="6"/>
  <c r="D78" i="6"/>
  <c r="C78" i="6"/>
  <c r="I77" i="6"/>
  <c r="H77" i="6"/>
  <c r="G77" i="6"/>
  <c r="F77" i="6"/>
  <c r="E77" i="6"/>
  <c r="D77" i="6"/>
  <c r="C77" i="6"/>
  <c r="I75" i="6"/>
  <c r="H75" i="6"/>
  <c r="G75" i="6"/>
  <c r="F75" i="6"/>
  <c r="E75" i="6"/>
  <c r="D75" i="6"/>
  <c r="C75" i="6"/>
  <c r="I74" i="6"/>
  <c r="H74" i="6"/>
  <c r="G74" i="6"/>
  <c r="F74" i="6"/>
  <c r="E74" i="6"/>
  <c r="D74" i="6"/>
  <c r="C74" i="6"/>
  <c r="I73" i="6"/>
  <c r="H73" i="6"/>
  <c r="G73" i="6"/>
  <c r="F73" i="6"/>
  <c r="E73" i="6"/>
  <c r="D73" i="6"/>
  <c r="C73" i="6"/>
  <c r="I72" i="6"/>
  <c r="H72" i="6"/>
  <c r="G72" i="6"/>
  <c r="F72" i="6"/>
  <c r="E72" i="6"/>
  <c r="D72" i="6"/>
  <c r="C72" i="6"/>
  <c r="I71" i="6"/>
  <c r="H71" i="6"/>
  <c r="G71" i="6"/>
  <c r="F71" i="6"/>
  <c r="E71" i="6"/>
  <c r="D71" i="6"/>
  <c r="C71" i="6"/>
  <c r="I70" i="6"/>
  <c r="H70" i="6"/>
  <c r="G70" i="6"/>
  <c r="F70" i="6"/>
  <c r="E70" i="6"/>
  <c r="D70" i="6"/>
  <c r="C70" i="6"/>
  <c r="I69" i="6"/>
  <c r="H69" i="6"/>
  <c r="G69" i="6"/>
  <c r="F69" i="6"/>
  <c r="E69" i="6"/>
  <c r="D69" i="6"/>
  <c r="C69" i="6"/>
  <c r="I68" i="6"/>
  <c r="H68" i="6"/>
  <c r="G68" i="6"/>
  <c r="F68" i="6"/>
  <c r="E68" i="6"/>
  <c r="D68" i="6"/>
  <c r="C68" i="6"/>
  <c r="I66" i="6"/>
  <c r="H66" i="6"/>
  <c r="G66" i="6"/>
  <c r="F66" i="6"/>
  <c r="E66" i="6"/>
  <c r="D66" i="6"/>
  <c r="C66" i="6"/>
  <c r="I65" i="6"/>
  <c r="H65" i="6"/>
  <c r="G65" i="6"/>
  <c r="F65" i="6"/>
  <c r="E65" i="6"/>
  <c r="D65" i="6"/>
  <c r="C65" i="6"/>
  <c r="I64" i="6"/>
  <c r="H64" i="6"/>
  <c r="G64" i="6"/>
  <c r="F64" i="6"/>
  <c r="E64" i="6"/>
  <c r="D64" i="6"/>
  <c r="C64" i="6"/>
  <c r="I62" i="6"/>
  <c r="H62" i="6"/>
  <c r="G62" i="6"/>
  <c r="F62" i="6"/>
  <c r="E62" i="6"/>
  <c r="D62" i="6"/>
  <c r="C62" i="6"/>
  <c r="I61" i="6"/>
  <c r="H61" i="6"/>
  <c r="G61" i="6"/>
  <c r="F61" i="6"/>
  <c r="E61" i="6"/>
  <c r="D61" i="6"/>
  <c r="C61" i="6"/>
  <c r="I60" i="6"/>
  <c r="H60" i="6"/>
  <c r="G60" i="6"/>
  <c r="F60" i="6"/>
  <c r="E60" i="6"/>
  <c r="D60" i="6"/>
  <c r="C60" i="6"/>
  <c r="I59" i="6"/>
  <c r="H59" i="6"/>
  <c r="G59" i="6"/>
  <c r="F59" i="6"/>
  <c r="E59" i="6"/>
  <c r="D59" i="6"/>
  <c r="C59" i="6"/>
  <c r="I58" i="6"/>
  <c r="H58" i="6"/>
  <c r="G58" i="6"/>
  <c r="F58" i="6"/>
  <c r="E58" i="6"/>
  <c r="D58" i="6"/>
  <c r="C58" i="6"/>
  <c r="I57" i="6"/>
  <c r="H57" i="6"/>
  <c r="G57" i="6"/>
  <c r="F57" i="6"/>
  <c r="E57" i="6"/>
  <c r="D57" i="6"/>
  <c r="C57" i="6"/>
  <c r="I55" i="6"/>
  <c r="H55" i="6"/>
  <c r="G55" i="6"/>
  <c r="F55" i="6"/>
  <c r="E55" i="6"/>
  <c r="D55" i="6"/>
  <c r="C55" i="6"/>
  <c r="I54" i="6"/>
  <c r="H54" i="6"/>
  <c r="G54" i="6"/>
  <c r="F54" i="6"/>
  <c r="E54" i="6"/>
  <c r="D54" i="6"/>
  <c r="C54" i="6"/>
  <c r="I51" i="6"/>
  <c r="H51" i="6"/>
  <c r="G51" i="6"/>
  <c r="F51" i="6"/>
  <c r="E51" i="6"/>
  <c r="D51" i="6"/>
  <c r="C51" i="6"/>
  <c r="I50" i="6"/>
  <c r="H50" i="6"/>
  <c r="G50" i="6"/>
  <c r="F50" i="6"/>
  <c r="E50" i="6"/>
  <c r="D50" i="6"/>
  <c r="C50" i="6"/>
  <c r="I49" i="6"/>
  <c r="H49" i="6"/>
  <c r="G49" i="6"/>
  <c r="F49" i="6"/>
  <c r="E49" i="6"/>
  <c r="D49" i="6"/>
  <c r="C49" i="6"/>
  <c r="I48" i="6"/>
  <c r="H48" i="6"/>
  <c r="G48" i="6"/>
  <c r="F48" i="6"/>
  <c r="E48" i="6"/>
  <c r="D48" i="6"/>
  <c r="C48" i="6"/>
  <c r="I47" i="6"/>
  <c r="H47" i="6"/>
  <c r="G47" i="6"/>
  <c r="F47" i="6"/>
  <c r="E47" i="6"/>
  <c r="D47" i="6"/>
  <c r="C47" i="6"/>
  <c r="I46" i="6"/>
  <c r="H46" i="6"/>
  <c r="G46" i="6"/>
  <c r="F46" i="6"/>
  <c r="E46" i="6"/>
  <c r="D46" i="6"/>
  <c r="C46" i="6"/>
  <c r="I45" i="6"/>
  <c r="H45" i="6"/>
  <c r="G45" i="6"/>
  <c r="F45" i="6"/>
  <c r="E45" i="6"/>
  <c r="D45" i="6"/>
  <c r="C45" i="6"/>
  <c r="I44" i="6"/>
  <c r="H44" i="6"/>
  <c r="G44" i="6"/>
  <c r="F44" i="6"/>
  <c r="E44" i="6"/>
  <c r="D44" i="6"/>
  <c r="C44" i="6"/>
  <c r="I43" i="6"/>
  <c r="H43" i="6"/>
  <c r="G43" i="6"/>
  <c r="F43" i="6"/>
  <c r="E43" i="6"/>
  <c r="D43" i="6"/>
  <c r="C43" i="6"/>
  <c r="I42" i="6"/>
  <c r="H42" i="6"/>
  <c r="G42" i="6"/>
  <c r="F42" i="6"/>
  <c r="E42" i="6"/>
  <c r="D42" i="6"/>
  <c r="C42" i="6"/>
  <c r="I41" i="6"/>
  <c r="H41" i="6"/>
  <c r="G41" i="6"/>
  <c r="F41" i="6"/>
  <c r="E41" i="6"/>
  <c r="D41" i="6"/>
  <c r="C41" i="6"/>
  <c r="I40" i="6"/>
  <c r="H40" i="6"/>
  <c r="G40" i="6"/>
  <c r="F40" i="6"/>
  <c r="E40" i="6"/>
  <c r="D40" i="6"/>
  <c r="C40" i="6"/>
  <c r="I39" i="6"/>
  <c r="H39" i="6"/>
  <c r="G39" i="6"/>
  <c r="F39" i="6"/>
  <c r="E39" i="6"/>
  <c r="D39" i="6"/>
  <c r="C39" i="6"/>
  <c r="I37" i="6"/>
  <c r="H37" i="6"/>
  <c r="G37" i="6"/>
  <c r="F37" i="6"/>
  <c r="E37" i="6"/>
  <c r="D37" i="6"/>
  <c r="C37" i="6"/>
  <c r="I31" i="6"/>
  <c r="H31" i="6"/>
  <c r="G31" i="6"/>
  <c r="F31" i="6"/>
  <c r="E31" i="6"/>
  <c r="D31" i="6"/>
  <c r="C31" i="6"/>
  <c r="I29" i="6"/>
  <c r="I28" i="6" s="1"/>
  <c r="H29" i="6"/>
  <c r="H28" i="6" s="1"/>
  <c r="G29" i="6"/>
  <c r="G28" i="6" s="1"/>
  <c r="F29" i="6"/>
  <c r="F28" i="6" s="1"/>
  <c r="E29" i="6"/>
  <c r="E28" i="6" s="1"/>
  <c r="D29" i="6"/>
  <c r="D28" i="6" s="1"/>
  <c r="C29" i="6"/>
  <c r="C28" i="6" s="1"/>
  <c r="I27" i="6"/>
  <c r="H27" i="6"/>
  <c r="G27" i="6"/>
  <c r="F27" i="6"/>
  <c r="E27" i="6"/>
  <c r="D27" i="6"/>
  <c r="C27" i="6"/>
  <c r="I26" i="6"/>
  <c r="H26" i="6"/>
  <c r="G26" i="6"/>
  <c r="F26" i="6"/>
  <c r="E26" i="6"/>
  <c r="D26" i="6"/>
  <c r="C26" i="6"/>
  <c r="I25" i="6"/>
  <c r="H25" i="6"/>
  <c r="G25" i="6"/>
  <c r="F25" i="6"/>
  <c r="E25" i="6"/>
  <c r="D25" i="6"/>
  <c r="C25" i="6"/>
  <c r="I24" i="6"/>
  <c r="H24" i="6"/>
  <c r="G24" i="6"/>
  <c r="F24" i="6"/>
  <c r="E24" i="6"/>
  <c r="D24" i="6"/>
  <c r="C24" i="6"/>
  <c r="I23" i="6"/>
  <c r="H23" i="6"/>
  <c r="G23" i="6"/>
  <c r="F23" i="6"/>
  <c r="E23" i="6"/>
  <c r="D23" i="6"/>
  <c r="C23" i="6"/>
  <c r="I22" i="6"/>
  <c r="H22" i="6"/>
  <c r="G22" i="6"/>
  <c r="F22" i="6"/>
  <c r="E22" i="6"/>
  <c r="D22" i="6"/>
  <c r="C22" i="6"/>
  <c r="J22" i="6"/>
  <c r="J23" i="6"/>
  <c r="J24" i="6"/>
  <c r="J25" i="6"/>
  <c r="J26" i="6"/>
  <c r="J27" i="6"/>
  <c r="J29" i="6"/>
  <c r="J28" i="6" s="1"/>
  <c r="J31" i="6"/>
  <c r="C8" i="6"/>
  <c r="D8" i="6"/>
  <c r="E8" i="6"/>
  <c r="F8" i="6"/>
  <c r="G8" i="6"/>
  <c r="H8" i="6"/>
  <c r="I8" i="6"/>
  <c r="C9" i="6"/>
  <c r="D9" i="6"/>
  <c r="E9" i="6"/>
  <c r="F9" i="6"/>
  <c r="G9" i="6"/>
  <c r="H9" i="6"/>
  <c r="I9" i="6"/>
  <c r="C10" i="6"/>
  <c r="D10" i="6"/>
  <c r="E10" i="6"/>
  <c r="F10" i="6"/>
  <c r="G10" i="6"/>
  <c r="H10" i="6"/>
  <c r="I10" i="6"/>
  <c r="C11" i="6"/>
  <c r="D11" i="6"/>
  <c r="E11" i="6"/>
  <c r="F11" i="6"/>
  <c r="G11" i="6"/>
  <c r="H11" i="6"/>
  <c r="I11" i="6"/>
  <c r="C12" i="6"/>
  <c r="D12" i="6"/>
  <c r="E12" i="6"/>
  <c r="F12" i="6"/>
  <c r="G12" i="6"/>
  <c r="C14" i="6"/>
  <c r="D14" i="6"/>
  <c r="E14" i="6"/>
  <c r="F14" i="6"/>
  <c r="G14" i="6"/>
  <c r="H14" i="6"/>
  <c r="I14" i="6"/>
  <c r="C15" i="6"/>
  <c r="D15" i="6"/>
  <c r="E15" i="6"/>
  <c r="F15" i="6"/>
  <c r="G15" i="6"/>
  <c r="H15" i="6"/>
  <c r="I15" i="6"/>
  <c r="C16" i="6"/>
  <c r="D16" i="6"/>
  <c r="E16" i="6"/>
  <c r="F16" i="6"/>
  <c r="G16" i="6"/>
  <c r="H16" i="6"/>
  <c r="I16" i="6"/>
  <c r="C18" i="6"/>
  <c r="C17" i="6" s="1"/>
  <c r="D18" i="6"/>
  <c r="D17" i="6" s="1"/>
  <c r="E18" i="6"/>
  <c r="E17" i="6" s="1"/>
  <c r="F18" i="6"/>
  <c r="F17" i="6" s="1"/>
  <c r="G18" i="6"/>
  <c r="G17" i="6" s="1"/>
  <c r="H18" i="6"/>
  <c r="H17" i="6" s="1"/>
  <c r="I18" i="6"/>
  <c r="I17" i="6" s="1"/>
  <c r="C19" i="6"/>
  <c r="D19" i="6"/>
  <c r="E19" i="6"/>
  <c r="F19" i="6"/>
  <c r="G19" i="6"/>
  <c r="H19" i="6"/>
  <c r="I19" i="6"/>
  <c r="I123" i="1"/>
  <c r="H123" i="1"/>
  <c r="G123" i="1"/>
  <c r="F123" i="1"/>
  <c r="E123" i="1"/>
  <c r="D123" i="1"/>
  <c r="C123" i="1"/>
  <c r="I122" i="1"/>
  <c r="H122" i="1"/>
  <c r="G122" i="1"/>
  <c r="F122" i="1"/>
  <c r="E122" i="1"/>
  <c r="D122" i="1"/>
  <c r="C122" i="1"/>
  <c r="C110" i="1"/>
  <c r="D110" i="1"/>
  <c r="E110" i="1"/>
  <c r="F110" i="1"/>
  <c r="G110" i="1"/>
  <c r="H110" i="1"/>
  <c r="I110" i="1"/>
  <c r="C111" i="1"/>
  <c r="D111" i="1"/>
  <c r="E111" i="1"/>
  <c r="F111" i="1"/>
  <c r="G111" i="1"/>
  <c r="H111" i="1"/>
  <c r="I111" i="1"/>
  <c r="C112" i="1"/>
  <c r="D112" i="1"/>
  <c r="E112" i="1"/>
  <c r="F112" i="1"/>
  <c r="G112" i="1"/>
  <c r="H112" i="1"/>
  <c r="I112" i="1"/>
  <c r="C113" i="1"/>
  <c r="D113" i="1"/>
  <c r="E113" i="1"/>
  <c r="F113" i="1"/>
  <c r="G113" i="1"/>
  <c r="H113" i="1"/>
  <c r="I113" i="1"/>
  <c r="C114" i="1"/>
  <c r="D114" i="1"/>
  <c r="E114" i="1"/>
  <c r="F114" i="1"/>
  <c r="G114" i="1"/>
  <c r="H114" i="1"/>
  <c r="I114" i="1"/>
  <c r="C116" i="1"/>
  <c r="D116" i="1"/>
  <c r="E116" i="1"/>
  <c r="F116" i="1"/>
  <c r="G116" i="1"/>
  <c r="H116" i="1"/>
  <c r="I116" i="1"/>
  <c r="C117" i="1"/>
  <c r="D117" i="1"/>
  <c r="E117" i="1"/>
  <c r="F117" i="1"/>
  <c r="G117" i="1"/>
  <c r="H117" i="1"/>
  <c r="I117" i="1"/>
  <c r="C99" i="1"/>
  <c r="D99" i="1"/>
  <c r="E99" i="1"/>
  <c r="F99" i="1"/>
  <c r="G99" i="1"/>
  <c r="H99" i="1"/>
  <c r="I99" i="1"/>
  <c r="C101" i="1"/>
  <c r="D101" i="1"/>
  <c r="E101" i="1"/>
  <c r="F101" i="1"/>
  <c r="G101" i="1"/>
  <c r="H101" i="1"/>
  <c r="I101" i="1"/>
  <c r="C102" i="1"/>
  <c r="D102" i="1"/>
  <c r="E102" i="1"/>
  <c r="F102" i="1"/>
  <c r="G102" i="1"/>
  <c r="H102" i="1"/>
  <c r="I102" i="1"/>
  <c r="C103" i="1"/>
  <c r="D103" i="1"/>
  <c r="E103" i="1"/>
  <c r="F103" i="1"/>
  <c r="G103" i="1"/>
  <c r="H103" i="1"/>
  <c r="I103" i="1"/>
  <c r="C104" i="1"/>
  <c r="D104" i="1"/>
  <c r="E104" i="1"/>
  <c r="F104" i="1"/>
  <c r="G104" i="1"/>
  <c r="H104" i="1"/>
  <c r="I104" i="1"/>
  <c r="C105" i="1"/>
  <c r="D105" i="1"/>
  <c r="E105" i="1"/>
  <c r="F105" i="1"/>
  <c r="G105" i="1"/>
  <c r="H105" i="1"/>
  <c r="I105" i="1"/>
  <c r="C106" i="1"/>
  <c r="D106" i="1"/>
  <c r="E106" i="1"/>
  <c r="F106" i="1"/>
  <c r="G106" i="1"/>
  <c r="H106" i="1"/>
  <c r="I106" i="1"/>
  <c r="C107" i="1"/>
  <c r="D107" i="1"/>
  <c r="E107" i="1"/>
  <c r="F107" i="1"/>
  <c r="G107" i="1"/>
  <c r="H107" i="1"/>
  <c r="I107" i="1"/>
  <c r="C108" i="1"/>
  <c r="D108" i="1"/>
  <c r="E108" i="1"/>
  <c r="F108" i="1"/>
  <c r="G108" i="1"/>
  <c r="H108" i="1"/>
  <c r="I108" i="1"/>
  <c r="C109" i="1"/>
  <c r="D109" i="1"/>
  <c r="E109" i="1"/>
  <c r="F109" i="1"/>
  <c r="G109" i="1"/>
  <c r="H109" i="1"/>
  <c r="I109" i="1"/>
  <c r="C84" i="1"/>
  <c r="D84" i="1"/>
  <c r="E84" i="1"/>
  <c r="F84" i="1"/>
  <c r="G84" i="1"/>
  <c r="H84" i="1"/>
  <c r="I84" i="1"/>
  <c r="C86" i="1"/>
  <c r="D86" i="1"/>
  <c r="E86" i="1"/>
  <c r="F86" i="1"/>
  <c r="G86" i="1"/>
  <c r="H86" i="1"/>
  <c r="I86" i="1"/>
  <c r="C87" i="1"/>
  <c r="D87" i="1"/>
  <c r="E87" i="1"/>
  <c r="F87" i="1"/>
  <c r="G87" i="1"/>
  <c r="H87" i="1"/>
  <c r="I87" i="1"/>
  <c r="C88" i="1"/>
  <c r="D88" i="1"/>
  <c r="E88" i="1"/>
  <c r="F88" i="1"/>
  <c r="G88" i="1"/>
  <c r="H88" i="1"/>
  <c r="I88" i="1"/>
  <c r="C89" i="1"/>
  <c r="D89" i="1"/>
  <c r="E89" i="1"/>
  <c r="F89" i="1"/>
  <c r="G89" i="1"/>
  <c r="H89" i="1"/>
  <c r="I89" i="1"/>
  <c r="C90" i="1"/>
  <c r="D90" i="1"/>
  <c r="E90" i="1"/>
  <c r="F90" i="1"/>
  <c r="G90" i="1"/>
  <c r="H90" i="1"/>
  <c r="I90" i="1"/>
  <c r="C91" i="1"/>
  <c r="D91" i="1"/>
  <c r="E91" i="1"/>
  <c r="F91" i="1"/>
  <c r="G91" i="1"/>
  <c r="H91" i="1"/>
  <c r="I91" i="1"/>
  <c r="C92" i="1"/>
  <c r="D92" i="1"/>
  <c r="E92" i="1"/>
  <c r="F92" i="1"/>
  <c r="G92" i="1"/>
  <c r="H92" i="1"/>
  <c r="I92" i="1"/>
  <c r="C93" i="1"/>
  <c r="D93" i="1"/>
  <c r="E93" i="1"/>
  <c r="F93" i="1"/>
  <c r="G93" i="1"/>
  <c r="H93" i="1"/>
  <c r="I93" i="1"/>
  <c r="C94" i="1"/>
  <c r="D94" i="1"/>
  <c r="E94" i="1"/>
  <c r="F94" i="1"/>
  <c r="G94" i="1"/>
  <c r="H94" i="1"/>
  <c r="I94" i="1"/>
  <c r="C95" i="1"/>
  <c r="D95" i="1"/>
  <c r="E95" i="1"/>
  <c r="F95" i="1"/>
  <c r="G95" i="1"/>
  <c r="H95" i="1"/>
  <c r="I95" i="1"/>
  <c r="C96" i="1"/>
  <c r="D96" i="1"/>
  <c r="E96" i="1"/>
  <c r="F96" i="1"/>
  <c r="G96" i="1"/>
  <c r="H96" i="1"/>
  <c r="I96" i="1"/>
  <c r="C97" i="1"/>
  <c r="D97" i="1"/>
  <c r="E97" i="1"/>
  <c r="F97" i="1"/>
  <c r="G97" i="1"/>
  <c r="H97" i="1"/>
  <c r="I97" i="1"/>
  <c r="C98" i="1"/>
  <c r="D98" i="1"/>
  <c r="E98" i="1"/>
  <c r="F98" i="1"/>
  <c r="G98" i="1"/>
  <c r="H98" i="1"/>
  <c r="I98" i="1"/>
  <c r="C75" i="1"/>
  <c r="D75" i="1"/>
  <c r="E75" i="1"/>
  <c r="F75" i="1"/>
  <c r="G75" i="1"/>
  <c r="H75" i="1"/>
  <c r="I75" i="1"/>
  <c r="C76" i="1"/>
  <c r="D76" i="1"/>
  <c r="E76" i="1"/>
  <c r="F76" i="1"/>
  <c r="G76" i="1"/>
  <c r="H76" i="1"/>
  <c r="I76" i="1"/>
  <c r="C78" i="1"/>
  <c r="D78" i="1"/>
  <c r="E78" i="1"/>
  <c r="F78" i="1"/>
  <c r="G78" i="1"/>
  <c r="H78" i="1"/>
  <c r="I78" i="1"/>
  <c r="C79" i="1"/>
  <c r="D79" i="1"/>
  <c r="E79" i="1"/>
  <c r="F79" i="1"/>
  <c r="G79" i="1"/>
  <c r="H79" i="1"/>
  <c r="I79" i="1"/>
  <c r="C80" i="1"/>
  <c r="D80" i="1"/>
  <c r="E80" i="1"/>
  <c r="F80" i="1"/>
  <c r="G80" i="1"/>
  <c r="H80" i="1"/>
  <c r="I80" i="1"/>
  <c r="C63" i="1"/>
  <c r="D63" i="1"/>
  <c r="E63" i="1"/>
  <c r="F63" i="1"/>
  <c r="G63" i="1"/>
  <c r="H63" i="1"/>
  <c r="I63" i="1"/>
  <c r="C64" i="1"/>
  <c r="D64" i="1"/>
  <c r="E64" i="1"/>
  <c r="F64" i="1"/>
  <c r="G64" i="1"/>
  <c r="H64" i="1"/>
  <c r="I64" i="1"/>
  <c r="C66" i="1"/>
  <c r="C65" i="1" s="1"/>
  <c r="D66" i="1"/>
  <c r="D65" i="1" s="1"/>
  <c r="E66" i="1"/>
  <c r="E65" i="1" s="1"/>
  <c r="F66" i="1"/>
  <c r="F65" i="1" s="1"/>
  <c r="G66" i="1"/>
  <c r="G65" i="1" s="1"/>
  <c r="H66" i="1"/>
  <c r="H65" i="1" s="1"/>
  <c r="I66" i="1"/>
  <c r="I65" i="1" s="1"/>
  <c r="C67" i="1"/>
  <c r="D67" i="1"/>
  <c r="E67" i="1"/>
  <c r="F67" i="1"/>
  <c r="G67" i="1"/>
  <c r="H67" i="1"/>
  <c r="I67" i="1"/>
  <c r="C68" i="1"/>
  <c r="D68" i="1"/>
  <c r="E68" i="1"/>
  <c r="F68" i="1"/>
  <c r="G68" i="1"/>
  <c r="H68" i="1"/>
  <c r="I68" i="1"/>
  <c r="C69" i="1"/>
  <c r="D69" i="1"/>
  <c r="E69" i="1"/>
  <c r="F69" i="1"/>
  <c r="G69" i="1"/>
  <c r="H69" i="1"/>
  <c r="I69" i="1"/>
  <c r="C71" i="1"/>
  <c r="D71" i="1"/>
  <c r="E71" i="1"/>
  <c r="F71" i="1"/>
  <c r="G71" i="1"/>
  <c r="H71" i="1"/>
  <c r="I71" i="1"/>
  <c r="C72" i="1"/>
  <c r="D72" i="1"/>
  <c r="E72" i="1"/>
  <c r="F72" i="1"/>
  <c r="G72" i="1"/>
  <c r="H72" i="1"/>
  <c r="I72" i="1"/>
  <c r="C73" i="1"/>
  <c r="D73" i="1"/>
  <c r="E73" i="1"/>
  <c r="F73" i="1"/>
  <c r="G73" i="1"/>
  <c r="H73" i="1"/>
  <c r="I73" i="1"/>
  <c r="C74" i="1"/>
  <c r="D74" i="1"/>
  <c r="E74" i="1"/>
  <c r="F74" i="1"/>
  <c r="G74" i="1"/>
  <c r="H74" i="1"/>
  <c r="I74" i="1"/>
  <c r="C51" i="1"/>
  <c r="D51" i="1"/>
  <c r="E51" i="1"/>
  <c r="F51" i="1"/>
  <c r="G51" i="1"/>
  <c r="H51" i="1"/>
  <c r="I51" i="1"/>
  <c r="C52" i="1"/>
  <c r="D52" i="1"/>
  <c r="E52" i="1"/>
  <c r="F52" i="1"/>
  <c r="G52" i="1"/>
  <c r="H52" i="1"/>
  <c r="I52" i="1"/>
  <c r="C53" i="1"/>
  <c r="D53" i="1"/>
  <c r="E53" i="1"/>
  <c r="F53" i="1"/>
  <c r="G53" i="1"/>
  <c r="H53" i="1"/>
  <c r="I53" i="1"/>
  <c r="C55" i="1"/>
  <c r="D55" i="1"/>
  <c r="E55" i="1"/>
  <c r="F55" i="1"/>
  <c r="G55" i="1"/>
  <c r="H55" i="1"/>
  <c r="I55" i="1"/>
  <c r="C56" i="1"/>
  <c r="D56" i="1"/>
  <c r="E56" i="1"/>
  <c r="F56" i="1"/>
  <c r="G56" i="1"/>
  <c r="H56" i="1"/>
  <c r="I56" i="1"/>
  <c r="C57" i="1"/>
  <c r="D57" i="1"/>
  <c r="E57" i="1"/>
  <c r="F57" i="1"/>
  <c r="G57" i="1"/>
  <c r="H57" i="1"/>
  <c r="I57" i="1"/>
  <c r="C59" i="1"/>
  <c r="D59" i="1"/>
  <c r="E59" i="1"/>
  <c r="F59" i="1"/>
  <c r="G59" i="1"/>
  <c r="H59" i="1"/>
  <c r="I59" i="1"/>
  <c r="C60" i="1"/>
  <c r="D60" i="1"/>
  <c r="E60" i="1"/>
  <c r="F60" i="1"/>
  <c r="G60" i="1"/>
  <c r="H60" i="1"/>
  <c r="I60" i="1"/>
  <c r="C61" i="1"/>
  <c r="D61" i="1"/>
  <c r="E61" i="1"/>
  <c r="F61" i="1"/>
  <c r="G61" i="1"/>
  <c r="H61" i="1"/>
  <c r="I61" i="1"/>
  <c r="C37" i="1"/>
  <c r="D37" i="1"/>
  <c r="E37" i="1"/>
  <c r="F37" i="1"/>
  <c r="G37" i="1"/>
  <c r="H37" i="1"/>
  <c r="I37" i="1"/>
  <c r="C38" i="1"/>
  <c r="D38" i="1"/>
  <c r="E38" i="1"/>
  <c r="F38" i="1"/>
  <c r="G38" i="1"/>
  <c r="H38" i="1"/>
  <c r="I38" i="1"/>
  <c r="C39" i="1"/>
  <c r="D39" i="1"/>
  <c r="E39" i="1"/>
  <c r="F39" i="1"/>
  <c r="G39" i="1"/>
  <c r="H39" i="1"/>
  <c r="I39" i="1"/>
  <c r="C40" i="1"/>
  <c r="D40" i="1"/>
  <c r="E40" i="1"/>
  <c r="F40" i="1"/>
  <c r="G40" i="1"/>
  <c r="H40" i="1"/>
  <c r="I40" i="1"/>
  <c r="C41" i="1"/>
  <c r="D41" i="1"/>
  <c r="E41" i="1"/>
  <c r="F41" i="1"/>
  <c r="G41" i="1"/>
  <c r="H41" i="1"/>
  <c r="I41" i="1"/>
  <c r="C42" i="1"/>
  <c r="D42" i="1"/>
  <c r="E42" i="1"/>
  <c r="F42" i="1"/>
  <c r="G42" i="1"/>
  <c r="H42" i="1"/>
  <c r="I42" i="1"/>
  <c r="C43" i="1"/>
  <c r="D43" i="1"/>
  <c r="E43" i="1"/>
  <c r="F43" i="1"/>
  <c r="G43" i="1"/>
  <c r="H43" i="1"/>
  <c r="I43" i="1"/>
  <c r="C44" i="1"/>
  <c r="D44" i="1"/>
  <c r="E44" i="1"/>
  <c r="F44" i="1"/>
  <c r="G44" i="1"/>
  <c r="H44" i="1"/>
  <c r="I44" i="1"/>
  <c r="C45" i="1"/>
  <c r="D45" i="1"/>
  <c r="E45" i="1"/>
  <c r="F45" i="1"/>
  <c r="G45" i="1"/>
  <c r="H45" i="1"/>
  <c r="I45" i="1"/>
  <c r="C46" i="1"/>
  <c r="D46" i="1"/>
  <c r="E46" i="1"/>
  <c r="F46" i="1"/>
  <c r="G46" i="1"/>
  <c r="H46" i="1"/>
  <c r="I46" i="1"/>
  <c r="C47" i="1"/>
  <c r="D47" i="1"/>
  <c r="E47" i="1"/>
  <c r="F47" i="1"/>
  <c r="G47" i="1"/>
  <c r="H47" i="1"/>
  <c r="I47" i="1"/>
  <c r="C48" i="1"/>
  <c r="D48" i="1"/>
  <c r="E48" i="1"/>
  <c r="F48" i="1"/>
  <c r="G48" i="1"/>
  <c r="H48" i="1"/>
  <c r="I48" i="1"/>
  <c r="C49" i="1"/>
  <c r="D49" i="1"/>
  <c r="E49" i="1"/>
  <c r="F49" i="1"/>
  <c r="G49" i="1"/>
  <c r="H49" i="1"/>
  <c r="I49" i="1"/>
  <c r="C50" i="1"/>
  <c r="D50" i="1"/>
  <c r="E50" i="1"/>
  <c r="F50" i="1"/>
  <c r="G50" i="1"/>
  <c r="H50" i="1"/>
  <c r="I50" i="1"/>
  <c r="I32" i="1"/>
  <c r="H32" i="1"/>
  <c r="G32" i="1"/>
  <c r="F32" i="1"/>
  <c r="E32" i="1"/>
  <c r="D32" i="1"/>
  <c r="C32" i="1"/>
  <c r="I30" i="1"/>
  <c r="I29" i="1" s="1"/>
  <c r="H30" i="1"/>
  <c r="H29" i="1" s="1"/>
  <c r="G30" i="1"/>
  <c r="G29" i="1" s="1"/>
  <c r="F30" i="1"/>
  <c r="F29" i="1" s="1"/>
  <c r="E30" i="1"/>
  <c r="E29" i="1" s="1"/>
  <c r="D30" i="1"/>
  <c r="D29" i="1" s="1"/>
  <c r="C30" i="1"/>
  <c r="C29" i="1" s="1"/>
  <c r="I28" i="1"/>
  <c r="H28" i="1"/>
  <c r="G28" i="1"/>
  <c r="F28" i="1"/>
  <c r="E28" i="1"/>
  <c r="D28" i="1"/>
  <c r="C28" i="1"/>
  <c r="I27" i="1"/>
  <c r="H27" i="1"/>
  <c r="G27" i="1"/>
  <c r="F27" i="1"/>
  <c r="E27" i="1"/>
  <c r="D27" i="1"/>
  <c r="C27" i="1"/>
  <c r="I26" i="1"/>
  <c r="H26" i="1"/>
  <c r="G26" i="1"/>
  <c r="F26" i="1"/>
  <c r="E26" i="1"/>
  <c r="D26" i="1"/>
  <c r="C26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I22" i="1"/>
  <c r="H22" i="1"/>
  <c r="G22" i="1"/>
  <c r="F22" i="1"/>
  <c r="E22" i="1"/>
  <c r="D22" i="1"/>
  <c r="C22" i="1"/>
  <c r="I21" i="1"/>
  <c r="H21" i="1"/>
  <c r="G21" i="1"/>
  <c r="F21" i="1"/>
  <c r="E21" i="1"/>
  <c r="D21" i="1"/>
  <c r="C21" i="1"/>
  <c r="C8" i="1"/>
  <c r="D8" i="1"/>
  <c r="C9" i="1"/>
  <c r="D9" i="1"/>
  <c r="E9" i="1"/>
  <c r="F9" i="1"/>
  <c r="G9" i="1"/>
  <c r="H9" i="1"/>
  <c r="I9" i="1"/>
  <c r="C10" i="1"/>
  <c r="D10" i="1"/>
  <c r="E10" i="1"/>
  <c r="F10" i="1"/>
  <c r="G10" i="1"/>
  <c r="H10" i="1"/>
  <c r="I10" i="1"/>
  <c r="C11" i="1"/>
  <c r="D11" i="1"/>
  <c r="E11" i="1"/>
  <c r="F11" i="1"/>
  <c r="G11" i="1"/>
  <c r="H11" i="1"/>
  <c r="I11" i="1"/>
  <c r="C13" i="1"/>
  <c r="D13" i="1"/>
  <c r="E13" i="1"/>
  <c r="F13" i="1"/>
  <c r="G13" i="1"/>
  <c r="H13" i="1"/>
  <c r="I13" i="1"/>
  <c r="C14" i="1"/>
  <c r="D14" i="1"/>
  <c r="E14" i="1"/>
  <c r="F14" i="1"/>
  <c r="G14" i="1"/>
  <c r="H14" i="1"/>
  <c r="I14" i="1"/>
  <c r="C15" i="1"/>
  <c r="D15" i="1"/>
  <c r="E15" i="1"/>
  <c r="F15" i="1"/>
  <c r="G15" i="1"/>
  <c r="H15" i="1"/>
  <c r="I15" i="1"/>
  <c r="C17" i="1"/>
  <c r="C16" i="1" s="1"/>
  <c r="D17" i="1"/>
  <c r="D16" i="1" s="1"/>
  <c r="E17" i="1"/>
  <c r="E16" i="1" s="1"/>
  <c r="F17" i="1"/>
  <c r="F16" i="1" s="1"/>
  <c r="G17" i="1"/>
  <c r="G16" i="1" s="1"/>
  <c r="H17" i="1"/>
  <c r="H16" i="1" s="1"/>
  <c r="I17" i="1"/>
  <c r="I16" i="1" s="1"/>
  <c r="C18" i="1"/>
  <c r="D18" i="1"/>
  <c r="E18" i="1"/>
  <c r="F18" i="1"/>
  <c r="G18" i="1"/>
  <c r="H18" i="1"/>
  <c r="I18" i="1"/>
  <c r="D10" i="4"/>
  <c r="E10" i="4" s="1"/>
  <c r="D111" i="6"/>
  <c r="E111" i="6"/>
  <c r="F111" i="6"/>
  <c r="G111" i="6"/>
  <c r="H111" i="6"/>
  <c r="I111" i="6"/>
  <c r="N52" i="6"/>
  <c r="C53" i="6"/>
  <c r="D53" i="6"/>
  <c r="E53" i="6"/>
  <c r="F53" i="6"/>
  <c r="G53" i="6"/>
  <c r="H53" i="6"/>
  <c r="I53" i="6"/>
  <c r="C52" i="6"/>
  <c r="D52" i="6"/>
  <c r="E52" i="6"/>
  <c r="F52" i="6"/>
  <c r="G52" i="6"/>
  <c r="H52" i="6"/>
  <c r="I52" i="6"/>
  <c r="C38" i="6"/>
  <c r="D38" i="6"/>
  <c r="E38" i="6"/>
  <c r="F38" i="6"/>
  <c r="G38" i="6"/>
  <c r="H38" i="6"/>
  <c r="I38" i="6"/>
  <c r="C36" i="6"/>
  <c r="D36" i="6"/>
  <c r="E36" i="6"/>
  <c r="F36" i="6"/>
  <c r="G36" i="6"/>
  <c r="H36" i="6"/>
  <c r="I36" i="6"/>
  <c r="C21" i="8"/>
  <c r="D21" i="8"/>
  <c r="E21" i="8"/>
  <c r="F21" i="8"/>
  <c r="G21" i="8"/>
  <c r="H21" i="8"/>
  <c r="H32" i="8" s="1"/>
  <c r="I21" i="8"/>
  <c r="C7" i="8"/>
  <c r="J36" i="6"/>
  <c r="C103" i="2"/>
  <c r="C102" i="2" s="1"/>
  <c r="C106" i="2" s="1"/>
  <c r="D103" i="2"/>
  <c r="E103" i="2"/>
  <c r="F103" i="2"/>
  <c r="G103" i="2"/>
  <c r="H103" i="2"/>
  <c r="I103" i="2"/>
  <c r="C83" i="2"/>
  <c r="C67" i="2"/>
  <c r="C31" i="2"/>
  <c r="C31" i="1" s="1"/>
  <c r="F31" i="1"/>
  <c r="G31" i="1"/>
  <c r="H31" i="1"/>
  <c r="I31" i="1"/>
  <c r="C29" i="2"/>
  <c r="C20" i="2"/>
  <c r="D7" i="2"/>
  <c r="E7" i="2"/>
  <c r="F7" i="2"/>
  <c r="G7" i="2"/>
  <c r="H7" i="2"/>
  <c r="I7" i="2"/>
  <c r="J7" i="2"/>
  <c r="K7" i="2"/>
  <c r="L7" i="2"/>
  <c r="M7" i="2"/>
  <c r="N7" i="2"/>
  <c r="C59" i="3"/>
  <c r="C54" i="3"/>
  <c r="C43" i="3"/>
  <c r="C37" i="3"/>
  <c r="C22" i="3"/>
  <c r="C13" i="3"/>
  <c r="C20" i="3" s="1"/>
  <c r="C57" i="4"/>
  <c r="C53" i="4"/>
  <c r="D53" i="4"/>
  <c r="E53" i="4"/>
  <c r="F53" i="4"/>
  <c r="G53" i="4"/>
  <c r="H53" i="4"/>
  <c r="I53" i="4"/>
  <c r="C48" i="4"/>
  <c r="D48" i="4"/>
  <c r="E48" i="4"/>
  <c r="F48" i="4"/>
  <c r="G48" i="4"/>
  <c r="H48" i="4"/>
  <c r="I48" i="4"/>
  <c r="C43" i="4"/>
  <c r="D43" i="4"/>
  <c r="E43" i="4"/>
  <c r="F43" i="4"/>
  <c r="G43" i="4"/>
  <c r="H43" i="4"/>
  <c r="I43" i="4"/>
  <c r="J43" i="4"/>
  <c r="C28" i="4"/>
  <c r="D28" i="4"/>
  <c r="D45" i="4" s="1"/>
  <c r="E28" i="4"/>
  <c r="F28" i="4"/>
  <c r="G28" i="4"/>
  <c r="G45" i="4" s="1"/>
  <c r="H28" i="4"/>
  <c r="I28" i="4"/>
  <c r="C17" i="4"/>
  <c r="C24" i="4" s="1"/>
  <c r="D24" i="4"/>
  <c r="I24" i="4"/>
  <c r="C7" i="4"/>
  <c r="C16" i="4" s="1"/>
  <c r="C25" i="4" s="1"/>
  <c r="C50" i="7"/>
  <c r="C36" i="7"/>
  <c r="C42" i="7"/>
  <c r="C13" i="7"/>
  <c r="C20" i="7"/>
  <c r="C130" i="8"/>
  <c r="C128" i="8"/>
  <c r="C30" i="8"/>
  <c r="C30" i="6" s="1"/>
  <c r="D30" i="8"/>
  <c r="E30" i="8"/>
  <c r="F30" i="8"/>
  <c r="G30" i="8"/>
  <c r="H30" i="8"/>
  <c r="I30" i="8"/>
  <c r="C28" i="8"/>
  <c r="C17" i="8"/>
  <c r="K7" i="9"/>
  <c r="K19" i="9" s="1"/>
  <c r="J7" i="9"/>
  <c r="J19" i="9" s="1"/>
  <c r="I7" i="9"/>
  <c r="I19" i="9" s="1"/>
  <c r="H7" i="9"/>
  <c r="G7" i="9"/>
  <c r="G19" i="9" s="1"/>
  <c r="C7" i="9"/>
  <c r="C19" i="9" s="1"/>
  <c r="C79" i="9"/>
  <c r="C70" i="9"/>
  <c r="G77" i="9"/>
  <c r="C7" i="11"/>
  <c r="C13" i="11" s="1"/>
  <c r="D7" i="11"/>
  <c r="D13" i="11" s="1"/>
  <c r="E7" i="11"/>
  <c r="E13" i="11" s="1"/>
  <c r="F7" i="11"/>
  <c r="F13" i="11" s="1"/>
  <c r="G7" i="11"/>
  <c r="G13" i="11" s="1"/>
  <c r="H7" i="11"/>
  <c r="H13" i="11" s="1"/>
  <c r="I7" i="11"/>
  <c r="I13" i="11" s="1"/>
  <c r="J11" i="10"/>
  <c r="K7" i="11"/>
  <c r="K13" i="11" s="1"/>
  <c r="L7" i="11"/>
  <c r="L13" i="11" s="1"/>
  <c r="M7" i="11"/>
  <c r="M13" i="11" s="1"/>
  <c r="N7" i="11"/>
  <c r="N13" i="11" s="1"/>
  <c r="C20" i="11"/>
  <c r="C22" i="11" s="1"/>
  <c r="D20" i="11"/>
  <c r="D22" i="11" s="1"/>
  <c r="E20" i="11"/>
  <c r="E22" i="11" s="1"/>
  <c r="E23" i="11" s="1"/>
  <c r="E37" i="11" s="1"/>
  <c r="F20" i="11"/>
  <c r="F22" i="11" s="1"/>
  <c r="G20" i="11"/>
  <c r="G22" i="11" s="1"/>
  <c r="H20" i="11"/>
  <c r="H22" i="11" s="1"/>
  <c r="I20" i="11"/>
  <c r="I22" i="11" s="1"/>
  <c r="C55" i="11"/>
  <c r="D55" i="11"/>
  <c r="E55" i="11"/>
  <c r="F55" i="11"/>
  <c r="G55" i="11"/>
  <c r="H55" i="11"/>
  <c r="I55" i="11"/>
  <c r="K20" i="11"/>
  <c r="K22" i="11" s="1"/>
  <c r="L20" i="11"/>
  <c r="L22" i="11" s="1"/>
  <c r="M20" i="11"/>
  <c r="M22" i="11" s="1"/>
  <c r="N20" i="11"/>
  <c r="N22" i="11" s="1"/>
  <c r="K55" i="11"/>
  <c r="L55" i="11"/>
  <c r="M55" i="11"/>
  <c r="N55" i="11"/>
  <c r="C7" i="12"/>
  <c r="D7" i="12"/>
  <c r="D17" i="12" s="1"/>
  <c r="E7" i="12"/>
  <c r="F7" i="12"/>
  <c r="F17" i="12" s="1"/>
  <c r="G7" i="12"/>
  <c r="G17" i="12" s="1"/>
  <c r="H7" i="12"/>
  <c r="H17" i="12" s="1"/>
  <c r="I7" i="12"/>
  <c r="I17" i="12" s="1"/>
  <c r="J7" i="12"/>
  <c r="J17" i="12" s="1"/>
  <c r="K7" i="12"/>
  <c r="L7" i="12"/>
  <c r="L17" i="12" s="1"/>
  <c r="M7" i="12"/>
  <c r="C95" i="12"/>
  <c r="C128" i="12"/>
  <c r="C123" i="12"/>
  <c r="C110" i="12"/>
  <c r="C75" i="12"/>
  <c r="N7" i="12"/>
  <c r="N17" i="12" s="1"/>
  <c r="C91" i="12"/>
  <c r="C84" i="12"/>
  <c r="C66" i="12"/>
  <c r="C61" i="12"/>
  <c r="C58" i="12"/>
  <c r="C52" i="12"/>
  <c r="C18" i="12"/>
  <c r="C25" i="12"/>
  <c r="C27" i="12"/>
  <c r="C14" i="12"/>
  <c r="C7" i="13"/>
  <c r="D7" i="13"/>
  <c r="E7" i="13"/>
  <c r="E21" i="13" s="1"/>
  <c r="F7" i="13"/>
  <c r="F21" i="13" s="1"/>
  <c r="G7" i="13"/>
  <c r="G21" i="13" s="1"/>
  <c r="H7" i="13"/>
  <c r="H21" i="13" s="1"/>
  <c r="I7" i="13"/>
  <c r="I21" i="13" s="1"/>
  <c r="J7" i="13"/>
  <c r="J21" i="13" s="1"/>
  <c r="K7" i="13"/>
  <c r="K21" i="13" s="1"/>
  <c r="L7" i="13"/>
  <c r="M7" i="13"/>
  <c r="M21" i="13" s="1"/>
  <c r="N7" i="13"/>
  <c r="N21" i="13" s="1"/>
  <c r="C83" i="13"/>
  <c r="C74" i="13"/>
  <c r="D74" i="13"/>
  <c r="D81" i="13" s="1"/>
  <c r="E74" i="13"/>
  <c r="E81" i="13" s="1"/>
  <c r="F74" i="13"/>
  <c r="F81" i="13" s="1"/>
  <c r="G74" i="13"/>
  <c r="G81" i="13" s="1"/>
  <c r="H74" i="13"/>
  <c r="H81" i="13" s="1"/>
  <c r="I74" i="13"/>
  <c r="I81" i="13" s="1"/>
  <c r="C79" i="13"/>
  <c r="D79" i="13"/>
  <c r="E79" i="13"/>
  <c r="F79" i="13"/>
  <c r="G79" i="13"/>
  <c r="H79" i="13"/>
  <c r="I79" i="13"/>
  <c r="C34" i="13"/>
  <c r="C38" i="13"/>
  <c r="D38" i="13"/>
  <c r="E38" i="13"/>
  <c r="F38" i="13"/>
  <c r="G38" i="13"/>
  <c r="H38" i="13"/>
  <c r="I38" i="13"/>
  <c r="C42" i="13"/>
  <c r="D42" i="13"/>
  <c r="E42" i="13"/>
  <c r="F42" i="13"/>
  <c r="G42" i="13"/>
  <c r="H42" i="13"/>
  <c r="I42" i="13"/>
  <c r="C45" i="13"/>
  <c r="D45" i="13"/>
  <c r="E45" i="13"/>
  <c r="F45" i="13"/>
  <c r="G45" i="13"/>
  <c r="H45" i="13"/>
  <c r="I45" i="13"/>
  <c r="I71" i="13" s="1"/>
  <c r="C47" i="13"/>
  <c r="D47" i="13"/>
  <c r="E47" i="13"/>
  <c r="F47" i="13"/>
  <c r="G47" i="13"/>
  <c r="H47" i="13"/>
  <c r="I47" i="13"/>
  <c r="C50" i="13"/>
  <c r="D50" i="13"/>
  <c r="E50" i="13"/>
  <c r="F50" i="13"/>
  <c r="G50" i="13"/>
  <c r="H50" i="13"/>
  <c r="I50" i="13"/>
  <c r="C57" i="13"/>
  <c r="D57" i="13"/>
  <c r="E57" i="13"/>
  <c r="F57" i="13"/>
  <c r="G57" i="13"/>
  <c r="H57" i="13"/>
  <c r="I57" i="13"/>
  <c r="C59" i="13"/>
  <c r="D59" i="13"/>
  <c r="E59" i="13"/>
  <c r="F59" i="13"/>
  <c r="G59" i="13"/>
  <c r="H59" i="13"/>
  <c r="I59" i="13"/>
  <c r="C61" i="13"/>
  <c r="D61" i="13"/>
  <c r="E61" i="13"/>
  <c r="F61" i="13"/>
  <c r="G61" i="13"/>
  <c r="H61" i="13"/>
  <c r="I61" i="13"/>
  <c r="C69" i="13"/>
  <c r="D69" i="13"/>
  <c r="E69" i="13"/>
  <c r="F69" i="13"/>
  <c r="G69" i="13"/>
  <c r="H69" i="13"/>
  <c r="I69" i="13"/>
  <c r="C27" i="13"/>
  <c r="C22" i="13"/>
  <c r="C29" i="13"/>
  <c r="C18" i="13"/>
  <c r="C34" i="14"/>
  <c r="J20" i="19"/>
  <c r="K20" i="19"/>
  <c r="M20" i="19"/>
  <c r="N17" i="22"/>
  <c r="N27" i="22" s="1"/>
  <c r="C25" i="22"/>
  <c r="C23" i="22"/>
  <c r="D7" i="21"/>
  <c r="D15" i="21" s="1"/>
  <c r="D22" i="21" s="1"/>
  <c r="H7" i="21"/>
  <c r="H15" i="21" s="1"/>
  <c r="H22" i="21" s="1"/>
  <c r="I7" i="21"/>
  <c r="I15" i="21" s="1"/>
  <c r="I22" i="21" s="1"/>
  <c r="J7" i="21"/>
  <c r="J15" i="21" s="1"/>
  <c r="J22" i="21" s="1"/>
  <c r="J46" i="21" s="1"/>
  <c r="K7" i="21"/>
  <c r="K15" i="21" s="1"/>
  <c r="K22" i="21" s="1"/>
  <c r="L7" i="21"/>
  <c r="L15" i="21" s="1"/>
  <c r="L22" i="21" s="1"/>
  <c r="C29" i="21"/>
  <c r="C35" i="21"/>
  <c r="C43" i="21"/>
  <c r="C48" i="21"/>
  <c r="C55" i="21" s="1"/>
  <c r="C57" i="21"/>
  <c r="C80" i="20"/>
  <c r="C24" i="20"/>
  <c r="C61" i="22"/>
  <c r="C46" i="22"/>
  <c r="C30" i="22"/>
  <c r="C34" i="22"/>
  <c r="C42" i="22"/>
  <c r="C40" i="22"/>
  <c r="C50" i="22"/>
  <c r="C56" i="22"/>
  <c r="H7" i="17"/>
  <c r="I7" i="17"/>
  <c r="J7" i="17"/>
  <c r="K7" i="17"/>
  <c r="L7" i="17"/>
  <c r="M7" i="17"/>
  <c r="N7" i="17"/>
  <c r="N17" i="17" s="1"/>
  <c r="C32" i="16"/>
  <c r="D32" i="16"/>
  <c r="E32" i="16"/>
  <c r="F32" i="16"/>
  <c r="G32" i="16"/>
  <c r="G60" i="16" s="1"/>
  <c r="H32" i="16"/>
  <c r="I32" i="16"/>
  <c r="J32" i="16"/>
  <c r="K32" i="16"/>
  <c r="L32" i="16"/>
  <c r="M32" i="16"/>
  <c r="N34" i="18"/>
  <c r="C62" i="16"/>
  <c r="C56" i="16"/>
  <c r="C27" i="16"/>
  <c r="C25" i="16"/>
  <c r="D25" i="16"/>
  <c r="E25" i="16"/>
  <c r="F25" i="16"/>
  <c r="G25" i="16"/>
  <c r="H25" i="16"/>
  <c r="I25" i="16"/>
  <c r="J25" i="16"/>
  <c r="K27" i="18"/>
  <c r="K26" i="18" s="1"/>
  <c r="L27" i="18"/>
  <c r="L26" i="18" s="1"/>
  <c r="M25" i="16"/>
  <c r="N27" i="18"/>
  <c r="N26" i="18" s="1"/>
  <c r="C18" i="16"/>
  <c r="C7" i="16"/>
  <c r="D7" i="16"/>
  <c r="D17" i="16" s="1"/>
  <c r="E7" i="16"/>
  <c r="E17" i="16" s="1"/>
  <c r="F7" i="16"/>
  <c r="G7" i="16"/>
  <c r="G17" i="16" s="1"/>
  <c r="H7" i="16"/>
  <c r="I7" i="16"/>
  <c r="I17" i="16" s="1"/>
  <c r="C14" i="16"/>
  <c r="C91" i="17"/>
  <c r="C86" i="17"/>
  <c r="C79" i="17"/>
  <c r="C74" i="17"/>
  <c r="C70" i="17"/>
  <c r="C65" i="17"/>
  <c r="C63" i="17"/>
  <c r="C60" i="17"/>
  <c r="C57" i="17"/>
  <c r="C50" i="18"/>
  <c r="D50" i="18"/>
  <c r="E50" i="18"/>
  <c r="F50" i="18"/>
  <c r="G50" i="18"/>
  <c r="H50" i="18"/>
  <c r="I50" i="18"/>
  <c r="K50" i="18"/>
  <c r="L50" i="18"/>
  <c r="C27" i="17"/>
  <c r="N18" i="17"/>
  <c r="N29" i="17" s="1"/>
  <c r="M18" i="17"/>
  <c r="L18" i="17"/>
  <c r="K18" i="17"/>
  <c r="J18" i="17"/>
  <c r="C18" i="17"/>
  <c r="D18" i="17"/>
  <c r="E18" i="17"/>
  <c r="F18" i="17"/>
  <c r="G18" i="17"/>
  <c r="H18" i="17"/>
  <c r="I18" i="17"/>
  <c r="C14" i="17"/>
  <c r="C7" i="17"/>
  <c r="D7" i="17"/>
  <c r="E7" i="17"/>
  <c r="F7" i="17"/>
  <c r="G7" i="17"/>
  <c r="D38" i="15"/>
  <c r="D47" i="15" s="1"/>
  <c r="E38" i="15"/>
  <c r="E47" i="15" s="1"/>
  <c r="F38" i="15"/>
  <c r="F47" i="15" s="1"/>
  <c r="G38" i="15"/>
  <c r="G47" i="15" s="1"/>
  <c r="H38" i="15"/>
  <c r="H47" i="15" s="1"/>
  <c r="I38" i="15"/>
  <c r="I47" i="15" s="1"/>
  <c r="J75" i="18"/>
  <c r="K38" i="15"/>
  <c r="K47" i="15" s="1"/>
  <c r="L75" i="18"/>
  <c r="M38" i="15"/>
  <c r="M47" i="15" s="1"/>
  <c r="N38" i="15"/>
  <c r="N47" i="15" s="1"/>
  <c r="E7" i="15"/>
  <c r="E17" i="15" s="1"/>
  <c r="E26" i="15" s="1"/>
  <c r="F7" i="15"/>
  <c r="F17" i="15" s="1"/>
  <c r="F26" i="15" s="1"/>
  <c r="D7" i="15"/>
  <c r="D17" i="15" s="1"/>
  <c r="D26" i="15" s="1"/>
  <c r="C7" i="15"/>
  <c r="C17" i="15" s="1"/>
  <c r="C26" i="15" s="1"/>
  <c r="H7" i="15"/>
  <c r="H17" i="15" s="1"/>
  <c r="H26" i="15" s="1"/>
  <c r="N101" i="19"/>
  <c r="M101" i="19"/>
  <c r="L101" i="19"/>
  <c r="K101" i="19"/>
  <c r="J101" i="19"/>
  <c r="N100" i="19"/>
  <c r="M100" i="19"/>
  <c r="L100" i="19"/>
  <c r="K100" i="19"/>
  <c r="J100" i="19"/>
  <c r="N99" i="19"/>
  <c r="M99" i="19"/>
  <c r="L99" i="19"/>
  <c r="K99" i="19"/>
  <c r="J99" i="19"/>
  <c r="N98" i="19"/>
  <c r="M98" i="19"/>
  <c r="L98" i="19"/>
  <c r="K98" i="19"/>
  <c r="J98" i="19"/>
  <c r="N97" i="19"/>
  <c r="M97" i="19"/>
  <c r="L97" i="19"/>
  <c r="K97" i="19"/>
  <c r="J97" i="19"/>
  <c r="J78" i="19"/>
  <c r="K78" i="19"/>
  <c r="L78" i="19"/>
  <c r="M78" i="19"/>
  <c r="N78" i="19"/>
  <c r="J79" i="19"/>
  <c r="K79" i="19"/>
  <c r="L79" i="19"/>
  <c r="M79" i="19"/>
  <c r="N79" i="19"/>
  <c r="J80" i="19"/>
  <c r="K80" i="19"/>
  <c r="L80" i="19"/>
  <c r="M80" i="19"/>
  <c r="N80" i="19"/>
  <c r="J81" i="19"/>
  <c r="K81" i="19"/>
  <c r="L81" i="19"/>
  <c r="M81" i="19"/>
  <c r="N81" i="19"/>
  <c r="J82" i="19"/>
  <c r="K82" i="19"/>
  <c r="L82" i="19"/>
  <c r="M82" i="19"/>
  <c r="N82" i="19"/>
  <c r="J83" i="19"/>
  <c r="K83" i="19"/>
  <c r="L83" i="19"/>
  <c r="M83" i="19"/>
  <c r="N83" i="19"/>
  <c r="J85" i="19"/>
  <c r="K85" i="19"/>
  <c r="L85" i="19"/>
  <c r="M85" i="19"/>
  <c r="N85" i="19"/>
  <c r="J86" i="19"/>
  <c r="K86" i="19"/>
  <c r="L86" i="19"/>
  <c r="M86" i="19"/>
  <c r="N86" i="19"/>
  <c r="J87" i="19"/>
  <c r="K87" i="19"/>
  <c r="L87" i="19"/>
  <c r="M87" i="19"/>
  <c r="N87" i="19"/>
  <c r="J88" i="19"/>
  <c r="K88" i="19"/>
  <c r="L88" i="19"/>
  <c r="M88" i="19"/>
  <c r="N88" i="19"/>
  <c r="J89" i="19"/>
  <c r="K89" i="19"/>
  <c r="L89" i="19"/>
  <c r="M89" i="19"/>
  <c r="N89" i="19"/>
  <c r="J90" i="19"/>
  <c r="K90" i="19"/>
  <c r="L90" i="19"/>
  <c r="M90" i="19"/>
  <c r="N90" i="19"/>
  <c r="J92" i="19"/>
  <c r="K92" i="19"/>
  <c r="L92" i="19"/>
  <c r="M92" i="19"/>
  <c r="N92" i="19"/>
  <c r="J93" i="19"/>
  <c r="K93" i="19"/>
  <c r="L93" i="19"/>
  <c r="M93" i="19"/>
  <c r="N93" i="19"/>
  <c r="J66" i="19"/>
  <c r="K66" i="19"/>
  <c r="L66" i="19"/>
  <c r="M66" i="19"/>
  <c r="N66" i="19"/>
  <c r="J67" i="19"/>
  <c r="K67" i="19"/>
  <c r="L67" i="19"/>
  <c r="M67" i="19"/>
  <c r="N67" i="19"/>
  <c r="J68" i="19"/>
  <c r="K68" i="19"/>
  <c r="L68" i="19"/>
  <c r="M68" i="19"/>
  <c r="N68" i="19"/>
  <c r="J69" i="19"/>
  <c r="K69" i="19"/>
  <c r="L69" i="19"/>
  <c r="M69" i="19"/>
  <c r="N69" i="19"/>
  <c r="J70" i="19"/>
  <c r="K70" i="19"/>
  <c r="L70" i="19"/>
  <c r="M70" i="19"/>
  <c r="N70" i="19"/>
  <c r="J71" i="19"/>
  <c r="K71" i="19"/>
  <c r="L71" i="19"/>
  <c r="M71" i="19"/>
  <c r="N71" i="19"/>
  <c r="J72" i="19"/>
  <c r="K72" i="19"/>
  <c r="L72" i="19"/>
  <c r="M72" i="19"/>
  <c r="N72" i="19"/>
  <c r="J74" i="19"/>
  <c r="J73" i="19" s="1"/>
  <c r="K74" i="19"/>
  <c r="K73" i="19" s="1"/>
  <c r="L74" i="19"/>
  <c r="L73" i="19" s="1"/>
  <c r="M74" i="19"/>
  <c r="M73" i="19" s="1"/>
  <c r="N74" i="19"/>
  <c r="N73" i="19" s="1"/>
  <c r="J49" i="19"/>
  <c r="K49" i="19"/>
  <c r="L49" i="19"/>
  <c r="M49" i="19"/>
  <c r="N49" i="19"/>
  <c r="J50" i="19"/>
  <c r="K50" i="19"/>
  <c r="L50" i="19"/>
  <c r="M50" i="19"/>
  <c r="N50" i="19"/>
  <c r="J52" i="19"/>
  <c r="K52" i="19"/>
  <c r="L52" i="19"/>
  <c r="M52" i="19"/>
  <c r="N52" i="19"/>
  <c r="J53" i="19"/>
  <c r="K53" i="19"/>
  <c r="L53" i="19"/>
  <c r="M53" i="19"/>
  <c r="N53" i="19"/>
  <c r="J55" i="19"/>
  <c r="K55" i="19"/>
  <c r="L55" i="19"/>
  <c r="M55" i="19"/>
  <c r="N55" i="19"/>
  <c r="J56" i="19"/>
  <c r="K56" i="19"/>
  <c r="L56" i="19"/>
  <c r="M56" i="19"/>
  <c r="N56" i="19"/>
  <c r="J57" i="19"/>
  <c r="K57" i="19"/>
  <c r="L57" i="19"/>
  <c r="M57" i="19"/>
  <c r="N57" i="19"/>
  <c r="J59" i="19"/>
  <c r="K59" i="19"/>
  <c r="L59" i="19"/>
  <c r="M59" i="19"/>
  <c r="N59" i="19"/>
  <c r="J60" i="19"/>
  <c r="K60" i="19"/>
  <c r="L60" i="19"/>
  <c r="M60" i="19"/>
  <c r="N60" i="19"/>
  <c r="J61" i="19"/>
  <c r="K61" i="19"/>
  <c r="L61" i="19"/>
  <c r="M61" i="19"/>
  <c r="N61" i="19"/>
  <c r="J62" i="19"/>
  <c r="K62" i="19"/>
  <c r="L62" i="19"/>
  <c r="M62" i="19"/>
  <c r="N62" i="19"/>
  <c r="J63" i="19"/>
  <c r="K63" i="19"/>
  <c r="L63" i="19"/>
  <c r="M63" i="19"/>
  <c r="N63" i="19"/>
  <c r="J64" i="19"/>
  <c r="K64" i="19"/>
  <c r="L64" i="19"/>
  <c r="M64" i="19"/>
  <c r="N64" i="19"/>
  <c r="J32" i="19"/>
  <c r="K32" i="19"/>
  <c r="L32" i="19"/>
  <c r="M32" i="19"/>
  <c r="N32" i="19"/>
  <c r="J33" i="19"/>
  <c r="K33" i="19"/>
  <c r="L33" i="19"/>
  <c r="M33" i="19"/>
  <c r="N33" i="19"/>
  <c r="J34" i="19"/>
  <c r="K34" i="19"/>
  <c r="L34" i="19"/>
  <c r="M34" i="19"/>
  <c r="N34" i="19"/>
  <c r="J35" i="19"/>
  <c r="K35" i="19"/>
  <c r="L35" i="19"/>
  <c r="M35" i="19"/>
  <c r="N35" i="19"/>
  <c r="J36" i="19"/>
  <c r="K36" i="19"/>
  <c r="L36" i="19"/>
  <c r="M36" i="19"/>
  <c r="N36" i="19"/>
  <c r="J37" i="19"/>
  <c r="K37" i="19"/>
  <c r="L37" i="19"/>
  <c r="M37" i="19"/>
  <c r="N37" i="19"/>
  <c r="J38" i="19"/>
  <c r="K38" i="19"/>
  <c r="L38" i="19"/>
  <c r="M38" i="19"/>
  <c r="N38" i="19"/>
  <c r="J39" i="19"/>
  <c r="K39" i="19"/>
  <c r="L39" i="19"/>
  <c r="M39" i="19"/>
  <c r="N39" i="19"/>
  <c r="J40" i="19"/>
  <c r="K40" i="19"/>
  <c r="L40" i="19"/>
  <c r="M40" i="19"/>
  <c r="N40" i="19"/>
  <c r="J41" i="19"/>
  <c r="K41" i="19"/>
  <c r="L41" i="19"/>
  <c r="M41" i="19"/>
  <c r="N41" i="19"/>
  <c r="J42" i="19"/>
  <c r="K42" i="19"/>
  <c r="L42" i="19"/>
  <c r="M42" i="19"/>
  <c r="N42" i="19"/>
  <c r="J43" i="19"/>
  <c r="K43" i="19"/>
  <c r="L43" i="19"/>
  <c r="M43" i="19"/>
  <c r="N43" i="19"/>
  <c r="J44" i="19"/>
  <c r="K44" i="19"/>
  <c r="L44" i="19"/>
  <c r="M44" i="19"/>
  <c r="N44" i="19"/>
  <c r="J45" i="19"/>
  <c r="K45" i="19"/>
  <c r="L45" i="19"/>
  <c r="M45" i="19"/>
  <c r="N45" i="19"/>
  <c r="J46" i="19"/>
  <c r="K46" i="19"/>
  <c r="L46" i="19"/>
  <c r="M46" i="19"/>
  <c r="N46" i="19"/>
  <c r="J48" i="19"/>
  <c r="K48" i="19"/>
  <c r="L48" i="19"/>
  <c r="M48" i="19"/>
  <c r="N48" i="19"/>
  <c r="J19" i="19"/>
  <c r="K19" i="19"/>
  <c r="L19" i="19"/>
  <c r="M19" i="19"/>
  <c r="N19" i="19"/>
  <c r="J21" i="19"/>
  <c r="K21" i="19"/>
  <c r="L21" i="19"/>
  <c r="M21" i="19"/>
  <c r="N21" i="19"/>
  <c r="J22" i="19"/>
  <c r="K22" i="19"/>
  <c r="L22" i="19"/>
  <c r="M22" i="19"/>
  <c r="N22" i="19"/>
  <c r="J23" i="19"/>
  <c r="K23" i="19"/>
  <c r="L23" i="19"/>
  <c r="M23" i="19"/>
  <c r="N23" i="19"/>
  <c r="J25" i="19"/>
  <c r="J24" i="19" s="1"/>
  <c r="K25" i="19"/>
  <c r="K24" i="19" s="1"/>
  <c r="L25" i="19"/>
  <c r="L24" i="19" s="1"/>
  <c r="M25" i="19"/>
  <c r="M24" i="19" s="1"/>
  <c r="N25" i="19"/>
  <c r="N24" i="19" s="1"/>
  <c r="J27" i="19"/>
  <c r="J26" i="19" s="1"/>
  <c r="K27" i="19"/>
  <c r="K26" i="19" s="1"/>
  <c r="L27" i="19"/>
  <c r="L26" i="19" s="1"/>
  <c r="M27" i="19"/>
  <c r="M26" i="19" s="1"/>
  <c r="N27" i="19"/>
  <c r="N26" i="19" s="1"/>
  <c r="J8" i="19"/>
  <c r="K8" i="19"/>
  <c r="L8" i="19"/>
  <c r="M8" i="19"/>
  <c r="N8" i="19"/>
  <c r="J9" i="19"/>
  <c r="K9" i="19"/>
  <c r="L9" i="19"/>
  <c r="M9" i="19"/>
  <c r="N9" i="19"/>
  <c r="J11" i="19"/>
  <c r="K11" i="19"/>
  <c r="L11" i="19"/>
  <c r="M11" i="19"/>
  <c r="N11" i="19"/>
  <c r="J12" i="19"/>
  <c r="K12" i="19"/>
  <c r="L12" i="19"/>
  <c r="M12" i="19"/>
  <c r="N12" i="19"/>
  <c r="J13" i="19"/>
  <c r="K13" i="19"/>
  <c r="L13" i="19"/>
  <c r="M13" i="19"/>
  <c r="N13" i="19"/>
  <c r="J15" i="19"/>
  <c r="J14" i="19" s="1"/>
  <c r="K15" i="19"/>
  <c r="K14" i="19" s="1"/>
  <c r="L15" i="19"/>
  <c r="L14" i="19" s="1"/>
  <c r="M15" i="19"/>
  <c r="M14" i="19" s="1"/>
  <c r="N15" i="19"/>
  <c r="N14" i="19" s="1"/>
  <c r="J16" i="19"/>
  <c r="K16" i="19"/>
  <c r="L16" i="19"/>
  <c r="M16" i="19"/>
  <c r="N16" i="19"/>
  <c r="J123" i="18"/>
  <c r="K123" i="18"/>
  <c r="L123" i="18"/>
  <c r="M123" i="18"/>
  <c r="N123" i="18"/>
  <c r="J124" i="18"/>
  <c r="K124" i="18"/>
  <c r="L124" i="18"/>
  <c r="M124" i="18"/>
  <c r="N124" i="18"/>
  <c r="J125" i="18"/>
  <c r="K125" i="18"/>
  <c r="L125" i="18"/>
  <c r="M125" i="18"/>
  <c r="N125" i="18"/>
  <c r="J126" i="18"/>
  <c r="K126" i="18"/>
  <c r="L126" i="18"/>
  <c r="M126" i="18"/>
  <c r="N126" i="18"/>
  <c r="J127" i="18"/>
  <c r="K127" i="18"/>
  <c r="L127" i="18"/>
  <c r="M127" i="18"/>
  <c r="N127" i="18"/>
  <c r="J118" i="18"/>
  <c r="K118" i="18"/>
  <c r="L118" i="18"/>
  <c r="M118" i="18"/>
  <c r="N118" i="18"/>
  <c r="J119" i="18"/>
  <c r="K119" i="18"/>
  <c r="L119" i="18"/>
  <c r="M119" i="18"/>
  <c r="N119" i="18"/>
  <c r="J104" i="18"/>
  <c r="K104" i="18"/>
  <c r="L104" i="18"/>
  <c r="M104" i="18"/>
  <c r="N104" i="18"/>
  <c r="J105" i="18"/>
  <c r="K105" i="18"/>
  <c r="L105" i="18"/>
  <c r="M105" i="18"/>
  <c r="N105" i="18"/>
  <c r="J106" i="18"/>
  <c r="K106" i="18"/>
  <c r="L106" i="18"/>
  <c r="M106" i="18"/>
  <c r="N106" i="18"/>
  <c r="J107" i="18"/>
  <c r="K107" i="18"/>
  <c r="L107" i="18"/>
  <c r="M107" i="18"/>
  <c r="N107" i="18"/>
  <c r="J108" i="18"/>
  <c r="K108" i="18"/>
  <c r="L108" i="18"/>
  <c r="M108" i="18"/>
  <c r="N108" i="18"/>
  <c r="J109" i="18"/>
  <c r="K109" i="18"/>
  <c r="L109" i="18"/>
  <c r="M109" i="18"/>
  <c r="N109" i="18"/>
  <c r="J110" i="18"/>
  <c r="K110" i="18"/>
  <c r="L110" i="18"/>
  <c r="M110" i="18"/>
  <c r="N110" i="18"/>
  <c r="J111" i="18"/>
  <c r="K111" i="18"/>
  <c r="L111" i="18"/>
  <c r="M111" i="18"/>
  <c r="N111" i="18"/>
  <c r="J112" i="18"/>
  <c r="K112" i="18"/>
  <c r="L112" i="18"/>
  <c r="M112" i="18"/>
  <c r="N112" i="18"/>
  <c r="J113" i="18"/>
  <c r="K113" i="18"/>
  <c r="L113" i="18"/>
  <c r="M113" i="18"/>
  <c r="N113" i="18"/>
  <c r="J114" i="18"/>
  <c r="K114" i="18"/>
  <c r="L114" i="18"/>
  <c r="M114" i="18"/>
  <c r="N114" i="18"/>
  <c r="J115" i="18"/>
  <c r="K115" i="18"/>
  <c r="L115" i="18"/>
  <c r="M115" i="18"/>
  <c r="N115" i="18"/>
  <c r="J116" i="18"/>
  <c r="K116" i="18"/>
  <c r="L116" i="18"/>
  <c r="M116" i="18"/>
  <c r="N116" i="18"/>
  <c r="J86" i="18"/>
  <c r="K86" i="18"/>
  <c r="L86" i="18"/>
  <c r="M86" i="18"/>
  <c r="N86" i="18"/>
  <c r="J87" i="18"/>
  <c r="K87" i="18"/>
  <c r="L87" i="18"/>
  <c r="M87" i="18"/>
  <c r="N87" i="18"/>
  <c r="J88" i="18"/>
  <c r="K88" i="18"/>
  <c r="L88" i="18"/>
  <c r="M88" i="18"/>
  <c r="N88" i="18"/>
  <c r="J89" i="18"/>
  <c r="K89" i="18"/>
  <c r="L89" i="18"/>
  <c r="M89" i="18"/>
  <c r="N89" i="18"/>
  <c r="J90" i="18"/>
  <c r="K90" i="18"/>
  <c r="L90" i="18"/>
  <c r="M90" i="18"/>
  <c r="N90" i="18"/>
  <c r="J91" i="18"/>
  <c r="K91" i="18"/>
  <c r="L91" i="18"/>
  <c r="M91" i="18"/>
  <c r="N91" i="18"/>
  <c r="J92" i="18"/>
  <c r="K92" i="18"/>
  <c r="L92" i="18"/>
  <c r="M92" i="18"/>
  <c r="N92" i="18"/>
  <c r="J93" i="18"/>
  <c r="K93" i="18"/>
  <c r="L93" i="18"/>
  <c r="M93" i="18"/>
  <c r="N93" i="18"/>
  <c r="J94" i="18"/>
  <c r="K94" i="18"/>
  <c r="L94" i="18"/>
  <c r="M94" i="18"/>
  <c r="N94" i="18"/>
  <c r="J95" i="18"/>
  <c r="K95" i="18"/>
  <c r="L95" i="18"/>
  <c r="M95" i="18"/>
  <c r="N95" i="18"/>
  <c r="J96" i="18"/>
  <c r="K96" i="18"/>
  <c r="L96" i="18"/>
  <c r="M96" i="18"/>
  <c r="N96" i="18"/>
  <c r="J97" i="18"/>
  <c r="K97" i="18"/>
  <c r="L97" i="18"/>
  <c r="M97" i="18"/>
  <c r="N97" i="18"/>
  <c r="J98" i="18"/>
  <c r="K98" i="18"/>
  <c r="L98" i="18"/>
  <c r="M98" i="18"/>
  <c r="N98" i="18"/>
  <c r="J99" i="18"/>
  <c r="K99" i="18"/>
  <c r="L99" i="18"/>
  <c r="M99" i="18"/>
  <c r="N99" i="18"/>
  <c r="J100" i="18"/>
  <c r="K100" i="18"/>
  <c r="L100" i="18"/>
  <c r="M100" i="18"/>
  <c r="N100" i="18"/>
  <c r="J101" i="18"/>
  <c r="K101" i="18"/>
  <c r="L101" i="18"/>
  <c r="M101" i="18"/>
  <c r="N101" i="18"/>
  <c r="J103" i="18"/>
  <c r="K103" i="18"/>
  <c r="L103" i="18"/>
  <c r="M103" i="18"/>
  <c r="N103" i="18"/>
  <c r="J64" i="18"/>
  <c r="K64" i="18"/>
  <c r="L64" i="18"/>
  <c r="M64" i="18"/>
  <c r="N64" i="18"/>
  <c r="J66" i="18"/>
  <c r="K66" i="18"/>
  <c r="L66" i="18"/>
  <c r="M66" i="18"/>
  <c r="N66" i="18"/>
  <c r="J67" i="18"/>
  <c r="K67" i="18"/>
  <c r="L67" i="18"/>
  <c r="M67" i="18"/>
  <c r="N67" i="18"/>
  <c r="J68" i="18"/>
  <c r="K68" i="18"/>
  <c r="L68" i="18"/>
  <c r="M68" i="18"/>
  <c r="N68" i="18"/>
  <c r="J70" i="18"/>
  <c r="J69" i="18" s="1"/>
  <c r="K70" i="18"/>
  <c r="K69" i="18" s="1"/>
  <c r="L70" i="18"/>
  <c r="L69" i="18" s="1"/>
  <c r="M70" i="18"/>
  <c r="M69" i="18" s="1"/>
  <c r="N70" i="18"/>
  <c r="N69" i="18" s="1"/>
  <c r="J72" i="18"/>
  <c r="J71" i="18" s="1"/>
  <c r="K72" i="18"/>
  <c r="K71" i="18" s="1"/>
  <c r="L72" i="18"/>
  <c r="L71" i="18" s="1"/>
  <c r="M72" i="18"/>
  <c r="M71" i="18" s="1"/>
  <c r="N72" i="18"/>
  <c r="N71" i="18" s="1"/>
  <c r="J73" i="18"/>
  <c r="K73" i="18"/>
  <c r="L73" i="18"/>
  <c r="M73" i="18"/>
  <c r="N73" i="18"/>
  <c r="J76" i="18"/>
  <c r="K76" i="18"/>
  <c r="L76" i="18"/>
  <c r="M76" i="18"/>
  <c r="N76" i="18"/>
  <c r="J77" i="18"/>
  <c r="K77" i="18"/>
  <c r="L77" i="18"/>
  <c r="M77" i="18"/>
  <c r="N77" i="18"/>
  <c r="J78" i="18"/>
  <c r="K78" i="18"/>
  <c r="L78" i="18"/>
  <c r="M78" i="18"/>
  <c r="N78" i="18"/>
  <c r="J79" i="18"/>
  <c r="K79" i="18"/>
  <c r="L79" i="18"/>
  <c r="M79" i="18"/>
  <c r="N79" i="18"/>
  <c r="J80" i="18"/>
  <c r="K80" i="18"/>
  <c r="L80" i="18"/>
  <c r="M80" i="18"/>
  <c r="N80" i="18"/>
  <c r="J82" i="18"/>
  <c r="J81" i="18" s="1"/>
  <c r="K82" i="18"/>
  <c r="K81" i="18" s="1"/>
  <c r="L82" i="18"/>
  <c r="L81" i="18" s="1"/>
  <c r="M82" i="18"/>
  <c r="M81" i="18" s="1"/>
  <c r="N82" i="18"/>
  <c r="N81" i="18" s="1"/>
  <c r="J51" i="18"/>
  <c r="K51" i="18"/>
  <c r="L51" i="18"/>
  <c r="M51" i="18"/>
  <c r="N51" i="18"/>
  <c r="J52" i="18"/>
  <c r="K52" i="18"/>
  <c r="L52" i="18"/>
  <c r="M52" i="18"/>
  <c r="N52" i="18"/>
  <c r="J53" i="18"/>
  <c r="K53" i="18"/>
  <c r="L53" i="18"/>
  <c r="M53" i="18"/>
  <c r="N53" i="18"/>
  <c r="J55" i="18"/>
  <c r="K55" i="18"/>
  <c r="L55" i="18"/>
  <c r="M55" i="18"/>
  <c r="N55" i="18"/>
  <c r="J56" i="18"/>
  <c r="K56" i="18"/>
  <c r="L56" i="18"/>
  <c r="M56" i="18"/>
  <c r="N56" i="18"/>
  <c r="J57" i="18"/>
  <c r="K57" i="18"/>
  <c r="L57" i="18"/>
  <c r="M57" i="18"/>
  <c r="N57" i="18"/>
  <c r="J58" i="18"/>
  <c r="K58" i="18"/>
  <c r="L58" i="18"/>
  <c r="M58" i="18"/>
  <c r="N58" i="18"/>
  <c r="J60" i="18"/>
  <c r="K60" i="18"/>
  <c r="L60" i="18"/>
  <c r="M60" i="18"/>
  <c r="N60" i="18"/>
  <c r="J61" i="18"/>
  <c r="K61" i="18"/>
  <c r="L61" i="18"/>
  <c r="M61" i="18"/>
  <c r="N61" i="18"/>
  <c r="J63" i="18"/>
  <c r="K63" i="18"/>
  <c r="L63" i="18"/>
  <c r="M63" i="18"/>
  <c r="N63" i="18"/>
  <c r="J35" i="18"/>
  <c r="K35" i="18"/>
  <c r="L35" i="18"/>
  <c r="M35" i="18"/>
  <c r="N35" i="18"/>
  <c r="J36" i="18"/>
  <c r="K36" i="18"/>
  <c r="L36" i="18"/>
  <c r="M36" i="18"/>
  <c r="N36" i="18"/>
  <c r="J37" i="18"/>
  <c r="K37" i="18"/>
  <c r="L37" i="18"/>
  <c r="M37" i="18"/>
  <c r="N37" i="18"/>
  <c r="J38" i="18"/>
  <c r="K38" i="18"/>
  <c r="L38" i="18"/>
  <c r="M38" i="18"/>
  <c r="N38" i="18"/>
  <c r="J39" i="18"/>
  <c r="K39" i="18"/>
  <c r="L39" i="18"/>
  <c r="M39" i="18"/>
  <c r="N39" i="18"/>
  <c r="J40" i="18"/>
  <c r="K40" i="18"/>
  <c r="L40" i="18"/>
  <c r="M40" i="18"/>
  <c r="N40" i="18"/>
  <c r="J41" i="18"/>
  <c r="K41" i="18"/>
  <c r="L41" i="18"/>
  <c r="M41" i="18"/>
  <c r="N41" i="18"/>
  <c r="J42" i="18"/>
  <c r="K42" i="18"/>
  <c r="L42" i="18"/>
  <c r="M42" i="18"/>
  <c r="N42" i="18"/>
  <c r="J43" i="18"/>
  <c r="K43" i="18"/>
  <c r="L43" i="18"/>
  <c r="M43" i="18"/>
  <c r="N43" i="18"/>
  <c r="J44" i="18"/>
  <c r="K44" i="18"/>
  <c r="L44" i="18"/>
  <c r="M44" i="18"/>
  <c r="N44" i="18"/>
  <c r="J45" i="18"/>
  <c r="K45" i="18"/>
  <c r="L45" i="18"/>
  <c r="M45" i="18"/>
  <c r="N45" i="18"/>
  <c r="J46" i="18"/>
  <c r="K46" i="18"/>
  <c r="L46" i="18"/>
  <c r="M46" i="18"/>
  <c r="N46" i="18"/>
  <c r="J47" i="18"/>
  <c r="K47" i="18"/>
  <c r="L47" i="18"/>
  <c r="M47" i="18"/>
  <c r="N47" i="18"/>
  <c r="J48" i="18"/>
  <c r="K48" i="18"/>
  <c r="L48" i="18"/>
  <c r="M48" i="18"/>
  <c r="N48" i="18"/>
  <c r="J49" i="18"/>
  <c r="K49" i="18"/>
  <c r="L49" i="18"/>
  <c r="M49" i="18"/>
  <c r="N49" i="18"/>
  <c r="J20" i="18"/>
  <c r="K20" i="18"/>
  <c r="L20" i="18"/>
  <c r="M20" i="18"/>
  <c r="N20" i="18"/>
  <c r="J22" i="18"/>
  <c r="K22" i="18"/>
  <c r="L22" i="18"/>
  <c r="M22" i="18"/>
  <c r="N22" i="18"/>
  <c r="J23" i="18"/>
  <c r="K23" i="18"/>
  <c r="L23" i="18"/>
  <c r="M23" i="18"/>
  <c r="N23" i="18"/>
  <c r="J24" i="18"/>
  <c r="K24" i="18"/>
  <c r="L24" i="18"/>
  <c r="M24" i="18"/>
  <c r="N24" i="18"/>
  <c r="J25" i="18"/>
  <c r="K25" i="18"/>
  <c r="L25" i="18"/>
  <c r="M25" i="18"/>
  <c r="N25" i="18"/>
  <c r="J29" i="18"/>
  <c r="J28" i="18" s="1"/>
  <c r="K29" i="18"/>
  <c r="K28" i="18" s="1"/>
  <c r="L29" i="18"/>
  <c r="L28" i="18" s="1"/>
  <c r="M29" i="18"/>
  <c r="M28" i="18" s="1"/>
  <c r="N29" i="18"/>
  <c r="N28" i="18" s="1"/>
  <c r="J8" i="18"/>
  <c r="K8" i="18"/>
  <c r="L8" i="18"/>
  <c r="M8" i="18"/>
  <c r="N8" i="18"/>
  <c r="J9" i="18"/>
  <c r="K9" i="18"/>
  <c r="L9" i="18"/>
  <c r="M9" i="18"/>
  <c r="N9" i="18"/>
  <c r="J10" i="18"/>
  <c r="K10" i="18"/>
  <c r="L10" i="18"/>
  <c r="M10" i="18"/>
  <c r="N10" i="18"/>
  <c r="J12" i="18"/>
  <c r="K12" i="18"/>
  <c r="L12" i="18"/>
  <c r="M12" i="18"/>
  <c r="N12" i="18"/>
  <c r="J13" i="18"/>
  <c r="K13" i="18"/>
  <c r="L13" i="18"/>
  <c r="M13" i="18"/>
  <c r="N13" i="18"/>
  <c r="J14" i="18"/>
  <c r="K14" i="18"/>
  <c r="L14" i="18"/>
  <c r="M14" i="18"/>
  <c r="N14" i="18"/>
  <c r="J16" i="18"/>
  <c r="J15" i="18" s="1"/>
  <c r="K16" i="18"/>
  <c r="K15" i="18" s="1"/>
  <c r="L16" i="18"/>
  <c r="L15" i="18" s="1"/>
  <c r="M16" i="18"/>
  <c r="M15" i="18" s="1"/>
  <c r="N16" i="18"/>
  <c r="N15" i="18" s="1"/>
  <c r="J17" i="18"/>
  <c r="K17" i="18"/>
  <c r="L17" i="18"/>
  <c r="M17" i="18"/>
  <c r="N17" i="18"/>
  <c r="N146" i="10"/>
  <c r="M146" i="10"/>
  <c r="L146" i="10"/>
  <c r="K146" i="10"/>
  <c r="J146" i="10"/>
  <c r="N145" i="10"/>
  <c r="M145" i="10"/>
  <c r="L145" i="10"/>
  <c r="K145" i="10"/>
  <c r="J145" i="10"/>
  <c r="N144" i="10"/>
  <c r="M144" i="10"/>
  <c r="L144" i="10"/>
  <c r="K144" i="10"/>
  <c r="J144" i="10"/>
  <c r="N143" i="10"/>
  <c r="M143" i="10"/>
  <c r="L143" i="10"/>
  <c r="K143" i="10"/>
  <c r="J143" i="10"/>
  <c r="N142" i="10"/>
  <c r="M142" i="10"/>
  <c r="L142" i="10"/>
  <c r="K142" i="10"/>
  <c r="J142" i="10"/>
  <c r="J105" i="10"/>
  <c r="K105" i="10"/>
  <c r="L105" i="10"/>
  <c r="M105" i="10"/>
  <c r="N105" i="10"/>
  <c r="J106" i="10"/>
  <c r="K106" i="10"/>
  <c r="L106" i="10"/>
  <c r="M106" i="10"/>
  <c r="N106" i="10"/>
  <c r="J107" i="10"/>
  <c r="K107" i="10"/>
  <c r="L107" i="10"/>
  <c r="M107" i="10"/>
  <c r="N107" i="10"/>
  <c r="J108" i="10"/>
  <c r="K108" i="10"/>
  <c r="L108" i="10"/>
  <c r="M108" i="10"/>
  <c r="N108" i="10"/>
  <c r="J109" i="10"/>
  <c r="K109" i="10"/>
  <c r="L109" i="10"/>
  <c r="M109" i="10"/>
  <c r="N109" i="10"/>
  <c r="J110" i="10"/>
  <c r="K110" i="10"/>
  <c r="L110" i="10"/>
  <c r="M110" i="10"/>
  <c r="N110" i="10"/>
  <c r="J111" i="10"/>
  <c r="K111" i="10"/>
  <c r="L111" i="10"/>
  <c r="M111" i="10"/>
  <c r="N111" i="10"/>
  <c r="J112" i="10"/>
  <c r="K112" i="10"/>
  <c r="L112" i="10"/>
  <c r="M112" i="10"/>
  <c r="N112" i="10"/>
  <c r="J113" i="10"/>
  <c r="K113" i="10"/>
  <c r="L113" i="10"/>
  <c r="M113" i="10"/>
  <c r="N113" i="10"/>
  <c r="J114" i="10"/>
  <c r="K114" i="10"/>
  <c r="L114" i="10"/>
  <c r="M114" i="10"/>
  <c r="N114" i="10"/>
  <c r="J115" i="10"/>
  <c r="K115" i="10"/>
  <c r="L115" i="10"/>
  <c r="M115" i="10"/>
  <c r="N115" i="10"/>
  <c r="J116" i="10"/>
  <c r="K116" i="10"/>
  <c r="L116" i="10"/>
  <c r="M116" i="10"/>
  <c r="N116" i="10"/>
  <c r="J117" i="10"/>
  <c r="K117" i="10"/>
  <c r="L117" i="10"/>
  <c r="M117" i="10"/>
  <c r="N117" i="10"/>
  <c r="J118" i="10"/>
  <c r="K118" i="10"/>
  <c r="L118" i="10"/>
  <c r="M118" i="10"/>
  <c r="N118" i="10"/>
  <c r="J119" i="10"/>
  <c r="K119" i="10"/>
  <c r="L119" i="10"/>
  <c r="M119" i="10"/>
  <c r="N119" i="10"/>
  <c r="J120" i="10"/>
  <c r="K120" i="10"/>
  <c r="L120" i="10"/>
  <c r="M120" i="10"/>
  <c r="N120" i="10"/>
  <c r="J122" i="10"/>
  <c r="K122" i="10"/>
  <c r="L122" i="10"/>
  <c r="M122" i="10"/>
  <c r="N122" i="10"/>
  <c r="J123" i="10"/>
  <c r="K123" i="10"/>
  <c r="L123" i="10"/>
  <c r="M123" i="10"/>
  <c r="N123" i="10"/>
  <c r="J124" i="10"/>
  <c r="K124" i="10"/>
  <c r="L124" i="10"/>
  <c r="M124" i="10"/>
  <c r="N124" i="10"/>
  <c r="J125" i="10"/>
  <c r="K125" i="10"/>
  <c r="L125" i="10"/>
  <c r="M125" i="10"/>
  <c r="N125" i="10"/>
  <c r="J126" i="10"/>
  <c r="K126" i="10"/>
  <c r="L126" i="10"/>
  <c r="M126" i="10"/>
  <c r="N126" i="10"/>
  <c r="J127" i="10"/>
  <c r="K127" i="10"/>
  <c r="L127" i="10"/>
  <c r="M127" i="10"/>
  <c r="N127" i="10"/>
  <c r="J128" i="10"/>
  <c r="K128" i="10"/>
  <c r="L128" i="10"/>
  <c r="M128" i="10"/>
  <c r="N128" i="10"/>
  <c r="J129" i="10"/>
  <c r="K129" i="10"/>
  <c r="L129" i="10"/>
  <c r="M129" i="10"/>
  <c r="N129" i="10"/>
  <c r="J130" i="10"/>
  <c r="K130" i="10"/>
  <c r="L130" i="10"/>
  <c r="M130" i="10"/>
  <c r="N130" i="10"/>
  <c r="J131" i="10"/>
  <c r="K131" i="10"/>
  <c r="L131" i="10"/>
  <c r="M131" i="10"/>
  <c r="N131" i="10"/>
  <c r="J132" i="10"/>
  <c r="K132" i="10"/>
  <c r="L132" i="10"/>
  <c r="M132" i="10"/>
  <c r="N132" i="10"/>
  <c r="J133" i="10"/>
  <c r="K133" i="10"/>
  <c r="L133" i="10"/>
  <c r="M133" i="10"/>
  <c r="N133" i="10"/>
  <c r="J134" i="10"/>
  <c r="K134" i="10"/>
  <c r="L134" i="10"/>
  <c r="M134" i="10"/>
  <c r="N134" i="10"/>
  <c r="J135" i="10"/>
  <c r="K135" i="10"/>
  <c r="L135" i="10"/>
  <c r="M135" i="10"/>
  <c r="N135" i="10"/>
  <c r="J137" i="10"/>
  <c r="K137" i="10"/>
  <c r="L137" i="10"/>
  <c r="M137" i="10"/>
  <c r="N137" i="10"/>
  <c r="J138" i="10"/>
  <c r="K138" i="10"/>
  <c r="L138" i="10"/>
  <c r="M138" i="10"/>
  <c r="N138" i="10"/>
  <c r="J97" i="10"/>
  <c r="K97" i="10"/>
  <c r="L97" i="10"/>
  <c r="M97" i="10"/>
  <c r="N97" i="10"/>
  <c r="J98" i="10"/>
  <c r="K98" i="10"/>
  <c r="L98" i="10"/>
  <c r="M98" i="10"/>
  <c r="N98" i="10"/>
  <c r="J99" i="10"/>
  <c r="K99" i="10"/>
  <c r="L99" i="10"/>
  <c r="M99" i="10"/>
  <c r="N99" i="10"/>
  <c r="J101" i="10"/>
  <c r="J100" i="10" s="1"/>
  <c r="K101" i="10"/>
  <c r="K100" i="10" s="1"/>
  <c r="L101" i="10"/>
  <c r="L100" i="10" s="1"/>
  <c r="M101" i="10"/>
  <c r="M100" i="10" s="1"/>
  <c r="N101" i="10"/>
  <c r="N100" i="10" s="1"/>
  <c r="J85" i="10"/>
  <c r="K85" i="10"/>
  <c r="L85" i="10"/>
  <c r="M85" i="10"/>
  <c r="N85" i="10"/>
  <c r="J86" i="10"/>
  <c r="K86" i="10"/>
  <c r="L86" i="10"/>
  <c r="M86" i="10"/>
  <c r="N86" i="10"/>
  <c r="J87" i="10"/>
  <c r="K87" i="10"/>
  <c r="L87" i="10"/>
  <c r="M87" i="10"/>
  <c r="N87" i="10"/>
  <c r="J89" i="10"/>
  <c r="J88" i="10" s="1"/>
  <c r="K89" i="10"/>
  <c r="K88" i="10" s="1"/>
  <c r="L89" i="10"/>
  <c r="L88" i="10" s="1"/>
  <c r="M89" i="10"/>
  <c r="M88" i="10" s="1"/>
  <c r="N89" i="10"/>
  <c r="N88" i="10" s="1"/>
  <c r="J91" i="10"/>
  <c r="J90" i="10" s="1"/>
  <c r="K91" i="10"/>
  <c r="K90" i="10" s="1"/>
  <c r="L91" i="10"/>
  <c r="L90" i="10" s="1"/>
  <c r="M91" i="10"/>
  <c r="M90" i="10" s="1"/>
  <c r="N91" i="10"/>
  <c r="N90" i="10" s="1"/>
  <c r="J94" i="10"/>
  <c r="K94" i="10"/>
  <c r="L94" i="10"/>
  <c r="M94" i="10"/>
  <c r="N94" i="10"/>
  <c r="J95" i="10"/>
  <c r="K95" i="10"/>
  <c r="L95" i="10"/>
  <c r="M95" i="10"/>
  <c r="N95" i="10"/>
  <c r="J96" i="10"/>
  <c r="K96" i="10"/>
  <c r="L96" i="10"/>
  <c r="M96" i="10"/>
  <c r="N96" i="10"/>
  <c r="J70" i="10"/>
  <c r="K70" i="10"/>
  <c r="L70" i="10"/>
  <c r="M70" i="10"/>
  <c r="N70" i="10"/>
  <c r="J72" i="10"/>
  <c r="K72" i="10"/>
  <c r="L72" i="10"/>
  <c r="M72" i="10"/>
  <c r="N72" i="10"/>
  <c r="J74" i="10"/>
  <c r="K74" i="10"/>
  <c r="L74" i="10"/>
  <c r="M74" i="10"/>
  <c r="N74" i="10"/>
  <c r="J75" i="10"/>
  <c r="K75" i="10"/>
  <c r="L75" i="10"/>
  <c r="M75" i="10"/>
  <c r="N75" i="10"/>
  <c r="J76" i="10"/>
  <c r="K76" i="10"/>
  <c r="L76" i="10"/>
  <c r="M76" i="10"/>
  <c r="N76" i="10"/>
  <c r="J77" i="10"/>
  <c r="K77" i="10"/>
  <c r="L77" i="10"/>
  <c r="M77" i="10"/>
  <c r="N77" i="10"/>
  <c r="J78" i="10"/>
  <c r="K78" i="10"/>
  <c r="L78" i="10"/>
  <c r="M78" i="10"/>
  <c r="N78" i="10"/>
  <c r="J79" i="10"/>
  <c r="K79" i="10"/>
  <c r="L79" i="10"/>
  <c r="M79" i="10"/>
  <c r="N79" i="10"/>
  <c r="J81" i="10"/>
  <c r="K81" i="10"/>
  <c r="L81" i="10"/>
  <c r="M81" i="10"/>
  <c r="N81" i="10"/>
  <c r="J83" i="10"/>
  <c r="K83" i="10"/>
  <c r="L83" i="10"/>
  <c r="M83" i="10"/>
  <c r="N83" i="10"/>
  <c r="J84" i="10"/>
  <c r="K84" i="10"/>
  <c r="L84" i="10"/>
  <c r="M84" i="10"/>
  <c r="N84" i="10"/>
  <c r="J54" i="10"/>
  <c r="K54" i="10"/>
  <c r="L54" i="10"/>
  <c r="M54" i="10"/>
  <c r="N54" i="10"/>
  <c r="J55" i="10"/>
  <c r="K55" i="10"/>
  <c r="L55" i="10"/>
  <c r="M55" i="10"/>
  <c r="N55" i="10"/>
  <c r="J56" i="10"/>
  <c r="K56" i="10"/>
  <c r="L56" i="10"/>
  <c r="M56" i="10"/>
  <c r="N56" i="10"/>
  <c r="J58" i="10"/>
  <c r="K58" i="10"/>
  <c r="L58" i="10"/>
  <c r="M58" i="10"/>
  <c r="N58" i="10"/>
  <c r="J59" i="10"/>
  <c r="K59" i="10"/>
  <c r="L59" i="10"/>
  <c r="M59" i="10"/>
  <c r="N59" i="10"/>
  <c r="J60" i="10"/>
  <c r="K60" i="10"/>
  <c r="L60" i="10"/>
  <c r="M60" i="10"/>
  <c r="N60" i="10"/>
  <c r="J61" i="10"/>
  <c r="K61" i="10"/>
  <c r="L61" i="10"/>
  <c r="M61" i="10"/>
  <c r="N61" i="10"/>
  <c r="J62" i="10"/>
  <c r="K62" i="10"/>
  <c r="L62" i="10"/>
  <c r="M62" i="10"/>
  <c r="N62" i="10"/>
  <c r="J64" i="10"/>
  <c r="K64" i="10"/>
  <c r="L64" i="10"/>
  <c r="M64" i="10"/>
  <c r="N64" i="10"/>
  <c r="J65" i="10"/>
  <c r="K65" i="10"/>
  <c r="L65" i="10"/>
  <c r="M65" i="10"/>
  <c r="N65" i="10"/>
  <c r="J68" i="10"/>
  <c r="K68" i="10"/>
  <c r="L68" i="10"/>
  <c r="M68" i="10"/>
  <c r="N68" i="10"/>
  <c r="J69" i="10"/>
  <c r="K69" i="10"/>
  <c r="L69" i="10"/>
  <c r="M69" i="10"/>
  <c r="N69" i="10"/>
  <c r="J39" i="10"/>
  <c r="K39" i="10"/>
  <c r="L39" i="10"/>
  <c r="M39" i="10"/>
  <c r="N39" i="10"/>
  <c r="J40" i="10"/>
  <c r="K40" i="10"/>
  <c r="L40" i="10"/>
  <c r="M40" i="10"/>
  <c r="N40" i="10"/>
  <c r="J41" i="10"/>
  <c r="K41" i="10"/>
  <c r="L41" i="10"/>
  <c r="M41" i="10"/>
  <c r="N41" i="10"/>
  <c r="J42" i="10"/>
  <c r="K42" i="10"/>
  <c r="L42" i="10"/>
  <c r="M42" i="10"/>
  <c r="N42" i="10"/>
  <c r="J43" i="10"/>
  <c r="K43" i="10"/>
  <c r="L43" i="10"/>
  <c r="M43" i="10"/>
  <c r="N43" i="10"/>
  <c r="J44" i="10"/>
  <c r="K44" i="10"/>
  <c r="L44" i="10"/>
  <c r="M44" i="10"/>
  <c r="N44" i="10"/>
  <c r="J45" i="10"/>
  <c r="K45" i="10"/>
  <c r="L45" i="10"/>
  <c r="M45" i="10"/>
  <c r="N45" i="10"/>
  <c r="J46" i="10"/>
  <c r="K46" i="10"/>
  <c r="L46" i="10"/>
  <c r="M46" i="10"/>
  <c r="N46" i="10"/>
  <c r="J47" i="10"/>
  <c r="K47" i="10"/>
  <c r="L47" i="10"/>
  <c r="M47" i="10"/>
  <c r="N47" i="10"/>
  <c r="J48" i="10"/>
  <c r="K48" i="10"/>
  <c r="L48" i="10"/>
  <c r="M48" i="10"/>
  <c r="N48" i="10"/>
  <c r="J49" i="10"/>
  <c r="K49" i="10"/>
  <c r="L49" i="10"/>
  <c r="M49" i="10"/>
  <c r="N49" i="10"/>
  <c r="J50" i="10"/>
  <c r="K50" i="10"/>
  <c r="L50" i="10"/>
  <c r="M50" i="10"/>
  <c r="N50" i="10"/>
  <c r="J51" i="10"/>
  <c r="K51" i="10"/>
  <c r="L51" i="10"/>
  <c r="M51" i="10"/>
  <c r="N51" i="10"/>
  <c r="J52" i="10"/>
  <c r="K52" i="10"/>
  <c r="L52" i="10"/>
  <c r="M52" i="10"/>
  <c r="N52" i="10"/>
  <c r="J53" i="10"/>
  <c r="K53" i="10"/>
  <c r="L53" i="10"/>
  <c r="M53" i="10"/>
  <c r="N53" i="10"/>
  <c r="J23" i="10"/>
  <c r="K23" i="10"/>
  <c r="L23" i="10"/>
  <c r="M23" i="10"/>
  <c r="N23" i="10"/>
  <c r="J24" i="10"/>
  <c r="K24" i="10"/>
  <c r="L24" i="10"/>
  <c r="M24" i="10"/>
  <c r="N24" i="10"/>
  <c r="J25" i="10"/>
  <c r="K25" i="10"/>
  <c r="L25" i="10"/>
  <c r="M25" i="10"/>
  <c r="N25" i="10"/>
  <c r="J26" i="10"/>
  <c r="K26" i="10"/>
  <c r="L26" i="10"/>
  <c r="M26" i="10"/>
  <c r="N26" i="10"/>
  <c r="J27" i="10"/>
  <c r="K27" i="10"/>
  <c r="L27" i="10"/>
  <c r="M27" i="10"/>
  <c r="N27" i="10"/>
  <c r="J28" i="10"/>
  <c r="K28" i="10"/>
  <c r="L28" i="10"/>
  <c r="M28" i="10"/>
  <c r="N28" i="10"/>
  <c r="J29" i="10"/>
  <c r="K29" i="10"/>
  <c r="L29" i="10"/>
  <c r="M29" i="10"/>
  <c r="N29" i="10"/>
  <c r="J31" i="10"/>
  <c r="J30" i="10" s="1"/>
  <c r="K31" i="10"/>
  <c r="K30" i="10" s="1"/>
  <c r="L31" i="10"/>
  <c r="L30" i="10" s="1"/>
  <c r="M31" i="10"/>
  <c r="M30" i="10" s="1"/>
  <c r="N31" i="10"/>
  <c r="N30" i="10" s="1"/>
  <c r="J33" i="10"/>
  <c r="J32" i="10" s="1"/>
  <c r="K33" i="10"/>
  <c r="K32" i="10" s="1"/>
  <c r="L33" i="10"/>
  <c r="L32" i="10" s="1"/>
  <c r="M33" i="10"/>
  <c r="M32" i="10" s="1"/>
  <c r="N33" i="10"/>
  <c r="N32" i="10" s="1"/>
  <c r="J8" i="10"/>
  <c r="K8" i="10"/>
  <c r="L8" i="10"/>
  <c r="M8" i="10"/>
  <c r="N8" i="10"/>
  <c r="J9" i="10"/>
  <c r="K9" i="10"/>
  <c r="L9" i="10"/>
  <c r="M9" i="10"/>
  <c r="N9" i="10"/>
  <c r="J10" i="10"/>
  <c r="K10" i="10"/>
  <c r="L10" i="10"/>
  <c r="M10" i="10"/>
  <c r="N10" i="10"/>
  <c r="J12" i="10"/>
  <c r="K12" i="10"/>
  <c r="L12" i="10"/>
  <c r="M12" i="10"/>
  <c r="N12" i="10"/>
  <c r="J13" i="10"/>
  <c r="K13" i="10"/>
  <c r="L13" i="10"/>
  <c r="M13" i="10"/>
  <c r="N13" i="10"/>
  <c r="J15" i="10"/>
  <c r="K15" i="10"/>
  <c r="L15" i="10"/>
  <c r="M15" i="10"/>
  <c r="N15" i="10"/>
  <c r="J16" i="10"/>
  <c r="K16" i="10"/>
  <c r="L16" i="10"/>
  <c r="M16" i="10"/>
  <c r="N16" i="10"/>
  <c r="J17" i="10"/>
  <c r="K17" i="10"/>
  <c r="L17" i="10"/>
  <c r="M17" i="10"/>
  <c r="N17" i="10"/>
  <c r="J19" i="10"/>
  <c r="J18" i="10" s="1"/>
  <c r="K19" i="10"/>
  <c r="K18" i="10" s="1"/>
  <c r="L19" i="10"/>
  <c r="L18" i="10" s="1"/>
  <c r="M19" i="10"/>
  <c r="M18" i="10" s="1"/>
  <c r="N19" i="10"/>
  <c r="N18" i="10" s="1"/>
  <c r="J20" i="10"/>
  <c r="K20" i="10"/>
  <c r="L20" i="10"/>
  <c r="M20" i="10"/>
  <c r="N20" i="10"/>
  <c r="J146" i="6"/>
  <c r="K146" i="6"/>
  <c r="L146" i="6"/>
  <c r="M146" i="6"/>
  <c r="N146" i="6"/>
  <c r="J147" i="6"/>
  <c r="K147" i="6"/>
  <c r="L147" i="6"/>
  <c r="M147" i="6"/>
  <c r="N147" i="6"/>
  <c r="J148" i="6"/>
  <c r="K148" i="6"/>
  <c r="L148" i="6"/>
  <c r="M148" i="6"/>
  <c r="N148" i="6"/>
  <c r="J149" i="6"/>
  <c r="K149" i="6"/>
  <c r="L149" i="6"/>
  <c r="M149" i="6"/>
  <c r="N149" i="6"/>
  <c r="J150" i="6"/>
  <c r="K150" i="6"/>
  <c r="L150" i="6"/>
  <c r="M150" i="6"/>
  <c r="N150" i="6"/>
  <c r="J130" i="6"/>
  <c r="K130" i="6"/>
  <c r="L130" i="6"/>
  <c r="M130" i="6"/>
  <c r="N130" i="6"/>
  <c r="J131" i="6"/>
  <c r="K131" i="6"/>
  <c r="L131" i="6"/>
  <c r="M131" i="6"/>
  <c r="N131" i="6"/>
  <c r="J132" i="6"/>
  <c r="K132" i="6"/>
  <c r="L132" i="6"/>
  <c r="M132" i="6"/>
  <c r="N132" i="6"/>
  <c r="J133" i="6"/>
  <c r="K133" i="6"/>
  <c r="L133" i="6"/>
  <c r="M133" i="6"/>
  <c r="N133" i="6"/>
  <c r="J134" i="6"/>
  <c r="K134" i="6"/>
  <c r="L134" i="6"/>
  <c r="M134" i="6"/>
  <c r="N134" i="6"/>
  <c r="J135" i="6"/>
  <c r="K135" i="6"/>
  <c r="L135" i="6"/>
  <c r="M135" i="6"/>
  <c r="N135" i="6"/>
  <c r="J136" i="6"/>
  <c r="K136" i="6"/>
  <c r="L136" i="6"/>
  <c r="M136" i="6"/>
  <c r="N136" i="6"/>
  <c r="J137" i="6"/>
  <c r="K137" i="6"/>
  <c r="L137" i="6"/>
  <c r="M137" i="6"/>
  <c r="N137" i="6"/>
  <c r="J139" i="6"/>
  <c r="J138" i="6" s="1"/>
  <c r="K139" i="6"/>
  <c r="K138" i="6" s="1"/>
  <c r="L139" i="6"/>
  <c r="L138" i="6" s="1"/>
  <c r="M139" i="6"/>
  <c r="M138" i="6" s="1"/>
  <c r="N139" i="6"/>
  <c r="N138" i="6" s="1"/>
  <c r="J141" i="6"/>
  <c r="K141" i="6"/>
  <c r="L141" i="6"/>
  <c r="M141" i="6"/>
  <c r="N141" i="6"/>
  <c r="J142" i="6"/>
  <c r="K142" i="6"/>
  <c r="L142" i="6"/>
  <c r="M142" i="6"/>
  <c r="N142" i="6"/>
  <c r="J108" i="6"/>
  <c r="K108" i="6"/>
  <c r="L108" i="6"/>
  <c r="M108" i="6"/>
  <c r="N108" i="6"/>
  <c r="J109" i="6"/>
  <c r="K109" i="6"/>
  <c r="L109" i="6"/>
  <c r="M109" i="6"/>
  <c r="N109" i="6"/>
  <c r="J110" i="6"/>
  <c r="K110" i="6"/>
  <c r="L110" i="6"/>
  <c r="M110" i="6"/>
  <c r="N110" i="6"/>
  <c r="J113" i="6"/>
  <c r="K113" i="6"/>
  <c r="L113" i="6"/>
  <c r="M113" i="6"/>
  <c r="N113" i="6"/>
  <c r="J114" i="6"/>
  <c r="K114" i="6"/>
  <c r="L114" i="6"/>
  <c r="M114" i="6"/>
  <c r="N114" i="6"/>
  <c r="J115" i="6"/>
  <c r="K115" i="6"/>
  <c r="L115" i="6"/>
  <c r="M115" i="6"/>
  <c r="N115" i="6"/>
  <c r="J116" i="6"/>
  <c r="K116" i="6"/>
  <c r="L116" i="6"/>
  <c r="M116" i="6"/>
  <c r="N116" i="6"/>
  <c r="J117" i="6"/>
  <c r="K117" i="6"/>
  <c r="L117" i="6"/>
  <c r="M117" i="6"/>
  <c r="N117" i="6"/>
  <c r="J118" i="6"/>
  <c r="K118" i="6"/>
  <c r="L118" i="6"/>
  <c r="M118" i="6"/>
  <c r="N118" i="6"/>
  <c r="J119" i="6"/>
  <c r="K119" i="6"/>
  <c r="L119" i="6"/>
  <c r="M119" i="6"/>
  <c r="N119" i="6"/>
  <c r="J120" i="6"/>
  <c r="K120" i="6"/>
  <c r="L120" i="6"/>
  <c r="M120" i="6"/>
  <c r="N120" i="6"/>
  <c r="J121" i="6"/>
  <c r="K121" i="6"/>
  <c r="L121" i="6"/>
  <c r="M121" i="6"/>
  <c r="N121" i="6"/>
  <c r="J122" i="6"/>
  <c r="K122" i="6"/>
  <c r="L122" i="6"/>
  <c r="M122" i="6"/>
  <c r="N122" i="6"/>
  <c r="J123" i="6"/>
  <c r="K123" i="6"/>
  <c r="L123" i="6"/>
  <c r="M123" i="6"/>
  <c r="N123" i="6"/>
  <c r="J125" i="6"/>
  <c r="K125" i="6"/>
  <c r="L125" i="6"/>
  <c r="M125" i="6"/>
  <c r="N125" i="6"/>
  <c r="J126" i="6"/>
  <c r="K126" i="6"/>
  <c r="L126" i="6"/>
  <c r="M126" i="6"/>
  <c r="N126" i="6"/>
  <c r="J127" i="6"/>
  <c r="K127" i="6"/>
  <c r="L127" i="6"/>
  <c r="M127" i="6"/>
  <c r="N127" i="6"/>
  <c r="J128" i="6"/>
  <c r="K128" i="6"/>
  <c r="L128" i="6"/>
  <c r="M128" i="6"/>
  <c r="N128" i="6"/>
  <c r="J129" i="6"/>
  <c r="K129" i="6"/>
  <c r="L129" i="6"/>
  <c r="M129" i="6"/>
  <c r="N129" i="6"/>
  <c r="J87" i="6"/>
  <c r="K87" i="6"/>
  <c r="L87" i="6"/>
  <c r="M87" i="6"/>
  <c r="N87" i="6"/>
  <c r="J88" i="6"/>
  <c r="K88" i="6"/>
  <c r="L88" i="6"/>
  <c r="M88" i="6"/>
  <c r="N88" i="6"/>
  <c r="J89" i="6"/>
  <c r="K89" i="6"/>
  <c r="L89" i="6"/>
  <c r="M89" i="6"/>
  <c r="N89" i="6"/>
  <c r="J90" i="6"/>
  <c r="K90" i="6"/>
  <c r="L90" i="6"/>
  <c r="M90" i="6"/>
  <c r="N90" i="6"/>
  <c r="J91" i="6"/>
  <c r="K91" i="6"/>
  <c r="L91" i="6"/>
  <c r="M91" i="6"/>
  <c r="N91" i="6"/>
  <c r="J93" i="6"/>
  <c r="J92" i="6" s="1"/>
  <c r="K93" i="6"/>
  <c r="K92" i="6" s="1"/>
  <c r="L93" i="6"/>
  <c r="L92" i="6" s="1"/>
  <c r="M93" i="6"/>
  <c r="M92" i="6" s="1"/>
  <c r="N93" i="6"/>
  <c r="N92" i="6" s="1"/>
  <c r="J94" i="6"/>
  <c r="K94" i="6"/>
  <c r="L94" i="6"/>
  <c r="M94" i="6"/>
  <c r="N94" i="6"/>
  <c r="J97" i="6"/>
  <c r="K97" i="6"/>
  <c r="L97" i="6"/>
  <c r="M97" i="6"/>
  <c r="N97" i="6"/>
  <c r="J99" i="6"/>
  <c r="K99" i="6"/>
  <c r="L99" i="6"/>
  <c r="M99" i="6"/>
  <c r="N99" i="6"/>
  <c r="J102" i="6"/>
  <c r="K102" i="6"/>
  <c r="L102" i="6"/>
  <c r="M102" i="6"/>
  <c r="N102" i="6"/>
  <c r="J104" i="6"/>
  <c r="J103" i="6" s="1"/>
  <c r="K104" i="6"/>
  <c r="K103" i="6" s="1"/>
  <c r="L104" i="6"/>
  <c r="L103" i="6" s="1"/>
  <c r="M104" i="6"/>
  <c r="M103" i="6" s="1"/>
  <c r="N104" i="6"/>
  <c r="N103" i="6" s="1"/>
  <c r="J60" i="6"/>
  <c r="K60" i="6"/>
  <c r="L60" i="6"/>
  <c r="M60" i="6"/>
  <c r="N60" i="6"/>
  <c r="J61" i="6"/>
  <c r="K61" i="6"/>
  <c r="L61" i="6"/>
  <c r="M61" i="6"/>
  <c r="N61" i="6"/>
  <c r="J62" i="6"/>
  <c r="K62" i="6"/>
  <c r="L62" i="6"/>
  <c r="M62" i="6"/>
  <c r="N62" i="6"/>
  <c r="J64" i="6"/>
  <c r="K64" i="6"/>
  <c r="L64" i="6"/>
  <c r="M64" i="6"/>
  <c r="N64" i="6"/>
  <c r="J65" i="6"/>
  <c r="K65" i="6"/>
  <c r="L65" i="6"/>
  <c r="M65" i="6"/>
  <c r="N65" i="6"/>
  <c r="J66" i="6"/>
  <c r="K66" i="6"/>
  <c r="L66" i="6"/>
  <c r="M66" i="6"/>
  <c r="N66" i="6"/>
  <c r="J68" i="6"/>
  <c r="K68" i="6"/>
  <c r="L68" i="6"/>
  <c r="M68" i="6"/>
  <c r="N68" i="6"/>
  <c r="J69" i="6"/>
  <c r="K69" i="6"/>
  <c r="L69" i="6"/>
  <c r="M69" i="6"/>
  <c r="N69" i="6"/>
  <c r="J70" i="6"/>
  <c r="K70" i="6"/>
  <c r="L70" i="6"/>
  <c r="M70" i="6"/>
  <c r="N70" i="6"/>
  <c r="J71" i="6"/>
  <c r="K71" i="6"/>
  <c r="L71" i="6"/>
  <c r="M71" i="6"/>
  <c r="N71" i="6"/>
  <c r="J72" i="6"/>
  <c r="K72" i="6"/>
  <c r="L72" i="6"/>
  <c r="M72" i="6"/>
  <c r="N72" i="6"/>
  <c r="J73" i="6"/>
  <c r="K73" i="6"/>
  <c r="L73" i="6"/>
  <c r="M73" i="6"/>
  <c r="N73" i="6"/>
  <c r="J74" i="6"/>
  <c r="K74" i="6"/>
  <c r="L74" i="6"/>
  <c r="M74" i="6"/>
  <c r="N74" i="6"/>
  <c r="J75" i="6"/>
  <c r="K75" i="6"/>
  <c r="L75" i="6"/>
  <c r="M75" i="6"/>
  <c r="N75" i="6"/>
  <c r="J77" i="6"/>
  <c r="K77" i="6"/>
  <c r="L77" i="6"/>
  <c r="M77" i="6"/>
  <c r="N77" i="6"/>
  <c r="J78" i="6"/>
  <c r="K78" i="6"/>
  <c r="L78" i="6"/>
  <c r="M78" i="6"/>
  <c r="N78" i="6"/>
  <c r="J79" i="6"/>
  <c r="K79" i="6"/>
  <c r="L79" i="6"/>
  <c r="M79" i="6"/>
  <c r="N79" i="6"/>
  <c r="J80" i="6"/>
  <c r="K80" i="6"/>
  <c r="L80" i="6"/>
  <c r="M80" i="6"/>
  <c r="N80" i="6"/>
  <c r="J81" i="6"/>
  <c r="K81" i="6"/>
  <c r="L81" i="6"/>
  <c r="M81" i="6"/>
  <c r="N81" i="6"/>
  <c r="J82" i="6"/>
  <c r="K82" i="6"/>
  <c r="L82" i="6"/>
  <c r="M82" i="6"/>
  <c r="N82" i="6"/>
  <c r="J83" i="6"/>
  <c r="K83" i="6"/>
  <c r="L83" i="6"/>
  <c r="M83" i="6"/>
  <c r="N83" i="6"/>
  <c r="J85" i="6"/>
  <c r="K85" i="6"/>
  <c r="L85" i="6"/>
  <c r="M85" i="6"/>
  <c r="N85" i="6"/>
  <c r="J86" i="6"/>
  <c r="K86" i="6"/>
  <c r="L86" i="6"/>
  <c r="M86" i="6"/>
  <c r="N86" i="6"/>
  <c r="J37" i="6"/>
  <c r="K37" i="6"/>
  <c r="L37" i="6"/>
  <c r="M37" i="6"/>
  <c r="N37" i="6"/>
  <c r="J39" i="6"/>
  <c r="K39" i="6"/>
  <c r="L39" i="6"/>
  <c r="M39" i="6"/>
  <c r="N39" i="6"/>
  <c r="J40" i="6"/>
  <c r="K40" i="6"/>
  <c r="L40" i="6"/>
  <c r="M40" i="6"/>
  <c r="N40" i="6"/>
  <c r="J41" i="6"/>
  <c r="K41" i="6"/>
  <c r="L41" i="6"/>
  <c r="M41" i="6"/>
  <c r="N41" i="6"/>
  <c r="J42" i="6"/>
  <c r="K42" i="6"/>
  <c r="L42" i="6"/>
  <c r="M42" i="6"/>
  <c r="N42" i="6"/>
  <c r="J43" i="6"/>
  <c r="K43" i="6"/>
  <c r="L43" i="6"/>
  <c r="M43" i="6"/>
  <c r="N43" i="6"/>
  <c r="J44" i="6"/>
  <c r="K44" i="6"/>
  <c r="L44" i="6"/>
  <c r="M44" i="6"/>
  <c r="N44" i="6"/>
  <c r="J45" i="6"/>
  <c r="K45" i="6"/>
  <c r="L45" i="6"/>
  <c r="M45" i="6"/>
  <c r="N45" i="6"/>
  <c r="J46" i="6"/>
  <c r="K46" i="6"/>
  <c r="L46" i="6"/>
  <c r="M46" i="6"/>
  <c r="N46" i="6"/>
  <c r="J47" i="6"/>
  <c r="K47" i="6"/>
  <c r="L47" i="6"/>
  <c r="M47" i="6"/>
  <c r="N47" i="6"/>
  <c r="J48" i="6"/>
  <c r="K48" i="6"/>
  <c r="L48" i="6"/>
  <c r="M48" i="6"/>
  <c r="N48" i="6"/>
  <c r="J49" i="6"/>
  <c r="K49" i="6"/>
  <c r="L49" i="6"/>
  <c r="M49" i="6"/>
  <c r="N49" i="6"/>
  <c r="J50" i="6"/>
  <c r="K50" i="6"/>
  <c r="L50" i="6"/>
  <c r="M50" i="6"/>
  <c r="N50" i="6"/>
  <c r="J51" i="6"/>
  <c r="K51" i="6"/>
  <c r="L51" i="6"/>
  <c r="M51" i="6"/>
  <c r="N51" i="6"/>
  <c r="J54" i="6"/>
  <c r="K54" i="6"/>
  <c r="L54" i="6"/>
  <c r="M54" i="6"/>
  <c r="N54" i="6"/>
  <c r="J55" i="6"/>
  <c r="K55" i="6"/>
  <c r="L55" i="6"/>
  <c r="M55" i="6"/>
  <c r="N55" i="6"/>
  <c r="J57" i="6"/>
  <c r="K57" i="6"/>
  <c r="L57" i="6"/>
  <c r="M57" i="6"/>
  <c r="N57" i="6"/>
  <c r="J58" i="6"/>
  <c r="K58" i="6"/>
  <c r="L58" i="6"/>
  <c r="M58" i="6"/>
  <c r="N58" i="6"/>
  <c r="J59" i="6"/>
  <c r="K59" i="6"/>
  <c r="L59" i="6"/>
  <c r="M59" i="6"/>
  <c r="N59" i="6"/>
  <c r="K22" i="6"/>
  <c r="L22" i="6"/>
  <c r="M22" i="6"/>
  <c r="N22" i="6"/>
  <c r="K23" i="6"/>
  <c r="L23" i="6"/>
  <c r="M23" i="6"/>
  <c r="N23" i="6"/>
  <c r="K24" i="6"/>
  <c r="L24" i="6"/>
  <c r="M24" i="6"/>
  <c r="N24" i="6"/>
  <c r="K25" i="6"/>
  <c r="L25" i="6"/>
  <c r="M25" i="6"/>
  <c r="N25" i="6"/>
  <c r="K26" i="6"/>
  <c r="L26" i="6"/>
  <c r="M26" i="6"/>
  <c r="N26" i="6"/>
  <c r="K27" i="6"/>
  <c r="L27" i="6"/>
  <c r="M27" i="6"/>
  <c r="N27" i="6"/>
  <c r="K29" i="6"/>
  <c r="K28" i="6" s="1"/>
  <c r="L29" i="6"/>
  <c r="L28" i="6" s="1"/>
  <c r="M29" i="6"/>
  <c r="M28" i="6" s="1"/>
  <c r="N29" i="6"/>
  <c r="N28" i="6" s="1"/>
  <c r="K31" i="6"/>
  <c r="L31" i="6"/>
  <c r="M31" i="6"/>
  <c r="N31" i="6"/>
  <c r="K8" i="6"/>
  <c r="L8" i="6"/>
  <c r="M8" i="6"/>
  <c r="N8" i="6"/>
  <c r="K9" i="6"/>
  <c r="L9" i="6"/>
  <c r="M9" i="6"/>
  <c r="N9" i="6"/>
  <c r="K10" i="6"/>
  <c r="L10" i="6"/>
  <c r="M10" i="6"/>
  <c r="N10" i="6"/>
  <c r="K11" i="6"/>
  <c r="L11" i="6"/>
  <c r="M11" i="6"/>
  <c r="N11" i="6"/>
  <c r="K12" i="6"/>
  <c r="L12" i="6"/>
  <c r="M12" i="6"/>
  <c r="N12" i="6"/>
  <c r="K14" i="6"/>
  <c r="L14" i="6"/>
  <c r="M14" i="6"/>
  <c r="N14" i="6"/>
  <c r="K15" i="6"/>
  <c r="L15" i="6"/>
  <c r="M15" i="6"/>
  <c r="N15" i="6"/>
  <c r="K16" i="6"/>
  <c r="L16" i="6"/>
  <c r="M16" i="6"/>
  <c r="N16" i="6"/>
  <c r="K19" i="6"/>
  <c r="L19" i="6"/>
  <c r="M19" i="6"/>
  <c r="N19" i="6"/>
  <c r="J8" i="6"/>
  <c r="J9" i="6"/>
  <c r="J10" i="6"/>
  <c r="J11" i="6"/>
  <c r="J14" i="6"/>
  <c r="J15" i="6"/>
  <c r="J16" i="6"/>
  <c r="J19" i="6"/>
  <c r="K122" i="1"/>
  <c r="L122" i="1"/>
  <c r="M122" i="1"/>
  <c r="N122" i="1"/>
  <c r="K123" i="1"/>
  <c r="L123" i="1"/>
  <c r="M123" i="1"/>
  <c r="N123" i="1"/>
  <c r="K84" i="1"/>
  <c r="L84" i="1"/>
  <c r="M84" i="1"/>
  <c r="N84" i="1"/>
  <c r="K86" i="1"/>
  <c r="L86" i="1"/>
  <c r="M86" i="1"/>
  <c r="N86" i="1"/>
  <c r="K88" i="1"/>
  <c r="L88" i="1"/>
  <c r="M88" i="1"/>
  <c r="N88" i="1"/>
  <c r="K89" i="1"/>
  <c r="L89" i="1"/>
  <c r="M89" i="1"/>
  <c r="N89" i="1"/>
  <c r="K90" i="1"/>
  <c r="L90" i="1"/>
  <c r="M90" i="1"/>
  <c r="N90" i="1"/>
  <c r="K91" i="1"/>
  <c r="L91" i="1"/>
  <c r="M91" i="1"/>
  <c r="N91" i="1"/>
  <c r="K92" i="1"/>
  <c r="L92" i="1"/>
  <c r="M92" i="1"/>
  <c r="N92" i="1"/>
  <c r="K93" i="1"/>
  <c r="L93" i="1"/>
  <c r="M93" i="1"/>
  <c r="N93" i="1"/>
  <c r="K94" i="1"/>
  <c r="L94" i="1"/>
  <c r="M94" i="1"/>
  <c r="N94" i="1"/>
  <c r="K95" i="1"/>
  <c r="L95" i="1"/>
  <c r="M95" i="1"/>
  <c r="N95" i="1"/>
  <c r="K96" i="1"/>
  <c r="L96" i="1"/>
  <c r="M96" i="1"/>
  <c r="N96" i="1"/>
  <c r="K97" i="1"/>
  <c r="L97" i="1"/>
  <c r="M97" i="1"/>
  <c r="N97" i="1"/>
  <c r="K98" i="1"/>
  <c r="L98" i="1"/>
  <c r="M98" i="1"/>
  <c r="N98" i="1"/>
  <c r="K99" i="1"/>
  <c r="L99" i="1"/>
  <c r="M99" i="1"/>
  <c r="N99" i="1"/>
  <c r="K101" i="1"/>
  <c r="L101" i="1"/>
  <c r="M101" i="1"/>
  <c r="N101" i="1"/>
  <c r="K102" i="1"/>
  <c r="L102" i="1"/>
  <c r="M102" i="1"/>
  <c r="N102" i="1"/>
  <c r="K103" i="1"/>
  <c r="L103" i="1"/>
  <c r="M103" i="1"/>
  <c r="N103" i="1"/>
  <c r="K104" i="1"/>
  <c r="L104" i="1"/>
  <c r="M104" i="1"/>
  <c r="N104" i="1"/>
  <c r="K105" i="1"/>
  <c r="L105" i="1"/>
  <c r="M105" i="1"/>
  <c r="N105" i="1"/>
  <c r="K106" i="1"/>
  <c r="L106" i="1"/>
  <c r="M106" i="1"/>
  <c r="N106" i="1"/>
  <c r="K107" i="1"/>
  <c r="L107" i="1"/>
  <c r="M107" i="1"/>
  <c r="N107" i="1"/>
  <c r="K108" i="1"/>
  <c r="L108" i="1"/>
  <c r="M108" i="1"/>
  <c r="N108" i="1"/>
  <c r="K109" i="1"/>
  <c r="L109" i="1"/>
  <c r="M109" i="1"/>
  <c r="N109" i="1"/>
  <c r="K110" i="1"/>
  <c r="L110" i="1"/>
  <c r="M110" i="1"/>
  <c r="N110" i="1"/>
  <c r="K111" i="1"/>
  <c r="L111" i="1"/>
  <c r="M111" i="1"/>
  <c r="N111" i="1"/>
  <c r="K112" i="1"/>
  <c r="L112" i="1"/>
  <c r="M112" i="1"/>
  <c r="N112" i="1"/>
  <c r="K113" i="1"/>
  <c r="L113" i="1"/>
  <c r="M113" i="1"/>
  <c r="N113" i="1"/>
  <c r="K114" i="1"/>
  <c r="L114" i="1"/>
  <c r="M114" i="1"/>
  <c r="N114" i="1"/>
  <c r="K117" i="1"/>
  <c r="L117" i="1"/>
  <c r="M117" i="1"/>
  <c r="N117" i="1"/>
  <c r="K66" i="1"/>
  <c r="K65" i="1" s="1"/>
  <c r="L66" i="1"/>
  <c r="L65" i="1" s="1"/>
  <c r="M66" i="1"/>
  <c r="M65" i="1" s="1"/>
  <c r="N66" i="1"/>
  <c r="N65" i="1" s="1"/>
  <c r="K67" i="1"/>
  <c r="L67" i="1"/>
  <c r="M67" i="1"/>
  <c r="N67" i="1"/>
  <c r="K68" i="1"/>
  <c r="L68" i="1"/>
  <c r="M68" i="1"/>
  <c r="N68" i="1"/>
  <c r="K69" i="1"/>
  <c r="L69" i="1"/>
  <c r="M69" i="1"/>
  <c r="N69" i="1"/>
  <c r="K72" i="1"/>
  <c r="L72" i="1"/>
  <c r="M72" i="1"/>
  <c r="N72" i="1"/>
  <c r="K73" i="1"/>
  <c r="L73" i="1"/>
  <c r="M73" i="1"/>
  <c r="N73" i="1"/>
  <c r="K74" i="1"/>
  <c r="L74" i="1"/>
  <c r="M74" i="1"/>
  <c r="N74" i="1"/>
  <c r="K75" i="1"/>
  <c r="L75" i="1"/>
  <c r="M75" i="1"/>
  <c r="N75" i="1"/>
  <c r="K76" i="1"/>
  <c r="L76" i="1"/>
  <c r="M76" i="1"/>
  <c r="N76" i="1"/>
  <c r="K79" i="1"/>
  <c r="L79" i="1"/>
  <c r="M79" i="1"/>
  <c r="N79" i="1"/>
  <c r="K80" i="1"/>
  <c r="L80" i="1"/>
  <c r="M80" i="1"/>
  <c r="N80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5" i="1"/>
  <c r="L55" i="1"/>
  <c r="M55" i="1"/>
  <c r="N55" i="1"/>
  <c r="K56" i="1"/>
  <c r="L56" i="1"/>
  <c r="M56" i="1"/>
  <c r="N56" i="1"/>
  <c r="K57" i="1"/>
  <c r="L57" i="1"/>
  <c r="M57" i="1"/>
  <c r="N57" i="1"/>
  <c r="K59" i="1"/>
  <c r="L59" i="1"/>
  <c r="M59" i="1"/>
  <c r="N59" i="1"/>
  <c r="K61" i="1"/>
  <c r="L61" i="1"/>
  <c r="M61" i="1"/>
  <c r="N61" i="1"/>
  <c r="K63" i="1"/>
  <c r="L63" i="1"/>
  <c r="M63" i="1"/>
  <c r="N63" i="1"/>
  <c r="K64" i="1"/>
  <c r="L64" i="1"/>
  <c r="M64" i="1"/>
  <c r="N64" i="1"/>
  <c r="K21" i="1"/>
  <c r="L21" i="1"/>
  <c r="M21" i="1"/>
  <c r="N21" i="1"/>
  <c r="K22" i="1"/>
  <c r="L22" i="1"/>
  <c r="M22" i="1"/>
  <c r="N22" i="1"/>
  <c r="K23" i="1"/>
  <c r="L23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30" i="1"/>
  <c r="K29" i="1" s="1"/>
  <c r="L30" i="1"/>
  <c r="L29" i="1" s="1"/>
  <c r="M30" i="1"/>
  <c r="M29" i="1" s="1"/>
  <c r="N30" i="1"/>
  <c r="N29" i="1" s="1"/>
  <c r="K32" i="1"/>
  <c r="L32" i="1"/>
  <c r="M32" i="1"/>
  <c r="N32" i="1"/>
  <c r="N9" i="1"/>
  <c r="N10" i="1"/>
  <c r="N13" i="1"/>
  <c r="N14" i="1"/>
  <c r="N15" i="1"/>
  <c r="N17" i="1"/>
  <c r="N16" i="1" s="1"/>
  <c r="N18" i="1"/>
  <c r="M9" i="1"/>
  <c r="M10" i="1"/>
  <c r="M13" i="1"/>
  <c r="M14" i="1"/>
  <c r="M15" i="1"/>
  <c r="M17" i="1"/>
  <c r="M16" i="1" s="1"/>
  <c r="M18" i="1"/>
  <c r="L9" i="1"/>
  <c r="L10" i="1"/>
  <c r="L11" i="1"/>
  <c r="L13" i="1"/>
  <c r="L14" i="1"/>
  <c r="L15" i="1"/>
  <c r="L17" i="1"/>
  <c r="L16" i="1" s="1"/>
  <c r="L18" i="1"/>
  <c r="K9" i="1"/>
  <c r="K10" i="1"/>
  <c r="K11" i="1"/>
  <c r="K13" i="1"/>
  <c r="K14" i="1"/>
  <c r="K15" i="1"/>
  <c r="K17" i="1"/>
  <c r="K16" i="1" s="1"/>
  <c r="K18" i="1"/>
  <c r="J123" i="1"/>
  <c r="J122" i="1"/>
  <c r="J84" i="1"/>
  <c r="J86" i="1"/>
  <c r="J88" i="1"/>
  <c r="J89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5" i="1"/>
  <c r="J56" i="1"/>
  <c r="J57" i="1"/>
  <c r="J59" i="1"/>
  <c r="J61" i="1"/>
  <c r="J63" i="1"/>
  <c r="J64" i="1"/>
  <c r="J66" i="1"/>
  <c r="J65" i="1" s="1"/>
  <c r="J67" i="1"/>
  <c r="J68" i="1"/>
  <c r="J69" i="1"/>
  <c r="J72" i="1"/>
  <c r="J73" i="1"/>
  <c r="J74" i="1"/>
  <c r="J75" i="1"/>
  <c r="J76" i="1"/>
  <c r="J79" i="1"/>
  <c r="J80" i="1"/>
  <c r="J32" i="1"/>
  <c r="J21" i="1"/>
  <c r="J22" i="1"/>
  <c r="J23" i="1"/>
  <c r="J25" i="1"/>
  <c r="J26" i="1"/>
  <c r="J27" i="1"/>
  <c r="J28" i="1"/>
  <c r="J30" i="1"/>
  <c r="J29" i="1" s="1"/>
  <c r="J18" i="1"/>
  <c r="J17" i="1"/>
  <c r="J16" i="1" s="1"/>
  <c r="J15" i="1"/>
  <c r="J14" i="1"/>
  <c r="J13" i="1"/>
  <c r="J11" i="1"/>
  <c r="J10" i="1"/>
  <c r="J9" i="1"/>
  <c r="K7" i="16"/>
  <c r="L7" i="16"/>
  <c r="L17" i="16" s="1"/>
  <c r="M7" i="16"/>
  <c r="M17" i="16" s="1"/>
  <c r="N7" i="16"/>
  <c r="J7" i="16"/>
  <c r="J17" i="16" s="1"/>
  <c r="I7" i="15"/>
  <c r="I17" i="15" s="1"/>
  <c r="I26" i="15" s="1"/>
  <c r="K7" i="15"/>
  <c r="K17" i="15" s="1"/>
  <c r="K26" i="15" s="1"/>
  <c r="L7" i="15"/>
  <c r="L17" i="15" s="1"/>
  <c r="L26" i="15" s="1"/>
  <c r="M7" i="15"/>
  <c r="M17" i="15" s="1"/>
  <c r="M26" i="15" s="1"/>
  <c r="N7" i="15"/>
  <c r="N17" i="15" s="1"/>
  <c r="N26" i="15" s="1"/>
  <c r="J7" i="15"/>
  <c r="J17" i="15" s="1"/>
  <c r="J26" i="15" s="1"/>
  <c r="J38" i="13"/>
  <c r="K61" i="13"/>
  <c r="L61" i="13"/>
  <c r="M61" i="13"/>
  <c r="N61" i="13"/>
  <c r="J61" i="13"/>
  <c r="K79" i="13"/>
  <c r="L79" i="13"/>
  <c r="M79" i="13"/>
  <c r="N79" i="13"/>
  <c r="J79" i="13"/>
  <c r="K74" i="13"/>
  <c r="K81" i="13" s="1"/>
  <c r="L74" i="13"/>
  <c r="L81" i="13" s="1"/>
  <c r="M74" i="13"/>
  <c r="M81" i="13" s="1"/>
  <c r="N74" i="13"/>
  <c r="J74" i="13"/>
  <c r="J81" i="13" s="1"/>
  <c r="K69" i="13"/>
  <c r="L69" i="13"/>
  <c r="M69" i="13"/>
  <c r="N69" i="13"/>
  <c r="J69" i="13"/>
  <c r="K59" i="13"/>
  <c r="L59" i="13"/>
  <c r="M59" i="13"/>
  <c r="N59" i="13"/>
  <c r="J59" i="13"/>
  <c r="K57" i="13"/>
  <c r="L57" i="13"/>
  <c r="M57" i="13"/>
  <c r="N57" i="13"/>
  <c r="J57" i="13"/>
  <c r="K50" i="13"/>
  <c r="L50" i="13"/>
  <c r="M50" i="13"/>
  <c r="N50" i="13"/>
  <c r="J50" i="13"/>
  <c r="K47" i="13"/>
  <c r="L47" i="13"/>
  <c r="M47" i="13"/>
  <c r="N47" i="13"/>
  <c r="J47" i="13"/>
  <c r="K45" i="13"/>
  <c r="L45" i="13"/>
  <c r="M45" i="13"/>
  <c r="N45" i="13"/>
  <c r="J45" i="13"/>
  <c r="K42" i="13"/>
  <c r="L42" i="13"/>
  <c r="M42" i="13"/>
  <c r="N42" i="13"/>
  <c r="J42" i="13"/>
  <c r="K38" i="13"/>
  <c r="L38" i="13"/>
  <c r="M38" i="13"/>
  <c r="N38" i="13"/>
  <c r="K75" i="12"/>
  <c r="L75" i="12"/>
  <c r="M75" i="12"/>
  <c r="N75" i="12"/>
  <c r="J75" i="12"/>
  <c r="K66" i="12"/>
  <c r="L66" i="12"/>
  <c r="M66" i="12"/>
  <c r="N66" i="12"/>
  <c r="J66" i="12"/>
  <c r="J55" i="11"/>
  <c r="J20" i="11"/>
  <c r="J22" i="11" s="1"/>
  <c r="N77" i="9"/>
  <c r="J101" i="6"/>
  <c r="K101" i="6"/>
  <c r="L101" i="6"/>
  <c r="M101" i="6"/>
  <c r="N101" i="6"/>
  <c r="K98" i="6"/>
  <c r="L98" i="6"/>
  <c r="M98" i="6"/>
  <c r="N98" i="6"/>
  <c r="J98" i="6"/>
  <c r="K96" i="6"/>
  <c r="L96" i="6"/>
  <c r="M96" i="6"/>
  <c r="N96" i="6"/>
  <c r="J96" i="6"/>
  <c r="K112" i="6"/>
  <c r="L112" i="6"/>
  <c r="M112" i="6"/>
  <c r="N112" i="6"/>
  <c r="J112" i="6"/>
  <c r="K111" i="6"/>
  <c r="L111" i="6"/>
  <c r="M111" i="6"/>
  <c r="N111" i="6"/>
  <c r="J111" i="6"/>
  <c r="K53" i="6"/>
  <c r="L53" i="6"/>
  <c r="M53" i="6"/>
  <c r="N53" i="6"/>
  <c r="J53" i="6"/>
  <c r="K52" i="6"/>
  <c r="L52" i="6"/>
  <c r="M52" i="6"/>
  <c r="J52" i="6"/>
  <c r="K38" i="6"/>
  <c r="L38" i="6"/>
  <c r="M38" i="6"/>
  <c r="N38" i="6"/>
  <c r="J38" i="6"/>
  <c r="K36" i="6"/>
  <c r="L36" i="6"/>
  <c r="M36" i="6"/>
  <c r="N36" i="6"/>
  <c r="N56" i="8"/>
  <c r="K30" i="8"/>
  <c r="L30" i="8"/>
  <c r="M30" i="8"/>
  <c r="N30" i="8"/>
  <c r="J30" i="8"/>
  <c r="J30" i="6" s="1"/>
  <c r="K21" i="8"/>
  <c r="L21" i="8"/>
  <c r="L32" i="8" s="1"/>
  <c r="M21" i="8"/>
  <c r="N21" i="8"/>
  <c r="J21" i="8"/>
  <c r="D85" i="1"/>
  <c r="E85" i="1"/>
  <c r="F85" i="1"/>
  <c r="G85" i="1"/>
  <c r="H85" i="1"/>
  <c r="I85" i="1"/>
  <c r="J36" i="5"/>
  <c r="J43" i="5" s="1"/>
  <c r="K36" i="5"/>
  <c r="K43" i="5" s="1"/>
  <c r="L36" i="5"/>
  <c r="L43" i="5" s="1"/>
  <c r="M36" i="5"/>
  <c r="N36" i="5"/>
  <c r="C85" i="1"/>
  <c r="K53" i="4"/>
  <c r="L53" i="4"/>
  <c r="M53" i="4"/>
  <c r="N53" i="4"/>
  <c r="J53" i="4"/>
  <c r="K48" i="4"/>
  <c r="L48" i="4"/>
  <c r="M48" i="4"/>
  <c r="N48" i="4"/>
  <c r="J48" i="4"/>
  <c r="K43" i="4"/>
  <c r="L43" i="4"/>
  <c r="M43" i="4"/>
  <c r="N43" i="4"/>
  <c r="M37" i="4"/>
  <c r="M36" i="4" s="1"/>
  <c r="K37" i="4"/>
  <c r="K36" i="4" s="1"/>
  <c r="L37" i="4"/>
  <c r="L36" i="4" s="1"/>
  <c r="N37" i="4"/>
  <c r="N36" i="4" s="1"/>
  <c r="J37" i="4"/>
  <c r="J36" i="4" s="1"/>
  <c r="J28" i="4"/>
  <c r="K28" i="4"/>
  <c r="L28" i="4"/>
  <c r="M28" i="4"/>
  <c r="N28" i="4"/>
  <c r="K24" i="4"/>
  <c r="M24" i="4"/>
  <c r="N24" i="4"/>
  <c r="J24" i="4"/>
  <c r="K103" i="2"/>
  <c r="K102" i="2" s="1"/>
  <c r="L103" i="2"/>
  <c r="L102" i="2" s="1"/>
  <c r="M103" i="2"/>
  <c r="M102" i="2" s="1"/>
  <c r="N103" i="2"/>
  <c r="N102" i="2" s="1"/>
  <c r="J103" i="2"/>
  <c r="J102" i="2" s="1"/>
  <c r="K67" i="2"/>
  <c r="L67" i="2"/>
  <c r="M67" i="2"/>
  <c r="N67" i="2"/>
  <c r="J67" i="2"/>
  <c r="K97" i="2"/>
  <c r="L97" i="2"/>
  <c r="M97" i="2"/>
  <c r="N97" i="2"/>
  <c r="J97" i="2"/>
  <c r="K62" i="2"/>
  <c r="L62" i="2"/>
  <c r="M62" i="2"/>
  <c r="N62" i="2"/>
  <c r="J62" i="2"/>
  <c r="K53" i="2"/>
  <c r="K51" i="2" s="1"/>
  <c r="L53" i="2"/>
  <c r="L51" i="2" s="1"/>
  <c r="M53" i="2"/>
  <c r="M51" i="2" s="1"/>
  <c r="N53" i="2"/>
  <c r="N51" i="2" s="1"/>
  <c r="J53" i="2"/>
  <c r="J51" i="2" s="1"/>
  <c r="K36" i="2"/>
  <c r="L36" i="2"/>
  <c r="M36" i="2"/>
  <c r="N36" i="2"/>
  <c r="N20" i="2"/>
  <c r="N33" i="2" s="1"/>
  <c r="M20" i="2"/>
  <c r="M33" i="2" s="1"/>
  <c r="K20" i="2"/>
  <c r="K33" i="2" s="1"/>
  <c r="J20" i="2"/>
  <c r="J33" i="2" s="1"/>
  <c r="K31" i="1"/>
  <c r="N31" i="1"/>
  <c r="J31" i="1"/>
  <c r="J36" i="2"/>
  <c r="M95" i="16" l="1"/>
  <c r="H17" i="16"/>
  <c r="J60" i="16"/>
  <c r="K17" i="12"/>
  <c r="L29" i="12"/>
  <c r="D29" i="12"/>
  <c r="L126" i="12"/>
  <c r="D126" i="12"/>
  <c r="I29" i="12"/>
  <c r="F93" i="12"/>
  <c r="G29" i="12"/>
  <c r="G30" i="12" s="1"/>
  <c r="G94" i="12" s="1"/>
  <c r="G127" i="12" s="1"/>
  <c r="G132" i="12" s="1"/>
  <c r="K126" i="12"/>
  <c r="M17" i="12"/>
  <c r="E17" i="12"/>
  <c r="J126" i="12"/>
  <c r="L30" i="12"/>
  <c r="D30" i="12"/>
  <c r="D94" i="12" s="1"/>
  <c r="E29" i="12"/>
  <c r="H29" i="12"/>
  <c r="H30" i="12" s="1"/>
  <c r="H94" i="12" s="1"/>
  <c r="H127" i="12" s="1"/>
  <c r="H132" i="12" s="1"/>
  <c r="E93" i="12"/>
  <c r="I93" i="12"/>
  <c r="D93" i="12"/>
  <c r="H126" i="12"/>
  <c r="K29" i="12"/>
  <c r="K30" i="12" s="1"/>
  <c r="H93" i="12"/>
  <c r="J29" i="12"/>
  <c r="G93" i="12"/>
  <c r="N126" i="12"/>
  <c r="F126" i="12"/>
  <c r="I126" i="12"/>
  <c r="N23" i="11"/>
  <c r="N37" i="11" s="1"/>
  <c r="H20" i="8"/>
  <c r="H33" i="8" s="1"/>
  <c r="G20" i="8"/>
  <c r="J32" i="8"/>
  <c r="L20" i="8"/>
  <c r="D20" i="8"/>
  <c r="D33" i="8" s="1"/>
  <c r="K20" i="8"/>
  <c r="K33" i="8" s="1"/>
  <c r="N20" i="8"/>
  <c r="F20" i="8"/>
  <c r="F33" i="8" s="1"/>
  <c r="J20" i="8"/>
  <c r="I20" i="8"/>
  <c r="G32" i="8"/>
  <c r="K32" i="8"/>
  <c r="K21" i="5"/>
  <c r="H45" i="4"/>
  <c r="D7" i="4"/>
  <c r="D16" i="4" s="1"/>
  <c r="D25" i="4" s="1"/>
  <c r="E45" i="4"/>
  <c r="E20" i="3"/>
  <c r="M52" i="3"/>
  <c r="E52" i="3"/>
  <c r="F52" i="3"/>
  <c r="E53" i="3"/>
  <c r="D7" i="3"/>
  <c r="D13" i="3" s="1"/>
  <c r="D20" i="3" s="1"/>
  <c r="L52" i="3"/>
  <c r="D52" i="3"/>
  <c r="C52" i="3"/>
  <c r="C53" i="3" s="1"/>
  <c r="K52" i="3"/>
  <c r="J52" i="3"/>
  <c r="I52" i="3"/>
  <c r="H52" i="3"/>
  <c r="G52" i="3"/>
  <c r="G21" i="5"/>
  <c r="E21" i="5"/>
  <c r="M21" i="5"/>
  <c r="N43" i="5"/>
  <c r="J21" i="5"/>
  <c r="I21" i="5"/>
  <c r="H21" i="5"/>
  <c r="F21" i="5"/>
  <c r="L21" i="5"/>
  <c r="D21" i="5"/>
  <c r="D35" i="5" s="1"/>
  <c r="L44" i="22"/>
  <c r="D44" i="22"/>
  <c r="K44" i="22"/>
  <c r="H44" i="22"/>
  <c r="L59" i="22"/>
  <c r="G59" i="22"/>
  <c r="K59" i="22"/>
  <c r="G78" i="20"/>
  <c r="K78" i="20"/>
  <c r="I78" i="20"/>
  <c r="M78" i="20"/>
  <c r="N28" i="22"/>
  <c r="F28" i="22"/>
  <c r="M28" i="22"/>
  <c r="H59" i="22"/>
  <c r="G28" i="22"/>
  <c r="G45" i="22" s="1"/>
  <c r="G60" i="22" s="1"/>
  <c r="G65" i="22" s="1"/>
  <c r="K28" i="22"/>
  <c r="K45" i="22" s="1"/>
  <c r="K60" i="22" s="1"/>
  <c r="K65" i="22" s="1"/>
  <c r="I44" i="22"/>
  <c r="J28" i="22"/>
  <c r="N59" i="22"/>
  <c r="F59" i="22"/>
  <c r="I59" i="22"/>
  <c r="I28" i="22"/>
  <c r="G44" i="22"/>
  <c r="J44" i="22"/>
  <c r="M59" i="22"/>
  <c r="E59" i="22"/>
  <c r="H28" i="22"/>
  <c r="N44" i="22"/>
  <c r="N45" i="22" s="1"/>
  <c r="N60" i="22" s="1"/>
  <c r="N65" i="22" s="1"/>
  <c r="F44" i="22"/>
  <c r="I46" i="21"/>
  <c r="K45" i="21"/>
  <c r="K46" i="21" s="1"/>
  <c r="K56" i="21" s="1"/>
  <c r="K60" i="21" s="1"/>
  <c r="L46" i="21"/>
  <c r="C45" i="21"/>
  <c r="D46" i="21"/>
  <c r="N45" i="21"/>
  <c r="I45" i="21"/>
  <c r="L45" i="21"/>
  <c r="D45" i="21"/>
  <c r="G45" i="21"/>
  <c r="J63" i="20"/>
  <c r="E78" i="20"/>
  <c r="J78" i="20"/>
  <c r="N78" i="20"/>
  <c r="F78" i="20"/>
  <c r="E28" i="22"/>
  <c r="E45" i="22" s="1"/>
  <c r="E60" i="22" s="1"/>
  <c r="E65" i="22" s="1"/>
  <c r="L28" i="22"/>
  <c r="D28" i="22"/>
  <c r="D45" i="22" s="1"/>
  <c r="D60" i="22" s="1"/>
  <c r="D65" i="22" s="1"/>
  <c r="H45" i="21"/>
  <c r="H46" i="21" s="1"/>
  <c r="H56" i="21" s="1"/>
  <c r="H60" i="21" s="1"/>
  <c r="N17" i="16"/>
  <c r="I95" i="16"/>
  <c r="K60" i="16"/>
  <c r="J32" i="13"/>
  <c r="J72" i="13" s="1"/>
  <c r="I32" i="13"/>
  <c r="I72" i="13" s="1"/>
  <c r="H32" i="13"/>
  <c r="H72" i="13" s="1"/>
  <c r="G32" i="13"/>
  <c r="G72" i="13" s="1"/>
  <c r="K32" i="13"/>
  <c r="K72" i="13" s="1"/>
  <c r="N32" i="13"/>
  <c r="N72" i="13" s="1"/>
  <c r="F32" i="13"/>
  <c r="F72" i="13" s="1"/>
  <c r="M32" i="13"/>
  <c r="M72" i="13" s="1"/>
  <c r="E32" i="13"/>
  <c r="E72" i="13" s="1"/>
  <c r="L21" i="13"/>
  <c r="L32" i="13" s="1"/>
  <c r="L72" i="13" s="1"/>
  <c r="D21" i="13"/>
  <c r="D32" i="13" s="1"/>
  <c r="D72" i="13" s="1"/>
  <c r="J30" i="12"/>
  <c r="I30" i="12"/>
  <c r="I94" i="12" s="1"/>
  <c r="F30" i="12"/>
  <c r="F94" i="12" s="1"/>
  <c r="M30" i="12"/>
  <c r="N30" i="12"/>
  <c r="C17" i="12"/>
  <c r="M23" i="11"/>
  <c r="M37" i="11" s="1"/>
  <c r="F23" i="11"/>
  <c r="F37" i="11" s="1"/>
  <c r="K23" i="11"/>
  <c r="K37" i="11" s="1"/>
  <c r="H23" i="11"/>
  <c r="H37" i="11" s="1"/>
  <c r="I23" i="11"/>
  <c r="I37" i="11" s="1"/>
  <c r="C23" i="11"/>
  <c r="C37" i="11" s="1"/>
  <c r="L23" i="11"/>
  <c r="L37" i="11" s="1"/>
  <c r="D23" i="11"/>
  <c r="D37" i="11" s="1"/>
  <c r="G23" i="11"/>
  <c r="G37" i="11" s="1"/>
  <c r="L30" i="9"/>
  <c r="D30" i="9"/>
  <c r="H30" i="6"/>
  <c r="I31" i="9"/>
  <c r="J33" i="8"/>
  <c r="F32" i="8"/>
  <c r="E32" i="8"/>
  <c r="D32" i="8"/>
  <c r="C32" i="8"/>
  <c r="M20" i="8"/>
  <c r="E20" i="8"/>
  <c r="E33" i="8" s="1"/>
  <c r="N32" i="8"/>
  <c r="M32" i="8"/>
  <c r="I32" i="8"/>
  <c r="H35" i="7"/>
  <c r="H53" i="7" s="1"/>
  <c r="H56" i="7" s="1"/>
  <c r="F21" i="7"/>
  <c r="F35" i="7" s="1"/>
  <c r="F53" i="7" s="1"/>
  <c r="F56" i="7" s="1"/>
  <c r="G31" i="9"/>
  <c r="H19" i="9"/>
  <c r="H31" i="9" s="1"/>
  <c r="I68" i="9"/>
  <c r="J31" i="9"/>
  <c r="J68" i="9" s="1"/>
  <c r="K31" i="9"/>
  <c r="K68" i="9" s="1"/>
  <c r="L33" i="8"/>
  <c r="G21" i="7"/>
  <c r="G35" i="7" s="1"/>
  <c r="G53" i="7" s="1"/>
  <c r="G56" i="7" s="1"/>
  <c r="M21" i="7"/>
  <c r="M35" i="7" s="1"/>
  <c r="M53" i="7" s="1"/>
  <c r="M56" i="7" s="1"/>
  <c r="E21" i="7"/>
  <c r="E35" i="7" s="1"/>
  <c r="E53" i="7" s="1"/>
  <c r="E56" i="7" s="1"/>
  <c r="L21" i="7"/>
  <c r="L35" i="7" s="1"/>
  <c r="L53" i="7" s="1"/>
  <c r="L56" i="7" s="1"/>
  <c r="D21" i="7"/>
  <c r="D35" i="7" s="1"/>
  <c r="D53" i="7" s="1"/>
  <c r="D56" i="7" s="1"/>
  <c r="N21" i="7"/>
  <c r="N35" i="7" s="1"/>
  <c r="N53" i="7" s="1"/>
  <c r="N56" i="7" s="1"/>
  <c r="I21" i="7"/>
  <c r="I35" i="7" s="1"/>
  <c r="I53" i="7" s="1"/>
  <c r="I56" i="7" s="1"/>
  <c r="J13" i="7"/>
  <c r="J21" i="7" s="1"/>
  <c r="J35" i="7" s="1"/>
  <c r="J53" i="7" s="1"/>
  <c r="J56" i="7" s="1"/>
  <c r="K21" i="7"/>
  <c r="K35" i="7" s="1"/>
  <c r="K53" i="7" s="1"/>
  <c r="K56" i="7" s="1"/>
  <c r="I102" i="2"/>
  <c r="I106" i="2" s="1"/>
  <c r="H102" i="2"/>
  <c r="H106" i="2" s="1"/>
  <c r="G102" i="2"/>
  <c r="G106" i="2" s="1"/>
  <c r="F102" i="2"/>
  <c r="F106" i="2" s="1"/>
  <c r="E102" i="2"/>
  <c r="E106" i="2" s="1"/>
  <c r="D102" i="2"/>
  <c r="D106" i="2" s="1"/>
  <c r="L65" i="2"/>
  <c r="L66" i="2" s="1"/>
  <c r="J65" i="2"/>
  <c r="J66" i="2" s="1"/>
  <c r="N65" i="2"/>
  <c r="M65" i="2"/>
  <c r="M66" i="2" s="1"/>
  <c r="K65" i="2"/>
  <c r="K66" i="2" s="1"/>
  <c r="I45" i="4"/>
  <c r="M43" i="5"/>
  <c r="E35" i="5"/>
  <c r="F8" i="3"/>
  <c r="F7" i="3" s="1"/>
  <c r="F13" i="3" s="1"/>
  <c r="F20" i="3" s="1"/>
  <c r="F53" i="3" s="1"/>
  <c r="E8" i="1"/>
  <c r="J69" i="3"/>
  <c r="H69" i="3"/>
  <c r="C13" i="5"/>
  <c r="C21" i="5" s="1"/>
  <c r="C35" i="5" s="1"/>
  <c r="K63" i="20"/>
  <c r="C63" i="20"/>
  <c r="H63" i="20"/>
  <c r="I63" i="20"/>
  <c r="N63" i="20"/>
  <c r="F63" i="20"/>
  <c r="G63" i="20"/>
  <c r="L63" i="20"/>
  <c r="D63" i="20"/>
  <c r="L78" i="20"/>
  <c r="D78" i="20"/>
  <c r="M63" i="20"/>
  <c r="E63" i="20"/>
  <c r="K25" i="20"/>
  <c r="G48" i="15"/>
  <c r="G58" i="15" s="1"/>
  <c r="G63" i="15" s="1"/>
  <c r="K17" i="16"/>
  <c r="F60" i="16"/>
  <c r="F95" i="16"/>
  <c r="L95" i="16"/>
  <c r="D95" i="16"/>
  <c r="F45" i="4"/>
  <c r="N45" i="4"/>
  <c r="E55" i="4"/>
  <c r="N69" i="3"/>
  <c r="F69" i="3"/>
  <c r="M69" i="3"/>
  <c r="E69" i="3"/>
  <c r="L69" i="3"/>
  <c r="D69" i="3"/>
  <c r="K69" i="3"/>
  <c r="I69" i="3"/>
  <c r="G69" i="3"/>
  <c r="E33" i="2"/>
  <c r="E101" i="2" s="1"/>
  <c r="D100" i="2"/>
  <c r="C100" i="2"/>
  <c r="I100" i="2"/>
  <c r="I33" i="2"/>
  <c r="H100" i="2"/>
  <c r="D46" i="4"/>
  <c r="D56" i="4" s="1"/>
  <c r="D60" i="4" s="1"/>
  <c r="J45" i="4"/>
  <c r="G55" i="4"/>
  <c r="K45" i="4"/>
  <c r="D55" i="4"/>
  <c r="C55" i="4"/>
  <c r="L45" i="4"/>
  <c r="M45" i="4"/>
  <c r="K55" i="4"/>
  <c r="G101" i="2"/>
  <c r="G7" i="21"/>
  <c r="G15" i="21" s="1"/>
  <c r="G22" i="21" s="1"/>
  <c r="G46" i="21" s="1"/>
  <c r="N7" i="21"/>
  <c r="N15" i="21" s="1"/>
  <c r="N22" i="21" s="1"/>
  <c r="N46" i="21" s="1"/>
  <c r="F7" i="21"/>
  <c r="F15" i="21" s="1"/>
  <c r="F22" i="21" s="1"/>
  <c r="F46" i="21" s="1"/>
  <c r="M7" i="21"/>
  <c r="M15" i="21" s="1"/>
  <c r="M22" i="21" s="1"/>
  <c r="M46" i="21" s="1"/>
  <c r="E7" i="21"/>
  <c r="E15" i="21" s="1"/>
  <c r="E22" i="21" s="1"/>
  <c r="E46" i="21" s="1"/>
  <c r="J7" i="20"/>
  <c r="J16" i="20" s="1"/>
  <c r="I7" i="20"/>
  <c r="I16" i="20" s="1"/>
  <c r="H7" i="20"/>
  <c r="H16" i="20" s="1"/>
  <c r="G7" i="20"/>
  <c r="G16" i="20" s="1"/>
  <c r="N7" i="20"/>
  <c r="N16" i="20" s="1"/>
  <c r="F7" i="20"/>
  <c r="M7" i="20"/>
  <c r="M16" i="20" s="1"/>
  <c r="E7" i="20"/>
  <c r="L7" i="20"/>
  <c r="D7" i="20"/>
  <c r="C16" i="20"/>
  <c r="C25" i="20" s="1"/>
  <c r="H45" i="22"/>
  <c r="H60" i="22" s="1"/>
  <c r="H65" i="22" s="1"/>
  <c r="F45" i="22"/>
  <c r="F60" i="22" s="1"/>
  <c r="F65" i="22" s="1"/>
  <c r="F91" i="19"/>
  <c r="M45" i="22"/>
  <c r="M60" i="22" s="1"/>
  <c r="M65" i="22" s="1"/>
  <c r="J47" i="19"/>
  <c r="G91" i="19"/>
  <c r="K51" i="19"/>
  <c r="N47" i="19"/>
  <c r="G51" i="19"/>
  <c r="L47" i="19"/>
  <c r="M58" i="19"/>
  <c r="N51" i="19"/>
  <c r="J91" i="19"/>
  <c r="N77" i="19"/>
  <c r="H51" i="19"/>
  <c r="E47" i="19"/>
  <c r="C65" i="19"/>
  <c r="E58" i="19"/>
  <c r="C91" i="19"/>
  <c r="E84" i="19"/>
  <c r="G77" i="19"/>
  <c r="L58" i="19"/>
  <c r="K54" i="19"/>
  <c r="M51" i="19"/>
  <c r="D47" i="19"/>
  <c r="D58" i="19"/>
  <c r="I54" i="19"/>
  <c r="D84" i="19"/>
  <c r="M47" i="19"/>
  <c r="D65" i="19"/>
  <c r="L51" i="19"/>
  <c r="F51" i="19"/>
  <c r="C47" i="19"/>
  <c r="N58" i="19"/>
  <c r="M54" i="19"/>
  <c r="K91" i="19"/>
  <c r="I51" i="19"/>
  <c r="F47" i="19"/>
  <c r="G31" i="19"/>
  <c r="F58" i="19"/>
  <c r="C54" i="19"/>
  <c r="D91" i="19"/>
  <c r="F84" i="19"/>
  <c r="H77" i="19"/>
  <c r="F31" i="19"/>
  <c r="K47" i="19"/>
  <c r="N31" i="19"/>
  <c r="M77" i="19"/>
  <c r="E31" i="19"/>
  <c r="M31" i="19"/>
  <c r="K58" i="19"/>
  <c r="J54" i="19"/>
  <c r="N65" i="19"/>
  <c r="N84" i="19"/>
  <c r="L77" i="19"/>
  <c r="D31" i="19"/>
  <c r="I65" i="19"/>
  <c r="C58" i="19"/>
  <c r="H54" i="19"/>
  <c r="I91" i="19"/>
  <c r="C84" i="19"/>
  <c r="E77" i="19"/>
  <c r="L31" i="19"/>
  <c r="J58" i="19"/>
  <c r="M65" i="19"/>
  <c r="M84" i="19"/>
  <c r="K77" i="19"/>
  <c r="E51" i="19"/>
  <c r="C31" i="19"/>
  <c r="H65" i="19"/>
  <c r="G54" i="19"/>
  <c r="H91" i="19"/>
  <c r="D77" i="19"/>
  <c r="K31" i="19"/>
  <c r="J51" i="19"/>
  <c r="N91" i="19"/>
  <c r="L84" i="19"/>
  <c r="J77" i="19"/>
  <c r="D51" i="19"/>
  <c r="I47" i="19"/>
  <c r="G65" i="19"/>
  <c r="I58" i="19"/>
  <c r="F54" i="19"/>
  <c r="I84" i="19"/>
  <c r="J31" i="19"/>
  <c r="K65" i="19"/>
  <c r="M91" i="19"/>
  <c r="C51" i="19"/>
  <c r="H47" i="19"/>
  <c r="I31" i="19"/>
  <c r="F65" i="19"/>
  <c r="E54" i="19"/>
  <c r="H84" i="19"/>
  <c r="L54" i="19"/>
  <c r="N54" i="19"/>
  <c r="L65" i="19"/>
  <c r="J65" i="19"/>
  <c r="L91" i="19"/>
  <c r="K84" i="19"/>
  <c r="J84" i="19"/>
  <c r="G47" i="19"/>
  <c r="H31" i="19"/>
  <c r="E65" i="19"/>
  <c r="H58" i="19"/>
  <c r="G58" i="19"/>
  <c r="D54" i="19"/>
  <c r="E91" i="19"/>
  <c r="G84" i="19"/>
  <c r="F77" i="19"/>
  <c r="C77" i="19"/>
  <c r="I77" i="19"/>
  <c r="J18" i="19"/>
  <c r="J28" i="19" s="1"/>
  <c r="M18" i="19"/>
  <c r="M28" i="19" s="1"/>
  <c r="K18" i="19"/>
  <c r="K28" i="19" s="1"/>
  <c r="L72" i="17"/>
  <c r="D72" i="17"/>
  <c r="K72" i="17"/>
  <c r="I72" i="17"/>
  <c r="H72" i="17"/>
  <c r="G72" i="17"/>
  <c r="E72" i="17"/>
  <c r="J72" i="17"/>
  <c r="F72" i="17"/>
  <c r="M72" i="17"/>
  <c r="N30" i="17"/>
  <c r="N32" i="17"/>
  <c r="N72" i="17" s="1"/>
  <c r="I48" i="15"/>
  <c r="I58" i="15" s="1"/>
  <c r="I63" i="15" s="1"/>
  <c r="K48" i="15"/>
  <c r="K58" i="15" s="1"/>
  <c r="K63" i="15" s="1"/>
  <c r="N48" i="15"/>
  <c r="N58" i="15" s="1"/>
  <c r="N63" i="15" s="1"/>
  <c r="D48" i="15"/>
  <c r="D58" i="15" s="1"/>
  <c r="D63" i="15" s="1"/>
  <c r="M48" i="15"/>
  <c r="M58" i="15" s="1"/>
  <c r="M63" i="15" s="1"/>
  <c r="H48" i="15"/>
  <c r="H58" i="15" s="1"/>
  <c r="H63" i="15" s="1"/>
  <c r="F48" i="15"/>
  <c r="F58" i="15" s="1"/>
  <c r="F63" i="15" s="1"/>
  <c r="E48" i="15"/>
  <c r="E58" i="15" s="1"/>
  <c r="E63" i="15" s="1"/>
  <c r="J38" i="15"/>
  <c r="J47" i="15" s="1"/>
  <c r="J48" i="15" s="1"/>
  <c r="J58" i="15" s="1"/>
  <c r="J63" i="15" s="1"/>
  <c r="L38" i="15"/>
  <c r="L47" i="15" s="1"/>
  <c r="L48" i="15" s="1"/>
  <c r="L58" i="15" s="1"/>
  <c r="L63" i="15" s="1"/>
  <c r="J29" i="16"/>
  <c r="J30" i="16" s="1"/>
  <c r="M29" i="16"/>
  <c r="M30" i="16" s="1"/>
  <c r="E29" i="16"/>
  <c r="E30" i="16" s="1"/>
  <c r="H29" i="16"/>
  <c r="H30" i="16" s="1"/>
  <c r="D29" i="16"/>
  <c r="D30" i="16" s="1"/>
  <c r="I29" i="16"/>
  <c r="I30" i="16" s="1"/>
  <c r="G29" i="16"/>
  <c r="G30" i="16" s="1"/>
  <c r="F29" i="16"/>
  <c r="H95" i="16"/>
  <c r="C95" i="16"/>
  <c r="K95" i="16"/>
  <c r="G95" i="16"/>
  <c r="J95" i="16"/>
  <c r="M60" i="16"/>
  <c r="E60" i="16"/>
  <c r="L60" i="16"/>
  <c r="D60" i="16"/>
  <c r="I60" i="16"/>
  <c r="F17" i="16"/>
  <c r="H60" i="16"/>
  <c r="J62" i="18"/>
  <c r="D59" i="18"/>
  <c r="F62" i="18"/>
  <c r="D122" i="18"/>
  <c r="N32" i="16"/>
  <c r="N60" i="16" s="1"/>
  <c r="K25" i="16"/>
  <c r="K29" i="16" s="1"/>
  <c r="G117" i="18"/>
  <c r="N25" i="16"/>
  <c r="N29" i="16" s="1"/>
  <c r="L25" i="16"/>
  <c r="L29" i="16" s="1"/>
  <c r="L30" i="16" s="1"/>
  <c r="N62" i="18"/>
  <c r="I122" i="18"/>
  <c r="I59" i="18"/>
  <c r="E65" i="18"/>
  <c r="D117" i="18"/>
  <c r="F54" i="18"/>
  <c r="D62" i="18"/>
  <c r="F65" i="18"/>
  <c r="L62" i="18"/>
  <c r="C62" i="18"/>
  <c r="H54" i="18"/>
  <c r="E59" i="18"/>
  <c r="F59" i="18"/>
  <c r="H62" i="18"/>
  <c r="C54" i="18"/>
  <c r="G59" i="18"/>
  <c r="C65" i="18"/>
  <c r="M54" i="18"/>
  <c r="J102" i="18"/>
  <c r="M117" i="18"/>
  <c r="N122" i="18"/>
  <c r="L117" i="18"/>
  <c r="L122" i="18"/>
  <c r="I117" i="18"/>
  <c r="N59" i="18"/>
  <c r="M65" i="18"/>
  <c r="J117" i="18"/>
  <c r="H117" i="18"/>
  <c r="J59" i="18"/>
  <c r="N54" i="18"/>
  <c r="K102" i="18"/>
  <c r="K85" i="18"/>
  <c r="N117" i="18"/>
  <c r="E54" i="18"/>
  <c r="D85" i="18"/>
  <c r="D102" i="18"/>
  <c r="L54" i="18"/>
  <c r="M122" i="18"/>
  <c r="G54" i="18"/>
  <c r="C59" i="18"/>
  <c r="E62" i="18"/>
  <c r="G65" i="18"/>
  <c r="C122" i="18"/>
  <c r="N65" i="18"/>
  <c r="K117" i="18"/>
  <c r="H65" i="18"/>
  <c r="I85" i="18"/>
  <c r="E102" i="18"/>
  <c r="M62" i="18"/>
  <c r="K54" i="18"/>
  <c r="J54" i="18"/>
  <c r="K122" i="18"/>
  <c r="I54" i="18"/>
  <c r="G62" i="18"/>
  <c r="I65" i="18"/>
  <c r="H85" i="18"/>
  <c r="F117" i="18"/>
  <c r="H102" i="18"/>
  <c r="E122" i="18"/>
  <c r="K62" i="18"/>
  <c r="M59" i="18"/>
  <c r="L65" i="18"/>
  <c r="N102" i="18"/>
  <c r="M85" i="18"/>
  <c r="N85" i="18"/>
  <c r="J122" i="18"/>
  <c r="I62" i="18"/>
  <c r="E85" i="18"/>
  <c r="G85" i="18"/>
  <c r="E117" i="18"/>
  <c r="I102" i="18"/>
  <c r="G102" i="18"/>
  <c r="F122" i="18"/>
  <c r="H122" i="18"/>
  <c r="J85" i="18"/>
  <c r="J120" i="18" s="1"/>
  <c r="C102" i="18"/>
  <c r="K65" i="18"/>
  <c r="M102" i="18"/>
  <c r="F85" i="18"/>
  <c r="F102" i="18"/>
  <c r="G122" i="18"/>
  <c r="C85" i="18"/>
  <c r="L59" i="18"/>
  <c r="K59" i="18"/>
  <c r="J65" i="18"/>
  <c r="L102" i="18"/>
  <c r="L85" i="18"/>
  <c r="D54" i="18"/>
  <c r="H59" i="18"/>
  <c r="D65" i="18"/>
  <c r="C117" i="18"/>
  <c r="L74" i="18"/>
  <c r="J74" i="18"/>
  <c r="N33" i="18"/>
  <c r="J93" i="12"/>
  <c r="M93" i="12"/>
  <c r="N93" i="12"/>
  <c r="L93" i="12"/>
  <c r="L94" i="12" s="1"/>
  <c r="L127" i="12" s="1"/>
  <c r="L132" i="12" s="1"/>
  <c r="K93" i="12"/>
  <c r="G63" i="10"/>
  <c r="H63" i="10"/>
  <c r="F63" i="10"/>
  <c r="K63" i="10"/>
  <c r="C80" i="10"/>
  <c r="I22" i="10"/>
  <c r="I34" i="10" s="1"/>
  <c r="E136" i="10"/>
  <c r="K141" i="10"/>
  <c r="M136" i="10"/>
  <c r="D136" i="10"/>
  <c r="N63" i="10"/>
  <c r="K136" i="10"/>
  <c r="E63" i="10"/>
  <c r="M22" i="10"/>
  <c r="M34" i="10" s="1"/>
  <c r="L63" i="10"/>
  <c r="M57" i="10"/>
  <c r="L136" i="10"/>
  <c r="L141" i="10"/>
  <c r="D22" i="10"/>
  <c r="D34" i="10" s="1"/>
  <c r="C63" i="10"/>
  <c r="F57" i="10"/>
  <c r="I80" i="10"/>
  <c r="I71" i="10"/>
  <c r="E66" i="10"/>
  <c r="F92" i="10"/>
  <c r="E92" i="10"/>
  <c r="H121" i="10"/>
  <c r="H136" i="10"/>
  <c r="H141" i="10"/>
  <c r="D66" i="10"/>
  <c r="L57" i="10"/>
  <c r="J63" i="10"/>
  <c r="N141" i="10"/>
  <c r="I63" i="10"/>
  <c r="D57" i="10"/>
  <c r="C66" i="10"/>
  <c r="N22" i="10"/>
  <c r="N34" i="10" s="1"/>
  <c r="M63" i="10"/>
  <c r="N57" i="10"/>
  <c r="J136" i="10"/>
  <c r="E22" i="10"/>
  <c r="E34" i="10" s="1"/>
  <c r="D63" i="10"/>
  <c r="G57" i="10"/>
  <c r="D37" i="10"/>
  <c r="F66" i="10"/>
  <c r="C121" i="10"/>
  <c r="C104" i="10"/>
  <c r="I136" i="10"/>
  <c r="I141" i="10"/>
  <c r="H37" i="10"/>
  <c r="D104" i="10"/>
  <c r="L22" i="10"/>
  <c r="L34" i="10" s="1"/>
  <c r="N121" i="10"/>
  <c r="N104" i="10"/>
  <c r="M141" i="10"/>
  <c r="C22" i="10"/>
  <c r="C34" i="10" s="1"/>
  <c r="E57" i="10"/>
  <c r="H80" i="10"/>
  <c r="H71" i="10"/>
  <c r="D92" i="10"/>
  <c r="I121" i="10"/>
  <c r="I104" i="10"/>
  <c r="G136" i="10"/>
  <c r="G141" i="10"/>
  <c r="C37" i="10"/>
  <c r="K57" i="10"/>
  <c r="M121" i="10"/>
  <c r="M104" i="10"/>
  <c r="I37" i="10"/>
  <c r="G80" i="10"/>
  <c r="G71" i="10"/>
  <c r="C92" i="10"/>
  <c r="H104" i="10"/>
  <c r="F136" i="10"/>
  <c r="F141" i="10"/>
  <c r="K22" i="10"/>
  <c r="K34" i="10" s="1"/>
  <c r="J22" i="10"/>
  <c r="J34" i="10" s="1"/>
  <c r="J57" i="10"/>
  <c r="N136" i="10"/>
  <c r="L121" i="10"/>
  <c r="C57" i="10"/>
  <c r="F80" i="10"/>
  <c r="F71" i="10"/>
  <c r="G121" i="10"/>
  <c r="G104" i="10"/>
  <c r="E141" i="10"/>
  <c r="K121" i="10"/>
  <c r="K104" i="10"/>
  <c r="H22" i="10"/>
  <c r="H34" i="10" s="1"/>
  <c r="G37" i="10"/>
  <c r="E80" i="10"/>
  <c r="E71" i="10"/>
  <c r="I66" i="10"/>
  <c r="I92" i="10"/>
  <c r="F121" i="10"/>
  <c r="F104" i="10"/>
  <c r="D141" i="10"/>
  <c r="L104" i="10"/>
  <c r="J121" i="10"/>
  <c r="J104" i="10"/>
  <c r="G22" i="10"/>
  <c r="G34" i="10" s="1"/>
  <c r="I57" i="10"/>
  <c r="F37" i="10"/>
  <c r="D80" i="10"/>
  <c r="D71" i="10"/>
  <c r="H66" i="10"/>
  <c r="H92" i="10"/>
  <c r="E121" i="10"/>
  <c r="E104" i="10"/>
  <c r="C136" i="10"/>
  <c r="C141" i="10"/>
  <c r="J141" i="10"/>
  <c r="F22" i="10"/>
  <c r="F34" i="10" s="1"/>
  <c r="H57" i="10"/>
  <c r="E37" i="10"/>
  <c r="C71" i="10"/>
  <c r="G66" i="10"/>
  <c r="G92" i="10"/>
  <c r="D121" i="10"/>
  <c r="N7" i="9"/>
  <c r="N19" i="9" s="1"/>
  <c r="N31" i="9" s="1"/>
  <c r="N68" i="9" s="1"/>
  <c r="F7" i="9"/>
  <c r="M7" i="9"/>
  <c r="M19" i="9" s="1"/>
  <c r="M31" i="9" s="1"/>
  <c r="M68" i="9" s="1"/>
  <c r="E7" i="9"/>
  <c r="E19" i="9" s="1"/>
  <c r="E31" i="9" s="1"/>
  <c r="E68" i="9" s="1"/>
  <c r="L7" i="9"/>
  <c r="L19" i="9" s="1"/>
  <c r="L31" i="9" s="1"/>
  <c r="L68" i="9" s="1"/>
  <c r="D7" i="9"/>
  <c r="M77" i="9"/>
  <c r="N30" i="6"/>
  <c r="I77" i="9"/>
  <c r="I101" i="8"/>
  <c r="I133" i="8" s="1"/>
  <c r="H101" i="8"/>
  <c r="H133" i="8" s="1"/>
  <c r="G101" i="8"/>
  <c r="G133" i="8" s="1"/>
  <c r="F101" i="8"/>
  <c r="F133" i="8" s="1"/>
  <c r="E101" i="8"/>
  <c r="E133" i="8" s="1"/>
  <c r="D101" i="8"/>
  <c r="D133" i="8" s="1"/>
  <c r="C101" i="8"/>
  <c r="C133" i="8" s="1"/>
  <c r="K99" i="8"/>
  <c r="I99" i="8"/>
  <c r="J99" i="8"/>
  <c r="H99" i="8"/>
  <c r="G99" i="8"/>
  <c r="N35" i="8"/>
  <c r="N99" i="8" s="1"/>
  <c r="F99" i="8"/>
  <c r="M99" i="8"/>
  <c r="E99" i="8"/>
  <c r="L99" i="8"/>
  <c r="D99" i="8"/>
  <c r="G140" i="6"/>
  <c r="E140" i="6"/>
  <c r="G145" i="6"/>
  <c r="H140" i="6"/>
  <c r="I140" i="6"/>
  <c r="C145" i="6"/>
  <c r="C63" i="6"/>
  <c r="D145" i="6"/>
  <c r="J84" i="6"/>
  <c r="K140" i="6"/>
  <c r="G107" i="6"/>
  <c r="H21" i="6"/>
  <c r="H56" i="6"/>
  <c r="F63" i="6"/>
  <c r="I67" i="6"/>
  <c r="I76" i="6"/>
  <c r="H84" i="6"/>
  <c r="G124" i="6"/>
  <c r="F140" i="6"/>
  <c r="D140" i="6"/>
  <c r="F145" i="6"/>
  <c r="N107" i="6"/>
  <c r="N56" i="6"/>
  <c r="K76" i="6"/>
  <c r="K67" i="6"/>
  <c r="J63" i="6"/>
  <c r="D21" i="6"/>
  <c r="E21" i="6"/>
  <c r="J56" i="6"/>
  <c r="N63" i="6"/>
  <c r="M140" i="6"/>
  <c r="C140" i="6"/>
  <c r="E145" i="6"/>
  <c r="M56" i="6"/>
  <c r="J76" i="6"/>
  <c r="J67" i="6"/>
  <c r="N145" i="6"/>
  <c r="I21" i="6"/>
  <c r="I56" i="6"/>
  <c r="G63" i="6"/>
  <c r="I84" i="6"/>
  <c r="H124" i="6"/>
  <c r="H145" i="6"/>
  <c r="N21" i="6"/>
  <c r="L56" i="6"/>
  <c r="N84" i="6"/>
  <c r="M145" i="6"/>
  <c r="E107" i="6"/>
  <c r="J21" i="6"/>
  <c r="J32" i="6" s="1"/>
  <c r="H63" i="6"/>
  <c r="C67" i="6"/>
  <c r="C76" i="6"/>
  <c r="I124" i="6"/>
  <c r="F124" i="6"/>
  <c r="I145" i="6"/>
  <c r="M21" i="6"/>
  <c r="K56" i="6"/>
  <c r="M84" i="6"/>
  <c r="N124" i="6"/>
  <c r="N140" i="6"/>
  <c r="L145" i="6"/>
  <c r="D107" i="6"/>
  <c r="C21" i="6"/>
  <c r="C32" i="6" s="1"/>
  <c r="C56" i="6"/>
  <c r="I63" i="6"/>
  <c r="D67" i="6"/>
  <c r="D76" i="6"/>
  <c r="C84" i="6"/>
  <c r="L21" i="6"/>
  <c r="L84" i="6"/>
  <c r="M124" i="6"/>
  <c r="K145" i="6"/>
  <c r="D56" i="6"/>
  <c r="E67" i="6"/>
  <c r="E76" i="6"/>
  <c r="D84" i="6"/>
  <c r="C124" i="6"/>
  <c r="K84" i="6"/>
  <c r="N76" i="6"/>
  <c r="N67" i="6"/>
  <c r="M63" i="6"/>
  <c r="L124" i="6"/>
  <c r="L140" i="6"/>
  <c r="J145" i="6"/>
  <c r="E56" i="6"/>
  <c r="F67" i="6"/>
  <c r="F76" i="6"/>
  <c r="E84" i="6"/>
  <c r="D124" i="6"/>
  <c r="K21" i="6"/>
  <c r="M76" i="6"/>
  <c r="M67" i="6"/>
  <c r="L63" i="6"/>
  <c r="K124" i="6"/>
  <c r="I107" i="6"/>
  <c r="F21" i="6"/>
  <c r="F56" i="6"/>
  <c r="D63" i="6"/>
  <c r="G67" i="6"/>
  <c r="G76" i="6"/>
  <c r="F84" i="6"/>
  <c r="E124" i="6"/>
  <c r="L76" i="6"/>
  <c r="L67" i="6"/>
  <c r="K63" i="6"/>
  <c r="J124" i="6"/>
  <c r="J140" i="6"/>
  <c r="H107" i="6"/>
  <c r="G21" i="6"/>
  <c r="G56" i="6"/>
  <c r="E63" i="6"/>
  <c r="H67" i="6"/>
  <c r="H76" i="6"/>
  <c r="G84" i="6"/>
  <c r="L107" i="6"/>
  <c r="C107" i="6"/>
  <c r="M107" i="6"/>
  <c r="K107" i="6"/>
  <c r="J107" i="6"/>
  <c r="F107" i="6"/>
  <c r="F35" i="6"/>
  <c r="E35" i="6"/>
  <c r="L35" i="6"/>
  <c r="C35" i="6"/>
  <c r="I35" i="6"/>
  <c r="H35" i="6"/>
  <c r="G35" i="6"/>
  <c r="D35" i="6"/>
  <c r="J35" i="6"/>
  <c r="N35" i="6"/>
  <c r="M35" i="6"/>
  <c r="K35" i="6"/>
  <c r="I36" i="5"/>
  <c r="I43" i="5" s="1"/>
  <c r="H36" i="5"/>
  <c r="H43" i="5" s="1"/>
  <c r="G36" i="5"/>
  <c r="G43" i="5" s="1"/>
  <c r="F36" i="5"/>
  <c r="F43" i="5" s="1"/>
  <c r="E36" i="5"/>
  <c r="E43" i="5" s="1"/>
  <c r="D36" i="5"/>
  <c r="D43" i="5" s="1"/>
  <c r="C36" i="5"/>
  <c r="C43" i="5" s="1"/>
  <c r="N52" i="3"/>
  <c r="J100" i="2"/>
  <c r="K100" i="2"/>
  <c r="N100" i="2"/>
  <c r="M100" i="2"/>
  <c r="L100" i="2"/>
  <c r="N34" i="2"/>
  <c r="C7" i="2"/>
  <c r="F83" i="1"/>
  <c r="E83" i="1"/>
  <c r="H58" i="1"/>
  <c r="E54" i="1"/>
  <c r="F70" i="1"/>
  <c r="H62" i="1"/>
  <c r="E77" i="1"/>
  <c r="I115" i="1"/>
  <c r="D83" i="1"/>
  <c r="J62" i="1"/>
  <c r="F62" i="1"/>
  <c r="G115" i="1"/>
  <c r="I83" i="1"/>
  <c r="D62" i="1"/>
  <c r="E115" i="1"/>
  <c r="G20" i="1"/>
  <c r="G33" i="1" s="1"/>
  <c r="H83" i="1"/>
  <c r="C83" i="1"/>
  <c r="G83" i="1"/>
  <c r="C115" i="1"/>
  <c r="N54" i="1"/>
  <c r="M62" i="1"/>
  <c r="D20" i="1"/>
  <c r="D33" i="1" s="1"/>
  <c r="I36" i="1"/>
  <c r="F58" i="1"/>
  <c r="C54" i="1"/>
  <c r="D70" i="1"/>
  <c r="C77" i="1"/>
  <c r="L62" i="1"/>
  <c r="E20" i="1"/>
  <c r="E33" i="1" s="1"/>
  <c r="H36" i="1"/>
  <c r="E58" i="1"/>
  <c r="C70" i="1"/>
  <c r="E62" i="1"/>
  <c r="I100" i="1"/>
  <c r="F115" i="1"/>
  <c r="N100" i="1"/>
  <c r="K62" i="1"/>
  <c r="F20" i="1"/>
  <c r="F33" i="1" s="1"/>
  <c r="G36" i="1"/>
  <c r="D58" i="1"/>
  <c r="I54" i="1"/>
  <c r="I77" i="1"/>
  <c r="H100" i="1"/>
  <c r="F36" i="1"/>
  <c r="C58" i="1"/>
  <c r="H54" i="1"/>
  <c r="I70" i="1"/>
  <c r="C62" i="1"/>
  <c r="H77" i="1"/>
  <c r="G100" i="1"/>
  <c r="D115" i="1"/>
  <c r="J100" i="1"/>
  <c r="M54" i="1"/>
  <c r="M100" i="1"/>
  <c r="H20" i="1"/>
  <c r="H33" i="1" s="1"/>
  <c r="E36" i="1"/>
  <c r="G54" i="1"/>
  <c r="H70" i="1"/>
  <c r="G77" i="1"/>
  <c r="F100" i="1"/>
  <c r="J54" i="1"/>
  <c r="L54" i="1"/>
  <c r="L100" i="1"/>
  <c r="I20" i="1"/>
  <c r="I33" i="1" s="1"/>
  <c r="D36" i="1"/>
  <c r="I58" i="1"/>
  <c r="F54" i="1"/>
  <c r="G70" i="1"/>
  <c r="I62" i="1"/>
  <c r="F77" i="1"/>
  <c r="E100" i="1"/>
  <c r="K54" i="1"/>
  <c r="K100" i="1"/>
  <c r="C36" i="1"/>
  <c r="D100" i="1"/>
  <c r="N62" i="1"/>
  <c r="C20" i="1"/>
  <c r="C33" i="1" s="1"/>
  <c r="G58" i="1"/>
  <c r="D54" i="1"/>
  <c r="E70" i="1"/>
  <c r="G62" i="1"/>
  <c r="D77" i="1"/>
  <c r="C100" i="1"/>
  <c r="H115" i="1"/>
  <c r="C81" i="13"/>
  <c r="C21" i="13"/>
  <c r="F10" i="4"/>
  <c r="F7" i="4" s="1"/>
  <c r="F16" i="4" s="1"/>
  <c r="F25" i="4" s="1"/>
  <c r="I55" i="4"/>
  <c r="C89" i="17"/>
  <c r="C126" i="12"/>
  <c r="E77" i="9"/>
  <c r="H55" i="4"/>
  <c r="C69" i="3"/>
  <c r="F96" i="19"/>
  <c r="F55" i="4"/>
  <c r="I96" i="19"/>
  <c r="H96" i="19"/>
  <c r="H24" i="4"/>
  <c r="C45" i="4"/>
  <c r="C46" i="4" s="1"/>
  <c r="C56" i="4" s="1"/>
  <c r="C60" i="4" s="1"/>
  <c r="J56" i="21"/>
  <c r="J60" i="21" s="1"/>
  <c r="C96" i="19"/>
  <c r="E96" i="19"/>
  <c r="G96" i="19"/>
  <c r="D96" i="19"/>
  <c r="C47" i="15"/>
  <c r="C57" i="15"/>
  <c r="C31" i="13"/>
  <c r="M53" i="11"/>
  <c r="M54" i="11" s="1"/>
  <c r="M58" i="11" s="1"/>
  <c r="G53" i="11"/>
  <c r="L30" i="6"/>
  <c r="K77" i="9"/>
  <c r="F77" i="9"/>
  <c r="G30" i="6"/>
  <c r="F30" i="6"/>
  <c r="E30" i="6"/>
  <c r="C77" i="9"/>
  <c r="D30" i="6"/>
  <c r="J77" i="9"/>
  <c r="L77" i="9"/>
  <c r="H77" i="9"/>
  <c r="I30" i="6"/>
  <c r="C21" i="7"/>
  <c r="C35" i="7" s="1"/>
  <c r="N55" i="4"/>
  <c r="F24" i="4"/>
  <c r="E46" i="4"/>
  <c r="E56" i="4" s="1"/>
  <c r="E60" i="4" s="1"/>
  <c r="J55" i="4"/>
  <c r="C33" i="2"/>
  <c r="C20" i="19"/>
  <c r="C18" i="19" s="1"/>
  <c r="C28" i="19" s="1"/>
  <c r="I20" i="19"/>
  <c r="I18" i="19" s="1"/>
  <c r="I28" i="19" s="1"/>
  <c r="H20" i="19"/>
  <c r="H18" i="19" s="1"/>
  <c r="H28" i="19" s="1"/>
  <c r="G20" i="19"/>
  <c r="G18" i="19" s="1"/>
  <c r="G28" i="19" s="1"/>
  <c r="F20" i="19"/>
  <c r="F18" i="19" s="1"/>
  <c r="F28" i="19" s="1"/>
  <c r="E20" i="19"/>
  <c r="E18" i="19" s="1"/>
  <c r="E28" i="19" s="1"/>
  <c r="D20" i="19"/>
  <c r="D18" i="19" s="1"/>
  <c r="D28" i="19" s="1"/>
  <c r="D10" i="19"/>
  <c r="D7" i="19" s="1"/>
  <c r="D17" i="19" s="1"/>
  <c r="C10" i="19"/>
  <c r="C7" i="19" s="1"/>
  <c r="C17" i="19" s="1"/>
  <c r="I10" i="19"/>
  <c r="I7" i="19" s="1"/>
  <c r="I17" i="19" s="1"/>
  <c r="H10" i="19"/>
  <c r="H7" i="19" s="1"/>
  <c r="H17" i="19" s="1"/>
  <c r="G10" i="19"/>
  <c r="G7" i="19" s="1"/>
  <c r="G17" i="19" s="1"/>
  <c r="F10" i="19"/>
  <c r="F7" i="19" s="1"/>
  <c r="F17" i="19" s="1"/>
  <c r="E10" i="19"/>
  <c r="E7" i="19" s="1"/>
  <c r="E17" i="19" s="1"/>
  <c r="L96" i="19"/>
  <c r="K96" i="19"/>
  <c r="C34" i="18"/>
  <c r="C33" i="18" s="1"/>
  <c r="D75" i="18"/>
  <c r="D74" i="18" s="1"/>
  <c r="C75" i="18"/>
  <c r="C74" i="18" s="1"/>
  <c r="D34" i="18"/>
  <c r="D33" i="18" s="1"/>
  <c r="E75" i="18"/>
  <c r="E74" i="18" s="1"/>
  <c r="E34" i="18"/>
  <c r="E33" i="18" s="1"/>
  <c r="F75" i="18"/>
  <c r="F74" i="18" s="1"/>
  <c r="F34" i="18"/>
  <c r="F33" i="18" s="1"/>
  <c r="G75" i="18"/>
  <c r="G74" i="18" s="1"/>
  <c r="G34" i="18"/>
  <c r="G33" i="18" s="1"/>
  <c r="H75" i="18"/>
  <c r="H74" i="18" s="1"/>
  <c r="C21" i="18"/>
  <c r="C19" i="18" s="1"/>
  <c r="H34" i="18"/>
  <c r="H33" i="18" s="1"/>
  <c r="I75" i="18"/>
  <c r="I74" i="18" s="1"/>
  <c r="I34" i="18"/>
  <c r="I33" i="18" s="1"/>
  <c r="H27" i="18"/>
  <c r="H26" i="18" s="1"/>
  <c r="D21" i="18"/>
  <c r="D19" i="18" s="1"/>
  <c r="I27" i="18"/>
  <c r="I26" i="18" s="1"/>
  <c r="E21" i="18"/>
  <c r="E19" i="18" s="1"/>
  <c r="C27" i="18"/>
  <c r="C26" i="18" s="1"/>
  <c r="F21" i="18"/>
  <c r="F19" i="18" s="1"/>
  <c r="D27" i="18"/>
  <c r="D26" i="18" s="1"/>
  <c r="G21" i="18"/>
  <c r="G19" i="18" s="1"/>
  <c r="E27" i="18"/>
  <c r="E26" i="18" s="1"/>
  <c r="H21" i="18"/>
  <c r="H19" i="18" s="1"/>
  <c r="F27" i="18"/>
  <c r="F26" i="18" s="1"/>
  <c r="I21" i="18"/>
  <c r="I19" i="18" s="1"/>
  <c r="G27" i="18"/>
  <c r="G26" i="18" s="1"/>
  <c r="E11" i="18"/>
  <c r="E7" i="18" s="1"/>
  <c r="E18" i="18" s="1"/>
  <c r="D11" i="18"/>
  <c r="D7" i="18" s="1"/>
  <c r="D18" i="18" s="1"/>
  <c r="C11" i="18"/>
  <c r="C7" i="18" s="1"/>
  <c r="C18" i="18" s="1"/>
  <c r="I10" i="18"/>
  <c r="I11" i="18"/>
  <c r="H10" i="18"/>
  <c r="H11" i="18"/>
  <c r="G11" i="18"/>
  <c r="G7" i="18" s="1"/>
  <c r="G18" i="18" s="1"/>
  <c r="F11" i="18"/>
  <c r="F7" i="18" s="1"/>
  <c r="F18" i="18" s="1"/>
  <c r="H14" i="10"/>
  <c r="E11" i="10"/>
  <c r="G14" i="10"/>
  <c r="E12" i="10"/>
  <c r="D11" i="10"/>
  <c r="F14" i="10"/>
  <c r="D12" i="10"/>
  <c r="C11" i="10"/>
  <c r="E14" i="10"/>
  <c r="C12" i="10"/>
  <c r="D14" i="10"/>
  <c r="I11" i="10"/>
  <c r="C14" i="10"/>
  <c r="H11" i="10"/>
  <c r="I13" i="10"/>
  <c r="G11" i="10"/>
  <c r="I14" i="10"/>
  <c r="H13" i="10"/>
  <c r="F11" i="10"/>
  <c r="F100" i="6"/>
  <c r="F95" i="6" s="1"/>
  <c r="G100" i="6"/>
  <c r="G95" i="6" s="1"/>
  <c r="H100" i="6"/>
  <c r="H95" i="6" s="1"/>
  <c r="I100" i="6"/>
  <c r="I95" i="6" s="1"/>
  <c r="C100" i="6"/>
  <c r="C95" i="6" s="1"/>
  <c r="D100" i="6"/>
  <c r="D95" i="6" s="1"/>
  <c r="E100" i="6"/>
  <c r="E95" i="6" s="1"/>
  <c r="G13" i="6"/>
  <c r="G7" i="6" s="1"/>
  <c r="G20" i="6" s="1"/>
  <c r="F13" i="6"/>
  <c r="F7" i="6" s="1"/>
  <c r="F20" i="6" s="1"/>
  <c r="E13" i="6"/>
  <c r="E7" i="6" s="1"/>
  <c r="E20" i="6" s="1"/>
  <c r="D13" i="6"/>
  <c r="D7" i="6" s="1"/>
  <c r="D20" i="6" s="1"/>
  <c r="C13" i="6"/>
  <c r="C7" i="6" s="1"/>
  <c r="C20" i="6" s="1"/>
  <c r="I12" i="6"/>
  <c r="I7" i="6" s="1"/>
  <c r="I20" i="6" s="1"/>
  <c r="H12" i="6"/>
  <c r="H7" i="6" s="1"/>
  <c r="H20" i="6" s="1"/>
  <c r="H121" i="1"/>
  <c r="H120" i="1" s="1"/>
  <c r="I121" i="1"/>
  <c r="I120" i="1" s="1"/>
  <c r="C121" i="1"/>
  <c r="C120" i="1" s="1"/>
  <c r="D121" i="1"/>
  <c r="D120" i="1" s="1"/>
  <c r="E121" i="1"/>
  <c r="E120" i="1" s="1"/>
  <c r="F121" i="1"/>
  <c r="F120" i="1" s="1"/>
  <c r="G121" i="1"/>
  <c r="G120" i="1" s="1"/>
  <c r="F12" i="1"/>
  <c r="E12" i="1"/>
  <c r="D12" i="1"/>
  <c r="D7" i="1" s="1"/>
  <c r="C12" i="1"/>
  <c r="C7" i="1" s="1"/>
  <c r="C19" i="1" s="1"/>
  <c r="G10" i="4"/>
  <c r="G7" i="4" s="1"/>
  <c r="G16" i="4" s="1"/>
  <c r="G25" i="4" s="1"/>
  <c r="F46" i="4"/>
  <c r="C20" i="8"/>
  <c r="C99" i="8"/>
  <c r="C30" i="9"/>
  <c r="C31" i="9" s="1"/>
  <c r="M30" i="6"/>
  <c r="K30" i="6"/>
  <c r="L55" i="4"/>
  <c r="C52" i="7"/>
  <c r="M11" i="10"/>
  <c r="L11" i="10"/>
  <c r="K11" i="10"/>
  <c r="N11" i="10"/>
  <c r="J7" i="11"/>
  <c r="J13" i="11" s="1"/>
  <c r="J23" i="11" s="1"/>
  <c r="J37" i="11" s="1"/>
  <c r="N53" i="11"/>
  <c r="D53" i="11"/>
  <c r="L53" i="11"/>
  <c r="K53" i="11"/>
  <c r="J53" i="11"/>
  <c r="H53" i="11"/>
  <c r="E53" i="11"/>
  <c r="F53" i="11"/>
  <c r="C53" i="11"/>
  <c r="I53" i="11"/>
  <c r="G54" i="11"/>
  <c r="G58" i="11" s="1"/>
  <c r="C29" i="12"/>
  <c r="C93" i="12"/>
  <c r="C71" i="13"/>
  <c r="C35" i="14"/>
  <c r="C60" i="14" s="1"/>
  <c r="C63" i="14" s="1"/>
  <c r="C17" i="16"/>
  <c r="L20" i="19"/>
  <c r="L18" i="19" s="1"/>
  <c r="L28" i="19" s="1"/>
  <c r="N20" i="19"/>
  <c r="N18" i="19" s="1"/>
  <c r="N28" i="19" s="1"/>
  <c r="M96" i="19"/>
  <c r="J96" i="19"/>
  <c r="C27" i="22"/>
  <c r="I56" i="21"/>
  <c r="I60" i="21" s="1"/>
  <c r="N96" i="19"/>
  <c r="L56" i="21"/>
  <c r="L60" i="21" s="1"/>
  <c r="C78" i="20"/>
  <c r="C44" i="22"/>
  <c r="C59" i="22"/>
  <c r="M34" i="18"/>
  <c r="K34" i="18"/>
  <c r="K33" i="18" s="1"/>
  <c r="C60" i="16"/>
  <c r="M27" i="18"/>
  <c r="M26" i="18" s="1"/>
  <c r="L34" i="18"/>
  <c r="L33" i="18" s="1"/>
  <c r="J34" i="18"/>
  <c r="C29" i="16"/>
  <c r="J27" i="18"/>
  <c r="J26" i="18" s="1"/>
  <c r="M50" i="18"/>
  <c r="K75" i="18"/>
  <c r="K74" i="18" s="1"/>
  <c r="J50" i="18"/>
  <c r="C72" i="17"/>
  <c r="M75" i="18"/>
  <c r="M74" i="18" s="1"/>
  <c r="N75" i="18"/>
  <c r="N74" i="18" s="1"/>
  <c r="M10" i="19"/>
  <c r="M7" i="19" s="1"/>
  <c r="M17" i="19" s="1"/>
  <c r="L10" i="19"/>
  <c r="L7" i="19" s="1"/>
  <c r="L17" i="19" s="1"/>
  <c r="K10" i="19"/>
  <c r="K7" i="19" s="1"/>
  <c r="K17" i="19" s="1"/>
  <c r="J10" i="19"/>
  <c r="J7" i="19" s="1"/>
  <c r="J17" i="19" s="1"/>
  <c r="N10" i="19"/>
  <c r="N7" i="19" s="1"/>
  <c r="N17" i="19" s="1"/>
  <c r="L21" i="18"/>
  <c r="L19" i="18" s="1"/>
  <c r="L30" i="18" s="1"/>
  <c r="K21" i="18"/>
  <c r="K19" i="18" s="1"/>
  <c r="K30" i="18" s="1"/>
  <c r="J21" i="18"/>
  <c r="J19" i="18" s="1"/>
  <c r="N21" i="18"/>
  <c r="N19" i="18" s="1"/>
  <c r="N30" i="18" s="1"/>
  <c r="M21" i="18"/>
  <c r="M19" i="18" s="1"/>
  <c r="J11" i="18"/>
  <c r="J7" i="18" s="1"/>
  <c r="J18" i="18" s="1"/>
  <c r="N11" i="18"/>
  <c r="N7" i="18" s="1"/>
  <c r="N18" i="18" s="1"/>
  <c r="M11" i="18"/>
  <c r="M7" i="18" s="1"/>
  <c r="M18" i="18" s="1"/>
  <c r="L11" i="18"/>
  <c r="L7" i="18" s="1"/>
  <c r="L18" i="18" s="1"/>
  <c r="K11" i="18"/>
  <c r="K7" i="18" s="1"/>
  <c r="K18" i="18" s="1"/>
  <c r="K93" i="10"/>
  <c r="K92" i="10" s="1"/>
  <c r="M82" i="10"/>
  <c r="M80" i="10" s="1"/>
  <c r="L82" i="10"/>
  <c r="L80" i="10" s="1"/>
  <c r="N93" i="10"/>
  <c r="N92" i="10" s="1"/>
  <c r="M93" i="10"/>
  <c r="M92" i="10" s="1"/>
  <c r="L93" i="10"/>
  <c r="L92" i="10" s="1"/>
  <c r="J73" i="10"/>
  <c r="J71" i="10" s="1"/>
  <c r="J93" i="10"/>
  <c r="J92" i="10" s="1"/>
  <c r="K82" i="10"/>
  <c r="K80" i="10" s="1"/>
  <c r="J82" i="10"/>
  <c r="J80" i="10" s="1"/>
  <c r="N73" i="10"/>
  <c r="N71" i="10" s="1"/>
  <c r="M73" i="10"/>
  <c r="M71" i="10" s="1"/>
  <c r="L73" i="10"/>
  <c r="L71" i="10" s="1"/>
  <c r="N82" i="10"/>
  <c r="N80" i="10" s="1"/>
  <c r="K73" i="10"/>
  <c r="K71" i="10" s="1"/>
  <c r="N67" i="10"/>
  <c r="N66" i="10" s="1"/>
  <c r="M67" i="10"/>
  <c r="M66" i="10" s="1"/>
  <c r="L67" i="10"/>
  <c r="L66" i="10" s="1"/>
  <c r="K67" i="10"/>
  <c r="K66" i="10" s="1"/>
  <c r="J67" i="10"/>
  <c r="J66" i="10" s="1"/>
  <c r="N38" i="10"/>
  <c r="N37" i="10" s="1"/>
  <c r="M38" i="10"/>
  <c r="M37" i="10" s="1"/>
  <c r="L38" i="10"/>
  <c r="L37" i="10" s="1"/>
  <c r="K38" i="10"/>
  <c r="K37" i="10" s="1"/>
  <c r="J38" i="10"/>
  <c r="J37" i="10" s="1"/>
  <c r="K14" i="10"/>
  <c r="J14" i="10"/>
  <c r="J7" i="10" s="1"/>
  <c r="N14" i="10"/>
  <c r="M14" i="10"/>
  <c r="L14" i="10"/>
  <c r="N100" i="6"/>
  <c r="N95" i="6" s="1"/>
  <c r="M100" i="6"/>
  <c r="M95" i="6" s="1"/>
  <c r="L100" i="6"/>
  <c r="L95" i="6" s="1"/>
  <c r="K100" i="6"/>
  <c r="K95" i="6" s="1"/>
  <c r="J100" i="6"/>
  <c r="J95" i="6" s="1"/>
  <c r="K13" i="6"/>
  <c r="K7" i="6" s="1"/>
  <c r="N13" i="6"/>
  <c r="N7" i="6" s="1"/>
  <c r="M13" i="6"/>
  <c r="M7" i="6" s="1"/>
  <c r="L13" i="6"/>
  <c r="L7" i="6" s="1"/>
  <c r="J13" i="6"/>
  <c r="J12" i="6"/>
  <c r="N37" i="1"/>
  <c r="N36" i="1" s="1"/>
  <c r="K37" i="1"/>
  <c r="K36" i="1" s="1"/>
  <c r="N121" i="1"/>
  <c r="N120" i="1" s="1"/>
  <c r="M121" i="1"/>
  <c r="M120" i="1" s="1"/>
  <c r="L121" i="1"/>
  <c r="L120" i="1" s="1"/>
  <c r="M37" i="1"/>
  <c r="M36" i="1" s="1"/>
  <c r="K121" i="1"/>
  <c r="K120" i="1" s="1"/>
  <c r="M85" i="1"/>
  <c r="N87" i="1"/>
  <c r="N85" i="1"/>
  <c r="L87" i="1"/>
  <c r="L85" i="1"/>
  <c r="K87" i="1"/>
  <c r="K85" i="1"/>
  <c r="M87" i="1"/>
  <c r="N116" i="1"/>
  <c r="N115" i="1" s="1"/>
  <c r="M116" i="1"/>
  <c r="M115" i="1" s="1"/>
  <c r="L116" i="1"/>
  <c r="L115" i="1" s="1"/>
  <c r="K116" i="1"/>
  <c r="K115" i="1" s="1"/>
  <c r="L37" i="1"/>
  <c r="L36" i="1" s="1"/>
  <c r="M71" i="1"/>
  <c r="M70" i="1" s="1"/>
  <c r="L71" i="1"/>
  <c r="L70" i="1" s="1"/>
  <c r="K71" i="1"/>
  <c r="K70" i="1" s="1"/>
  <c r="N78" i="1"/>
  <c r="N77" i="1" s="1"/>
  <c r="M78" i="1"/>
  <c r="M77" i="1" s="1"/>
  <c r="N71" i="1"/>
  <c r="N70" i="1" s="1"/>
  <c r="L78" i="1"/>
  <c r="L77" i="1" s="1"/>
  <c r="K78" i="1"/>
  <c r="K77" i="1" s="1"/>
  <c r="M60" i="1"/>
  <c r="M58" i="1" s="1"/>
  <c r="N60" i="1"/>
  <c r="N58" i="1" s="1"/>
  <c r="L60" i="1"/>
  <c r="L58" i="1" s="1"/>
  <c r="K60" i="1"/>
  <c r="K58" i="1" s="1"/>
  <c r="L24" i="1"/>
  <c r="L20" i="1" s="1"/>
  <c r="L33" i="1" s="1"/>
  <c r="K24" i="1"/>
  <c r="K20" i="1" s="1"/>
  <c r="K33" i="1" s="1"/>
  <c r="N23" i="1"/>
  <c r="N20" i="1" s="1"/>
  <c r="N33" i="1" s="1"/>
  <c r="M23" i="1"/>
  <c r="M20" i="1" s="1"/>
  <c r="M33" i="1" s="1"/>
  <c r="N11" i="1"/>
  <c r="M11" i="1"/>
  <c r="J121" i="1"/>
  <c r="J120" i="1" s="1"/>
  <c r="J87" i="1"/>
  <c r="J85" i="1"/>
  <c r="J116" i="1"/>
  <c r="J115" i="1" s="1"/>
  <c r="J60" i="1"/>
  <c r="J58" i="1" s="1"/>
  <c r="J71" i="1"/>
  <c r="J70" i="1" s="1"/>
  <c r="J78" i="1"/>
  <c r="J77" i="1" s="1"/>
  <c r="J37" i="1"/>
  <c r="J36" i="1" s="1"/>
  <c r="J24" i="1"/>
  <c r="J20" i="1" s="1"/>
  <c r="J33" i="1" s="1"/>
  <c r="M55" i="4"/>
  <c r="F127" i="12" l="1"/>
  <c r="F132" i="12" s="1"/>
  <c r="D127" i="12"/>
  <c r="D132" i="12" s="1"/>
  <c r="M94" i="12"/>
  <c r="M127" i="12" s="1"/>
  <c r="M132" i="12" s="1"/>
  <c r="E30" i="12"/>
  <c r="E94" i="12" s="1"/>
  <c r="E127" i="12" s="1"/>
  <c r="E132" i="12" s="1"/>
  <c r="J94" i="12"/>
  <c r="J127" i="12" s="1"/>
  <c r="J132" i="12" s="1"/>
  <c r="I127" i="12"/>
  <c r="I132" i="12" s="1"/>
  <c r="K94" i="12"/>
  <c r="K127" i="12" s="1"/>
  <c r="K132" i="12" s="1"/>
  <c r="I33" i="8"/>
  <c r="G33" i="8"/>
  <c r="M33" i="8"/>
  <c r="N33" i="8"/>
  <c r="D53" i="3"/>
  <c r="C34" i="1"/>
  <c r="L45" i="22"/>
  <c r="L60" i="22" s="1"/>
  <c r="L65" i="22" s="1"/>
  <c r="I45" i="22"/>
  <c r="I60" i="22" s="1"/>
  <c r="I65" i="22" s="1"/>
  <c r="J45" i="22"/>
  <c r="J60" i="22" s="1"/>
  <c r="J65" i="22" s="1"/>
  <c r="F16" i="20"/>
  <c r="F25" i="20" s="1"/>
  <c r="F64" i="20" s="1"/>
  <c r="F79" i="20" s="1"/>
  <c r="F85" i="20" s="1"/>
  <c r="D25" i="20"/>
  <c r="D64" i="20" s="1"/>
  <c r="D79" i="20" s="1"/>
  <c r="D85" i="20" s="1"/>
  <c r="D16" i="20"/>
  <c r="L16" i="20"/>
  <c r="L25" i="20" s="1"/>
  <c r="L64" i="20" s="1"/>
  <c r="L79" i="20" s="1"/>
  <c r="L85" i="20" s="1"/>
  <c r="E16" i="20"/>
  <c r="E25" i="20" s="1"/>
  <c r="E64" i="20" s="1"/>
  <c r="E79" i="20" s="1"/>
  <c r="E85" i="20" s="1"/>
  <c r="N30" i="16"/>
  <c r="N94" i="12"/>
  <c r="N127" i="12" s="1"/>
  <c r="N132" i="12" s="1"/>
  <c r="F143" i="6"/>
  <c r="E143" i="6"/>
  <c r="M143" i="6"/>
  <c r="J143" i="6"/>
  <c r="I143" i="6"/>
  <c r="K143" i="6"/>
  <c r="D143" i="6"/>
  <c r="N143" i="6"/>
  <c r="C143" i="6"/>
  <c r="H143" i="6"/>
  <c r="L143" i="6"/>
  <c r="G143" i="6"/>
  <c r="H32" i="6"/>
  <c r="H33" i="6" s="1"/>
  <c r="H68" i="9"/>
  <c r="G68" i="9"/>
  <c r="G78" i="9" s="1"/>
  <c r="G85" i="9" s="1"/>
  <c r="C68" i="9"/>
  <c r="C78" i="9" s="1"/>
  <c r="C85" i="9" s="1"/>
  <c r="C33" i="8"/>
  <c r="H101" i="2"/>
  <c r="E7" i="1"/>
  <c r="E19" i="1" s="1"/>
  <c r="F8" i="1"/>
  <c r="F7" i="1" s="1"/>
  <c r="G8" i="3"/>
  <c r="G7" i="3" s="1"/>
  <c r="G13" i="3" s="1"/>
  <c r="G20" i="3" s="1"/>
  <c r="G53" i="3" s="1"/>
  <c r="D70" i="3"/>
  <c r="D74" i="3" s="1"/>
  <c r="D44" i="5"/>
  <c r="D47" i="5" s="1"/>
  <c r="C64" i="20"/>
  <c r="C79" i="20" s="1"/>
  <c r="C85" i="20" s="1"/>
  <c r="K64" i="20"/>
  <c r="K79" i="20" s="1"/>
  <c r="K85" i="20" s="1"/>
  <c r="K30" i="16"/>
  <c r="F56" i="4"/>
  <c r="F60" i="4" s="1"/>
  <c r="I101" i="2"/>
  <c r="D101" i="2"/>
  <c r="F101" i="2"/>
  <c r="F35" i="5"/>
  <c r="F44" i="5" s="1"/>
  <c r="F47" i="5" s="1"/>
  <c r="E44" i="5"/>
  <c r="E47" i="5" s="1"/>
  <c r="C101" i="2"/>
  <c r="G12" i="1"/>
  <c r="C70" i="3"/>
  <c r="C74" i="3" s="1"/>
  <c r="K29" i="19"/>
  <c r="G73" i="17"/>
  <c r="G90" i="17" s="1"/>
  <c r="G97" i="17" s="1"/>
  <c r="G94" i="19"/>
  <c r="C94" i="19"/>
  <c r="H29" i="19"/>
  <c r="J94" i="19"/>
  <c r="F75" i="19"/>
  <c r="K94" i="19"/>
  <c r="I75" i="19"/>
  <c r="I94" i="19"/>
  <c r="F29" i="19"/>
  <c r="M75" i="19"/>
  <c r="N94" i="19"/>
  <c r="L94" i="19"/>
  <c r="K75" i="19"/>
  <c r="M94" i="19"/>
  <c r="D94" i="19"/>
  <c r="L75" i="19"/>
  <c r="C75" i="19"/>
  <c r="D75" i="19"/>
  <c r="G75" i="19"/>
  <c r="H75" i="19"/>
  <c r="E94" i="19"/>
  <c r="E75" i="19"/>
  <c r="H94" i="19"/>
  <c r="M29" i="19"/>
  <c r="F94" i="19"/>
  <c r="J29" i="19"/>
  <c r="N75" i="19"/>
  <c r="J75" i="19"/>
  <c r="I29" i="19"/>
  <c r="G29" i="19"/>
  <c r="L29" i="19"/>
  <c r="E29" i="19"/>
  <c r="N29" i="19"/>
  <c r="D29" i="19"/>
  <c r="D73" i="17"/>
  <c r="D90" i="17" s="1"/>
  <c r="D97" i="17" s="1"/>
  <c r="I73" i="17"/>
  <c r="I90" i="17" s="1"/>
  <c r="I97" i="17" s="1"/>
  <c r="F73" i="17"/>
  <c r="F90" i="17" s="1"/>
  <c r="F97" i="17" s="1"/>
  <c r="L73" i="17"/>
  <c r="L90" i="17" s="1"/>
  <c r="L97" i="17" s="1"/>
  <c r="J73" i="17"/>
  <c r="J90" i="17" s="1"/>
  <c r="J97" i="17" s="1"/>
  <c r="M73" i="17"/>
  <c r="M90" i="17" s="1"/>
  <c r="M97" i="17" s="1"/>
  <c r="E73" i="17"/>
  <c r="E90" i="17" s="1"/>
  <c r="E97" i="17" s="1"/>
  <c r="K73" i="17"/>
  <c r="K90" i="17" s="1"/>
  <c r="K97" i="17" s="1"/>
  <c r="H73" i="17"/>
  <c r="N73" i="17"/>
  <c r="N90" i="17" s="1"/>
  <c r="N97" i="17" s="1"/>
  <c r="F30" i="16"/>
  <c r="M120" i="18"/>
  <c r="H120" i="18"/>
  <c r="M30" i="18"/>
  <c r="M31" i="18" s="1"/>
  <c r="K120" i="18"/>
  <c r="N120" i="18"/>
  <c r="L120" i="18"/>
  <c r="L83" i="18"/>
  <c r="I120" i="18"/>
  <c r="E120" i="18"/>
  <c r="D120" i="18"/>
  <c r="F120" i="18"/>
  <c r="G120" i="18"/>
  <c r="K83" i="18"/>
  <c r="E83" i="18"/>
  <c r="I83" i="18"/>
  <c r="H83" i="18"/>
  <c r="D83" i="18"/>
  <c r="G83" i="18"/>
  <c r="F83" i="18"/>
  <c r="N83" i="18"/>
  <c r="C83" i="18"/>
  <c r="M33" i="18"/>
  <c r="M83" i="18" s="1"/>
  <c r="J33" i="18"/>
  <c r="J83" i="18" s="1"/>
  <c r="J30" i="18"/>
  <c r="J31" i="18" s="1"/>
  <c r="F30" i="18"/>
  <c r="F31" i="18" s="1"/>
  <c r="I30" i="18"/>
  <c r="E30" i="18"/>
  <c r="E31" i="18" s="1"/>
  <c r="H30" i="18"/>
  <c r="D30" i="18"/>
  <c r="D31" i="18" s="1"/>
  <c r="G30" i="18"/>
  <c r="C30" i="18"/>
  <c r="C31" i="18" s="1"/>
  <c r="H7" i="18"/>
  <c r="H18" i="18" s="1"/>
  <c r="I7" i="18"/>
  <c r="I18" i="18" s="1"/>
  <c r="C32" i="13"/>
  <c r="C72" i="13" s="1"/>
  <c r="C82" i="13" s="1"/>
  <c r="C89" i="13" s="1"/>
  <c r="E139" i="10"/>
  <c r="L139" i="10"/>
  <c r="G102" i="10"/>
  <c r="I102" i="10"/>
  <c r="G139" i="10"/>
  <c r="H139" i="10"/>
  <c r="I139" i="10"/>
  <c r="E102" i="10"/>
  <c r="D102" i="10"/>
  <c r="M139" i="10"/>
  <c r="D139" i="10"/>
  <c r="F102" i="10"/>
  <c r="F139" i="10"/>
  <c r="K139" i="10"/>
  <c r="N139" i="10"/>
  <c r="J139" i="10"/>
  <c r="H102" i="10"/>
  <c r="N102" i="10"/>
  <c r="L102" i="10"/>
  <c r="K102" i="10"/>
  <c r="J102" i="10"/>
  <c r="M102" i="10"/>
  <c r="G7" i="10"/>
  <c r="G21" i="10" s="1"/>
  <c r="G35" i="10" s="1"/>
  <c r="F7" i="10"/>
  <c r="F21" i="10" s="1"/>
  <c r="E7" i="10"/>
  <c r="E21" i="10" s="1"/>
  <c r="E35" i="10" s="1"/>
  <c r="N7" i="10"/>
  <c r="N21" i="10" s="1"/>
  <c r="N35" i="10" s="1"/>
  <c r="K7" i="10"/>
  <c r="K21" i="10" s="1"/>
  <c r="K35" i="10" s="1"/>
  <c r="H7" i="10"/>
  <c r="H21" i="10" s="1"/>
  <c r="H35" i="10" s="1"/>
  <c r="L7" i="10"/>
  <c r="L21" i="10" s="1"/>
  <c r="L35" i="10" s="1"/>
  <c r="D7" i="10"/>
  <c r="D21" i="10" s="1"/>
  <c r="M7" i="10"/>
  <c r="M21" i="10" s="1"/>
  <c r="M35" i="10" s="1"/>
  <c r="I7" i="10"/>
  <c r="I21" i="10" s="1"/>
  <c r="I35" i="10" s="1"/>
  <c r="C7" i="10"/>
  <c r="C21" i="10" s="1"/>
  <c r="C35" i="10" s="1"/>
  <c r="D19" i="9"/>
  <c r="F19" i="9"/>
  <c r="N32" i="6"/>
  <c r="C100" i="8"/>
  <c r="K32" i="6"/>
  <c r="L32" i="6"/>
  <c r="G32" i="6"/>
  <c r="G33" i="6" s="1"/>
  <c r="I32" i="6"/>
  <c r="I33" i="6" s="1"/>
  <c r="F32" i="6"/>
  <c r="F33" i="6" s="1"/>
  <c r="M32" i="6"/>
  <c r="D32" i="6"/>
  <c r="D33" i="6" s="1"/>
  <c r="E32" i="6"/>
  <c r="E33" i="6" s="1"/>
  <c r="J7" i="6"/>
  <c r="G105" i="6"/>
  <c r="D105" i="6"/>
  <c r="H105" i="6"/>
  <c r="I105" i="6"/>
  <c r="K105" i="6"/>
  <c r="M105" i="6"/>
  <c r="L105" i="6"/>
  <c r="N105" i="6"/>
  <c r="E105" i="6"/>
  <c r="J105" i="6"/>
  <c r="F105" i="6"/>
  <c r="C105" i="6"/>
  <c r="J101" i="2"/>
  <c r="J106" i="2" s="1"/>
  <c r="M101" i="2"/>
  <c r="M106" i="2" s="1"/>
  <c r="L101" i="2"/>
  <c r="L106" i="2" s="1"/>
  <c r="N66" i="2"/>
  <c r="K101" i="2"/>
  <c r="K106" i="2" s="1"/>
  <c r="G118" i="1"/>
  <c r="C118" i="1"/>
  <c r="C81" i="1"/>
  <c r="I81" i="1"/>
  <c r="F81" i="1"/>
  <c r="G81" i="1"/>
  <c r="F118" i="1"/>
  <c r="I118" i="1"/>
  <c r="H118" i="1"/>
  <c r="E118" i="1"/>
  <c r="H81" i="1"/>
  <c r="D118" i="1"/>
  <c r="E81" i="1"/>
  <c r="D81" i="1"/>
  <c r="M83" i="1"/>
  <c r="M118" i="1" s="1"/>
  <c r="N83" i="1"/>
  <c r="N118" i="1" s="1"/>
  <c r="L83" i="1"/>
  <c r="L118" i="1" s="1"/>
  <c r="K83" i="1"/>
  <c r="K118" i="1" s="1"/>
  <c r="J83" i="1"/>
  <c r="J118" i="1" s="1"/>
  <c r="J81" i="1"/>
  <c r="K81" i="1"/>
  <c r="N81" i="1"/>
  <c r="L81" i="1"/>
  <c r="M81" i="1"/>
  <c r="D19" i="1"/>
  <c r="F82" i="13"/>
  <c r="F89" i="13" s="1"/>
  <c r="D82" i="13"/>
  <c r="D89" i="13" s="1"/>
  <c r="C46" i="21"/>
  <c r="D54" i="11"/>
  <c r="D58" i="11" s="1"/>
  <c r="E70" i="3"/>
  <c r="E74" i="3" s="1"/>
  <c r="F70" i="3"/>
  <c r="F74" i="3" s="1"/>
  <c r="E54" i="11"/>
  <c r="E58" i="11" s="1"/>
  <c r="C53" i="7"/>
  <c r="C56" i="7" s="1"/>
  <c r="C102" i="10"/>
  <c r="F54" i="11"/>
  <c r="F58" i="11" s="1"/>
  <c r="I82" i="13"/>
  <c r="I89" i="13" s="1"/>
  <c r="C33" i="6"/>
  <c r="C30" i="12"/>
  <c r="C94" i="12" s="1"/>
  <c r="C127" i="12" s="1"/>
  <c r="C132" i="12" s="1"/>
  <c r="C29" i="19"/>
  <c r="C48" i="15"/>
  <c r="C58" i="15" s="1"/>
  <c r="C63" i="15" s="1"/>
  <c r="C120" i="18"/>
  <c r="L82" i="13"/>
  <c r="L89" i="13" s="1"/>
  <c r="E82" i="13"/>
  <c r="E89" i="13" s="1"/>
  <c r="C139" i="10"/>
  <c r="H82" i="13"/>
  <c r="H89" i="13" s="1"/>
  <c r="K54" i="11"/>
  <c r="K58" i="11" s="1"/>
  <c r="L54" i="11"/>
  <c r="L58" i="11" s="1"/>
  <c r="C28" i="22"/>
  <c r="C45" i="22" s="1"/>
  <c r="C60" i="22" s="1"/>
  <c r="C65" i="22" s="1"/>
  <c r="J54" i="11"/>
  <c r="J58" i="11" s="1"/>
  <c r="J21" i="10"/>
  <c r="J35" i="10" s="1"/>
  <c r="H100" i="8"/>
  <c r="H134" i="8" s="1"/>
  <c r="G46" i="4"/>
  <c r="G56" i="4" s="1"/>
  <c r="G60" i="4" s="1"/>
  <c r="H10" i="4"/>
  <c r="H7" i="4" s="1"/>
  <c r="H16" i="4" s="1"/>
  <c r="H25" i="4" s="1"/>
  <c r="E78" i="9"/>
  <c r="E85" i="9" s="1"/>
  <c r="H78" i="9"/>
  <c r="H85" i="9" s="1"/>
  <c r="I78" i="9"/>
  <c r="I85" i="9" s="1"/>
  <c r="I54" i="11"/>
  <c r="I58" i="11" s="1"/>
  <c r="H54" i="11"/>
  <c r="H58" i="11" s="1"/>
  <c r="N54" i="11"/>
  <c r="N58" i="11" s="1"/>
  <c r="C54" i="11"/>
  <c r="C58" i="11" s="1"/>
  <c r="G82" i="13"/>
  <c r="G89" i="13" s="1"/>
  <c r="C30" i="16"/>
  <c r="C61" i="16" s="1"/>
  <c r="N31" i="18"/>
  <c r="K31" i="18"/>
  <c r="L31" i="18"/>
  <c r="J82" i="13"/>
  <c r="J89" i="13" s="1"/>
  <c r="M82" i="13"/>
  <c r="M89" i="13" s="1"/>
  <c r="K82" i="13"/>
  <c r="K89" i="13" s="1"/>
  <c r="N82" i="13"/>
  <c r="N89" i="13" s="1"/>
  <c r="C44" i="5"/>
  <c r="C47" i="5" s="1"/>
  <c r="I25" i="20" l="1"/>
  <c r="I64" i="20" s="1"/>
  <c r="I79" i="20" s="1"/>
  <c r="I85" i="20" s="1"/>
  <c r="C56" i="21"/>
  <c r="C60" i="21" s="1"/>
  <c r="N101" i="2"/>
  <c r="N106" i="2" s="1"/>
  <c r="D34" i="1"/>
  <c r="D82" i="1" s="1"/>
  <c r="D119" i="1" s="1"/>
  <c r="D124" i="1" s="1"/>
  <c r="E34" i="1"/>
  <c r="F19" i="1"/>
  <c r="F34" i="1" s="1"/>
  <c r="G8" i="1"/>
  <c r="G7" i="1" s="1"/>
  <c r="H8" i="3"/>
  <c r="H7" i="3" s="1"/>
  <c r="H13" i="3" s="1"/>
  <c r="H20" i="3" s="1"/>
  <c r="H53" i="3" s="1"/>
  <c r="D76" i="19"/>
  <c r="D95" i="19" s="1"/>
  <c r="D102" i="19" s="1"/>
  <c r="G35" i="5"/>
  <c r="G44" i="5" s="1"/>
  <c r="G47" i="5" s="1"/>
  <c r="H12" i="1"/>
  <c r="D56" i="21"/>
  <c r="D60" i="21" s="1"/>
  <c r="K76" i="19"/>
  <c r="K95" i="19" s="1"/>
  <c r="K102" i="19" s="1"/>
  <c r="J25" i="20"/>
  <c r="J64" i="20" s="1"/>
  <c r="J79" i="20" s="1"/>
  <c r="J85" i="20" s="1"/>
  <c r="H25" i="20"/>
  <c r="H64" i="20" s="1"/>
  <c r="H79" i="20" s="1"/>
  <c r="H85" i="20" s="1"/>
  <c r="G25" i="20"/>
  <c r="G64" i="20" s="1"/>
  <c r="G79" i="20" s="1"/>
  <c r="G85" i="20" s="1"/>
  <c r="N25" i="20"/>
  <c r="N64" i="20" s="1"/>
  <c r="N79" i="20" s="1"/>
  <c r="N85" i="20" s="1"/>
  <c r="M25" i="20"/>
  <c r="M64" i="20" s="1"/>
  <c r="M79" i="20" s="1"/>
  <c r="M85" i="20" s="1"/>
  <c r="E76" i="19"/>
  <c r="E95" i="19" s="1"/>
  <c r="E102" i="19" s="1"/>
  <c r="M76" i="19"/>
  <c r="M95" i="19" s="1"/>
  <c r="M102" i="19" s="1"/>
  <c r="I76" i="19"/>
  <c r="I95" i="19" s="1"/>
  <c r="I102" i="19" s="1"/>
  <c r="H76" i="19"/>
  <c r="H95" i="19" s="1"/>
  <c r="H102" i="19" s="1"/>
  <c r="L76" i="19"/>
  <c r="L95" i="19" s="1"/>
  <c r="L102" i="19" s="1"/>
  <c r="F76" i="19"/>
  <c r="F95" i="19" s="1"/>
  <c r="F102" i="19" s="1"/>
  <c r="G76" i="19"/>
  <c r="G95" i="19" s="1"/>
  <c r="G102" i="19" s="1"/>
  <c r="N76" i="19"/>
  <c r="N95" i="19" s="1"/>
  <c r="N102" i="19" s="1"/>
  <c r="C76" i="19"/>
  <c r="C95" i="19" s="1"/>
  <c r="C102" i="19" s="1"/>
  <c r="J76" i="19"/>
  <c r="J95" i="19" s="1"/>
  <c r="J102" i="19" s="1"/>
  <c r="H90" i="17"/>
  <c r="H97" i="17" s="1"/>
  <c r="C73" i="17"/>
  <c r="C90" i="17" s="1"/>
  <c r="C97" i="17" s="1"/>
  <c r="C96" i="16"/>
  <c r="C100" i="16" s="1"/>
  <c r="I61" i="16"/>
  <c r="I96" i="16" s="1"/>
  <c r="I100" i="16" s="1"/>
  <c r="D61" i="16"/>
  <c r="D96" i="16" s="1"/>
  <c r="D100" i="16" s="1"/>
  <c r="L61" i="16"/>
  <c r="L96" i="16" s="1"/>
  <c r="L100" i="16" s="1"/>
  <c r="J61" i="16"/>
  <c r="J96" i="16" s="1"/>
  <c r="J100" i="16" s="1"/>
  <c r="H61" i="16"/>
  <c r="H96" i="16" s="1"/>
  <c r="H100" i="16" s="1"/>
  <c r="M61" i="16"/>
  <c r="M96" i="16" s="1"/>
  <c r="M100" i="16" s="1"/>
  <c r="N61" i="16"/>
  <c r="N96" i="16" s="1"/>
  <c r="N100" i="16" s="1"/>
  <c r="K61" i="16"/>
  <c r="K96" i="16" s="1"/>
  <c r="K100" i="16" s="1"/>
  <c r="G61" i="16"/>
  <c r="G96" i="16" s="1"/>
  <c r="G100" i="16" s="1"/>
  <c r="E61" i="16"/>
  <c r="E96" i="16" s="1"/>
  <c r="E100" i="16" s="1"/>
  <c r="F61" i="16"/>
  <c r="F96" i="16" s="1"/>
  <c r="F100" i="16" s="1"/>
  <c r="L84" i="18"/>
  <c r="L121" i="18" s="1"/>
  <c r="L128" i="18" s="1"/>
  <c r="M84" i="18"/>
  <c r="M121" i="18" s="1"/>
  <c r="M128" i="18" s="1"/>
  <c r="J84" i="18"/>
  <c r="J121" i="18" s="1"/>
  <c r="J128" i="18" s="1"/>
  <c r="K84" i="18"/>
  <c r="K121" i="18" s="1"/>
  <c r="K128" i="18" s="1"/>
  <c r="N84" i="18"/>
  <c r="N121" i="18" s="1"/>
  <c r="N128" i="18" s="1"/>
  <c r="D84" i="18"/>
  <c r="D121" i="18" s="1"/>
  <c r="D128" i="18" s="1"/>
  <c r="E84" i="18"/>
  <c r="E121" i="18" s="1"/>
  <c r="E128" i="18" s="1"/>
  <c r="F84" i="18"/>
  <c r="F121" i="18" s="1"/>
  <c r="F128" i="18" s="1"/>
  <c r="C84" i="18"/>
  <c r="C121" i="18" s="1"/>
  <c r="C128" i="18" s="1"/>
  <c r="I31" i="18"/>
  <c r="I84" i="18" s="1"/>
  <c r="I121" i="18" s="1"/>
  <c r="I128" i="18" s="1"/>
  <c r="H31" i="18"/>
  <c r="G31" i="18"/>
  <c r="I103" i="10"/>
  <c r="I140" i="10" s="1"/>
  <c r="I147" i="10" s="1"/>
  <c r="N103" i="10"/>
  <c r="N140" i="10" s="1"/>
  <c r="N147" i="10" s="1"/>
  <c r="E103" i="10"/>
  <c r="E140" i="10" s="1"/>
  <c r="E147" i="10" s="1"/>
  <c r="J103" i="10"/>
  <c r="J140" i="10" s="1"/>
  <c r="J147" i="10" s="1"/>
  <c r="G103" i="10"/>
  <c r="G140" i="10" s="1"/>
  <c r="G147" i="10" s="1"/>
  <c r="H103" i="10"/>
  <c r="H140" i="10" s="1"/>
  <c r="H147" i="10" s="1"/>
  <c r="K103" i="10"/>
  <c r="K140" i="10" s="1"/>
  <c r="K147" i="10" s="1"/>
  <c r="M103" i="10"/>
  <c r="M140" i="10" s="1"/>
  <c r="M147" i="10" s="1"/>
  <c r="L103" i="10"/>
  <c r="L140" i="10" s="1"/>
  <c r="L147" i="10" s="1"/>
  <c r="D35" i="10"/>
  <c r="F35" i="10"/>
  <c r="C103" i="10"/>
  <c r="C140" i="10" s="1"/>
  <c r="C147" i="10" s="1"/>
  <c r="F31" i="9"/>
  <c r="F68" i="9" s="1"/>
  <c r="D31" i="9"/>
  <c r="D68" i="9" s="1"/>
  <c r="H140" i="8"/>
  <c r="I106" i="6"/>
  <c r="I144" i="6" s="1"/>
  <c r="I151" i="6" s="1"/>
  <c r="G106" i="6"/>
  <c r="G144" i="6" s="1"/>
  <c r="G151" i="6" s="1"/>
  <c r="H106" i="6"/>
  <c r="H144" i="6" s="1"/>
  <c r="H151" i="6" s="1"/>
  <c r="F106" i="6"/>
  <c r="F144" i="6" s="1"/>
  <c r="F151" i="6" s="1"/>
  <c r="D106" i="6"/>
  <c r="D144" i="6" s="1"/>
  <c r="D151" i="6" s="1"/>
  <c r="E106" i="6"/>
  <c r="E144" i="6" s="1"/>
  <c r="E151" i="6" s="1"/>
  <c r="C82" i="1"/>
  <c r="C119" i="1" s="1"/>
  <c r="C124" i="1" s="1"/>
  <c r="I100" i="8"/>
  <c r="I134" i="8" s="1"/>
  <c r="C106" i="6"/>
  <c r="C144" i="6" s="1"/>
  <c r="C151" i="6" s="1"/>
  <c r="C134" i="8"/>
  <c r="C140" i="8" s="1"/>
  <c r="G70" i="3"/>
  <c r="G74" i="3" s="1"/>
  <c r="E100" i="8"/>
  <c r="E134" i="8" s="1"/>
  <c r="D100" i="8"/>
  <c r="D134" i="8" s="1"/>
  <c r="G100" i="8"/>
  <c r="G134" i="8" s="1"/>
  <c r="F100" i="8"/>
  <c r="F134" i="8" s="1"/>
  <c r="I10" i="4"/>
  <c r="I7" i="4" s="1"/>
  <c r="I16" i="4" s="1"/>
  <c r="I25" i="4" s="1"/>
  <c r="H46" i="4"/>
  <c r="H56" i="4" s="1"/>
  <c r="H60" i="4" s="1"/>
  <c r="L100" i="8"/>
  <c r="L134" i="8" s="1"/>
  <c r="J100" i="8"/>
  <c r="J134" i="8" s="1"/>
  <c r="K100" i="8"/>
  <c r="K134" i="8" s="1"/>
  <c r="N100" i="8"/>
  <c r="N134" i="8" s="1"/>
  <c r="M100" i="8"/>
  <c r="M134" i="8" s="1"/>
  <c r="E82" i="1" l="1"/>
  <c r="E119" i="1" s="1"/>
  <c r="E124" i="1" s="1"/>
  <c r="F82" i="1"/>
  <c r="F119" i="1" s="1"/>
  <c r="F124" i="1" s="1"/>
  <c r="G19" i="1"/>
  <c r="G34" i="1" s="1"/>
  <c r="H8" i="1"/>
  <c r="H7" i="1" s="1"/>
  <c r="I8" i="3"/>
  <c r="I7" i="3" s="1"/>
  <c r="I13" i="3" s="1"/>
  <c r="I20" i="3" s="1"/>
  <c r="I53" i="3" s="1"/>
  <c r="H35" i="5"/>
  <c r="H44" i="5" s="1"/>
  <c r="H47" i="5" s="1"/>
  <c r="I12" i="1"/>
  <c r="E56" i="21"/>
  <c r="E60" i="21" s="1"/>
  <c r="M56" i="21"/>
  <c r="M60" i="21" s="1"/>
  <c r="F56" i="21"/>
  <c r="F60" i="21" s="1"/>
  <c r="N56" i="21"/>
  <c r="N60" i="21" s="1"/>
  <c r="G56" i="21"/>
  <c r="G60" i="21" s="1"/>
  <c r="G84" i="18"/>
  <c r="G121" i="18" s="1"/>
  <c r="G128" i="18" s="1"/>
  <c r="H84" i="18"/>
  <c r="H121" i="18" s="1"/>
  <c r="H128" i="18" s="1"/>
  <c r="F103" i="10"/>
  <c r="F140" i="10" s="1"/>
  <c r="F147" i="10" s="1"/>
  <c r="D103" i="10"/>
  <c r="D140" i="10" s="1"/>
  <c r="D147" i="10" s="1"/>
  <c r="D78" i="9"/>
  <c r="D85" i="9" s="1"/>
  <c r="F78" i="9"/>
  <c r="F85" i="9" s="1"/>
  <c r="K140" i="8"/>
  <c r="J140" i="8"/>
  <c r="E140" i="8"/>
  <c r="N140" i="8"/>
  <c r="I140" i="8"/>
  <c r="L140" i="8"/>
  <c r="F140" i="8"/>
  <c r="G140" i="8"/>
  <c r="D140" i="8"/>
  <c r="M140" i="8"/>
  <c r="H70" i="3"/>
  <c r="H74" i="3" s="1"/>
  <c r="I46" i="4"/>
  <c r="I56" i="4" s="1"/>
  <c r="I60" i="4" s="1"/>
  <c r="J10" i="4"/>
  <c r="J7" i="4" s="1"/>
  <c r="J16" i="4" s="1"/>
  <c r="J25" i="4" s="1"/>
  <c r="G82" i="1" l="1"/>
  <c r="G119" i="1" s="1"/>
  <c r="G124" i="1" s="1"/>
  <c r="H19" i="1"/>
  <c r="H34" i="1" s="1"/>
  <c r="I8" i="1"/>
  <c r="I7" i="1" s="1"/>
  <c r="J8" i="3"/>
  <c r="J7" i="3" s="1"/>
  <c r="J13" i="3" s="1"/>
  <c r="J20" i="3" s="1"/>
  <c r="J53" i="3" s="1"/>
  <c r="I35" i="5"/>
  <c r="I44" i="5" s="1"/>
  <c r="I47" i="5" s="1"/>
  <c r="I70" i="3"/>
  <c r="I74" i="3" s="1"/>
  <c r="K10" i="4"/>
  <c r="K7" i="4" s="1"/>
  <c r="K16" i="4" s="1"/>
  <c r="K25" i="4" s="1"/>
  <c r="J12" i="1"/>
  <c r="H82" i="1" l="1"/>
  <c r="H119" i="1" s="1"/>
  <c r="H124" i="1" s="1"/>
  <c r="I19" i="1"/>
  <c r="I34" i="1" s="1"/>
  <c r="K8" i="3"/>
  <c r="K7" i="3" s="1"/>
  <c r="K13" i="3" s="1"/>
  <c r="K20" i="3" s="1"/>
  <c r="K53" i="3" s="1"/>
  <c r="J8" i="1"/>
  <c r="J7" i="1" s="1"/>
  <c r="J35" i="5"/>
  <c r="J44" i="5" s="1"/>
  <c r="J47" i="5" s="1"/>
  <c r="L10" i="4"/>
  <c r="L7" i="4" s="1"/>
  <c r="L16" i="4" s="1"/>
  <c r="L25" i="4" s="1"/>
  <c r="K12" i="1"/>
  <c r="J46" i="4"/>
  <c r="J56" i="4" l="1"/>
  <c r="I82" i="1"/>
  <c r="I119" i="1" s="1"/>
  <c r="I124" i="1" s="1"/>
  <c r="J19" i="1"/>
  <c r="J34" i="1" s="1"/>
  <c r="K8" i="1"/>
  <c r="K7" i="1" s="1"/>
  <c r="K19" i="1" s="1"/>
  <c r="K34" i="1" s="1"/>
  <c r="L8" i="3"/>
  <c r="L7" i="3" s="1"/>
  <c r="L13" i="3" s="1"/>
  <c r="L20" i="3" s="1"/>
  <c r="L53" i="3" s="1"/>
  <c r="K35" i="5"/>
  <c r="K44" i="5" s="1"/>
  <c r="K47" i="5" s="1"/>
  <c r="J70" i="3"/>
  <c r="J74" i="3" s="1"/>
  <c r="M10" i="4"/>
  <c r="M7" i="4" s="1"/>
  <c r="M16" i="4" s="1"/>
  <c r="M25" i="4" s="1"/>
  <c r="L12" i="1"/>
  <c r="K46" i="4"/>
  <c r="J60" i="4" l="1"/>
  <c r="K56" i="4"/>
  <c r="J82" i="1"/>
  <c r="J119" i="1" s="1"/>
  <c r="J124" i="1" s="1"/>
  <c r="L8" i="1"/>
  <c r="L7" i="1" s="1"/>
  <c r="M8" i="3"/>
  <c r="M7" i="3" s="1"/>
  <c r="M13" i="3" s="1"/>
  <c r="M20" i="3" s="1"/>
  <c r="M53" i="3" s="1"/>
  <c r="L35" i="5"/>
  <c r="L44" i="5" s="1"/>
  <c r="L47" i="5" s="1"/>
  <c r="N10" i="4"/>
  <c r="K70" i="3"/>
  <c r="K74" i="3" s="1"/>
  <c r="N12" i="1"/>
  <c r="L46" i="4"/>
  <c r="M12" i="1"/>
  <c r="N7" i="4" l="1"/>
  <c r="N16" i="4" s="1"/>
  <c r="N25" i="4" s="1"/>
  <c r="N46" i="4" s="1"/>
  <c r="N56" i="4" s="1"/>
  <c r="K60" i="4"/>
  <c r="L56" i="4"/>
  <c r="K82" i="1"/>
  <c r="K119" i="1" s="1"/>
  <c r="K124" i="1" s="1"/>
  <c r="L19" i="1"/>
  <c r="L34" i="1" s="1"/>
  <c r="N8" i="3"/>
  <c r="M8" i="1"/>
  <c r="M7" i="1" s="1"/>
  <c r="M35" i="5"/>
  <c r="M44" i="5" s="1"/>
  <c r="M47" i="5" s="1"/>
  <c r="L70" i="3"/>
  <c r="L74" i="3" s="1"/>
  <c r="M46" i="4"/>
  <c r="N8" i="1" l="1"/>
  <c r="N7" i="1" s="1"/>
  <c r="N19" i="1" s="1"/>
  <c r="N34" i="1" s="1"/>
  <c r="N7" i="3"/>
  <c r="N13" i="3" s="1"/>
  <c r="N20" i="3" s="1"/>
  <c r="N53" i="3" s="1"/>
  <c r="N60" i="4"/>
  <c r="L60" i="4"/>
  <c r="M56" i="4"/>
  <c r="L82" i="1"/>
  <c r="L119" i="1" s="1"/>
  <c r="L124" i="1" s="1"/>
  <c r="M19" i="1"/>
  <c r="M34" i="1" s="1"/>
  <c r="N21" i="5"/>
  <c r="N35" i="5" s="1"/>
  <c r="N44" i="5" s="1"/>
  <c r="N47" i="5" s="1"/>
  <c r="M70" i="3"/>
  <c r="M74" i="3" s="1"/>
  <c r="N70" i="3"/>
  <c r="N74" i="3" s="1"/>
  <c r="M60" i="4" l="1"/>
  <c r="M82" i="1"/>
  <c r="M119" i="1" s="1"/>
  <c r="M124" i="1" s="1"/>
  <c r="N82" i="1"/>
  <c r="L18" i="6"/>
  <c r="L17" i="6" s="1"/>
  <c r="L20" i="6" s="1"/>
  <c r="L33" i="6" s="1"/>
  <c r="L106" i="6" s="1"/>
  <c r="L144" i="6" s="1"/>
  <c r="L151" i="6" s="1"/>
  <c r="K18" i="6"/>
  <c r="K17" i="6" s="1"/>
  <c r="K20" i="6" s="1"/>
  <c r="K33" i="6" s="1"/>
  <c r="K106" i="6" s="1"/>
  <c r="K144" i="6" s="1"/>
  <c r="K151" i="6" s="1"/>
  <c r="J18" i="6"/>
  <c r="J17" i="6" s="1"/>
  <c r="J20" i="6" s="1"/>
  <c r="J33" i="6" s="1"/>
  <c r="J106" i="6" s="1"/>
  <c r="J144" i="6" s="1"/>
  <c r="J151" i="6" s="1"/>
  <c r="M18" i="6"/>
  <c r="M17" i="6" s="1"/>
  <c r="M20" i="6" s="1"/>
  <c r="M33" i="6" s="1"/>
  <c r="M106" i="6" s="1"/>
  <c r="M144" i="6" s="1"/>
  <c r="M151" i="6" s="1"/>
  <c r="J78" i="9"/>
  <c r="J85" i="9" s="1"/>
  <c r="M78" i="9"/>
  <c r="M85" i="9" s="1"/>
  <c r="L78" i="9"/>
  <c r="L85" i="9" s="1"/>
  <c r="K78" i="9"/>
  <c r="K85" i="9" s="1"/>
  <c r="N18" i="6"/>
  <c r="N17" i="6" s="1"/>
  <c r="N20" i="6" s="1"/>
  <c r="N33" i="6" s="1"/>
  <c r="N106" i="6" s="1"/>
  <c r="N144" i="6" s="1"/>
  <c r="N151" i="6" s="1"/>
  <c r="N78" i="9"/>
  <c r="N85" i="9" s="1"/>
  <c r="N119" i="1" l="1"/>
  <c r="N124" i="1" s="1"/>
</calcChain>
</file>

<file path=xl/sharedStrings.xml><?xml version="1.0" encoding="utf-8"?>
<sst xmlns="http://schemas.openxmlformats.org/spreadsheetml/2006/main" count="6554" uniqueCount="393">
  <si>
    <t>7810-KUEHNE + NAGEL S.A.-PERU(PE83)</t>
  </si>
  <si>
    <t>Currency: PEN(TLC)</t>
  </si>
  <si>
    <t>Statement ID: SGIPLALLM(P/L Statement (Sub-Dept))</t>
  </si>
  <si>
    <t>report Date: 18/08/2016</t>
  </si>
  <si>
    <t xml:space="preserve">Comp Code:  - Branch: PE83 - Org Code:  </t>
  </si>
  <si>
    <t>Format ID: SGIPL7</t>
  </si>
  <si>
    <t>report Time: 10:05:36 PE</t>
  </si>
  <si>
    <t>FOR THE MONTH OF Jul, 2016 - (07/2016)</t>
  </si>
  <si>
    <t>report User: ricardo.garcia</t>
  </si>
  <si>
    <t>Account</t>
  </si>
  <si>
    <t>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</si>
  <si>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</si>
  <si>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</si>
  <si>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</si>
  <si>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</si>
  <si>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</si>
  <si>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</si>
  <si>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</si>
  <si>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</si>
  <si>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</si>
  <si>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</si>
  <si>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</si>
  <si>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</si>
  <si>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30</t>
  </si>
  <si>
    <t>Invoiced turnover 3rd party</t>
  </si>
  <si>
    <t>3011010</t>
  </si>
  <si>
    <t>FORWARDING ACTIVITIES-WITH VAT</t>
  </si>
  <si>
    <t>3045000</t>
  </si>
  <si>
    <t>TURNOVER-MAIN CARRIAGE</t>
  </si>
  <si>
    <t>3045004</t>
  </si>
  <si>
    <t>FORWARDING ACTVIT (WITHOUT VAT</t>
  </si>
  <si>
    <t>3045008</t>
  </si>
  <si>
    <t>AIRFREIGHT EXPORT</t>
  </si>
  <si>
    <t>3045010</t>
  </si>
  <si>
    <t>TURNOVER WITH VAT</t>
  </si>
  <si>
    <t>3045046</t>
  </si>
  <si>
    <t>YXCHANGE GAINS/LOSSES A/R</t>
  </si>
  <si>
    <t>305</t>
  </si>
  <si>
    <t>Invoiced turnover 3rd party-Duties/Taxes</t>
  </si>
  <si>
    <t>3111/21</t>
  </si>
  <si>
    <t>Intra-/Intercompany turnover</t>
  </si>
  <si>
    <t>32</t>
  </si>
  <si>
    <t>Deferred trade income</t>
  </si>
  <si>
    <t>3221009</t>
  </si>
  <si>
    <t>DEFERRED TRADE INCOME</t>
  </si>
  <si>
    <t>33</t>
  </si>
  <si>
    <t>Profit share income/(expenses) KN</t>
  </si>
  <si>
    <t>A   TOTAL TURNOVER</t>
  </si>
  <si>
    <t>40</t>
  </si>
  <si>
    <t>Invoiced trade expenses 3rd party</t>
  </si>
  <si>
    <t>4011002</t>
  </si>
  <si>
    <t>INVOICED TRADE EXPE.WITH VAT</t>
  </si>
  <si>
    <t>4011052</t>
  </si>
  <si>
    <t>EXCHANGE GAINS/LOSSES A/P</t>
  </si>
  <si>
    <t>4045000</t>
  </si>
  <si>
    <t>TRADE EXP-MAIN CARRIAGE</t>
  </si>
  <si>
    <t>4045002</t>
  </si>
  <si>
    <t>4045003</t>
  </si>
  <si>
    <t>INVOICED TRADE EXPENSES</t>
  </si>
  <si>
    <t>4045052</t>
  </si>
  <si>
    <t>405</t>
  </si>
  <si>
    <t>Invoiced trade exp 3rd party-Duties/Taxes</t>
  </si>
  <si>
    <t>4111/21</t>
  </si>
  <si>
    <t>Intra-/Intercompany expenses</t>
  </si>
  <si>
    <t>4211</t>
  </si>
  <si>
    <t>Accrued trade expenses</t>
  </si>
  <si>
    <t>4211009</t>
  </si>
  <si>
    <t>ACCRUED TRADE EXPENSES</t>
  </si>
  <si>
    <t>4221</t>
  </si>
  <si>
    <t>Deferred trade expenses</t>
  </si>
  <si>
    <t>4221008</t>
  </si>
  <si>
    <t>DEFERRED TRADE EXPENSES</t>
  </si>
  <si>
    <t>B   TOTAL TRADE EXPENSES</t>
  </si>
  <si>
    <t>C   GROSS PROFIT</t>
  </si>
  <si>
    <t xml:space="preserve"> </t>
  </si>
  <si>
    <t>50</t>
  </si>
  <si>
    <t>Manpower</t>
  </si>
  <si>
    <t>5010001</t>
  </si>
  <si>
    <t>SALARIES/WAGES</t>
  </si>
  <si>
    <t>5010002</t>
  </si>
  <si>
    <t>SALARIES/MOV.</t>
  </si>
  <si>
    <t>5011002</t>
  </si>
  <si>
    <t>FOR 13TH &amp; 14TH SALARY</t>
  </si>
  <si>
    <t>5011003</t>
  </si>
  <si>
    <t>FOR PROFIT SHARE EMPLOYEES</t>
  </si>
  <si>
    <t>5012008</t>
  </si>
  <si>
    <t>OVERTIME</t>
  </si>
  <si>
    <t>5015001</t>
  </si>
  <si>
    <t>FOR UNTAKEN ANNUAL LEAVE</t>
  </si>
  <si>
    <t>5020000</t>
  </si>
  <si>
    <t>EMPLOYER CONTR. SOC. SECURITY</t>
  </si>
  <si>
    <t>5040001</t>
  </si>
  <si>
    <t>SEPARATION ALLOWANCE</t>
  </si>
  <si>
    <t>5040002</t>
  </si>
  <si>
    <t>SOCIAL EXPENSES/CTS</t>
  </si>
  <si>
    <t>5050001</t>
  </si>
  <si>
    <t>LUNCH CHECKS</t>
  </si>
  <si>
    <t>5052001</t>
  </si>
  <si>
    <t>CANTEEN</t>
  </si>
  <si>
    <t>5056000</t>
  </si>
  <si>
    <t>ACCIDENT INSURANCE SCTR-SALUD</t>
  </si>
  <si>
    <t>5056002</t>
  </si>
  <si>
    <t>ACCIDENT INSURANCE MULTIRIESGO</t>
  </si>
  <si>
    <t>5058001</t>
  </si>
  <si>
    <t>ILLNESS INSURANCE PRIVATE EPS</t>
  </si>
  <si>
    <t>5060001</t>
  </si>
  <si>
    <t>TEMPORARY STAFF FM 3RD PARTY</t>
  </si>
  <si>
    <t>5060003</t>
  </si>
  <si>
    <t>TEMPORARY STAFF-OVER TIME FM3RD PARTY</t>
  </si>
  <si>
    <t>5068001</t>
  </si>
  <si>
    <t>OVERALLS</t>
  </si>
  <si>
    <t>51</t>
  </si>
  <si>
    <t>Administration</t>
  </si>
  <si>
    <t>5110001</t>
  </si>
  <si>
    <t>OFFICE MATERIAL/</t>
  </si>
  <si>
    <t>5111000</t>
  </si>
  <si>
    <t>PRINTER AND PHOTOCOPIER SERVIC</t>
  </si>
  <si>
    <t>5157001</t>
  </si>
  <si>
    <t>EXTERNAL CONSULTING EXPENSE</t>
  </si>
  <si>
    <t>52</t>
  </si>
  <si>
    <t>Communication</t>
  </si>
  <si>
    <t>5230002</t>
  </si>
  <si>
    <t>MOBILE PHONE NEXTEL</t>
  </si>
  <si>
    <t>5230004</t>
  </si>
  <si>
    <t>MOBILE PHONE CLARO</t>
  </si>
  <si>
    <t>5280001</t>
  </si>
  <si>
    <t>COURIER SERVICE EXPENSES</t>
  </si>
  <si>
    <t>53</t>
  </si>
  <si>
    <t>Advertising/Travel</t>
  </si>
  <si>
    <t>5356002</t>
  </si>
  <si>
    <t>PERSSONAL TRANSPORTATION</t>
  </si>
  <si>
    <t>5358001</t>
  </si>
  <si>
    <t>ENTERTAINMENT</t>
  </si>
  <si>
    <t>54</t>
  </si>
  <si>
    <t>Vehicle/Equipment</t>
  </si>
  <si>
    <t>5421000</t>
  </si>
  <si>
    <t>SUPPLEMENTARY EDP EQUIPMENT</t>
  </si>
  <si>
    <t>55</t>
  </si>
  <si>
    <t>Depreciation of PPE</t>
  </si>
  <si>
    <t>555</t>
  </si>
  <si>
    <t>Amortisation + impairment of int. + goodwill</t>
  </si>
  <si>
    <t>56</t>
  </si>
  <si>
    <t>Other operating expenses/(income)</t>
  </si>
  <si>
    <t>57</t>
  </si>
  <si>
    <t>Facilities</t>
  </si>
  <si>
    <t>5710001</t>
  </si>
  <si>
    <t>RENT</t>
  </si>
  <si>
    <t>5711000</t>
  </si>
  <si>
    <t>INTERNAL RENT</t>
  </si>
  <si>
    <t>5721001</t>
  </si>
  <si>
    <t>UTILITIES-ENERGY</t>
  </si>
  <si>
    <t>5722001</t>
  </si>
  <si>
    <t>UTILITIES-WATER</t>
  </si>
  <si>
    <t>5750001</t>
  </si>
  <si>
    <t>SECURITY EXPENSES</t>
  </si>
  <si>
    <t>5770001</t>
  </si>
  <si>
    <t>MAINTENANCE/REP. OF BUILDING</t>
  </si>
  <si>
    <t>59</t>
  </si>
  <si>
    <t>Bad debts/Collection expenses</t>
  </si>
  <si>
    <t>5950001</t>
  </si>
  <si>
    <t>RECEIVABLE PROVISION TRADE</t>
  </si>
  <si>
    <t>5951009</t>
  </si>
  <si>
    <t>ACTUAL WRITE-OFFS RECEIVABLES</t>
  </si>
  <si>
    <t>5990100</t>
  </si>
  <si>
    <t>DOUBLE/OVERPAYMENTS FROM A/R</t>
  </si>
  <si>
    <t>D   TOTAL DIRECT EXPENSES</t>
  </si>
  <si>
    <t>E   PROFIT 1</t>
  </si>
  <si>
    <t>600/603</t>
  </si>
  <si>
    <t>NO/BO - Allocation</t>
  </si>
  <si>
    <t>6008001</t>
  </si>
  <si>
    <t>BRANCH PERSONNEL MANAGER</t>
  </si>
  <si>
    <t>6021004</t>
  </si>
  <si>
    <t>MANAGEMENT AT BRANCH LEVEL WM</t>
  </si>
  <si>
    <t>6021006</t>
  </si>
  <si>
    <t>MANAGEMENT AT NATIONAL FD</t>
  </si>
  <si>
    <t>6021016</t>
  </si>
  <si>
    <t>MANAGEMENT AT NATIONAL DEDICAT ED TO BU</t>
  </si>
  <si>
    <t>6022004</t>
  </si>
  <si>
    <t>CORPORATE COMPETENCE CCL</t>
  </si>
  <si>
    <t>6022006</t>
  </si>
  <si>
    <t>CORPORATE COMPETENCE CCD</t>
  </si>
  <si>
    <t>6026001</t>
  </si>
  <si>
    <t>NATIONAL MANAGEMENT</t>
  </si>
  <si>
    <t>6027001</t>
  </si>
  <si>
    <t>NATIONAL FINANCE</t>
  </si>
  <si>
    <t>6027002</t>
  </si>
  <si>
    <t>ALLOCATION NFL</t>
  </si>
  <si>
    <t>6027003</t>
  </si>
  <si>
    <t>6027005</t>
  </si>
  <si>
    <t>ALLOCATION NFR</t>
  </si>
  <si>
    <t>6027006</t>
  </si>
  <si>
    <t>ALLOCATION NFP</t>
  </si>
  <si>
    <t>6027007</t>
  </si>
  <si>
    <t>ALLOCATION NFM</t>
  </si>
  <si>
    <t>6028001</t>
  </si>
  <si>
    <t>NATIONAL PERSONNEL MANAGEMENT</t>
  </si>
  <si>
    <t>6029001</t>
  </si>
  <si>
    <t>NATIONAL SUPPORT SERVICES NMO</t>
  </si>
  <si>
    <t>6030001</t>
  </si>
  <si>
    <t>NATIONAL QUALITY MANAGEMENT</t>
  </si>
  <si>
    <t>604/606</t>
  </si>
  <si>
    <t>CE - Allocation</t>
  </si>
  <si>
    <t>6042001</t>
  </si>
  <si>
    <t>LOCAL CE ALLOC.-INTERNAL DATACENTRE</t>
  </si>
  <si>
    <t>6043001</t>
  </si>
  <si>
    <t>EXTERNAL DATA CENTRE</t>
  </si>
  <si>
    <t>6046001</t>
  </si>
  <si>
    <t>HARDWARE &amp; DESKTOP SUPPORT</t>
  </si>
  <si>
    <t>6047001</t>
  </si>
  <si>
    <t>COMUNICATION &amp; MESSAGING</t>
  </si>
  <si>
    <t>6048001</t>
  </si>
  <si>
    <t>NETWORK</t>
  </si>
  <si>
    <t>6050002</t>
  </si>
  <si>
    <t>SOFTWARE LIDA</t>
  </si>
  <si>
    <t>6051002</t>
  </si>
  <si>
    <t>OTHER SOFTWARE DEVELOP LIDX</t>
  </si>
  <si>
    <t>6053001</t>
  </si>
  <si>
    <t>IT NATIONAL &amp; LOCAL MANAGEMENT</t>
  </si>
  <si>
    <t>6060006</t>
  </si>
  <si>
    <t>CORPORATE IT REBILL GIFW</t>
  </si>
  <si>
    <t>6060007</t>
  </si>
  <si>
    <t>CORPORATE IT REBILL GIFD</t>
  </si>
  <si>
    <t>6065006</t>
  </si>
  <si>
    <t>SHARED SERVICE CENTRE-ALLOCATI ON FW</t>
  </si>
  <si>
    <t>6065007</t>
  </si>
  <si>
    <t>SHARED SERVICE CENTRE-ALLOCATI ON FD</t>
  </si>
  <si>
    <t>607/609</t>
  </si>
  <si>
    <t>VM - Allocation</t>
  </si>
  <si>
    <t>61</t>
  </si>
  <si>
    <t>Rebills</t>
  </si>
  <si>
    <t>62</t>
  </si>
  <si>
    <t>CF/RMF</t>
  </si>
  <si>
    <t>6210000</t>
  </si>
  <si>
    <t>CONSULTANCY FEES</t>
  </si>
  <si>
    <t>6220000</t>
  </si>
  <si>
    <t>REGIONAL MANAGEMENT FEES</t>
  </si>
  <si>
    <t>F   TOTAL INDIRECT EXPENSES</t>
  </si>
  <si>
    <t>G   EBIT</t>
  </si>
  <si>
    <t>65 + 66</t>
  </si>
  <si>
    <t>Financial expenses/(income)</t>
  </si>
  <si>
    <t>6519000</t>
  </si>
  <si>
    <t>INTEREST EXP - WORKING CAPITAL</t>
  </si>
  <si>
    <t>6519010</t>
  </si>
  <si>
    <t>INTEREST (INC)-WORKING CAPITAL</t>
  </si>
  <si>
    <t>67</t>
  </si>
  <si>
    <t>Result from Assoc. + Joint venture</t>
  </si>
  <si>
    <t>H   PROFIT 2</t>
  </si>
  <si>
    <t>Statistical information</t>
  </si>
  <si>
    <t>90</t>
  </si>
  <si>
    <t>Headcount</t>
  </si>
  <si>
    <t>9000000</t>
  </si>
  <si>
    <t>HEADCOUNT</t>
  </si>
  <si>
    <t>91</t>
  </si>
  <si>
    <t>Full time equivalent</t>
  </si>
  <si>
    <t>9100000</t>
  </si>
  <si>
    <t>FULL TIME EQUIVALENT</t>
  </si>
  <si>
    <t>9101</t>
  </si>
  <si>
    <t>FTE - White collar</t>
  </si>
  <si>
    <t>9101000</t>
  </si>
  <si>
    <t>FTE - WHITE COLLAR</t>
  </si>
  <si>
    <t>9102</t>
  </si>
  <si>
    <t>FTE - Blue collar</t>
  </si>
  <si>
    <t>9102000</t>
  </si>
  <si>
    <t>FTE - BLUE COLLAR</t>
  </si>
  <si>
    <t>9103</t>
  </si>
  <si>
    <t>FTE - Temporary staff</t>
  </si>
  <si>
    <t>9103000</t>
  </si>
  <si>
    <t>FTE - TEMP STAFF</t>
  </si>
  <si>
    <t>9104</t>
  </si>
  <si>
    <t>FTE - SSC</t>
  </si>
  <si>
    <t>9105</t>
  </si>
  <si>
    <t>FTE - Rebill</t>
  </si>
  <si>
    <t>9200</t>
  </si>
  <si>
    <t>No. of orders</t>
  </si>
  <si>
    <t>9300</t>
  </si>
  <si>
    <t>Actual tons</t>
  </si>
  <si>
    <t>9404</t>
  </si>
  <si>
    <t>Available space (M2)</t>
  </si>
  <si>
    <t>9404000</t>
  </si>
  <si>
    <t>AVAILABEL SPACE (M2)</t>
  </si>
  <si>
    <t>9405</t>
  </si>
  <si>
    <t>Used space (M2)</t>
  </si>
  <si>
    <t>9405000</t>
  </si>
  <si>
    <t>USED SPACE (M2)</t>
  </si>
  <si>
    <t>9406</t>
  </si>
  <si>
    <t>Idle space (M2)</t>
  </si>
  <si>
    <t>9406000</t>
  </si>
  <si>
    <t>IDLE SPACE (M2)</t>
  </si>
  <si>
    <t>9511</t>
  </si>
  <si>
    <t>KM Produced - Overland</t>
  </si>
  <si>
    <t>GP/FTE</t>
  </si>
  <si>
    <t>GP/Kilo</t>
  </si>
  <si>
    <t>***</t>
  </si>
  <si>
    <t>GP/TEU</t>
  </si>
  <si>
    <t>Orders/FTE</t>
  </si>
  <si>
    <t>GP/Order</t>
  </si>
  <si>
    <t>Comp Code:  - Branch: PE83 - 13: Centre DW1</t>
  </si>
  <si>
    <t>Comp Code:  - Branch: PE83 - 13: Centre WP1</t>
  </si>
  <si>
    <t>Comp Code:  - Branch: PE83 - 13: Centre WR1</t>
  </si>
  <si>
    <t>Comp Code:  - Branch: PE83 - 13: Centre WV1</t>
  </si>
  <si>
    <t>3011046</t>
  </si>
  <si>
    <t>5051001</t>
  </si>
  <si>
    <t>SUBSISTENCE (EMPLOYEE ALONEFOOD EXPENSES DURING TRAVEL)</t>
  </si>
  <si>
    <t>5052002</t>
  </si>
  <si>
    <t>PERSSONAL DINNERS</t>
  </si>
  <si>
    <t>5058002</t>
  </si>
  <si>
    <t>LIFE INSURANCE</t>
  </si>
  <si>
    <t>5074001</t>
  </si>
  <si>
    <t>OTHER TRAINING EXPENSES</t>
  </si>
  <si>
    <t>5110003</t>
  </si>
  <si>
    <t>OFFICE MATERIAL/PRINTING-COPY</t>
  </si>
  <si>
    <t>5155001</t>
  </si>
  <si>
    <t>QUALITY EXPENSES (QM)</t>
  </si>
  <si>
    <t>5160003</t>
  </si>
  <si>
    <t>LEGAL EXPENSES</t>
  </si>
  <si>
    <t>5352001</t>
  </si>
  <si>
    <t>AIRTICKETS-INTERNATIONAL</t>
  </si>
  <si>
    <t>5353001</t>
  </si>
  <si>
    <t>TAXI FARE/PARKING DURING TRAVE</t>
  </si>
  <si>
    <t>5356004</t>
  </si>
  <si>
    <t>TRANSPORTATION OF GOODS</t>
  </si>
  <si>
    <t>5358002</t>
  </si>
  <si>
    <t>DINNERS WITH CLIENT/SUPPLIER</t>
  </si>
  <si>
    <t>5360001</t>
  </si>
  <si>
    <t>MEMBERSHIP SUBSCRIPTIONS</t>
  </si>
  <si>
    <t>5362001</t>
  </si>
  <si>
    <t>HOTEL EXPENSES-INTERNATIONAL</t>
  </si>
  <si>
    <t>5401001</t>
  </si>
  <si>
    <t>LEASING OF FORK LIFT TRUCKS</t>
  </si>
  <si>
    <t>5410100</t>
  </si>
  <si>
    <t>LEASING OPERATING EQUIPMENT</t>
  </si>
  <si>
    <t>5420100</t>
  </si>
  <si>
    <t>MAINT.OPERATING EQUIPMENT</t>
  </si>
  <si>
    <t>5424100</t>
  </si>
  <si>
    <t>MAINTENANCE OFFICE EQUIP/FURNI</t>
  </si>
  <si>
    <t>5431100</t>
  </si>
  <si>
    <t>SHRINKING FOIL,WRAPPING MAT.</t>
  </si>
  <si>
    <t>5470002</t>
  </si>
  <si>
    <t>COMPANY CONTR USAGE PRIV.VEHIC</t>
  </si>
  <si>
    <t>5522000</t>
  </si>
  <si>
    <t>DEPR ROLLS-CONTAINERS-CAGESOTHER STORAGE EQUIPMENT</t>
  </si>
  <si>
    <t>5540001</t>
  </si>
  <si>
    <t>DEPR LEASEHOLD IMPROVEMENTS</t>
  </si>
  <si>
    <t>5540002</t>
  </si>
  <si>
    <t>DEPR VIDEO SURVEILL.SYSTEM</t>
  </si>
  <si>
    <t>5553000</t>
  </si>
  <si>
    <t>DEPRE.DESKTOP/LAPTOP/PC'S/MONI</t>
  </si>
  <si>
    <t>5560001</t>
  </si>
  <si>
    <t>DEPR OFFICE EQUIPMENT</t>
  </si>
  <si>
    <t>5565001</t>
  </si>
  <si>
    <t>DEPR OFFICE FURNITURE</t>
  </si>
  <si>
    <t>5570001</t>
  </si>
  <si>
    <t>DEPR NON-CAPITALISABLE PURCH.</t>
  </si>
  <si>
    <t>5568001</t>
  </si>
  <si>
    <t>DEPR SOFTWARE</t>
  </si>
  <si>
    <t>5730002</t>
  </si>
  <si>
    <t>CLEANING AND MAINTENANCE</t>
  </si>
  <si>
    <t>6130000</t>
  </si>
  <si>
    <t>REBILLS INTRA REGIONAL INCOMIN</t>
  </si>
  <si>
    <t>6551000</t>
  </si>
  <si>
    <t>**LOSS ON EXCHANGE</t>
  </si>
  <si>
    <t>6651002</t>
  </si>
  <si>
    <t>PROFIT ON EXCHANGE - Loss account</t>
  </si>
  <si>
    <t>9401000</t>
  </si>
  <si>
    <t>9402000</t>
  </si>
  <si>
    <t>9403000</t>
  </si>
  <si>
    <t>FTE - TEMP.STAFF</t>
  </si>
  <si>
    <t>Comp Code:  - Branch: PE83 - 13: Centre DW5</t>
  </si>
  <si>
    <t>Comp Code:  - Branch: PE83 - 13: Centre WP5</t>
  </si>
  <si>
    <t>Comp Code:  - Branch: PE83 - 13: Centre WR5</t>
  </si>
  <si>
    <t>3011004</t>
  </si>
  <si>
    <t>5356003</t>
  </si>
  <si>
    <t>TRANSPORTATION NO TAXABLE</t>
  </si>
  <si>
    <t>5422100</t>
  </si>
  <si>
    <t>MAINTENANCE EDP</t>
  </si>
  <si>
    <t>5440123</t>
  </si>
  <si>
    <t>GASOLINE (ROSANNA BASURCO)</t>
  </si>
  <si>
    <t>5521000</t>
  </si>
  <si>
    <t>DEPRECIATION FORKLIFT TRUCKS</t>
  </si>
  <si>
    <t>5610100</t>
  </si>
  <si>
    <t>LOSS ON SALE OF FIXED ASSETS</t>
  </si>
  <si>
    <t>Comp Code:  - Branch: PE83 - 13: Centre DW11</t>
  </si>
  <si>
    <t>Comp Code:  - Branch: PE83 - 13: Centre WP11</t>
  </si>
  <si>
    <t>Comp Code:  - Branch: PE83 - 13: Centre WR11</t>
  </si>
  <si>
    <t>Comp Code:  - Branch: PE83 - 13: Centre WV11</t>
  </si>
  <si>
    <t>Comp Code:  - Branch: PE83 - 13: Centre WR13</t>
  </si>
  <si>
    <t>Comp Code:  - Branch: PE83 - 13: Centre DW13</t>
  </si>
  <si>
    <t>Comp Code:  - Branch: PE83 - 13: Centre WP13</t>
  </si>
  <si>
    <t>5120001</t>
  </si>
  <si>
    <t>EDP-SERVICE BUREAU</t>
  </si>
  <si>
    <t>Comp Code:  - Branch: PE83 - 13: Centre WP14</t>
  </si>
  <si>
    <t>Comp Code:  - Branch: PE83 - 13: Centre WR14</t>
  </si>
  <si>
    <t>Comp Code:  - Branch: PE83 - 13: Centre DW14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</si>
</sst>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2" fillId="0" borderId="2" xfId="0" applyFont="1" applyBorder="1"/>
    <xf numFmtId="0" fontId="3" fillId="0" borderId="2" xfId="0" applyFont="1" applyBorder="1"/>
    <xf numFmtId="49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2" fillId="0" borderId="0" xfId="0" applyNumberFormat="1" applyFont="1"/>
    <xf numFmtId="164" fontId="2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3" fillId="0" borderId="3" xfId="0" applyFont="1" applyBorder="1"/>
    <xf numFmtId="0" fontId="2" fillId="0" borderId="0" xfId="0" applyFont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9" fontId="2" fillId="0" borderId="0" xfId="1" applyFont="1" applyAlignment="1">
      <alignment horizontal="right"/>
    </xf>
    <xf numFmtId="4" fontId="2" fillId="0" borderId="0" xfId="0" applyNumberFormat="1" applyFont="1" applyAlignment="1">
      <alignment horizontal="right"/>
    </xf>
    <xf numFmtId="164" fontId="2" fillId="4" borderId="0" xfId="0" applyNumberFormat="1" applyFont="1" applyFill="1" applyAlignment="1">
      <alignment horizontal="right"/>
    </xf>
    <xf numFmtId="164" fontId="3" fillId="5" borderId="3" xfId="0" applyNumberFormat="1" applyFont="1" applyFill="1" applyBorder="1" applyAlignment="1">
      <alignment horizontal="right"/>
    </xf>
    <xf numFmtId="164" fontId="3" fillId="4" borderId="1" xfId="0" applyNumberFormat="1" applyFont="1" applyFill="1" applyBorder="1" applyAlignment="1">
      <alignment horizontal="right"/>
    </xf>
    <xf numFmtId="164" fontId="3" fillId="6" borderId="3" xfId="0" applyNumberFormat="1" applyFont="1" applyFill="1" applyBorder="1" applyAlignment="1">
      <alignment horizontal="right"/>
    </xf>
    <xf numFmtId="2" fontId="2" fillId="0" borderId="0" xfId="0" applyNumberFormat="1" applyFont="1"/>
    <xf numFmtId="164" fontId="3" fillId="7" borderId="3" xfId="0" applyNumberFormat="1" applyFont="1" applyFill="1" applyBorder="1" applyAlignment="1">
      <alignment horizontal="right"/>
    </xf>
    <xf numFmtId="164" fontId="2" fillId="8" borderId="0" xfId="0" applyNumberFormat="1" applyFont="1" applyFill="1" applyAlignment="1">
      <alignment horizontal="right"/>
    </xf>
    <xf numFmtId="164" fontId="3" fillId="8" borderId="3" xfId="0" applyNumberFormat="1" applyFont="1" applyFill="1" applyBorder="1" applyAlignment="1">
      <alignment horizontal="right"/>
    </xf>
    <xf numFmtId="164" fontId="3" fillId="8" borderId="1" xfId="0" applyNumberFormat="1" applyFont="1" applyFill="1" applyBorder="1" applyAlignment="1">
      <alignment horizontal="right"/>
    </xf>
    <xf numFmtId="0" fontId="3" fillId="8" borderId="0" xfId="0" applyFont="1" applyFill="1"/>
    <xf numFmtId="164" fontId="2" fillId="9" borderId="0" xfId="0" applyNumberFormat="1" applyFont="1" applyFill="1" applyAlignment="1">
      <alignment horizontal="right"/>
    </xf>
    <xf numFmtId="44" fontId="2" fillId="0" borderId="0" xfId="0" applyNumberFormat="1" applyFont="1" applyAlignment="1">
      <alignment horizontal="right"/>
    </xf>
    <xf numFmtId="44" fontId="2" fillId="9" borderId="0" xfId="0" applyNumberFormat="1" applyFont="1" applyFill="1" applyAlignment="1">
      <alignment horizontal="right"/>
    </xf>
    <xf numFmtId="44" fontId="2" fillId="0" borderId="0" xfId="0" applyNumberFormat="1" applyFont="1"/>
    <xf numFmtId="164" fontId="2" fillId="0" borderId="0" xfId="0" applyNumberFormat="1" applyFont="1" applyAlignment="1">
      <alignment horizontal="right" wrapText="1"/>
    </xf>
    <xf numFmtId="49" fontId="2" fillId="10" borderId="0" xfId="0" applyNumberFormat="1" applyFont="1" applyFill="1"/>
    <xf numFmtId="0" fontId="2" fillId="10" borderId="0" xfId="0" applyFont="1" applyFill="1"/>
    <xf numFmtId="0" fontId="3" fillId="10" borderId="3" xfId="0" applyFont="1" applyFill="1" applyBorder="1"/>
    <xf numFmtId="0" fontId="3" fillId="10" borderId="1" xfId="0" applyFont="1" applyFill="1" applyBorder="1"/>
    <xf numFmtId="164" fontId="2" fillId="10" borderId="0" xfId="0" applyNumberFormat="1" applyFont="1" applyFill="1" applyAlignment="1">
      <alignment horizontal="right"/>
    </xf>
    <xf numFmtId="164" fontId="2" fillId="10" borderId="0" xfId="0" applyNumberFormat="1" applyFont="1" applyFill="1" applyAlignment="1">
      <alignment horizontal="right" wrapText="1"/>
    </xf>
    <xf numFmtId="0" fontId="3" fillId="3" borderId="3" xfId="0" applyFont="1" applyFill="1" applyBorder="1"/>
    <xf numFmtId="164" fontId="3" fillId="3" borderId="3" xfId="0" applyNumberFormat="1" applyFont="1" applyFill="1" applyBorder="1" applyAlignment="1">
      <alignment horizontal="right"/>
    </xf>
    <xf numFmtId="0" fontId="3" fillId="3" borderId="1" xfId="0" applyFont="1" applyFill="1" applyBorder="1"/>
    <xf numFmtId="164" fontId="3" fillId="3" borderId="1" xfId="0" applyNumberFormat="1" applyFont="1" applyFill="1" applyBorder="1" applyAlignment="1">
      <alignment horizontal="right"/>
    </xf>
    <xf numFmtId="164" fontId="3" fillId="10" borderId="1" xfId="0" applyNumberFormat="1" applyFont="1" applyFill="1" applyBorder="1" applyAlignment="1">
      <alignment horizontal="right"/>
    </xf>
    <xf numFmtId="164" fontId="3" fillId="10" borderId="3" xfId="0" applyNumberFormat="1" applyFont="1" applyFill="1" applyBorder="1" applyAlignment="1">
      <alignment horizontal="right"/>
    </xf>
    <xf numFmtId="49" fontId="2" fillId="11" borderId="0" xfId="0" applyNumberFormat="1" applyFont="1" applyFill="1"/>
    <xf numFmtId="0" fontId="2" fillId="11" borderId="0" xfId="0" applyFont="1" applyFill="1"/>
    <xf numFmtId="164" fontId="2" fillId="11" borderId="0" xfId="0" applyNumberFormat="1" applyFont="1" applyFill="1" applyAlignment="1">
      <alignment horizontal="right"/>
    </xf>
    <xf numFmtId="49" fontId="2" fillId="5" borderId="0" xfId="0" applyNumberFormat="1" applyFont="1" applyFill="1"/>
    <xf numFmtId="0" fontId="2" fillId="5" borderId="0" xfId="0" applyFont="1" applyFill="1"/>
    <xf numFmtId="164" fontId="2" fillId="5" borderId="0" xfId="0" applyNumberFormat="1" applyFont="1" applyFill="1" applyAlignment="1">
      <alignment horizontal="right"/>
    </xf>
    <xf numFmtId="0" fontId="3" fillId="5" borderId="3" xfId="0" applyFont="1" applyFill="1" applyBorder="1"/>
    <xf numFmtId="0" fontId="3" fillId="5" borderId="1" xfId="0" applyFont="1" applyFill="1" applyBorder="1"/>
    <xf numFmtId="164" fontId="3" fillId="5" borderId="1" xfId="0" applyNumberFormat="1" applyFont="1" applyFill="1" applyBorder="1" applyAlignment="1">
      <alignment horizontal="right"/>
    </xf>
    <xf numFmtId="44" fontId="2" fillId="5" borderId="0" xfId="0" applyNumberFormat="1" applyFont="1" applyFill="1" applyAlignment="1">
      <alignment horizontal="right"/>
    </xf>
    <xf numFmtId="44" fontId="3" fillId="5" borderId="3" xfId="0" applyNumberFormat="1" applyFont="1" applyFill="1" applyBorder="1" applyAlignment="1">
      <alignment horizontal="right"/>
    </xf>
    <xf numFmtId="44" fontId="3" fillId="5" borderId="1" xfId="0" applyNumberFormat="1" applyFont="1" applyFill="1" applyBorder="1" applyAlignment="1">
      <alignment horizontal="right"/>
    </xf>
    <xf numFmtId="164" fontId="2" fillId="0" borderId="2" xfId="0" applyNumberFormat="1" applyFont="1" applyBorder="1"/>
    <xf numFmtId="44" fontId="2" fillId="0" borderId="2" xfId="0" applyNumberFormat="1" applyFont="1" applyBorder="1"/>
    <xf numFmtId="164" fontId="2" fillId="0" borderId="0" xfId="0" applyNumberFormat="1" applyFont="1"/>
    <xf numFmtId="0" fontId="4" fillId="5" borderId="4" xfId="0" applyFont="1" applyFill="1" applyBorder="1"/>
    <xf numFmtId="49" fontId="2" fillId="12" borderId="0" xfId="0" applyNumberFormat="1" applyFont="1" applyFill="1"/>
    <xf numFmtId="0" fontId="2" fillId="12" borderId="0" xfId="0" applyFont="1" applyFill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782FD-286C-4E7A-8319-FC694B70BAEB}">
  <sheetPr codeName="Hoja34">
    <tabColor rgb="FFFFFF00"/>
  </sheetPr>
  <dimension ref="A1:N152"/>
  <sheetViews>
    <sheetView zoomScale="85" zoomScaleNormal="85" workbookViewId="0">
      <pane ySplit="6" topLeftCell="A99" activePane="bottomLeft" state="frozen"/>
      <selection activeCell="I54" sqref="I54"/>
      <selection pane="bottomLeft" activeCell="B87" sqref="B8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9.75" customHeight="1" x14ac:dyDescent="0.2">
      <c r="J1" s="27"/>
      <c r="K1" s="27"/>
      <c r="L1" s="27"/>
      <c r="M1" s="27"/>
      <c r="N1" s="27"/>
    </row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4</v>
      </c>
    </row>
    <row r="4" spans="1:14" x14ac:dyDescent="0.2">
      <c r="A4" s="5"/>
      <c r="B4" s="5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ht="13.5" customHeight="1" x14ac:dyDescent="0.2">
      <c r="A7" s="33" t="s">
        <v>23</v>
      </c>
      <c r="B7" s="34" t="s">
        <v>24</v>
      </c>
      <c r="C7" s="37">
        <f>SUM(C8:C13)</f>
        <v>99.5</v>
      </c>
      <c r="D7" s="37">
        <f t="shared" ref="D7:N7" si="0">SUM(D8:D13)</f>
        <v>98.454799999999992</v>
      </c>
      <c r="E7" s="37">
        <f t="shared" si="0"/>
        <v>95.345563839999997</v>
      </c>
      <c r="F7" s="37">
        <f t="shared" si="0"/>
        <v>90.985936675071997</v>
      </c>
      <c r="G7" s="37">
        <f t="shared" si="0"/>
        <v>89.790933091919257</v>
      </c>
      <c r="H7" s="37">
        <f t="shared" si="0"/>
        <v>115.77707454758473</v>
      </c>
      <c r="I7" s="37">
        <f t="shared" si="0"/>
        <v>91.96254060198126</v>
      </c>
      <c r="J7" s="37">
        <f t="shared" si="0"/>
        <v>95.367335328660971</v>
      </c>
      <c r="K7" s="37">
        <f t="shared" si="0"/>
        <v>111.01347042719001</v>
      </c>
      <c r="L7" s="37">
        <f t="shared" si="0"/>
        <v>105.92516671339077</v>
      </c>
      <c r="M7" s="37">
        <f t="shared" si="0"/>
        <v>134.12907583195454</v>
      </c>
      <c r="N7" s="37">
        <f t="shared" si="0"/>
        <v>127.65452422105497</v>
      </c>
    </row>
    <row r="8" spans="1:14" outlineLevel="1" x14ac:dyDescent="0.2">
      <c r="A8" s="9" t="s">
        <v>25</v>
      </c>
      <c r="B8" s="1" t="s">
        <v>26</v>
      </c>
      <c r="C8" s="10">
        <f>IFERROR(VLOOKUP(A8,'Centre DW1'!$A$7:$N$106,3,FALSE),0)+
IFERROR(VLOOKUP(A8,'Centre WP1'!$A$7:$N$107,3,FALSE),0)+
IFERROR(VLOOKUP(A8,'Centre WR1'!$A$7:$N$106,3,FALSE),0)+
IFERROR(VLOOKUP(A8,'Centre WV1'!$A$7:$N$109,3,FALSE),0)</f>
        <v>6</v>
      </c>
      <c r="D8" s="10">
        <f>IFERROR(VLOOKUP(A8,'Centre DW1'!$A$7:$N$106,4,FALSE),0)+
IFERROR(VLOOKUP(A8,'Centre WP1'!$A$7:$N$107,4,FALSE),0)+
IFERROR(VLOOKUP(A8,'Centre WR1'!$A$7:$N$106,4,FALSE),0)+
IFERROR(VLOOKUP(A8,'Centre WV1'!$A$7:$N$109,4,FALSE),0)</f>
        <v>6.6048</v>
      </c>
      <c r="E8" s="10">
        <f>IFERROR(VLOOKUP(A8,'Centre DW1'!$A$7:$N$106,5,FALSE),0)+
IFERROR(VLOOKUP(A8,'Centre WP1'!$A$7:$N$107,5,FALSE),0)+
IFERROR(VLOOKUP(A8,'Centre WR1'!$A$7:$N$106,5,FALSE),0)+
IFERROR(VLOOKUP(A8,'Centre WV1'!$A$7:$N$109,5,FALSE),0)</f>
        <v>7.2705638400000003</v>
      </c>
      <c r="F8" s="10">
        <f>IFERROR(VLOOKUP(A8,'Centre DW1'!$A$7:$N$106,6,FALSE),0)+
IFERROR(VLOOKUP(A8,'Centre WP1'!$A$7:$N$107,6,FALSE),0)+
IFERROR(VLOOKUP(A8,'Centre WR1'!$A$7:$N$106,6,FALSE),0)+
IFERROR(VLOOKUP(A8,'Centre WV1'!$A$7:$N$109,6,FALSE),0)</f>
        <v>8.0034366750720007</v>
      </c>
      <c r="G8" s="10">
        <f>IFERROR(VLOOKUP(A8,'Centre DW1'!$A$7:$N$106,7,FALSE),0)+
IFERROR(VLOOKUP(A8,'Centre WP1'!$A$7:$N$107,7,FALSE),0)+
IFERROR(VLOOKUP(A8,'Centre WR1'!$A$7:$N$106,7,FALSE),0)+
IFERROR(VLOOKUP(A8,'Centre WV1'!$A$7:$N$109,7,FALSE),0)</f>
        <v>8.8101830919192583</v>
      </c>
      <c r="H8" s="10">
        <f>IFERROR(VLOOKUP(A8,'Centre DW1'!$A$7:$N$106,8,FALSE),0)+
IFERROR(VLOOKUP(A8,'Centre WP1'!$A$7:$N$107,8,FALSE),0)+
IFERROR(VLOOKUP(A8,'Centre WR1'!$A$7:$N$106,8,FALSE),0)+
IFERROR(VLOOKUP(A8,'Centre WV1'!$A$7:$N$109,8,FALSE),0)</f>
        <v>9.6982495475847195</v>
      </c>
      <c r="I8" s="10">
        <f>IFERROR(VLOOKUP(A8,'Centre DW1'!$A$7:$N$106,9,FALSE),0)+
IFERROR(VLOOKUP(A8,'Centre WP1'!$A$7:$N$107,9,FALSE),0)+
IFERROR(VLOOKUP(A8,'Centre WR1'!$A$7:$N$106,9,FALSE),0)+
IFERROR(VLOOKUP(A8,'Centre WV1'!$A$7:$N$109,9,FALSE),0)</f>
        <v>10.67583310198126</v>
      </c>
      <c r="J8" s="32">
        <f>IFERROR(VLOOKUP(A8,'Centre DW1'!$A$7:$N$106,10,FALSE),0)+
IFERROR(VLOOKUP(A8,'Centre WP1'!$A$7:$N$107,10,FALSE),0)+
IFERROR(VLOOKUP(A8,'Centre WR1'!$A$7:$N$106,10,FALSE),0)+
IFERROR(VLOOKUP(A8,'Centre WV1'!$A$7:$N$109,10,FALSE),0)</f>
        <v>11.75195707866097</v>
      </c>
      <c r="K8" s="32">
        <f>IFERROR(VLOOKUP(A8,'Centre DW1'!$A$7:$N$106,11,FALSE),0)+
IFERROR(VLOOKUP(A8,'Centre WP1'!$A$7:$N$107,11,FALSE),0)+
IFERROR(VLOOKUP(A8,'Centre WR1'!$A$7:$N$106,11,FALSE),0)+
IFERROR(VLOOKUP(A8,'Centre WV1'!$A$7:$N$109,11,FALSE),0)</f>
        <v>12.936554352189995</v>
      </c>
      <c r="L8" s="32">
        <f>IFERROR(VLOOKUP(A8,'Centre DW1'!$A$7:$N$106,12,FALSE),0)+
IFERROR(VLOOKUP(A8,'Centre WP1'!$A$7:$N$107,12,FALSE),0)+
IFERROR(VLOOKUP(A8,'Centre WR1'!$A$7:$N$106,12,FALSE),0)+
IFERROR(VLOOKUP(A8,'Centre WV1'!$A$7:$N$109,12,FALSE),0)</f>
        <v>14.240559030890747</v>
      </c>
      <c r="M8" s="32">
        <f>IFERROR(VLOOKUP(A8,'Centre DW1'!$A$7:$N$106,13,FALSE),0)+
IFERROR(VLOOKUP(A8,'Centre WP1'!$A$7:$N$107,13,FALSE),0)+
IFERROR(VLOOKUP(A8,'Centre WR1'!$A$7:$N$106,13,FALSE),0)+
IFERROR(VLOOKUP(A8,'Centre WV1'!$A$7:$N$109,13,FALSE),0)</f>
        <v>15.676007381204535</v>
      </c>
      <c r="N8" s="32">
        <f>IFERROR(VLOOKUP(A8,'Centre DW1'!$A$7:$N$106,14,FALSE),0)+
IFERROR(VLOOKUP(A8,'Centre WP1'!$A$7:$N$107,14,FALSE),0)+
IFERROR(VLOOKUP(A8,'Centre WR1'!$A$7:$N$106,14,FALSE),0)+
IFERROR(VLOOKUP(A8,'Centre WV1'!$A$7:$N$109,14,FALSE),0)</f>
        <v>17.256148925229951</v>
      </c>
    </row>
    <row r="9" spans="1:14" outlineLevel="1" x14ac:dyDescent="0.2">
      <c r="A9" s="9" t="s">
        <v>27</v>
      </c>
      <c r="B9" s="1" t="s">
        <v>28</v>
      </c>
      <c r="C9" s="10">
        <f>IFERROR(VLOOKUP(A9,'Centre DW1'!$A$7:$N$106,3,FALSE),0)+
IFERROR(VLOOKUP(A9,'Centre WP1'!$A$7:$N$107,3,FALSE),0)+
IFERROR(VLOOKUP(A9,'Centre WR1'!$A$7:$N$106,3,FALSE),0)+
IFERROR(VLOOKUP(A9,'Centre WV1'!$A$7:$N$109,3,FALSE),0)</f>
        <v>0</v>
      </c>
      <c r="D9" s="10">
        <f>IFERROR(VLOOKUP(A9,'Centre DW1'!$A$7:$N$106,4,FALSE),0)+
IFERROR(VLOOKUP(A9,'Centre WP1'!$A$7:$N$107,4,FALSE),0)+
IFERROR(VLOOKUP(A9,'Centre WR1'!$A$7:$N$106,4,FALSE),0)+
IFERROR(VLOOKUP(A9,'Centre WV1'!$A$7:$N$109,4,FALSE),0)</f>
        <v>0</v>
      </c>
      <c r="E9" s="10">
        <f>IFERROR(VLOOKUP(A9,'Centre DW1'!$A$7:$N$106,5,FALSE),0)+
IFERROR(VLOOKUP(A9,'Centre WP1'!$A$7:$N$107,5,FALSE),0)+
IFERROR(VLOOKUP(A9,'Centre WR1'!$A$7:$N$106,5,FALSE),0)+
IFERROR(VLOOKUP(A9,'Centre WV1'!$A$7:$N$109,5,FALSE),0)</f>
        <v>0</v>
      </c>
      <c r="F9" s="10">
        <f>IFERROR(VLOOKUP(A9,'Centre DW1'!$A$7:$N$106,6,FALSE),0)+
IFERROR(VLOOKUP(A9,'Centre WP1'!$A$7:$N$107,6,FALSE),0)+
IFERROR(VLOOKUP(A9,'Centre WR1'!$A$7:$N$106,6,FALSE),0)+
IFERROR(VLOOKUP(A9,'Centre WV1'!$A$7:$N$109,6,FALSE),0)</f>
        <v>0</v>
      </c>
      <c r="G9" s="10">
        <f>IFERROR(VLOOKUP(A9,'Centre DW1'!$A$7:$N$106,7,FALSE),0)+
IFERROR(VLOOKUP(A9,'Centre WP1'!$A$7:$N$107,7,FALSE),0)+
IFERROR(VLOOKUP(A9,'Centre WR1'!$A$7:$N$106,7,FALSE),0)+
IFERROR(VLOOKUP(A9,'Centre WV1'!$A$7:$N$109,7,FALSE),0)</f>
        <v>0</v>
      </c>
      <c r="H9" s="10">
        <f>IFERROR(VLOOKUP(A9,'Centre DW1'!$A$7:$N$106,8,FALSE),0)+
IFERROR(VLOOKUP(A9,'Centre WP1'!$A$7:$N$107,8,FALSE),0)+
IFERROR(VLOOKUP(A9,'Centre WR1'!$A$7:$N$106,8,FALSE),0)+
IFERROR(VLOOKUP(A9,'Centre WV1'!$A$7:$N$109,8,FALSE),0)</f>
        <v>0</v>
      </c>
      <c r="I9" s="10">
        <f>IFERROR(VLOOKUP(A9,'Centre DW1'!$A$7:$N$106,9,FALSE),0)+
IFERROR(VLOOKUP(A9,'Centre WP1'!$A$7:$N$107,9,FALSE),0)+
IFERROR(VLOOKUP(A9,'Centre WR1'!$A$7:$N$106,9,FALSE),0)+
IFERROR(VLOOKUP(A9,'Centre WV1'!$A$7:$N$109,9,FALSE),0)</f>
        <v>0</v>
      </c>
      <c r="J9" s="32">
        <f>IFERROR(VLOOKUP(A9,'Centre DW1'!$A$7:$N$106,10,FALSE),0)+
IFERROR(VLOOKUP(A9,'Centre WP1'!$A$7:$N$107,10,FALSE),0)+
IFERROR(VLOOKUP(A9,'Centre WR1'!$A$7:$N$106,10,FALSE),0)+
IFERROR(VLOOKUP(A9,'Centre WV1'!$A$7:$N$109,10,FALSE),0)</f>
        <v>0</v>
      </c>
      <c r="K9" s="32">
        <f>IFERROR(VLOOKUP(A9,'Centre DW1'!$A$7:$N$106,11,FALSE),0)+
IFERROR(VLOOKUP(A9,'Centre WP1'!$A$7:$N$107,11,FALSE),0)+
IFERROR(VLOOKUP(A9,'Centre WR1'!$A$7:$N$106,11,FALSE),0)+
IFERROR(VLOOKUP(A9,'Centre WV1'!$A$7:$N$109,11,FALSE),0)</f>
        <v>0</v>
      </c>
      <c r="L9" s="32">
        <f>IFERROR(VLOOKUP(A9,'Centre DW1'!$A$7:$N$106,12,FALSE),0)+
IFERROR(VLOOKUP(A9,'Centre WP1'!$A$7:$N$107,12,FALSE),0)+
IFERROR(VLOOKUP(A9,'Centre WR1'!$A$7:$N$106,12,FALSE),0)+
IFERROR(VLOOKUP(A9,'Centre WV1'!$A$7:$N$109,12,FALSE),0)</f>
        <v>0</v>
      </c>
      <c r="M9" s="32">
        <f>IFERROR(VLOOKUP(A9,'Centre DW1'!$A$7:$N$106,13,FALSE),0)+
IFERROR(VLOOKUP(A9,'Centre WP1'!$A$7:$N$107,13,FALSE),0)+
IFERROR(VLOOKUP(A9,'Centre WR1'!$A$7:$N$106,13,FALSE),0)+
IFERROR(VLOOKUP(A9,'Centre WV1'!$A$7:$N$109,13,FALSE),0)</f>
        <v>0</v>
      </c>
      <c r="N9" s="32">
        <f>IFERROR(VLOOKUP(A9,'Centre DW1'!$A$7:$N$106,14,FALSE),0)+
IFERROR(VLOOKUP(A9,'Centre WP1'!$A$7:$N$107,14,FALSE),0)+
IFERROR(VLOOKUP(A9,'Centre WR1'!$A$7:$N$106,14,FALSE),0)+
IFERROR(VLOOKUP(A9,'Centre WV1'!$A$7:$N$109,14,FALSE),0)</f>
        <v>0</v>
      </c>
    </row>
    <row r="10" spans="1:14" outlineLevel="1" x14ac:dyDescent="0.2">
      <c r="A10" s="9" t="s">
        <v>29</v>
      </c>
      <c r="B10" s="1" t="s">
        <v>30</v>
      </c>
      <c r="C10" s="10">
        <f>IFERROR(VLOOKUP(A10,'Centre DW1'!$A$7:$N$106,3,FALSE),0)+
IFERROR(VLOOKUP(A10,'Centre WP1'!$A$7:$N$107,3,FALSE),0)+
IFERROR(VLOOKUP(A10,'Centre WR1'!$A$7:$N$106,3,FALSE),0)+
IFERROR(VLOOKUP(A10,'Centre WV1'!$A$7:$N$109,3,FALSE),0)</f>
        <v>0</v>
      </c>
      <c r="D10" s="10">
        <f>IFERROR(VLOOKUP(A10,'Centre DW1'!$A$7:$N$106,4,FALSE),0)+
IFERROR(VLOOKUP(A10,'Centre WP1'!$A$7:$N$107,4,FALSE),0)+
IFERROR(VLOOKUP(A10,'Centre WR1'!$A$7:$N$106,4,FALSE),0)+
IFERROR(VLOOKUP(A10,'Centre WV1'!$A$7:$N$109,4,FALSE),0)</f>
        <v>0</v>
      </c>
      <c r="E10" s="10">
        <f>IFERROR(VLOOKUP(A10,'Centre DW1'!$A$7:$N$106,5,FALSE),0)+
IFERROR(VLOOKUP(A10,'Centre WP1'!$A$7:$N$107,5,FALSE),0)+
IFERROR(VLOOKUP(A10,'Centre WR1'!$A$7:$N$106,5,FALSE),0)+
IFERROR(VLOOKUP(A10,'Centre WV1'!$A$7:$N$109,5,FALSE),0)</f>
        <v>0</v>
      </c>
      <c r="F10" s="10">
        <f>IFERROR(VLOOKUP(A10,'Centre DW1'!$A$7:$N$106,6,FALSE),0)+
IFERROR(VLOOKUP(A10,'Centre WP1'!$A$7:$N$107,6,FALSE),0)+
IFERROR(VLOOKUP(A10,'Centre WR1'!$A$7:$N$106,6,FALSE),0)+
IFERROR(VLOOKUP(A10,'Centre WV1'!$A$7:$N$109,6,FALSE),0)</f>
        <v>0</v>
      </c>
      <c r="G10" s="10">
        <f>IFERROR(VLOOKUP(A10,'Centre DW1'!$A$7:$N$106,7,FALSE),0)+
IFERROR(VLOOKUP(A10,'Centre WP1'!$A$7:$N$107,7,FALSE),0)+
IFERROR(VLOOKUP(A10,'Centre WR1'!$A$7:$N$106,7,FALSE),0)+
IFERROR(VLOOKUP(A10,'Centre WV1'!$A$7:$N$109,7,FALSE),0)</f>
        <v>0</v>
      </c>
      <c r="H10" s="10">
        <f>IFERROR(VLOOKUP(A10,'Centre DW1'!$A$7:$N$106,8,FALSE),0)+
IFERROR(VLOOKUP(A10,'Centre WP1'!$A$7:$N$107,8,FALSE),0)+
IFERROR(VLOOKUP(A10,'Centre WR1'!$A$7:$N$106,8,FALSE),0)+
IFERROR(VLOOKUP(A10,'Centre WV1'!$A$7:$N$109,8,FALSE),0)</f>
        <v>0</v>
      </c>
      <c r="I10" s="10">
        <f>IFERROR(VLOOKUP(A10,'Centre DW1'!$A$7:$N$106,9,FALSE),0)+
IFERROR(VLOOKUP(A10,'Centre WP1'!$A$7:$N$107,9,FALSE),0)+
IFERROR(VLOOKUP(A10,'Centre WR1'!$A$7:$N$106,9,FALSE),0)+
IFERROR(VLOOKUP(A10,'Centre WV1'!$A$7:$N$109,9,FALSE),0)</f>
        <v>0</v>
      </c>
      <c r="J10" s="32">
        <f>IFERROR(VLOOKUP(A10,'Centre DW1'!$A$7:$N$106,10,FALSE),0)+
IFERROR(VLOOKUP(A10,'Centre WP1'!$A$7:$N$107,10,FALSE),0)+
IFERROR(VLOOKUP(A10,'Centre WR1'!$A$7:$N$106,10,FALSE),0)+
IFERROR(VLOOKUP(A10,'Centre WV1'!$A$7:$N$109,10,FALSE),0)</f>
        <v>0</v>
      </c>
      <c r="K10" s="32">
        <f>IFERROR(VLOOKUP(A10,'Centre DW1'!$A$7:$N$106,11,FALSE),0)+
IFERROR(VLOOKUP(A10,'Centre WP1'!$A$7:$N$107,11,FALSE),0)+
IFERROR(VLOOKUP(A10,'Centre WR1'!$A$7:$N$106,11,FALSE),0)+
IFERROR(VLOOKUP(A10,'Centre WV1'!$A$7:$N$109,11,FALSE),0)</f>
        <v>0</v>
      </c>
      <c r="L10" s="32">
        <f>IFERROR(VLOOKUP(A10,'Centre DW1'!$A$7:$N$106,12,FALSE),0)+
IFERROR(VLOOKUP(A10,'Centre WP1'!$A$7:$N$107,12,FALSE),0)+
IFERROR(VLOOKUP(A10,'Centre WR1'!$A$7:$N$106,12,FALSE),0)+
IFERROR(VLOOKUP(A10,'Centre WV1'!$A$7:$N$109,12,FALSE),0)</f>
        <v>0</v>
      </c>
      <c r="M10" s="32">
        <f>IFERROR(VLOOKUP(A10,'Centre DW1'!$A$7:$N$106,13,FALSE),0)+
IFERROR(VLOOKUP(A10,'Centre WP1'!$A$7:$N$107,13,FALSE),0)+
IFERROR(VLOOKUP(A10,'Centre WR1'!$A$7:$N$106,13,FALSE),0)+
IFERROR(VLOOKUP(A10,'Centre WV1'!$A$7:$N$109,13,FALSE),0)</f>
        <v>0</v>
      </c>
      <c r="N10" s="32">
        <f>IFERROR(VLOOKUP(A10,'Centre DW1'!$A$7:$N$106,14,FALSE),0)+
IFERROR(VLOOKUP(A10,'Centre WP1'!$A$7:$N$107,14,FALSE),0)+
IFERROR(VLOOKUP(A10,'Centre WR1'!$A$7:$N$106,14,FALSE),0)+
IFERROR(VLOOKUP(A10,'Centre WV1'!$A$7:$N$109,14,FALSE),0)</f>
        <v>0</v>
      </c>
    </row>
    <row r="11" spans="1:14" outlineLevel="1" x14ac:dyDescent="0.2">
      <c r="A11" s="9" t="s">
        <v>31</v>
      </c>
      <c r="B11" s="1" t="s">
        <v>32</v>
      </c>
      <c r="C11" s="10">
        <f>IFERROR(VLOOKUP(A11,'Centre DW1'!$A$7:$N$106,3,FALSE),0)+
IFERROR(VLOOKUP(A11,'Centre WP1'!$A$7:$N$107,3,FALSE),0)+
IFERROR(VLOOKUP(A11,'Centre WR1'!$A$7:$N$106,3,FALSE),0)+
IFERROR(VLOOKUP(A11,'Centre WV1'!$A$7:$N$109,3,FALSE),0)</f>
        <v>0</v>
      </c>
      <c r="D11" s="10">
        <f>IFERROR(VLOOKUP(A11,'Centre DW1'!$A$7:$N$106,4,FALSE),0)+
IFERROR(VLOOKUP(A11,'Centre WP1'!$A$7:$N$107,4,FALSE),0)+
IFERROR(VLOOKUP(A11,'Centre WR1'!$A$7:$N$106,4,FALSE),0)+
IFERROR(VLOOKUP(A11,'Centre WV1'!$A$7:$N$109,4,FALSE),0)</f>
        <v>0</v>
      </c>
      <c r="E11" s="10">
        <f>IFERROR(VLOOKUP(A11,'Centre DW1'!$A$7:$N$106,5,FALSE),0)+
IFERROR(VLOOKUP(A11,'Centre WP1'!$A$7:$N$107,5,FALSE),0)+
IFERROR(VLOOKUP(A11,'Centre WR1'!$A$7:$N$106,5,FALSE),0)+
IFERROR(VLOOKUP(A11,'Centre WV1'!$A$7:$N$109,5,FALSE),0)</f>
        <v>0</v>
      </c>
      <c r="F11" s="10">
        <f>IFERROR(VLOOKUP(A11,'Centre DW1'!$A$7:$N$106,6,FALSE),0)+
IFERROR(VLOOKUP(A11,'Centre WP1'!$A$7:$N$107,6,FALSE),0)+
IFERROR(VLOOKUP(A11,'Centre WR1'!$A$7:$N$106,6,FALSE),0)+
IFERROR(VLOOKUP(A11,'Centre WV1'!$A$7:$N$109,6,FALSE),0)</f>
        <v>0</v>
      </c>
      <c r="G11" s="10">
        <f>IFERROR(VLOOKUP(A11,'Centre DW1'!$A$7:$N$106,7,FALSE),0)+
IFERROR(VLOOKUP(A11,'Centre WP1'!$A$7:$N$107,7,FALSE),0)+
IFERROR(VLOOKUP(A11,'Centre WR1'!$A$7:$N$106,7,FALSE),0)+
IFERROR(VLOOKUP(A11,'Centre WV1'!$A$7:$N$109,7,FALSE),0)</f>
        <v>0</v>
      </c>
      <c r="H11" s="10">
        <f>IFERROR(VLOOKUP(A11,'Centre DW1'!$A$7:$N$106,8,FALSE),0)+
IFERROR(VLOOKUP(A11,'Centre WP1'!$A$7:$N$107,8,FALSE),0)+
IFERROR(VLOOKUP(A11,'Centre WR1'!$A$7:$N$106,8,FALSE),0)+
IFERROR(VLOOKUP(A11,'Centre WV1'!$A$7:$N$109,8,FALSE),0)</f>
        <v>0</v>
      </c>
      <c r="I11" s="10">
        <f>IFERROR(VLOOKUP(A11,'Centre DW1'!$A$7:$N$106,9,FALSE),0)+
IFERROR(VLOOKUP(A11,'Centre WP1'!$A$7:$N$107,9,FALSE),0)+
IFERROR(VLOOKUP(A11,'Centre WR1'!$A$7:$N$106,9,FALSE),0)+
IFERROR(VLOOKUP(A11,'Centre WV1'!$A$7:$N$109,9,FALSE),0)</f>
        <v>0</v>
      </c>
      <c r="J11" s="32">
        <f>IFERROR(VLOOKUP(A11,'Centre DW1'!$A$7:$N$106,10,FALSE),0)+
IFERROR(VLOOKUP(A11,'Centre WP1'!$A$7:$N$107,10,FALSE),0)+
IFERROR(VLOOKUP(A11,'Centre WR1'!$A$7:$N$106,10,FALSE),0)+
IFERROR(VLOOKUP(A11,'Centre WV1'!$A$7:$N$109,10,FALSE),0)</f>
        <v>0</v>
      </c>
      <c r="K11" s="32">
        <f>IFERROR(VLOOKUP(A11,'Centre DW1'!$A$7:$N$106,11,FALSE),0)+
IFERROR(VLOOKUP(A11,'Centre WP1'!$A$7:$N$107,11,FALSE),0)+
IFERROR(VLOOKUP(A11,'Centre WR1'!$A$7:$N$106,11,FALSE),0)+
IFERROR(VLOOKUP(A11,'Centre WV1'!$A$7:$N$109,11,FALSE),0)</f>
        <v>0</v>
      </c>
      <c r="L11" s="32">
        <f>IFERROR(VLOOKUP(A11,'Centre DW1'!$A$7:$N$106,12,FALSE),0)+
IFERROR(VLOOKUP(A11,'Centre WP1'!$A$7:$N$107,12,FALSE),0)+
IFERROR(VLOOKUP(A11,'Centre WR1'!$A$7:$N$106,12,FALSE),0)+
IFERROR(VLOOKUP(A11,'Centre WV1'!$A$7:$N$109,12,FALSE),0)</f>
        <v>0</v>
      </c>
      <c r="M11" s="32">
        <f>IFERROR(VLOOKUP(A11,'Centre DW1'!$A$7:$N$106,13,FALSE),0)+
IFERROR(VLOOKUP(A11,'Centre WP1'!$A$7:$N$107,13,FALSE),0)+
IFERROR(VLOOKUP(A11,'Centre WR1'!$A$7:$N$106,13,FALSE),0)+
IFERROR(VLOOKUP(A11,'Centre WV1'!$A$7:$N$109,13,FALSE),0)</f>
        <v>0</v>
      </c>
      <c r="N11" s="32">
        <f>IFERROR(VLOOKUP(A11,'Centre DW1'!$A$7:$N$106,14,FALSE),0)+
IFERROR(VLOOKUP(A11,'Centre WP1'!$A$7:$N$107,14,FALSE),0)+
IFERROR(VLOOKUP(A11,'Centre WR1'!$A$7:$N$106,14,FALSE),0)+
IFERROR(VLOOKUP(A11,'Centre WV1'!$A$7:$N$109,14,FALSE),0)</f>
        <v>0</v>
      </c>
    </row>
    <row r="12" spans="1:14" outlineLevel="1" x14ac:dyDescent="0.2">
      <c r="A12" s="9" t="s">
        <v>33</v>
      </c>
      <c r="B12" s="1" t="s">
        <v>34</v>
      </c>
      <c r="C12" s="10">
        <f>IFERROR(VLOOKUP(A12,'Centre DW1'!$A$7:$N$106,3,FALSE),0)+
IFERROR(VLOOKUP(A12,'Centre WP1'!$A$7:$N$107,3,FALSE),0)+
IFERROR(VLOOKUP(A12,'Centre WR1'!$A$7:$N$106,3,FALSE),0)+
IFERROR(VLOOKUP(A12,'Centre WV1'!$A$7:$N$109,3,FALSE),0)</f>
        <v>93.5</v>
      </c>
      <c r="D12" s="10">
        <f>IFERROR(VLOOKUP(A12,'Centre DW1'!$A$7:$N$106,4,FALSE),0)+
IFERROR(VLOOKUP(A12,'Centre WP1'!$A$7:$N$107,4,FALSE),0)+
IFERROR(VLOOKUP(A12,'Centre WR1'!$A$7:$N$106,4,FALSE),0)+
IFERROR(VLOOKUP(A12,'Centre WV1'!$A$7:$N$109,4,FALSE),0)</f>
        <v>94.25</v>
      </c>
      <c r="E12" s="10">
        <f>IFERROR(VLOOKUP(A12,'Centre DW1'!$A$7:$N$106,5,FALSE),0)+
IFERROR(VLOOKUP(A12,'Centre WP1'!$A$7:$N$107,5,FALSE),0)+
IFERROR(VLOOKUP(A12,'Centre WR1'!$A$7:$N$106,5,FALSE),0)+
IFERROR(VLOOKUP(A12,'Centre WV1'!$A$7:$N$109,5,FALSE),0)</f>
        <v>88.075000000000003</v>
      </c>
      <c r="F12" s="10">
        <f>IFERROR(VLOOKUP(A12,'Centre DW1'!$A$7:$N$106,6,FALSE),0)+
IFERROR(VLOOKUP(A12,'Centre WP1'!$A$7:$N$107,6,FALSE),0)+
IFERROR(VLOOKUP(A12,'Centre WR1'!$A$7:$N$106,6,FALSE),0)+
IFERROR(VLOOKUP(A12,'Centre WV1'!$A$7:$N$109,6,FALSE),0)</f>
        <v>82.982500000000002</v>
      </c>
      <c r="G12" s="10">
        <f>IFERROR(VLOOKUP(A12,'Centre DW1'!$A$7:$N$106,7,FALSE),0)+
IFERROR(VLOOKUP(A12,'Centre WP1'!$A$7:$N$107,7,FALSE),0)+
IFERROR(VLOOKUP(A12,'Centre WR1'!$A$7:$N$106,7,FALSE),0)+
IFERROR(VLOOKUP(A12,'Centre WV1'!$A$7:$N$109,7,FALSE),0)</f>
        <v>80.98075</v>
      </c>
      <c r="H12" s="10">
        <f>IFERROR(VLOOKUP(A12,'Centre DW1'!$A$7:$N$106,8,FALSE),0)+
IFERROR(VLOOKUP(A12,'Centre WP1'!$A$7:$N$107,8,FALSE),0)+
IFERROR(VLOOKUP(A12,'Centre WR1'!$A$7:$N$106,8,FALSE),0)+
IFERROR(VLOOKUP(A12,'Centre WV1'!$A$7:$N$109,8,FALSE),0)</f>
        <v>106.07882500000001</v>
      </c>
      <c r="I12" s="10">
        <f>IFERROR(VLOOKUP(A12,'Centre DW1'!$A$7:$N$106,9,FALSE),0)+
IFERROR(VLOOKUP(A12,'Centre WP1'!$A$7:$N$107,9,FALSE),0)+
IFERROR(VLOOKUP(A12,'Centre WR1'!$A$7:$N$106,9,FALSE),0)+
IFERROR(VLOOKUP(A12,'Centre WV1'!$A$7:$N$109,9,FALSE),0)</f>
        <v>81.286707500000006</v>
      </c>
      <c r="J12" s="32">
        <f>IFERROR(VLOOKUP(A12,'Centre DW1'!$A$7:$N$106,10,FALSE),0)+
IFERROR(VLOOKUP(A12,'Centre WP1'!$A$7:$N$107,10,FALSE),0)+
IFERROR(VLOOKUP(A12,'Centre WR1'!$A$7:$N$106,10,FALSE),0)+
IFERROR(VLOOKUP(A12,'Centre WV1'!$A$7:$N$109,10,FALSE),0)</f>
        <v>83.615378250000006</v>
      </c>
      <c r="K12" s="32">
        <f>IFERROR(VLOOKUP(A12,'Centre DW1'!$A$7:$N$106,11,FALSE),0)+
IFERROR(VLOOKUP(A12,'Centre WP1'!$A$7:$N$107,11,FALSE),0)+
IFERROR(VLOOKUP(A12,'Centre WR1'!$A$7:$N$106,11,FALSE),0)+
IFERROR(VLOOKUP(A12,'Centre WV1'!$A$7:$N$109,11,FALSE),0)</f>
        <v>98.076916075000014</v>
      </c>
      <c r="L12" s="32">
        <f>IFERROR(VLOOKUP(A12,'Centre DW1'!$A$7:$N$106,12,FALSE),0)+
IFERROR(VLOOKUP(A12,'Centre WP1'!$A$7:$N$107,12,FALSE),0)+
IFERROR(VLOOKUP(A12,'Centre WR1'!$A$7:$N$106,12,FALSE),0)+
IFERROR(VLOOKUP(A12,'Centre WV1'!$A$7:$N$109,12,FALSE),0)</f>
        <v>91.684607682500015</v>
      </c>
      <c r="M12" s="32">
        <f>IFERROR(VLOOKUP(A12,'Centre DW1'!$A$7:$N$106,13,FALSE),0)+
IFERROR(VLOOKUP(A12,'Centre WP1'!$A$7:$N$107,13,FALSE),0)+
IFERROR(VLOOKUP(A12,'Centre WR1'!$A$7:$N$106,13,FALSE),0)+
IFERROR(VLOOKUP(A12,'Centre WV1'!$A$7:$N$109,13,FALSE),0)</f>
        <v>118.45306845075001</v>
      </c>
      <c r="N12" s="32">
        <f>IFERROR(VLOOKUP(A12,'Centre DW1'!$A$7:$N$106,14,FALSE),0)+
IFERROR(VLOOKUP(A12,'Centre WP1'!$A$7:$N$107,14,FALSE),0)+
IFERROR(VLOOKUP(A12,'Centre WR1'!$A$7:$N$106,14,FALSE),0)+
IFERROR(VLOOKUP(A12,'Centre WV1'!$A$7:$N$109,14,FALSE),0)</f>
        <v>110.39837529582502</v>
      </c>
    </row>
    <row r="13" spans="1:14" outlineLevel="1" x14ac:dyDescent="0.2">
      <c r="A13" s="9" t="s">
        <v>35</v>
      </c>
      <c r="B13" s="1" t="s">
        <v>36</v>
      </c>
      <c r="C13" s="10">
        <f>IFERROR(VLOOKUP(A13,'Centre DW1'!$A$7:$N$106,3,FALSE),0)+
IFERROR(VLOOKUP(A13,'Centre WP1'!$A$7:$N$107,3,FALSE),0)+
IFERROR(VLOOKUP(A13,'Centre WR1'!$A$7:$N$106,3,FALSE),0)+
IFERROR(VLOOKUP(A13,'Centre WV1'!$A$7:$N$109,3,FALSE),0)</f>
        <v>0</v>
      </c>
      <c r="D13" s="10">
        <f>IFERROR(VLOOKUP(A13,'Centre DW1'!$A$7:$N$106,4,FALSE),0)+
IFERROR(VLOOKUP(A13,'Centre WP1'!$A$7:$N$107,4,FALSE),0)+
IFERROR(VLOOKUP(A13,'Centre WR1'!$A$7:$N$106,4,FALSE),0)+
IFERROR(VLOOKUP(A13,'Centre WV1'!$A$7:$N$109,4,FALSE),0)</f>
        <v>-2.4</v>
      </c>
      <c r="E13" s="10">
        <f>IFERROR(VLOOKUP(A13,'Centre DW1'!$A$7:$N$106,5,FALSE),0)+
IFERROR(VLOOKUP(A13,'Centre WP1'!$A$7:$N$107,5,FALSE),0)+
IFERROR(VLOOKUP(A13,'Centre WR1'!$A$7:$N$106,5,FALSE),0)+
IFERROR(VLOOKUP(A13,'Centre WV1'!$A$7:$N$109,5,FALSE),0)</f>
        <v>0</v>
      </c>
      <c r="F13" s="10">
        <f>IFERROR(VLOOKUP(A13,'Centre DW1'!$A$7:$N$106,6,FALSE),0)+
IFERROR(VLOOKUP(A13,'Centre WP1'!$A$7:$N$107,6,FALSE),0)+
IFERROR(VLOOKUP(A13,'Centre WR1'!$A$7:$N$106,6,FALSE),0)+
IFERROR(VLOOKUP(A13,'Centre WV1'!$A$7:$N$109,6,FALSE),0)</f>
        <v>0</v>
      </c>
      <c r="G13" s="10">
        <f>IFERROR(VLOOKUP(A13,'Centre DW1'!$A$7:$N$106,7,FALSE),0)+
IFERROR(VLOOKUP(A13,'Centre WP1'!$A$7:$N$107,7,FALSE),0)+
IFERROR(VLOOKUP(A13,'Centre WR1'!$A$7:$N$106,7,FALSE),0)+
IFERROR(VLOOKUP(A13,'Centre WV1'!$A$7:$N$109,7,FALSE),0)</f>
        <v>0</v>
      </c>
      <c r="H13" s="10">
        <f>IFERROR(VLOOKUP(A13,'Centre DW1'!$A$7:$N$106,8,FALSE),0)+
IFERROR(VLOOKUP(A13,'Centre WP1'!$A$7:$N$107,8,FALSE),0)+
IFERROR(VLOOKUP(A13,'Centre WR1'!$A$7:$N$106,8,FALSE),0)+
IFERROR(VLOOKUP(A13,'Centre WV1'!$A$7:$N$109,8,FALSE),0)</f>
        <v>0</v>
      </c>
      <c r="I13" s="10">
        <f>IFERROR(VLOOKUP(A13,'Centre DW1'!$A$7:$N$106,9,FALSE),0)+
IFERROR(VLOOKUP(A13,'Centre WP1'!$A$7:$N$107,9,FALSE),0)+
IFERROR(VLOOKUP(A13,'Centre WR1'!$A$7:$N$106,9,FALSE),0)+
IFERROR(VLOOKUP(A13,'Centre WV1'!$A$7:$N$109,9,FALSE),0)</f>
        <v>0</v>
      </c>
      <c r="J13" s="32">
        <f>IFERROR(VLOOKUP(A13,'Centre DW1'!$A$7:$N$106,10,FALSE),0)+
IFERROR(VLOOKUP(A13,'Centre WP1'!$A$7:$N$107,10,FALSE),0)+
IFERROR(VLOOKUP(A13,'Centre WR1'!$A$7:$N$106,10,FALSE),0)+
IFERROR(VLOOKUP(A13,'Centre WV1'!$A$7:$N$109,10,FALSE),0)</f>
        <v>0</v>
      </c>
      <c r="K13" s="32">
        <f>IFERROR(VLOOKUP(A13,'Centre DW1'!$A$7:$N$106,11,FALSE),0)+
IFERROR(VLOOKUP(A13,'Centre WP1'!$A$7:$N$107,11,FALSE),0)+
IFERROR(VLOOKUP(A13,'Centre WR1'!$A$7:$N$106,11,FALSE),0)+
IFERROR(VLOOKUP(A13,'Centre WV1'!$A$7:$N$109,11,FALSE),0)</f>
        <v>0</v>
      </c>
      <c r="L13" s="32">
        <f>IFERROR(VLOOKUP(A13,'Centre DW1'!$A$7:$N$106,12,FALSE),0)+
IFERROR(VLOOKUP(A13,'Centre WP1'!$A$7:$N$107,12,FALSE),0)+
IFERROR(VLOOKUP(A13,'Centre WR1'!$A$7:$N$106,12,FALSE),0)+
IFERROR(VLOOKUP(A13,'Centre WV1'!$A$7:$N$109,12,FALSE),0)</f>
        <v>0</v>
      </c>
      <c r="M13" s="32">
        <f>IFERROR(VLOOKUP(A13,'Centre DW1'!$A$7:$N$106,13,FALSE),0)+
IFERROR(VLOOKUP(A13,'Centre WP1'!$A$7:$N$107,13,FALSE),0)+
IFERROR(VLOOKUP(A13,'Centre WR1'!$A$7:$N$106,13,FALSE),0)+
IFERROR(VLOOKUP(A13,'Centre WV1'!$A$7:$N$109,13,FALSE),0)</f>
        <v>0</v>
      </c>
      <c r="N13" s="32">
        <f>IFERROR(VLOOKUP(A13,'Centre DW1'!$A$7:$N$106,14,FALSE),0)+
IFERROR(VLOOKUP(A13,'Centre WP1'!$A$7:$N$107,14,FALSE),0)+
IFERROR(VLOOKUP(A13,'Centre WR1'!$A$7:$N$106,14,FALSE),0)+
IFERROR(VLOOKUP(A13,'Centre WV1'!$A$7:$N$109,14,FALSE),0)</f>
        <v>0</v>
      </c>
    </row>
    <row r="14" spans="1:14" x14ac:dyDescent="0.2">
      <c r="A14" s="33" t="s">
        <v>37</v>
      </c>
      <c r="B14" s="34" t="s">
        <v>38</v>
      </c>
      <c r="C14" s="37">
        <f>IFERROR(VLOOKUP(A14,'Centre DW1'!$A$7:$N$106,3,FALSE),0)+
IFERROR(VLOOKUP(A14,'Centre WP1'!$A$7:$N$107,3,FALSE),0)+
IFERROR(VLOOKUP(A14,'Centre WR1'!$A$7:$N$106,3,FALSE),0)+
IFERROR(VLOOKUP(A14,'Centre WV1'!$A$7:$N$109,3,FALSE),0)</f>
        <v>0</v>
      </c>
      <c r="D14" s="37">
        <f>IFERROR(VLOOKUP(A14,'Centre DW1'!$A$7:$N$106,4,FALSE),0)+
IFERROR(VLOOKUP(A14,'Centre WP1'!$A$7:$N$107,4,FALSE),0)+
IFERROR(VLOOKUP(A14,'Centre WR1'!$A$7:$N$106,4,FALSE),0)+
IFERROR(VLOOKUP(A14,'Centre WV1'!$A$7:$N$109,4,FALSE),0)</f>
        <v>0</v>
      </c>
      <c r="E14" s="37">
        <f>IFERROR(VLOOKUP(A14,'Centre DW1'!$A$7:$N$106,5,FALSE),0)+
IFERROR(VLOOKUP(A14,'Centre WP1'!$A$7:$N$107,5,FALSE),0)+
IFERROR(VLOOKUP(A14,'Centre WR1'!$A$7:$N$106,5,FALSE),0)+
IFERROR(VLOOKUP(A14,'Centre WV1'!$A$7:$N$109,5,FALSE),0)</f>
        <v>0</v>
      </c>
      <c r="F14" s="37">
        <f>IFERROR(VLOOKUP(A14,'Centre DW1'!$A$7:$N$106,6,FALSE),0)+
IFERROR(VLOOKUP(A14,'Centre WP1'!$A$7:$N$107,6,FALSE),0)+
IFERROR(VLOOKUP(A14,'Centre WR1'!$A$7:$N$106,6,FALSE),0)+
IFERROR(VLOOKUP(A14,'Centre WV1'!$A$7:$N$109,6,FALSE),0)</f>
        <v>0</v>
      </c>
      <c r="G14" s="37">
        <f>IFERROR(VLOOKUP(A14,'Centre DW1'!$A$7:$N$106,7,FALSE),0)+
IFERROR(VLOOKUP(A14,'Centre WP1'!$A$7:$N$107,7,FALSE),0)+
IFERROR(VLOOKUP(A14,'Centre WR1'!$A$7:$N$106,7,FALSE),0)+
IFERROR(VLOOKUP(A14,'Centre WV1'!$A$7:$N$109,7,FALSE),0)</f>
        <v>0</v>
      </c>
      <c r="H14" s="37">
        <f>IFERROR(VLOOKUP(A14,'Centre DW1'!$A$7:$N$106,8,FALSE),0)+
IFERROR(VLOOKUP(A14,'Centre WP1'!$A$7:$N$107,8,FALSE),0)+
IFERROR(VLOOKUP(A14,'Centre WR1'!$A$7:$N$106,8,FALSE),0)+
IFERROR(VLOOKUP(A14,'Centre WV1'!$A$7:$N$109,8,FALSE),0)</f>
        <v>0</v>
      </c>
      <c r="I14" s="37">
        <f>IFERROR(VLOOKUP(A14,'Centre DW1'!$A$7:$N$106,9,FALSE),0)+
IFERROR(VLOOKUP(A14,'Centre WP1'!$A$7:$N$107,9,FALSE),0)+
IFERROR(VLOOKUP(A14,'Centre WR1'!$A$7:$N$106,9,FALSE),0)+
IFERROR(VLOOKUP(A14,'Centre WV1'!$A$7:$N$109,9,FALSE),0)</f>
        <v>0</v>
      </c>
      <c r="J14" s="38">
        <f>IFERROR(VLOOKUP(A14,'Centre DW1'!$A$7:$N$106,10,FALSE),0)+
IFERROR(VLOOKUP(A14,'Centre WP1'!$A$7:$N$107,10,FALSE),0)+
IFERROR(VLOOKUP(A14,'Centre WR1'!$A$7:$N$106,10,FALSE),0)+
IFERROR(VLOOKUP(A14,'Centre WV1'!$A$7:$N$109,10,FALSE),0)</f>
        <v>0</v>
      </c>
      <c r="K14" s="38">
        <f>IFERROR(VLOOKUP(A14,'Centre DW1'!$A$7:$N$106,11,FALSE),0)+
IFERROR(VLOOKUP(A14,'Centre WP1'!$A$7:$N$107,11,FALSE),0)+
IFERROR(VLOOKUP(A14,'Centre WR1'!$A$7:$N$106,11,FALSE),0)+
IFERROR(VLOOKUP(A14,'Centre WV1'!$A$7:$N$109,11,FALSE),0)</f>
        <v>0</v>
      </c>
      <c r="L14" s="38">
        <f>IFERROR(VLOOKUP(A14,'Centre DW1'!$A$7:$N$106,12,FALSE),0)+
IFERROR(VLOOKUP(A14,'Centre WP1'!$A$7:$N$107,12,FALSE),0)+
IFERROR(VLOOKUP(A14,'Centre WR1'!$A$7:$N$106,12,FALSE),0)+
IFERROR(VLOOKUP(A14,'Centre WV1'!$A$7:$N$109,12,FALSE),0)</f>
        <v>0</v>
      </c>
      <c r="M14" s="38">
        <f>IFERROR(VLOOKUP(A14,'Centre DW1'!$A$7:$N$106,13,FALSE),0)+
IFERROR(VLOOKUP(A14,'Centre WP1'!$A$7:$N$107,13,FALSE),0)+
IFERROR(VLOOKUP(A14,'Centre WR1'!$A$7:$N$106,13,FALSE),0)+
IFERROR(VLOOKUP(A14,'Centre WV1'!$A$7:$N$109,13,FALSE),0)</f>
        <v>0</v>
      </c>
      <c r="N14" s="38">
        <f>IFERROR(VLOOKUP(A14,'Centre DW1'!$A$7:$N$106,14,FALSE),0)+
IFERROR(VLOOKUP(A14,'Centre WP1'!$A$7:$N$107,14,FALSE),0)+
IFERROR(VLOOKUP(A14,'Centre WR1'!$A$7:$N$106,14,FALSE),0)+
IFERROR(VLOOKUP(A14,'Centre WV1'!$A$7:$N$109,14,FALSE),0)</f>
        <v>0</v>
      </c>
    </row>
    <row r="15" spans="1:14" x14ac:dyDescent="0.2">
      <c r="A15" s="33" t="s">
        <v>39</v>
      </c>
      <c r="B15" s="34" t="s">
        <v>40</v>
      </c>
      <c r="C15" s="37">
        <f>IFERROR(VLOOKUP(A15,'Centre DW1'!$A$7:$N$106,3,FALSE),0)+
IFERROR(VLOOKUP(A15,'Centre WP1'!$A$7:$N$107,3,FALSE),0)+
IFERROR(VLOOKUP(A15,'Centre WR1'!$A$7:$N$106,3,FALSE),0)+
IFERROR(VLOOKUP(A15,'Centre WV1'!$A$7:$N$109,3,FALSE),0)</f>
        <v>0</v>
      </c>
      <c r="D15" s="37">
        <f>IFERROR(VLOOKUP(A15,'Centre DW1'!$A$7:$N$106,4,FALSE),0)+
IFERROR(VLOOKUP(A15,'Centre WP1'!$A$7:$N$107,4,FALSE),0)+
IFERROR(VLOOKUP(A15,'Centre WR1'!$A$7:$N$106,4,FALSE),0)+
IFERROR(VLOOKUP(A15,'Centre WV1'!$A$7:$N$109,4,FALSE),0)</f>
        <v>0</v>
      </c>
      <c r="E15" s="37">
        <f>IFERROR(VLOOKUP(A15,'Centre DW1'!$A$7:$N$106,5,FALSE),0)+
IFERROR(VLOOKUP(A15,'Centre WP1'!$A$7:$N$107,5,FALSE),0)+
IFERROR(VLOOKUP(A15,'Centre WR1'!$A$7:$N$106,5,FALSE),0)+
IFERROR(VLOOKUP(A15,'Centre WV1'!$A$7:$N$109,5,FALSE),0)</f>
        <v>0</v>
      </c>
      <c r="F15" s="37">
        <f>IFERROR(VLOOKUP(A15,'Centre DW1'!$A$7:$N$106,6,FALSE),0)+
IFERROR(VLOOKUP(A15,'Centre WP1'!$A$7:$N$107,6,FALSE),0)+
IFERROR(VLOOKUP(A15,'Centre WR1'!$A$7:$N$106,6,FALSE),0)+
IFERROR(VLOOKUP(A15,'Centre WV1'!$A$7:$N$109,6,FALSE),0)</f>
        <v>0</v>
      </c>
      <c r="G15" s="37">
        <f>IFERROR(VLOOKUP(A15,'Centre DW1'!$A$7:$N$106,7,FALSE),0)+
IFERROR(VLOOKUP(A15,'Centre WP1'!$A$7:$N$107,7,FALSE),0)+
IFERROR(VLOOKUP(A15,'Centre WR1'!$A$7:$N$106,7,FALSE),0)+
IFERROR(VLOOKUP(A15,'Centre WV1'!$A$7:$N$109,7,FALSE),0)</f>
        <v>0</v>
      </c>
      <c r="H15" s="37">
        <f>IFERROR(VLOOKUP(A15,'Centre DW1'!$A$7:$N$106,8,FALSE),0)+
IFERROR(VLOOKUP(A15,'Centre WP1'!$A$7:$N$107,8,FALSE),0)+
IFERROR(VLOOKUP(A15,'Centre WR1'!$A$7:$N$106,8,FALSE),0)+
IFERROR(VLOOKUP(A15,'Centre WV1'!$A$7:$N$109,8,FALSE),0)</f>
        <v>0</v>
      </c>
      <c r="I15" s="37">
        <f>IFERROR(VLOOKUP(A15,'Centre DW1'!$A$7:$N$106,9,FALSE),0)+
IFERROR(VLOOKUP(A15,'Centre WP1'!$A$7:$N$107,9,FALSE),0)+
IFERROR(VLOOKUP(A15,'Centre WR1'!$A$7:$N$106,9,FALSE),0)+
IFERROR(VLOOKUP(A15,'Centre WV1'!$A$7:$N$109,9,FALSE),0)</f>
        <v>0</v>
      </c>
      <c r="J15" s="38">
        <f>IFERROR(VLOOKUP(A15,'Centre DW1'!$A$7:$N$106,10,FALSE),0)+
IFERROR(VLOOKUP(A15,'Centre WP1'!$A$7:$N$107,10,FALSE),0)+
IFERROR(VLOOKUP(A15,'Centre WR1'!$A$7:$N$106,10,FALSE),0)+
IFERROR(VLOOKUP(A15,'Centre WV1'!$A$7:$N$109,10,FALSE),0)</f>
        <v>0</v>
      </c>
      <c r="K15" s="38">
        <f>IFERROR(VLOOKUP(A15,'Centre DW1'!$A$7:$N$106,11,FALSE),0)+
IFERROR(VLOOKUP(A15,'Centre WP1'!$A$7:$N$107,11,FALSE),0)+
IFERROR(VLOOKUP(A15,'Centre WR1'!$A$7:$N$106,11,FALSE),0)+
IFERROR(VLOOKUP(A15,'Centre WV1'!$A$7:$N$109,11,FALSE),0)</f>
        <v>0</v>
      </c>
      <c r="L15" s="38">
        <f>IFERROR(VLOOKUP(A15,'Centre DW1'!$A$7:$N$106,12,FALSE),0)+
IFERROR(VLOOKUP(A15,'Centre WP1'!$A$7:$N$107,12,FALSE),0)+
IFERROR(VLOOKUP(A15,'Centre WR1'!$A$7:$N$106,12,FALSE),0)+
IFERROR(VLOOKUP(A15,'Centre WV1'!$A$7:$N$109,12,FALSE),0)</f>
        <v>0</v>
      </c>
      <c r="M15" s="38">
        <f>IFERROR(VLOOKUP(A15,'Centre DW1'!$A$7:$N$106,13,FALSE),0)+
IFERROR(VLOOKUP(A15,'Centre WP1'!$A$7:$N$107,13,FALSE),0)+
IFERROR(VLOOKUP(A15,'Centre WR1'!$A$7:$N$106,13,FALSE),0)+
IFERROR(VLOOKUP(A15,'Centre WV1'!$A$7:$N$109,13,FALSE),0)</f>
        <v>0</v>
      </c>
      <c r="N15" s="38">
        <f>IFERROR(VLOOKUP(A15,'Centre DW1'!$A$7:$N$106,14,FALSE),0)+
IFERROR(VLOOKUP(A15,'Centre WP1'!$A$7:$N$107,14,FALSE),0)+
IFERROR(VLOOKUP(A15,'Centre WR1'!$A$7:$N$106,14,FALSE),0)+
IFERROR(VLOOKUP(A15,'Centre WV1'!$A$7:$N$109,14,FALSE),0)</f>
        <v>0</v>
      </c>
    </row>
    <row r="16" spans="1:14" x14ac:dyDescent="0.2">
      <c r="A16" s="33" t="s">
        <v>41</v>
      </c>
      <c r="B16" s="34" t="s">
        <v>42</v>
      </c>
      <c r="C16" s="37">
        <f>+C17</f>
        <v>0</v>
      </c>
      <c r="D16" s="37">
        <f t="shared" ref="D16:N16" si="1">+D17</f>
        <v>0</v>
      </c>
      <c r="E16" s="37">
        <f t="shared" si="1"/>
        <v>0</v>
      </c>
      <c r="F16" s="37">
        <f t="shared" si="1"/>
        <v>0</v>
      </c>
      <c r="G16" s="37">
        <f t="shared" si="1"/>
        <v>0</v>
      </c>
      <c r="H16" s="37">
        <f t="shared" si="1"/>
        <v>0</v>
      </c>
      <c r="I16" s="37">
        <f t="shared" si="1"/>
        <v>0</v>
      </c>
      <c r="J16" s="37">
        <f t="shared" si="1"/>
        <v>0</v>
      </c>
      <c r="K16" s="37">
        <f t="shared" si="1"/>
        <v>0</v>
      </c>
      <c r="L16" s="37">
        <f t="shared" si="1"/>
        <v>0</v>
      </c>
      <c r="M16" s="37">
        <f t="shared" si="1"/>
        <v>0</v>
      </c>
      <c r="N16" s="37">
        <f t="shared" si="1"/>
        <v>0</v>
      </c>
    </row>
    <row r="17" spans="1:14" outlineLevel="1" x14ac:dyDescent="0.2">
      <c r="A17" s="9" t="s">
        <v>43</v>
      </c>
      <c r="B17" s="1" t="s">
        <v>44</v>
      </c>
      <c r="C17" s="10">
        <f>IFERROR(VLOOKUP(A17,'Centre DW1'!$A$7:$N$106,3,FALSE),0)+
IFERROR(VLOOKUP(A17,'Centre WP1'!$A$7:$N$107,3,FALSE),0)+
IFERROR(VLOOKUP(A17,'Centre WR1'!$A$7:$N$106,3,FALSE),0)+
IFERROR(VLOOKUP(A17,'Centre WV1'!$A$7:$N$109,3,FALSE),0)</f>
        <v>0</v>
      </c>
      <c r="D17" s="10">
        <f>IFERROR(VLOOKUP(A17,'Centre DW1'!$A$7:$N$106,4,FALSE),0)+
IFERROR(VLOOKUP(A17,'Centre WP1'!$A$7:$N$107,4,FALSE),0)+
IFERROR(VLOOKUP(A17,'Centre WR1'!$A$7:$N$106,4,FALSE),0)+
IFERROR(VLOOKUP(A17,'Centre WV1'!$A$7:$N$109,4,FALSE),0)</f>
        <v>0</v>
      </c>
      <c r="E17" s="10">
        <f>IFERROR(VLOOKUP(A17,'Centre DW1'!$A$7:$N$106,5,FALSE),0)+
IFERROR(VLOOKUP(A17,'Centre WP1'!$A$7:$N$107,5,FALSE),0)+
IFERROR(VLOOKUP(A17,'Centre WR1'!$A$7:$N$106,5,FALSE),0)+
IFERROR(VLOOKUP(A17,'Centre WV1'!$A$7:$N$109,5,FALSE),0)</f>
        <v>0</v>
      </c>
      <c r="F17" s="10">
        <f>IFERROR(VLOOKUP(A17,'Centre DW1'!$A$7:$N$106,6,FALSE),0)+
IFERROR(VLOOKUP(A17,'Centre WP1'!$A$7:$N$107,6,FALSE),0)+
IFERROR(VLOOKUP(A17,'Centre WR1'!$A$7:$N$106,6,FALSE),0)+
IFERROR(VLOOKUP(A17,'Centre WV1'!$A$7:$N$109,6,FALSE),0)</f>
        <v>0</v>
      </c>
      <c r="G17" s="10">
        <f>IFERROR(VLOOKUP(A17,'Centre DW1'!$A$7:$N$106,7,FALSE),0)+
IFERROR(VLOOKUP(A17,'Centre WP1'!$A$7:$N$107,7,FALSE),0)+
IFERROR(VLOOKUP(A17,'Centre WR1'!$A$7:$N$106,7,FALSE),0)+
IFERROR(VLOOKUP(A17,'Centre WV1'!$A$7:$N$109,7,FALSE),0)</f>
        <v>0</v>
      </c>
      <c r="H17" s="10">
        <f>IFERROR(VLOOKUP(A17,'Centre DW1'!$A$7:$N$106,8,FALSE),0)+
IFERROR(VLOOKUP(A17,'Centre WP1'!$A$7:$N$107,8,FALSE),0)+
IFERROR(VLOOKUP(A17,'Centre WR1'!$A$7:$N$106,8,FALSE),0)+
IFERROR(VLOOKUP(A17,'Centre WV1'!$A$7:$N$109,8,FALSE),0)</f>
        <v>0</v>
      </c>
      <c r="I17" s="10">
        <f>IFERROR(VLOOKUP(A17,'Centre DW1'!$A$7:$N$106,9,FALSE),0)+
IFERROR(VLOOKUP(A17,'Centre WP1'!$A$7:$N$107,9,FALSE),0)+
IFERROR(VLOOKUP(A17,'Centre WR1'!$A$7:$N$106,9,FALSE),0)+
IFERROR(VLOOKUP(A17,'Centre WV1'!$A$7:$N$109,9,FALSE),0)</f>
        <v>0</v>
      </c>
      <c r="J17" s="32">
        <f>IFERROR(VLOOKUP(A17,'Centre DW1'!$A$7:$N$106,10,FALSE),0)+
IFERROR(VLOOKUP(A17,'Centre WP1'!$A$7:$N$107,10,FALSE),0)+
IFERROR(VLOOKUP(A17,'Centre WR1'!$A$7:$N$106,10,FALSE),0)+
IFERROR(VLOOKUP(A17,'Centre WV1'!$A$7:$N$109,10,FALSE),0)</f>
        <v>0</v>
      </c>
      <c r="K17" s="32">
        <f>IFERROR(VLOOKUP(A17,'Centre DW1'!$A$7:$N$106,11,FALSE),0)+
IFERROR(VLOOKUP(A17,'Centre WP1'!$A$7:$N$107,11,FALSE),0)+
IFERROR(VLOOKUP(A17,'Centre WR1'!$A$7:$N$106,11,FALSE),0)+
IFERROR(VLOOKUP(A17,'Centre WV1'!$A$7:$N$109,11,FALSE),0)</f>
        <v>0</v>
      </c>
      <c r="L17" s="32">
        <f>IFERROR(VLOOKUP(A17,'Centre DW1'!$A$7:$N$106,12,FALSE),0)+
IFERROR(VLOOKUP(A17,'Centre WP1'!$A$7:$N$107,12,FALSE),0)+
IFERROR(VLOOKUP(A17,'Centre WR1'!$A$7:$N$106,12,FALSE),0)+
IFERROR(VLOOKUP(A17,'Centre WV1'!$A$7:$N$109,12,FALSE),0)</f>
        <v>0</v>
      </c>
      <c r="M17" s="32">
        <f>IFERROR(VLOOKUP(A17,'Centre DW1'!$A$7:$N$106,13,FALSE),0)+
IFERROR(VLOOKUP(A17,'Centre WP1'!$A$7:$N$107,13,FALSE),0)+
IFERROR(VLOOKUP(A17,'Centre WR1'!$A$7:$N$106,13,FALSE),0)+
IFERROR(VLOOKUP(A17,'Centre WV1'!$A$7:$N$109,13,FALSE),0)</f>
        <v>0</v>
      </c>
      <c r="N17" s="32">
        <f>IFERROR(VLOOKUP(A17,'Centre DW1'!$A$7:$N$106,14,FALSE),0)+
IFERROR(VLOOKUP(A17,'Centre WP1'!$A$7:$N$107,14,FALSE),0)+
IFERROR(VLOOKUP(A17,'Centre WR1'!$A$7:$N$106,14,FALSE),0)+
IFERROR(VLOOKUP(A17,'Centre WV1'!$A$7:$N$109,14,FALSE),0)</f>
        <v>0</v>
      </c>
    </row>
    <row r="18" spans="1:14" x14ac:dyDescent="0.2">
      <c r="A18" s="33" t="s">
        <v>45</v>
      </c>
      <c r="B18" s="34" t="s">
        <v>46</v>
      </c>
      <c r="C18" s="37">
        <f>IFERROR(VLOOKUP(A18,'Centre DW1'!$A$7:$N$106,3,FALSE),0)+
IFERROR(VLOOKUP(A18,'Centre WP1'!$A$7:$N$107,3,FALSE),0)+
IFERROR(VLOOKUP(A18,'Centre WR1'!$A$7:$N$106,3,FALSE),0)+
IFERROR(VLOOKUP(A18,'Centre WV1'!$A$7:$N$109,3,FALSE),0)</f>
        <v>0</v>
      </c>
      <c r="D18" s="37">
        <f>IFERROR(VLOOKUP(A18,'Centre DW1'!$A$7:$N$106,4,FALSE),0)+
IFERROR(VLOOKUP(A18,'Centre WP1'!$A$7:$N$107,4,FALSE),0)+
IFERROR(VLOOKUP(A18,'Centre WR1'!$A$7:$N$106,4,FALSE),0)+
IFERROR(VLOOKUP(A18,'Centre WV1'!$A$7:$N$109,4,FALSE),0)</f>
        <v>0</v>
      </c>
      <c r="E18" s="37">
        <f>IFERROR(VLOOKUP(A18,'Centre DW1'!$A$7:$N$106,5,FALSE),0)+
IFERROR(VLOOKUP(A18,'Centre WP1'!$A$7:$N$107,5,FALSE),0)+
IFERROR(VLOOKUP(A18,'Centre WR1'!$A$7:$N$106,5,FALSE),0)+
IFERROR(VLOOKUP(A18,'Centre WV1'!$A$7:$N$109,5,FALSE),0)</f>
        <v>0</v>
      </c>
      <c r="F18" s="37">
        <f>IFERROR(VLOOKUP(A18,'Centre DW1'!$A$7:$N$106,6,FALSE),0)+
IFERROR(VLOOKUP(A18,'Centre WP1'!$A$7:$N$107,6,FALSE),0)+
IFERROR(VLOOKUP(A18,'Centre WR1'!$A$7:$N$106,6,FALSE),0)+
IFERROR(VLOOKUP(A18,'Centre WV1'!$A$7:$N$109,6,FALSE),0)</f>
        <v>0</v>
      </c>
      <c r="G18" s="37">
        <f>IFERROR(VLOOKUP(A18,'Centre DW1'!$A$7:$N$106,7,FALSE),0)+
IFERROR(VLOOKUP(A18,'Centre WP1'!$A$7:$N$107,7,FALSE),0)+
IFERROR(VLOOKUP(A18,'Centre WR1'!$A$7:$N$106,7,FALSE),0)+
IFERROR(VLOOKUP(A18,'Centre WV1'!$A$7:$N$109,7,FALSE),0)</f>
        <v>0</v>
      </c>
      <c r="H18" s="37">
        <f>IFERROR(VLOOKUP(A18,'Centre DW1'!$A$7:$N$106,8,FALSE),0)+
IFERROR(VLOOKUP(A18,'Centre WP1'!$A$7:$N$107,8,FALSE),0)+
IFERROR(VLOOKUP(A18,'Centre WR1'!$A$7:$N$106,8,FALSE),0)+
IFERROR(VLOOKUP(A18,'Centre WV1'!$A$7:$N$109,8,FALSE),0)</f>
        <v>0</v>
      </c>
      <c r="I18" s="37">
        <f>IFERROR(VLOOKUP(A18,'Centre DW1'!$A$7:$N$106,9,FALSE),0)+
IFERROR(VLOOKUP(A18,'Centre WP1'!$A$7:$N$107,9,FALSE),0)+
IFERROR(VLOOKUP(A18,'Centre WR1'!$A$7:$N$106,9,FALSE),0)+
IFERROR(VLOOKUP(A18,'Centre WV1'!$A$7:$N$109,9,FALSE),0)</f>
        <v>0</v>
      </c>
      <c r="J18" s="38">
        <f>IFERROR(VLOOKUP(A18,'Centre DW1'!$A$7:$N$106,10,FALSE),0)+
IFERROR(VLOOKUP(A18,'Centre WP1'!$A$7:$N$107,10,FALSE),0)+
IFERROR(VLOOKUP(A18,'Centre WR1'!$A$7:$N$106,10,FALSE),0)+
IFERROR(VLOOKUP(A18,'Centre WV1'!$A$7:$N$109,10,FALSE),0)</f>
        <v>0</v>
      </c>
      <c r="K18" s="38">
        <f>IFERROR(VLOOKUP(A18,'Centre DW1'!$A$7:$N$106,11,FALSE),0)+
IFERROR(VLOOKUP(A18,'Centre WP1'!$A$7:$N$107,11,FALSE),0)+
IFERROR(VLOOKUP(A18,'Centre WR1'!$A$7:$N$106,11,FALSE),0)+
IFERROR(VLOOKUP(A18,'Centre WV1'!$A$7:$N$109,11,FALSE),0)</f>
        <v>0</v>
      </c>
      <c r="L18" s="38">
        <f>IFERROR(VLOOKUP(A18,'Centre DW1'!$A$7:$N$106,12,FALSE),0)+
IFERROR(VLOOKUP(A18,'Centre WP1'!$A$7:$N$107,12,FALSE),0)+
IFERROR(VLOOKUP(A18,'Centre WR1'!$A$7:$N$106,12,FALSE),0)+
IFERROR(VLOOKUP(A18,'Centre WV1'!$A$7:$N$109,12,FALSE),0)</f>
        <v>0</v>
      </c>
      <c r="M18" s="38">
        <f>IFERROR(VLOOKUP(A18,'Centre DW1'!$A$7:$N$106,13,FALSE),0)+
IFERROR(VLOOKUP(A18,'Centre WP1'!$A$7:$N$107,13,FALSE),0)+
IFERROR(VLOOKUP(A18,'Centre WR1'!$A$7:$N$106,13,FALSE),0)+
IFERROR(VLOOKUP(A18,'Centre WV1'!$A$7:$N$109,13,FALSE),0)</f>
        <v>0</v>
      </c>
      <c r="N18" s="38">
        <f>IFERROR(VLOOKUP(A18,'Centre DW1'!$A$7:$N$106,14,FALSE),0)+
IFERROR(VLOOKUP(A18,'Centre WP1'!$A$7:$N$107,14,FALSE),0)+
IFERROR(VLOOKUP(A18,'Centre WR1'!$A$7:$N$106,14,FALSE),0)+
IFERROR(VLOOKUP(A18,'Centre WV1'!$A$7:$N$109,14,FALSE),0)</f>
        <v>0</v>
      </c>
    </row>
    <row r="19" spans="1:14" x14ac:dyDescent="0.2">
      <c r="A19" s="39"/>
      <c r="B19" s="39" t="s">
        <v>47</v>
      </c>
      <c r="C19" s="40">
        <f>+C7+C14+C15+C16+C18</f>
        <v>99.5</v>
      </c>
      <c r="D19" s="40">
        <f t="shared" ref="D19:N19" si="2">+D7+D14+D15+D16+D18</f>
        <v>98.454799999999992</v>
      </c>
      <c r="E19" s="40">
        <f t="shared" si="2"/>
        <v>95.345563839999997</v>
      </c>
      <c r="F19" s="40">
        <f t="shared" si="2"/>
        <v>90.985936675071997</v>
      </c>
      <c r="G19" s="40">
        <f t="shared" si="2"/>
        <v>89.790933091919257</v>
      </c>
      <c r="H19" s="40">
        <f t="shared" si="2"/>
        <v>115.77707454758473</v>
      </c>
      <c r="I19" s="40">
        <f t="shared" si="2"/>
        <v>91.96254060198126</v>
      </c>
      <c r="J19" s="40">
        <f t="shared" si="2"/>
        <v>95.367335328660971</v>
      </c>
      <c r="K19" s="40">
        <f>+K7+K14+K15+K16+K18</f>
        <v>111.01347042719001</v>
      </c>
      <c r="L19" s="40">
        <f t="shared" si="2"/>
        <v>105.92516671339077</v>
      </c>
      <c r="M19" s="40">
        <f t="shared" si="2"/>
        <v>134.12907583195454</v>
      </c>
      <c r="N19" s="40">
        <f t="shared" si="2"/>
        <v>127.65452422105497</v>
      </c>
    </row>
    <row r="20" spans="1:14" x14ac:dyDescent="0.2">
      <c r="A20" s="33" t="s">
        <v>48</v>
      </c>
      <c r="B20" s="34" t="s">
        <v>49</v>
      </c>
      <c r="C20" s="37">
        <f>SUM(C21:C26)</f>
        <v>34.400000000000006</v>
      </c>
      <c r="D20" s="37">
        <f t="shared" ref="D20:N20" si="3">SUM(D21:D26)</f>
        <v>26.4</v>
      </c>
      <c r="E20" s="37">
        <f t="shared" si="3"/>
        <v>26</v>
      </c>
      <c r="F20" s="37">
        <f t="shared" si="3"/>
        <v>15.499999999999998</v>
      </c>
      <c r="G20" s="37">
        <f t="shared" si="3"/>
        <v>37.000000000000007</v>
      </c>
      <c r="H20" s="37">
        <f t="shared" si="3"/>
        <v>18.2</v>
      </c>
      <c r="I20" s="37">
        <f t="shared" si="3"/>
        <v>26.4</v>
      </c>
      <c r="J20" s="37">
        <f t="shared" si="3"/>
        <v>21</v>
      </c>
      <c r="K20" s="37">
        <f t="shared" si="3"/>
        <v>22.8</v>
      </c>
      <c r="L20" s="37">
        <f t="shared" si="3"/>
        <v>33.800000000000004</v>
      </c>
      <c r="M20" s="37">
        <f t="shared" si="3"/>
        <v>19.8</v>
      </c>
      <c r="N20" s="37">
        <f t="shared" si="3"/>
        <v>37.800000000000004</v>
      </c>
    </row>
    <row r="21" spans="1:14" outlineLevel="1" x14ac:dyDescent="0.2">
      <c r="A21" s="9" t="s">
        <v>50</v>
      </c>
      <c r="B21" s="1" t="s">
        <v>51</v>
      </c>
      <c r="C21" s="10">
        <f>IFERROR(VLOOKUP(A21,'Centre DW1'!$A$7:$N$106,3,FALSE),0)+
IFERROR(VLOOKUP(A21,'Centre WP1'!$A$7:$N$107,3,FALSE),0)+
IFERROR(VLOOKUP(A21,'Centre WR1'!$A$7:$N$106,3,FALSE),0)+
IFERROR(VLOOKUP(A21,'Centre WV1'!$A$7:$N$109,3,FALSE),0)</f>
        <v>0.7</v>
      </c>
      <c r="D21" s="10">
        <f>IFERROR(VLOOKUP(A21,'Centre DW1'!$A$7:$N$106,4,FALSE),0)+
IFERROR(VLOOKUP(A21,'Centre WP1'!$A$7:$N$107,4,FALSE),0)+
IFERROR(VLOOKUP(A21,'Centre WR1'!$A$7:$N$106,4,FALSE),0)+
IFERROR(VLOOKUP(A21,'Centre WV1'!$A$7:$N$109,4,FALSE),0)</f>
        <v>0.7</v>
      </c>
      <c r="E21" s="10">
        <f>IFERROR(VLOOKUP(A21,'Centre DW1'!$A$7:$N$106,5,FALSE),0)+
IFERROR(VLOOKUP(A21,'Centre WP1'!$A$7:$N$107,5,FALSE),0)+
IFERROR(VLOOKUP(A21,'Centre WR1'!$A$7:$N$106,5,FALSE),0)+
IFERROR(VLOOKUP(A21,'Centre WV1'!$A$7:$N$109,5,FALSE),0)</f>
        <v>0.7</v>
      </c>
      <c r="F21" s="10">
        <f>IFERROR(VLOOKUP(A21,'Centre DW1'!$A$7:$N$106,6,FALSE),0)+
IFERROR(VLOOKUP(A21,'Centre WP1'!$A$7:$N$107,6,FALSE),0)+
IFERROR(VLOOKUP(A21,'Centre WR1'!$A$7:$N$106,6,FALSE),0)+
IFERROR(VLOOKUP(A21,'Centre WV1'!$A$7:$N$109,6,FALSE),0)</f>
        <v>0.7</v>
      </c>
      <c r="G21" s="10">
        <f>IFERROR(VLOOKUP(A21,'Centre DW1'!$A$7:$N$106,7,FALSE),0)+
IFERROR(VLOOKUP(A21,'Centre WP1'!$A$7:$N$107,7,FALSE),0)+
IFERROR(VLOOKUP(A21,'Centre WR1'!$A$7:$N$106,7,FALSE),0)+
IFERROR(VLOOKUP(A21,'Centre WV1'!$A$7:$N$109,7,FALSE),0)</f>
        <v>0.7</v>
      </c>
      <c r="H21" s="10">
        <f>IFERROR(VLOOKUP(A21,'Centre DW1'!$A$7:$N$106,8,FALSE),0)+
IFERROR(VLOOKUP(A21,'Centre WP1'!$A$7:$N$107,8,FALSE),0)+
IFERROR(VLOOKUP(A21,'Centre WR1'!$A$7:$N$106,8,FALSE),0)+
IFERROR(VLOOKUP(A21,'Centre WV1'!$A$7:$N$109,8,FALSE),0)</f>
        <v>0.7</v>
      </c>
      <c r="I21" s="10">
        <f>IFERROR(VLOOKUP(A21,'Centre DW1'!$A$7:$N$106,9,FALSE),0)+
IFERROR(VLOOKUP(A21,'Centre WP1'!$A$7:$N$107,9,FALSE),0)+
IFERROR(VLOOKUP(A21,'Centre WR1'!$A$7:$N$106,9,FALSE),0)+
IFERROR(VLOOKUP(A21,'Centre WV1'!$A$7:$N$109,9,FALSE),0)</f>
        <v>0.7</v>
      </c>
      <c r="J21" s="32">
        <f>IFERROR(VLOOKUP(A21,'Centre DW1'!$A$7:$N$106,10,FALSE),0)+
IFERROR(VLOOKUP(A21,'Centre WP1'!$A$7:$N$107,10,FALSE),0)+
IFERROR(VLOOKUP(A21,'Centre WR1'!$A$7:$N$106,10,FALSE),0)+
IFERROR(VLOOKUP(A21,'Centre WV1'!$A$7:$N$109,10,FALSE),0)</f>
        <v>0.7</v>
      </c>
      <c r="K21" s="32">
        <f>IFERROR(VLOOKUP(A21,'Centre DW1'!$A$7:$N$106,11,FALSE),0)+
IFERROR(VLOOKUP(A21,'Centre WP1'!$A$7:$N$107,11,FALSE),0)+
IFERROR(VLOOKUP(A21,'Centre WR1'!$A$7:$N$106,11,FALSE),0)+
IFERROR(VLOOKUP(A21,'Centre WV1'!$A$7:$N$109,11,FALSE),0)</f>
        <v>0.7</v>
      </c>
      <c r="L21" s="32">
        <f>IFERROR(VLOOKUP(A21,'Centre DW1'!$A$7:$N$106,12,FALSE),0)+
IFERROR(VLOOKUP(A21,'Centre WP1'!$A$7:$N$107,12,FALSE),0)+
IFERROR(VLOOKUP(A21,'Centre WR1'!$A$7:$N$106,12,FALSE),0)+
IFERROR(VLOOKUP(A21,'Centre WV1'!$A$7:$N$109,12,FALSE),0)</f>
        <v>0.7</v>
      </c>
      <c r="M21" s="32">
        <f>IFERROR(VLOOKUP(A21,'Centre DW1'!$A$7:$N$106,13,FALSE),0)+
IFERROR(VLOOKUP(A21,'Centre WP1'!$A$7:$N$107,13,FALSE),0)+
IFERROR(VLOOKUP(A21,'Centre WR1'!$A$7:$N$106,13,FALSE),0)+
IFERROR(VLOOKUP(A21,'Centre WV1'!$A$7:$N$109,13,FALSE),0)</f>
        <v>0.7</v>
      </c>
      <c r="N21" s="32">
        <f>IFERROR(VLOOKUP(A21,'Centre DW1'!$A$7:$N$106,14,FALSE),0)+
IFERROR(VLOOKUP(A21,'Centre WP1'!$A$7:$N$107,14,FALSE),0)+
IFERROR(VLOOKUP(A21,'Centre WR1'!$A$7:$N$106,14,FALSE),0)+
IFERROR(VLOOKUP(A21,'Centre WV1'!$A$7:$N$109,14,FALSE),0)</f>
        <v>0.7</v>
      </c>
    </row>
    <row r="22" spans="1:14" outlineLevel="1" x14ac:dyDescent="0.2">
      <c r="A22" s="9" t="s">
        <v>52</v>
      </c>
      <c r="B22" s="1" t="s">
        <v>53</v>
      </c>
      <c r="C22" s="10">
        <f>IFERROR(VLOOKUP(A22,'Centre DW1'!$A$7:$N$106,3,FALSE),0)+
IFERROR(VLOOKUP(A22,'Centre WP1'!$A$7:$N$107,3,FALSE),0)+
IFERROR(VLOOKUP(A22,'Centre WR1'!$A$7:$N$106,3,FALSE),0)+
IFERROR(VLOOKUP(A22,'Centre WV1'!$A$7:$N$109,3,FALSE),0)</f>
        <v>0</v>
      </c>
      <c r="D22" s="10">
        <f>IFERROR(VLOOKUP(A22,'Centre DW1'!$A$7:$N$106,4,FALSE),0)+
IFERROR(VLOOKUP(A22,'Centre WP1'!$A$7:$N$107,4,FALSE),0)+
IFERROR(VLOOKUP(A22,'Centre WR1'!$A$7:$N$106,4,FALSE),0)+
IFERROR(VLOOKUP(A22,'Centre WV1'!$A$7:$N$109,4,FALSE),0)</f>
        <v>0</v>
      </c>
      <c r="E22" s="10">
        <f>IFERROR(VLOOKUP(A22,'Centre DW1'!$A$7:$N$106,5,FALSE),0)+
IFERROR(VLOOKUP(A22,'Centre WP1'!$A$7:$N$107,5,FALSE),0)+
IFERROR(VLOOKUP(A22,'Centre WR1'!$A$7:$N$106,5,FALSE),0)+
IFERROR(VLOOKUP(A22,'Centre WV1'!$A$7:$N$109,5,FALSE),0)</f>
        <v>0</v>
      </c>
      <c r="F22" s="10">
        <f>IFERROR(VLOOKUP(A22,'Centre DW1'!$A$7:$N$106,6,FALSE),0)+
IFERROR(VLOOKUP(A22,'Centre WP1'!$A$7:$N$107,6,FALSE),0)+
IFERROR(VLOOKUP(A22,'Centre WR1'!$A$7:$N$106,6,FALSE),0)+
IFERROR(VLOOKUP(A22,'Centre WV1'!$A$7:$N$109,6,FALSE),0)</f>
        <v>0</v>
      </c>
      <c r="G22" s="10">
        <f>IFERROR(VLOOKUP(A22,'Centre DW1'!$A$7:$N$106,7,FALSE),0)+
IFERROR(VLOOKUP(A22,'Centre WP1'!$A$7:$N$107,7,FALSE),0)+
IFERROR(VLOOKUP(A22,'Centre WR1'!$A$7:$N$106,7,FALSE),0)+
IFERROR(VLOOKUP(A22,'Centre WV1'!$A$7:$N$109,7,FALSE),0)</f>
        <v>0</v>
      </c>
      <c r="H22" s="10">
        <f>IFERROR(VLOOKUP(A22,'Centre DW1'!$A$7:$N$106,8,FALSE),0)+
IFERROR(VLOOKUP(A22,'Centre WP1'!$A$7:$N$107,8,FALSE),0)+
IFERROR(VLOOKUP(A22,'Centre WR1'!$A$7:$N$106,8,FALSE),0)+
IFERROR(VLOOKUP(A22,'Centre WV1'!$A$7:$N$109,8,FALSE),0)</f>
        <v>0</v>
      </c>
      <c r="I22" s="10">
        <f>IFERROR(VLOOKUP(A22,'Centre DW1'!$A$7:$N$106,9,FALSE),0)+
IFERROR(VLOOKUP(A22,'Centre WP1'!$A$7:$N$107,9,FALSE),0)+
IFERROR(VLOOKUP(A22,'Centre WR1'!$A$7:$N$106,9,FALSE),0)+
IFERROR(VLOOKUP(A22,'Centre WV1'!$A$7:$N$109,9,FALSE),0)</f>
        <v>0</v>
      </c>
      <c r="J22" s="32">
        <f>IFERROR(VLOOKUP(A22,'Centre DW1'!$A$7:$N$106,10,FALSE),0)+
IFERROR(VLOOKUP(A22,'Centre WP1'!$A$7:$N$107,10,FALSE),0)+
IFERROR(VLOOKUP(A22,'Centre WR1'!$A$7:$N$106,10,FALSE),0)+
IFERROR(VLOOKUP(A22,'Centre WV1'!$A$7:$N$109,10,FALSE),0)</f>
        <v>0</v>
      </c>
      <c r="K22" s="32">
        <f>IFERROR(VLOOKUP(A22,'Centre DW1'!$A$7:$N$106,11,FALSE),0)+
IFERROR(VLOOKUP(A22,'Centre WP1'!$A$7:$N$107,11,FALSE),0)+
IFERROR(VLOOKUP(A22,'Centre WR1'!$A$7:$N$106,11,FALSE),0)+
IFERROR(VLOOKUP(A22,'Centre WV1'!$A$7:$N$109,11,FALSE),0)</f>
        <v>0</v>
      </c>
      <c r="L22" s="32">
        <f>IFERROR(VLOOKUP(A22,'Centre DW1'!$A$7:$N$106,12,FALSE),0)+
IFERROR(VLOOKUP(A22,'Centre WP1'!$A$7:$N$107,12,FALSE),0)+
IFERROR(VLOOKUP(A22,'Centre WR1'!$A$7:$N$106,12,FALSE),0)+
IFERROR(VLOOKUP(A22,'Centre WV1'!$A$7:$N$109,12,FALSE),0)</f>
        <v>0</v>
      </c>
      <c r="M22" s="32">
        <f>IFERROR(VLOOKUP(A22,'Centre DW1'!$A$7:$N$106,13,FALSE),0)+
IFERROR(VLOOKUP(A22,'Centre WP1'!$A$7:$N$107,13,FALSE),0)+
IFERROR(VLOOKUP(A22,'Centre WR1'!$A$7:$N$106,13,FALSE),0)+
IFERROR(VLOOKUP(A22,'Centre WV1'!$A$7:$N$109,13,FALSE),0)</f>
        <v>0</v>
      </c>
      <c r="N22" s="32">
        <f>IFERROR(VLOOKUP(A22,'Centre DW1'!$A$7:$N$106,14,FALSE),0)+
IFERROR(VLOOKUP(A22,'Centre WP1'!$A$7:$N$107,14,FALSE),0)+
IFERROR(VLOOKUP(A22,'Centre WR1'!$A$7:$N$106,14,FALSE),0)+
IFERROR(VLOOKUP(A22,'Centre WV1'!$A$7:$N$109,14,FALSE),0)</f>
        <v>0</v>
      </c>
    </row>
    <row r="23" spans="1:14" outlineLevel="1" x14ac:dyDescent="0.2">
      <c r="A23" s="9" t="s">
        <v>54</v>
      </c>
      <c r="B23" s="1" t="s">
        <v>55</v>
      </c>
      <c r="C23" s="10">
        <f>IFERROR(VLOOKUP(A23,'Centre DW1'!$A$7:$N$106,3,FALSE),0)+
IFERROR(VLOOKUP(A23,'Centre WP1'!$A$7:$N$107,3,FALSE),0)+
IFERROR(VLOOKUP(A23,'Centre WR1'!$A$7:$N$106,3,FALSE),0)+
IFERROR(VLOOKUP(A23,'Centre WV1'!$A$7:$N$109,3,FALSE),0)</f>
        <v>0</v>
      </c>
      <c r="D23" s="10">
        <f>IFERROR(VLOOKUP(A23,'Centre DW1'!$A$7:$N$106,4,FALSE),0)+
IFERROR(VLOOKUP(A23,'Centre WP1'!$A$7:$N$107,4,FALSE),0)+
IFERROR(VLOOKUP(A23,'Centre WR1'!$A$7:$N$106,4,FALSE),0)+
IFERROR(VLOOKUP(A23,'Centre WV1'!$A$7:$N$109,4,FALSE),0)</f>
        <v>0</v>
      </c>
      <c r="E23" s="10">
        <f>IFERROR(VLOOKUP(A23,'Centre DW1'!$A$7:$N$106,5,FALSE),0)+
IFERROR(VLOOKUP(A23,'Centre WP1'!$A$7:$N$107,5,FALSE),0)+
IFERROR(VLOOKUP(A23,'Centre WR1'!$A$7:$N$106,5,FALSE),0)+
IFERROR(VLOOKUP(A23,'Centre WV1'!$A$7:$N$109,5,FALSE),0)</f>
        <v>0</v>
      </c>
      <c r="F23" s="10">
        <f>IFERROR(VLOOKUP(A23,'Centre DW1'!$A$7:$N$106,6,FALSE),0)+
IFERROR(VLOOKUP(A23,'Centre WP1'!$A$7:$N$107,6,FALSE),0)+
IFERROR(VLOOKUP(A23,'Centre WR1'!$A$7:$N$106,6,FALSE),0)+
IFERROR(VLOOKUP(A23,'Centre WV1'!$A$7:$N$109,6,FALSE),0)</f>
        <v>0</v>
      </c>
      <c r="G23" s="10">
        <f>IFERROR(VLOOKUP(A23,'Centre DW1'!$A$7:$N$106,7,FALSE),0)+
IFERROR(VLOOKUP(A23,'Centre WP1'!$A$7:$N$107,7,FALSE),0)+
IFERROR(VLOOKUP(A23,'Centre WR1'!$A$7:$N$106,7,FALSE),0)+
IFERROR(VLOOKUP(A23,'Centre WV1'!$A$7:$N$109,7,FALSE),0)</f>
        <v>0</v>
      </c>
      <c r="H23" s="10">
        <f>IFERROR(VLOOKUP(A23,'Centre DW1'!$A$7:$N$106,8,FALSE),0)+
IFERROR(VLOOKUP(A23,'Centre WP1'!$A$7:$N$107,8,FALSE),0)+
IFERROR(VLOOKUP(A23,'Centre WR1'!$A$7:$N$106,8,FALSE),0)+
IFERROR(VLOOKUP(A23,'Centre WV1'!$A$7:$N$109,8,FALSE),0)</f>
        <v>17.5</v>
      </c>
      <c r="I23" s="10">
        <f>IFERROR(VLOOKUP(A23,'Centre DW1'!$A$7:$N$106,9,FALSE),0)+
IFERROR(VLOOKUP(A23,'Centre WP1'!$A$7:$N$107,9,FALSE),0)+
IFERROR(VLOOKUP(A23,'Centre WR1'!$A$7:$N$106,9,FALSE),0)+
IFERROR(VLOOKUP(A23,'Centre WV1'!$A$7:$N$109,9,FALSE),0)</f>
        <v>0</v>
      </c>
      <c r="J23" s="32">
        <f>IFERROR(VLOOKUP(A23,'Centre DW1'!$A$7:$N$106,10,FALSE),0)+
IFERROR(VLOOKUP(A23,'Centre WP1'!$A$7:$N$107,10,FALSE),0)+
IFERROR(VLOOKUP(A23,'Centre WR1'!$A$7:$N$106,10,FALSE),0)+
IFERROR(VLOOKUP(A23,'Centre WV1'!$A$7:$N$109,10,FALSE),0)</f>
        <v>0</v>
      </c>
      <c r="K23" s="32">
        <f>IFERROR(VLOOKUP(A23,'Centre DW1'!$A$7:$N$106,11,FALSE),0)+
IFERROR(VLOOKUP(A23,'Centre WP1'!$A$7:$N$107,11,FALSE),0)+
IFERROR(VLOOKUP(A23,'Centre WR1'!$A$7:$N$106,11,FALSE),0)+
IFERROR(VLOOKUP(A23,'Centre WV1'!$A$7:$N$109,11,FALSE),0)</f>
        <v>0</v>
      </c>
      <c r="L23" s="32">
        <f>IFERROR(VLOOKUP(A23,'Centre DW1'!$A$7:$N$106,12,FALSE),0)+
IFERROR(VLOOKUP(A23,'Centre WP1'!$A$7:$N$107,12,FALSE),0)+
IFERROR(VLOOKUP(A23,'Centre WR1'!$A$7:$N$106,12,FALSE),0)+
IFERROR(VLOOKUP(A23,'Centre WV1'!$A$7:$N$109,12,FALSE),0)</f>
        <v>0</v>
      </c>
      <c r="M23" s="32">
        <f>IFERROR(VLOOKUP(A23,'Centre DW1'!$A$7:$N$106,13,FALSE),0)+
IFERROR(VLOOKUP(A23,'Centre WP1'!$A$7:$N$107,13,FALSE),0)+
IFERROR(VLOOKUP(A23,'Centre WR1'!$A$7:$N$106,13,FALSE),0)+
IFERROR(VLOOKUP(A23,'Centre WV1'!$A$7:$N$109,13,FALSE),0)</f>
        <v>19</v>
      </c>
      <c r="N23" s="32">
        <f>IFERROR(VLOOKUP(A23,'Centre DW1'!$A$7:$N$106,14,FALSE),0)+
IFERROR(VLOOKUP(A23,'Centre WP1'!$A$7:$N$107,14,FALSE),0)+
IFERROR(VLOOKUP(A23,'Centre WR1'!$A$7:$N$106,14,FALSE),0)+
IFERROR(VLOOKUP(A23,'Centre WV1'!$A$7:$N$109,14,FALSE),0)</f>
        <v>37</v>
      </c>
    </row>
    <row r="24" spans="1:14" outlineLevel="1" x14ac:dyDescent="0.2">
      <c r="A24" s="9" t="s">
        <v>56</v>
      </c>
      <c r="B24" s="1" t="s">
        <v>51</v>
      </c>
      <c r="C24" s="10">
        <f>IFERROR(VLOOKUP(A24,'Centre DW1'!$A$7:$N$106,3,FALSE),0)+
IFERROR(VLOOKUP(A24,'Centre WP1'!$A$7:$N$107,3,FALSE),0)+
IFERROR(VLOOKUP(A24,'Centre WR1'!$A$7:$N$106,3,FALSE),0)+
IFERROR(VLOOKUP(A24,'Centre WV1'!$A$7:$N$109,3,FALSE),0)</f>
        <v>33.200000000000003</v>
      </c>
      <c r="D24" s="10">
        <f>IFERROR(VLOOKUP(A24,'Centre DW1'!$A$7:$N$106,4,FALSE),0)+
IFERROR(VLOOKUP(A24,'Centre WP1'!$A$7:$N$107,4,FALSE),0)+
IFERROR(VLOOKUP(A24,'Centre WR1'!$A$7:$N$106,4,FALSE),0)+
IFERROR(VLOOKUP(A24,'Centre WV1'!$A$7:$N$109,4,FALSE),0)</f>
        <v>28.3</v>
      </c>
      <c r="E24" s="10">
        <f>IFERROR(VLOOKUP(A24,'Centre DW1'!$A$7:$N$106,5,FALSE),0)+
IFERROR(VLOOKUP(A24,'Centre WP1'!$A$7:$N$107,5,FALSE),0)+
IFERROR(VLOOKUP(A24,'Centre WR1'!$A$7:$N$106,5,FALSE),0)+
IFERROR(VLOOKUP(A24,'Centre WV1'!$A$7:$N$109,5,FALSE),0)</f>
        <v>25</v>
      </c>
      <c r="F24" s="10">
        <f>IFERROR(VLOOKUP(A24,'Centre DW1'!$A$7:$N$106,6,FALSE),0)+
IFERROR(VLOOKUP(A24,'Centre WP1'!$A$7:$N$107,6,FALSE),0)+
IFERROR(VLOOKUP(A24,'Centre WR1'!$A$7:$N$106,6,FALSE),0)+
IFERROR(VLOOKUP(A24,'Centre WV1'!$A$7:$N$109,6,FALSE),0)</f>
        <v>14.7</v>
      </c>
      <c r="G24" s="10">
        <f>IFERROR(VLOOKUP(A24,'Centre DW1'!$A$7:$N$106,7,FALSE),0)+
IFERROR(VLOOKUP(A24,'Centre WP1'!$A$7:$N$107,7,FALSE),0)+
IFERROR(VLOOKUP(A24,'Centre WR1'!$A$7:$N$106,7,FALSE),0)+
IFERROR(VLOOKUP(A24,'Centre WV1'!$A$7:$N$109,7,FALSE),0)</f>
        <v>36.200000000000003</v>
      </c>
      <c r="H24" s="10">
        <f>IFERROR(VLOOKUP(A24,'Centre DW1'!$A$7:$N$106,8,FALSE),0)+
IFERROR(VLOOKUP(A24,'Centre WP1'!$A$7:$N$107,8,FALSE),0)+
IFERROR(VLOOKUP(A24,'Centre WR1'!$A$7:$N$106,8,FALSE),0)+
IFERROR(VLOOKUP(A24,'Centre WV1'!$A$7:$N$109,8,FALSE),0)</f>
        <v>0</v>
      </c>
      <c r="I24" s="10">
        <f>IFERROR(VLOOKUP(A24,'Centre DW1'!$A$7:$N$106,9,FALSE),0)+
IFERROR(VLOOKUP(A24,'Centre WP1'!$A$7:$N$107,9,FALSE),0)+
IFERROR(VLOOKUP(A24,'Centre WR1'!$A$7:$N$106,9,FALSE),0)+
IFERROR(VLOOKUP(A24,'Centre WV1'!$A$7:$N$109,9,FALSE),0)</f>
        <v>28.3</v>
      </c>
      <c r="J24" s="32">
        <f>IFERROR(VLOOKUP(A24,'Centre DW1'!$A$7:$N$106,10,FALSE),0)+
IFERROR(VLOOKUP(A24,'Centre WP1'!$A$7:$N$107,10,FALSE),0)+
IFERROR(VLOOKUP(A24,'Centre WR1'!$A$7:$N$106,10,FALSE),0)+
IFERROR(VLOOKUP(A24,'Centre WV1'!$A$7:$N$109,10,FALSE),0)</f>
        <v>20</v>
      </c>
      <c r="K24" s="32">
        <f>IFERROR(VLOOKUP(A24,'Centre DW1'!$A$7:$N$106,11,FALSE),0)+
IFERROR(VLOOKUP(A24,'Centre WP1'!$A$7:$N$107,11,FALSE),0)+
IFERROR(VLOOKUP(A24,'Centre WR1'!$A$7:$N$106,11,FALSE),0)+
IFERROR(VLOOKUP(A24,'Centre WV1'!$A$7:$N$109,11,FALSE),0)</f>
        <v>22</v>
      </c>
      <c r="L24" s="32">
        <f>IFERROR(VLOOKUP(A24,'Centre DW1'!$A$7:$N$106,12,FALSE),0)+
IFERROR(VLOOKUP(A24,'Centre WP1'!$A$7:$N$107,12,FALSE),0)+
IFERROR(VLOOKUP(A24,'Centre WR1'!$A$7:$N$106,12,FALSE),0)+
IFERROR(VLOOKUP(A24,'Centre WV1'!$A$7:$N$109,12,FALSE),0)</f>
        <v>33</v>
      </c>
      <c r="M24" s="32">
        <f>IFERROR(VLOOKUP(A24,'Centre DW1'!$A$7:$N$106,13,FALSE),0)+
IFERROR(VLOOKUP(A24,'Centre WP1'!$A$7:$N$107,13,FALSE),0)+
IFERROR(VLOOKUP(A24,'Centre WR1'!$A$7:$N$106,13,FALSE),0)+
IFERROR(VLOOKUP(A24,'Centre WV1'!$A$7:$N$109,13,FALSE),0)</f>
        <v>0</v>
      </c>
      <c r="N24" s="32">
        <f>IFERROR(VLOOKUP(A24,'Centre DW1'!$A$7:$N$106,14,FALSE),0)+
IFERROR(VLOOKUP(A24,'Centre WP1'!$A$7:$N$107,14,FALSE),0)+
IFERROR(VLOOKUP(A24,'Centre WR1'!$A$7:$N$106,14,FALSE),0)+
IFERROR(VLOOKUP(A24,'Centre WV1'!$A$7:$N$109,14,FALSE),0)</f>
        <v>0</v>
      </c>
    </row>
    <row r="25" spans="1:14" outlineLevel="1" x14ac:dyDescent="0.2">
      <c r="A25" s="9" t="s">
        <v>57</v>
      </c>
      <c r="B25" s="1" t="s">
        <v>58</v>
      </c>
      <c r="C25" s="10">
        <f>IFERROR(VLOOKUP(A25,'Centre DW1'!$A$7:$N$106,3,FALSE),0)+
IFERROR(VLOOKUP(A25,'Centre WP1'!$A$7:$N$107,3,FALSE),0)+
IFERROR(VLOOKUP(A25,'Centre WR1'!$A$7:$N$106,3,FALSE),0)+
IFERROR(VLOOKUP(A25,'Centre WV1'!$A$7:$N$109,3,FALSE),0)</f>
        <v>0.5</v>
      </c>
      <c r="D25" s="10">
        <f>IFERROR(VLOOKUP(A25,'Centre DW1'!$A$7:$N$106,4,FALSE),0)+
IFERROR(VLOOKUP(A25,'Centre WP1'!$A$7:$N$107,4,FALSE),0)+
IFERROR(VLOOKUP(A25,'Centre WR1'!$A$7:$N$106,4,FALSE),0)+
IFERROR(VLOOKUP(A25,'Centre WV1'!$A$7:$N$109,4,FALSE),0)</f>
        <v>0</v>
      </c>
      <c r="E25" s="10">
        <f>IFERROR(VLOOKUP(A25,'Centre DW1'!$A$7:$N$106,5,FALSE),0)+
IFERROR(VLOOKUP(A25,'Centre WP1'!$A$7:$N$107,5,FALSE),0)+
IFERROR(VLOOKUP(A25,'Centre WR1'!$A$7:$N$106,5,FALSE),0)+
IFERROR(VLOOKUP(A25,'Centre WV1'!$A$7:$N$109,5,FALSE),0)</f>
        <v>0.3</v>
      </c>
      <c r="F25" s="10">
        <f>IFERROR(VLOOKUP(A25,'Centre DW1'!$A$7:$N$106,6,FALSE),0)+
IFERROR(VLOOKUP(A25,'Centre WP1'!$A$7:$N$107,6,FALSE),0)+
IFERROR(VLOOKUP(A25,'Centre WR1'!$A$7:$N$106,6,FALSE),0)+
IFERROR(VLOOKUP(A25,'Centre WV1'!$A$7:$N$109,6,FALSE),0)</f>
        <v>0.1</v>
      </c>
      <c r="G25" s="10">
        <f>IFERROR(VLOOKUP(A25,'Centre DW1'!$A$7:$N$106,7,FALSE),0)+
IFERROR(VLOOKUP(A25,'Centre WP1'!$A$7:$N$107,7,FALSE),0)+
IFERROR(VLOOKUP(A25,'Centre WR1'!$A$7:$N$106,7,FALSE),0)+
IFERROR(VLOOKUP(A25,'Centre WV1'!$A$7:$N$109,7,FALSE),0)</f>
        <v>0.1</v>
      </c>
      <c r="H25" s="10">
        <f>IFERROR(VLOOKUP(A25,'Centre DW1'!$A$7:$N$106,8,FALSE),0)+
IFERROR(VLOOKUP(A25,'Centre WP1'!$A$7:$N$107,8,FALSE),0)+
IFERROR(VLOOKUP(A25,'Centre WR1'!$A$7:$N$106,8,FALSE),0)+
IFERROR(VLOOKUP(A25,'Centre WV1'!$A$7:$N$109,8,FALSE),0)</f>
        <v>0</v>
      </c>
      <c r="I25" s="10">
        <f>IFERROR(VLOOKUP(A25,'Centre DW1'!$A$7:$N$106,9,FALSE),0)+
IFERROR(VLOOKUP(A25,'Centre WP1'!$A$7:$N$107,9,FALSE),0)+
IFERROR(VLOOKUP(A25,'Centre WR1'!$A$7:$N$106,9,FALSE),0)+
IFERROR(VLOOKUP(A25,'Centre WV1'!$A$7:$N$109,9,FALSE),0)</f>
        <v>0</v>
      </c>
      <c r="J25" s="32">
        <f>IFERROR(VLOOKUP(A25,'Centre DW1'!$A$7:$N$106,10,FALSE),0)+
IFERROR(VLOOKUP(A25,'Centre WP1'!$A$7:$N$107,10,FALSE),0)+
IFERROR(VLOOKUP(A25,'Centre WR1'!$A$7:$N$106,10,FALSE),0)+
IFERROR(VLOOKUP(A25,'Centre WV1'!$A$7:$N$109,10,FALSE),0)</f>
        <v>0.3</v>
      </c>
      <c r="K25" s="32">
        <f>IFERROR(VLOOKUP(A25,'Centre DW1'!$A$7:$N$106,11,FALSE),0)+
IFERROR(VLOOKUP(A25,'Centre WP1'!$A$7:$N$107,11,FALSE),0)+
IFERROR(VLOOKUP(A25,'Centre WR1'!$A$7:$N$106,11,FALSE),0)+
IFERROR(VLOOKUP(A25,'Centre WV1'!$A$7:$N$109,11,FALSE),0)</f>
        <v>0.1</v>
      </c>
      <c r="L25" s="32">
        <f>IFERROR(VLOOKUP(A25,'Centre DW1'!$A$7:$N$106,12,FALSE),0)+
IFERROR(VLOOKUP(A25,'Centre WP1'!$A$7:$N$107,12,FALSE),0)+
IFERROR(VLOOKUP(A25,'Centre WR1'!$A$7:$N$106,12,FALSE),0)+
IFERROR(VLOOKUP(A25,'Centre WV1'!$A$7:$N$109,12,FALSE),0)</f>
        <v>0.1</v>
      </c>
      <c r="M25" s="32">
        <f>IFERROR(VLOOKUP(A25,'Centre DW1'!$A$7:$N$106,13,FALSE),0)+
IFERROR(VLOOKUP(A25,'Centre WP1'!$A$7:$N$107,13,FALSE),0)+
IFERROR(VLOOKUP(A25,'Centre WR1'!$A$7:$N$106,13,FALSE),0)+
IFERROR(VLOOKUP(A25,'Centre WV1'!$A$7:$N$109,13,FALSE),0)</f>
        <v>0.1</v>
      </c>
      <c r="N25" s="32">
        <f>IFERROR(VLOOKUP(A25,'Centre DW1'!$A$7:$N$106,14,FALSE),0)+
IFERROR(VLOOKUP(A25,'Centre WP1'!$A$7:$N$107,14,FALSE),0)+
IFERROR(VLOOKUP(A25,'Centre WR1'!$A$7:$N$106,14,FALSE),0)+
IFERROR(VLOOKUP(A25,'Centre WV1'!$A$7:$N$109,14,FALSE),0)</f>
        <v>0.1</v>
      </c>
    </row>
    <row r="26" spans="1:14" outlineLevel="1" x14ac:dyDescent="0.2">
      <c r="A26" s="9" t="s">
        <v>59</v>
      </c>
      <c r="B26" s="1" t="s">
        <v>53</v>
      </c>
      <c r="C26" s="10">
        <f>IFERROR(VLOOKUP(A26,'Centre DW1'!$A$7:$N$106,3,FALSE),0)+
IFERROR(VLOOKUP(A26,'Centre WP1'!$A$7:$N$107,3,FALSE),0)+
IFERROR(VLOOKUP(A26,'Centre WR1'!$A$7:$N$106,3,FALSE),0)+
IFERROR(VLOOKUP(A26,'Centre WV1'!$A$7:$N$109,3,FALSE),0)</f>
        <v>0</v>
      </c>
      <c r="D26" s="10">
        <f>IFERROR(VLOOKUP(A26,'Centre DW1'!$A$7:$N$106,4,FALSE),0)+
IFERROR(VLOOKUP(A26,'Centre WP1'!$A$7:$N$107,4,FALSE),0)+
IFERROR(VLOOKUP(A26,'Centre WR1'!$A$7:$N$106,4,FALSE),0)+
IFERROR(VLOOKUP(A26,'Centre WV1'!$A$7:$N$109,4,FALSE),0)</f>
        <v>-2.6</v>
      </c>
      <c r="E26" s="10">
        <f>IFERROR(VLOOKUP(A26,'Centre DW1'!$A$7:$N$106,5,FALSE),0)+
IFERROR(VLOOKUP(A26,'Centre WP1'!$A$7:$N$107,5,FALSE),0)+
IFERROR(VLOOKUP(A26,'Centre WR1'!$A$7:$N$106,5,FALSE),0)+
IFERROR(VLOOKUP(A26,'Centre WV1'!$A$7:$N$109,5,FALSE),0)</f>
        <v>0</v>
      </c>
      <c r="F26" s="10">
        <f>IFERROR(VLOOKUP(A26,'Centre DW1'!$A$7:$N$106,6,FALSE),0)+
IFERROR(VLOOKUP(A26,'Centre WP1'!$A$7:$N$107,6,FALSE),0)+
IFERROR(VLOOKUP(A26,'Centre WR1'!$A$7:$N$106,6,FALSE),0)+
IFERROR(VLOOKUP(A26,'Centre WV1'!$A$7:$N$109,6,FALSE),0)</f>
        <v>0</v>
      </c>
      <c r="G26" s="10">
        <f>IFERROR(VLOOKUP(A26,'Centre DW1'!$A$7:$N$106,7,FALSE),0)+
IFERROR(VLOOKUP(A26,'Centre WP1'!$A$7:$N$107,7,FALSE),0)+
IFERROR(VLOOKUP(A26,'Centre WR1'!$A$7:$N$106,7,FALSE),0)+
IFERROR(VLOOKUP(A26,'Centre WV1'!$A$7:$N$109,7,FALSE),0)</f>
        <v>0</v>
      </c>
      <c r="H26" s="10">
        <f>IFERROR(VLOOKUP(A26,'Centre DW1'!$A$7:$N$106,8,FALSE),0)+
IFERROR(VLOOKUP(A26,'Centre WP1'!$A$7:$N$107,8,FALSE),0)+
IFERROR(VLOOKUP(A26,'Centre WR1'!$A$7:$N$106,8,FALSE),0)+
IFERROR(VLOOKUP(A26,'Centre WV1'!$A$7:$N$109,8,FALSE),0)</f>
        <v>0</v>
      </c>
      <c r="I26" s="10">
        <f>IFERROR(VLOOKUP(A26,'Centre DW1'!$A$7:$N$106,9,FALSE),0)+
IFERROR(VLOOKUP(A26,'Centre WP1'!$A$7:$N$107,9,FALSE),0)+
IFERROR(VLOOKUP(A26,'Centre WR1'!$A$7:$N$106,9,FALSE),0)+
IFERROR(VLOOKUP(A26,'Centre WV1'!$A$7:$N$109,9,FALSE),0)</f>
        <v>-2.6</v>
      </c>
      <c r="J26" s="32">
        <f>IFERROR(VLOOKUP(A26,'Centre DW1'!$A$7:$N$106,10,FALSE),0)+
IFERROR(VLOOKUP(A26,'Centre WP1'!$A$7:$N$107,10,FALSE),0)+
IFERROR(VLOOKUP(A26,'Centre WR1'!$A$7:$N$106,10,FALSE),0)+
IFERROR(VLOOKUP(A26,'Centre WV1'!$A$7:$N$109,10,FALSE),0)</f>
        <v>0</v>
      </c>
      <c r="K26" s="32">
        <f>IFERROR(VLOOKUP(A26,'Centre DW1'!$A$7:$N$106,11,FALSE),0)+
IFERROR(VLOOKUP(A26,'Centre WP1'!$A$7:$N$107,11,FALSE),0)+
IFERROR(VLOOKUP(A26,'Centre WR1'!$A$7:$N$106,11,FALSE),0)+
IFERROR(VLOOKUP(A26,'Centre WV1'!$A$7:$N$109,11,FALSE),0)</f>
        <v>0</v>
      </c>
      <c r="L26" s="32">
        <f>IFERROR(VLOOKUP(A26,'Centre DW1'!$A$7:$N$106,12,FALSE),0)+
IFERROR(VLOOKUP(A26,'Centre WP1'!$A$7:$N$107,12,FALSE),0)+
IFERROR(VLOOKUP(A26,'Centre WR1'!$A$7:$N$106,12,FALSE),0)+
IFERROR(VLOOKUP(A26,'Centre WV1'!$A$7:$N$109,12,FALSE),0)</f>
        <v>0</v>
      </c>
      <c r="M26" s="32">
        <f>IFERROR(VLOOKUP(A26,'Centre DW1'!$A$7:$N$106,13,FALSE),0)+
IFERROR(VLOOKUP(A26,'Centre WP1'!$A$7:$N$107,13,FALSE),0)+
IFERROR(VLOOKUP(A26,'Centre WR1'!$A$7:$N$106,13,FALSE),0)+
IFERROR(VLOOKUP(A26,'Centre WV1'!$A$7:$N$109,13,FALSE),0)</f>
        <v>0</v>
      </c>
      <c r="N26" s="32">
        <f>IFERROR(VLOOKUP(A26,'Centre DW1'!$A$7:$N$106,14,FALSE),0)+
IFERROR(VLOOKUP(A26,'Centre WP1'!$A$7:$N$107,14,FALSE),0)+
IFERROR(VLOOKUP(A26,'Centre WR1'!$A$7:$N$106,14,FALSE),0)+
IFERROR(VLOOKUP(A26,'Centre WV1'!$A$7:$N$109,14,FALSE),0)</f>
        <v>0</v>
      </c>
    </row>
    <row r="27" spans="1:14" x14ac:dyDescent="0.2">
      <c r="A27" s="33" t="s">
        <v>60</v>
      </c>
      <c r="B27" s="34" t="s">
        <v>61</v>
      </c>
      <c r="C27" s="37">
        <f>IFERROR(VLOOKUP(A27,'Centre DW1'!$A$7:$N$106,3,FALSE),0)+
IFERROR(VLOOKUP(A27,'Centre WP1'!$A$7:$N$107,3,FALSE),0)+
IFERROR(VLOOKUP(A27,'Centre WR1'!$A$7:$N$106,3,FALSE),0)+
IFERROR(VLOOKUP(A27,'Centre WV1'!$A$7:$N$109,3,FALSE),0)</f>
        <v>0.1</v>
      </c>
      <c r="D27" s="37">
        <f>IFERROR(VLOOKUP(A27,'Centre DW1'!$A$7:$N$106,4,FALSE),0)+
IFERROR(VLOOKUP(A27,'Centre WP1'!$A$7:$N$107,4,FALSE),0)+
IFERROR(VLOOKUP(A27,'Centre WR1'!$A$7:$N$106,4,FALSE),0)+
IFERROR(VLOOKUP(A27,'Centre WV1'!$A$7:$N$109,4,FALSE),0)</f>
        <v>0.1</v>
      </c>
      <c r="E27" s="37">
        <f>IFERROR(VLOOKUP(A27,'Centre DW1'!$A$7:$N$106,5,FALSE),0)+
IFERROR(VLOOKUP(A27,'Centre WP1'!$A$7:$N$107,5,FALSE),0)+
IFERROR(VLOOKUP(A27,'Centre WR1'!$A$7:$N$106,5,FALSE),0)+
IFERROR(VLOOKUP(A27,'Centre WV1'!$A$7:$N$109,5,FALSE),0)</f>
        <v>0.1</v>
      </c>
      <c r="F27" s="37">
        <f>IFERROR(VLOOKUP(A27,'Centre DW1'!$A$7:$N$106,6,FALSE),0)+
IFERROR(VLOOKUP(A27,'Centre WP1'!$A$7:$N$107,6,FALSE),0)+
IFERROR(VLOOKUP(A27,'Centre WR1'!$A$7:$N$106,6,FALSE),0)+
IFERROR(VLOOKUP(A27,'Centre WV1'!$A$7:$N$109,6,FALSE),0)</f>
        <v>0.1</v>
      </c>
      <c r="G27" s="37">
        <f>IFERROR(VLOOKUP(A27,'Centre DW1'!$A$7:$N$106,7,FALSE),0)+
IFERROR(VLOOKUP(A27,'Centre WP1'!$A$7:$N$107,7,FALSE),0)+
IFERROR(VLOOKUP(A27,'Centre WR1'!$A$7:$N$106,7,FALSE),0)+
IFERROR(VLOOKUP(A27,'Centre WV1'!$A$7:$N$109,7,FALSE),0)</f>
        <v>0.1</v>
      </c>
      <c r="H27" s="37">
        <f>IFERROR(VLOOKUP(A27,'Centre DW1'!$A$7:$N$106,8,FALSE),0)+
IFERROR(VLOOKUP(A27,'Centre WP1'!$A$7:$N$107,8,FALSE),0)+
IFERROR(VLOOKUP(A27,'Centre WR1'!$A$7:$N$106,8,FALSE),0)+
IFERROR(VLOOKUP(A27,'Centre WV1'!$A$7:$N$109,8,FALSE),0)</f>
        <v>0.1</v>
      </c>
      <c r="I27" s="37">
        <f>IFERROR(VLOOKUP(A27,'Centre DW1'!$A$7:$N$106,9,FALSE),0)+
IFERROR(VLOOKUP(A27,'Centre WP1'!$A$7:$N$107,9,FALSE),0)+
IFERROR(VLOOKUP(A27,'Centre WR1'!$A$7:$N$106,9,FALSE),0)+
IFERROR(VLOOKUP(A27,'Centre WV1'!$A$7:$N$109,9,FALSE),0)</f>
        <v>0.1</v>
      </c>
      <c r="J27" s="38">
        <f>IFERROR(VLOOKUP(A27,'Centre DW1'!$A$7:$N$106,10,FALSE),0)+
IFERROR(VLOOKUP(A27,'Centre WP1'!$A$7:$N$107,10,FALSE),0)+
IFERROR(VLOOKUP(A27,'Centre WR1'!$A$7:$N$106,10,FALSE),0)+
IFERROR(VLOOKUP(A27,'Centre WV1'!$A$7:$N$109,10,FALSE),0)</f>
        <v>0.1</v>
      </c>
      <c r="K27" s="38">
        <f>IFERROR(VLOOKUP(A27,'Centre DW1'!$A$7:$N$106,11,FALSE),0)+
IFERROR(VLOOKUP(A27,'Centre WP1'!$A$7:$N$107,11,FALSE),0)+
IFERROR(VLOOKUP(A27,'Centre WR1'!$A$7:$N$106,11,FALSE),0)+
IFERROR(VLOOKUP(A27,'Centre WV1'!$A$7:$N$109,11,FALSE),0)</f>
        <v>0.1</v>
      </c>
      <c r="L27" s="38">
        <f>IFERROR(VLOOKUP(A27,'Centre DW1'!$A$7:$N$106,12,FALSE),0)+
IFERROR(VLOOKUP(A27,'Centre WP1'!$A$7:$N$107,12,FALSE),0)+
IFERROR(VLOOKUP(A27,'Centre WR1'!$A$7:$N$106,12,FALSE),0)+
IFERROR(VLOOKUP(A27,'Centre WV1'!$A$7:$N$109,12,FALSE),0)</f>
        <v>0.1</v>
      </c>
      <c r="M27" s="38">
        <f>IFERROR(VLOOKUP(A27,'Centre DW1'!$A$7:$N$106,13,FALSE),0)+
IFERROR(VLOOKUP(A27,'Centre WP1'!$A$7:$N$107,13,FALSE),0)+
IFERROR(VLOOKUP(A27,'Centre WR1'!$A$7:$N$106,13,FALSE),0)+
IFERROR(VLOOKUP(A27,'Centre WV1'!$A$7:$N$109,13,FALSE),0)</f>
        <v>0.1</v>
      </c>
      <c r="N27" s="38">
        <f>IFERROR(VLOOKUP(A27,'Centre DW1'!$A$7:$N$106,14,FALSE),0)+
IFERROR(VLOOKUP(A27,'Centre WP1'!$A$7:$N$107,14,FALSE),0)+
IFERROR(VLOOKUP(A27,'Centre WR1'!$A$7:$N$106,14,FALSE),0)+
IFERROR(VLOOKUP(A27,'Centre WV1'!$A$7:$N$109,14,FALSE),0)</f>
        <v>0.1</v>
      </c>
    </row>
    <row r="28" spans="1:14" x14ac:dyDescent="0.2">
      <c r="A28" s="33" t="s">
        <v>62</v>
      </c>
      <c r="B28" s="34" t="s">
        <v>63</v>
      </c>
      <c r="C28" s="37">
        <f>IFERROR(VLOOKUP(A28,'Centre DW1'!$A$7:$N$106,3,FALSE),0)+
IFERROR(VLOOKUP(A28,'Centre WP1'!$A$7:$N$107,3,FALSE),0)+
IFERROR(VLOOKUP(A28,'Centre WR1'!$A$7:$N$106,3,FALSE),0)+
IFERROR(VLOOKUP(A28,'Centre WV1'!$A$7:$N$109,3,FALSE),0)</f>
        <v>0</v>
      </c>
      <c r="D28" s="37">
        <f>IFERROR(VLOOKUP(A28,'Centre DW1'!$A$7:$N$106,4,FALSE),0)+
IFERROR(VLOOKUP(A28,'Centre WP1'!$A$7:$N$107,4,FALSE),0)+
IFERROR(VLOOKUP(A28,'Centre WR1'!$A$7:$N$106,4,FALSE),0)+
IFERROR(VLOOKUP(A28,'Centre WV1'!$A$7:$N$109,4,FALSE),0)</f>
        <v>0</v>
      </c>
      <c r="E28" s="37">
        <f>IFERROR(VLOOKUP(A28,'Centre DW1'!$A$7:$N$106,5,FALSE),0)+
IFERROR(VLOOKUP(A28,'Centre WP1'!$A$7:$N$107,5,FALSE),0)+
IFERROR(VLOOKUP(A28,'Centre WR1'!$A$7:$N$106,5,FALSE),0)+
IFERROR(VLOOKUP(A28,'Centre WV1'!$A$7:$N$109,5,FALSE),0)</f>
        <v>0</v>
      </c>
      <c r="F28" s="37">
        <f>IFERROR(VLOOKUP(A28,'Centre DW1'!$A$7:$N$106,6,FALSE),0)+
IFERROR(VLOOKUP(A28,'Centre WP1'!$A$7:$N$107,6,FALSE),0)+
IFERROR(VLOOKUP(A28,'Centre WR1'!$A$7:$N$106,6,FALSE),0)+
IFERROR(VLOOKUP(A28,'Centre WV1'!$A$7:$N$109,6,FALSE),0)</f>
        <v>0</v>
      </c>
      <c r="G28" s="37">
        <f>IFERROR(VLOOKUP(A28,'Centre DW1'!$A$7:$N$106,7,FALSE),0)+
IFERROR(VLOOKUP(A28,'Centre WP1'!$A$7:$N$107,7,FALSE),0)+
IFERROR(VLOOKUP(A28,'Centre WR1'!$A$7:$N$106,7,FALSE),0)+
IFERROR(VLOOKUP(A28,'Centre WV1'!$A$7:$N$109,7,FALSE),0)</f>
        <v>0</v>
      </c>
      <c r="H28" s="37">
        <f>IFERROR(VLOOKUP(A28,'Centre DW1'!$A$7:$N$106,8,FALSE),0)+
IFERROR(VLOOKUP(A28,'Centre WP1'!$A$7:$N$107,8,FALSE),0)+
IFERROR(VLOOKUP(A28,'Centre WR1'!$A$7:$N$106,8,FALSE),0)+
IFERROR(VLOOKUP(A28,'Centre WV1'!$A$7:$N$109,8,FALSE),0)</f>
        <v>0</v>
      </c>
      <c r="I28" s="37">
        <f>IFERROR(VLOOKUP(A28,'Centre DW1'!$A$7:$N$106,9,FALSE),0)+
IFERROR(VLOOKUP(A28,'Centre WP1'!$A$7:$N$107,9,FALSE),0)+
IFERROR(VLOOKUP(A28,'Centre WR1'!$A$7:$N$106,9,FALSE),0)+
IFERROR(VLOOKUP(A28,'Centre WV1'!$A$7:$N$109,9,FALSE),0)</f>
        <v>0</v>
      </c>
      <c r="J28" s="38">
        <f>IFERROR(VLOOKUP(A28,'Centre DW1'!$A$7:$N$106,10,FALSE),0)+
IFERROR(VLOOKUP(A28,'Centre WP1'!$A$7:$N$107,10,FALSE),0)+
IFERROR(VLOOKUP(A28,'Centre WR1'!$A$7:$N$106,10,FALSE),0)+
IFERROR(VLOOKUP(A28,'Centre WV1'!$A$7:$N$109,10,FALSE),0)</f>
        <v>0</v>
      </c>
      <c r="K28" s="38">
        <f>IFERROR(VLOOKUP(A28,'Centre DW1'!$A$7:$N$106,11,FALSE),0)+
IFERROR(VLOOKUP(A28,'Centre WP1'!$A$7:$N$107,11,FALSE),0)+
IFERROR(VLOOKUP(A28,'Centre WR1'!$A$7:$N$106,11,FALSE),0)+
IFERROR(VLOOKUP(A28,'Centre WV1'!$A$7:$N$109,11,FALSE),0)</f>
        <v>0</v>
      </c>
      <c r="L28" s="38">
        <f>IFERROR(VLOOKUP(A28,'Centre DW1'!$A$7:$N$106,12,FALSE),0)+
IFERROR(VLOOKUP(A28,'Centre WP1'!$A$7:$N$107,12,FALSE),0)+
IFERROR(VLOOKUP(A28,'Centre WR1'!$A$7:$N$106,12,FALSE),0)+
IFERROR(VLOOKUP(A28,'Centre WV1'!$A$7:$N$109,12,FALSE),0)</f>
        <v>0</v>
      </c>
      <c r="M28" s="38">
        <f>IFERROR(VLOOKUP(A28,'Centre DW1'!$A$7:$N$106,13,FALSE),0)+
IFERROR(VLOOKUP(A28,'Centre WP1'!$A$7:$N$107,13,FALSE),0)+
IFERROR(VLOOKUP(A28,'Centre WR1'!$A$7:$N$106,13,FALSE),0)+
IFERROR(VLOOKUP(A28,'Centre WV1'!$A$7:$N$109,13,FALSE),0)</f>
        <v>0</v>
      </c>
      <c r="N28" s="38">
        <f>IFERROR(VLOOKUP(A28,'Centre DW1'!$A$7:$N$106,14,FALSE),0)+
IFERROR(VLOOKUP(A28,'Centre WP1'!$A$7:$N$107,14,FALSE),0)+
IFERROR(VLOOKUP(A28,'Centre WR1'!$A$7:$N$106,14,FALSE),0)+
IFERROR(VLOOKUP(A28,'Centre WV1'!$A$7:$N$109,14,FALSE),0)</f>
        <v>0</v>
      </c>
    </row>
    <row r="29" spans="1:14" x14ac:dyDescent="0.2">
      <c r="A29" s="33" t="s">
        <v>64</v>
      </c>
      <c r="B29" s="34" t="s">
        <v>65</v>
      </c>
      <c r="C29" s="37">
        <f>+C30</f>
        <v>6.4</v>
      </c>
      <c r="D29" s="37">
        <f t="shared" ref="D29:N29" si="4">+D30</f>
        <v>-26.3</v>
      </c>
      <c r="E29" s="37">
        <f t="shared" si="4"/>
        <v>-8.4</v>
      </c>
      <c r="F29" s="37">
        <f t="shared" si="4"/>
        <v>1.1000000000000001</v>
      </c>
      <c r="G29" s="37">
        <f t="shared" si="4"/>
        <v>-6.3</v>
      </c>
      <c r="H29" s="37">
        <f t="shared" si="4"/>
        <v>-0.6</v>
      </c>
      <c r="I29" s="37">
        <f t="shared" si="4"/>
        <v>-26.3</v>
      </c>
      <c r="J29" s="37">
        <f t="shared" si="4"/>
        <v>-8.4</v>
      </c>
      <c r="K29" s="37">
        <f t="shared" si="4"/>
        <v>1.1000000000000001</v>
      </c>
      <c r="L29" s="37">
        <f t="shared" si="4"/>
        <v>-6.3</v>
      </c>
      <c r="M29" s="37">
        <f t="shared" si="4"/>
        <v>-0.6</v>
      </c>
      <c r="N29" s="37">
        <f t="shared" si="4"/>
        <v>-0.6</v>
      </c>
    </row>
    <row r="30" spans="1:14" outlineLevel="1" x14ac:dyDescent="0.2">
      <c r="A30" s="9" t="s">
        <v>66</v>
      </c>
      <c r="B30" s="1" t="s">
        <v>67</v>
      </c>
      <c r="C30" s="10">
        <f>IFERROR(VLOOKUP(A30,'Centre DW1'!$A$7:$N$106,3,FALSE),0)+
IFERROR(VLOOKUP(A30,'Centre WP1'!$A$7:$N$107,3,FALSE),0)+
IFERROR(VLOOKUP(A30,'Centre WR1'!$A$7:$N$106,3,FALSE),0)+
IFERROR(VLOOKUP(A30,'Centre WV1'!$A$7:$N$109,3,FALSE),0)</f>
        <v>6.4</v>
      </c>
      <c r="D30" s="10">
        <f>IFERROR(VLOOKUP(A30,'Centre DW1'!$A$7:$N$106,4,FALSE),0)+
IFERROR(VLOOKUP(A30,'Centre WP1'!$A$7:$N$107,4,FALSE),0)+
IFERROR(VLOOKUP(A30,'Centre WR1'!$A$7:$N$106,4,FALSE),0)+
IFERROR(VLOOKUP(A30,'Centre WV1'!$A$7:$N$109,4,FALSE),0)</f>
        <v>-26.3</v>
      </c>
      <c r="E30" s="10">
        <f>IFERROR(VLOOKUP(A30,'Centre DW1'!$A$7:$N$106,5,FALSE),0)+
IFERROR(VLOOKUP(A30,'Centre WP1'!$A$7:$N$107,5,FALSE),0)+
IFERROR(VLOOKUP(A30,'Centre WR1'!$A$7:$N$106,5,FALSE),0)+
IFERROR(VLOOKUP(A30,'Centre WV1'!$A$7:$N$109,5,FALSE),0)</f>
        <v>-8.4</v>
      </c>
      <c r="F30" s="10">
        <f>IFERROR(VLOOKUP(A30,'Centre DW1'!$A$7:$N$106,6,FALSE),0)+
IFERROR(VLOOKUP(A30,'Centre WP1'!$A$7:$N$107,6,FALSE),0)+
IFERROR(VLOOKUP(A30,'Centre WR1'!$A$7:$N$106,6,FALSE),0)+
IFERROR(VLOOKUP(A30,'Centre WV1'!$A$7:$N$109,6,FALSE),0)</f>
        <v>1.1000000000000001</v>
      </c>
      <c r="G30" s="10">
        <f>IFERROR(VLOOKUP(A30,'Centre DW1'!$A$7:$N$106,7,FALSE),0)+
IFERROR(VLOOKUP(A30,'Centre WP1'!$A$7:$N$107,7,FALSE),0)+
IFERROR(VLOOKUP(A30,'Centre WR1'!$A$7:$N$106,7,FALSE),0)+
IFERROR(VLOOKUP(A30,'Centre WV1'!$A$7:$N$109,7,FALSE),0)</f>
        <v>-6.3</v>
      </c>
      <c r="H30" s="10">
        <f>IFERROR(VLOOKUP(A30,'Centre DW1'!$A$7:$N$106,8,FALSE),0)+
IFERROR(VLOOKUP(A30,'Centre WP1'!$A$7:$N$107,8,FALSE),0)+
IFERROR(VLOOKUP(A30,'Centre WR1'!$A$7:$N$106,8,FALSE),0)+
IFERROR(VLOOKUP(A30,'Centre WV1'!$A$7:$N$109,8,FALSE),0)</f>
        <v>-0.6</v>
      </c>
      <c r="I30" s="10">
        <f>IFERROR(VLOOKUP(A30,'Centre DW1'!$A$7:$N$106,9,FALSE),0)+
IFERROR(VLOOKUP(A30,'Centre WP1'!$A$7:$N$107,9,FALSE),0)+
IFERROR(VLOOKUP(A30,'Centre WR1'!$A$7:$N$106,9,FALSE),0)+
IFERROR(VLOOKUP(A30,'Centre WV1'!$A$7:$N$109,9,FALSE),0)</f>
        <v>-26.3</v>
      </c>
      <c r="J30" s="32">
        <f>IFERROR(VLOOKUP(A30,'Centre DW1'!$A$7:$N$106,10,FALSE),0)+
IFERROR(VLOOKUP(A30,'Centre WP1'!$A$7:$N$107,10,FALSE),0)+
IFERROR(VLOOKUP(A30,'Centre WR1'!$A$7:$N$106,10,FALSE),0)+
IFERROR(VLOOKUP(A30,'Centre WV1'!$A$7:$N$109,10,FALSE),0)</f>
        <v>-8.4</v>
      </c>
      <c r="K30" s="32">
        <f>IFERROR(VLOOKUP(A30,'Centre DW1'!$A$7:$N$106,11,FALSE),0)+
IFERROR(VLOOKUP(A30,'Centre WP1'!$A$7:$N$107,11,FALSE),0)+
IFERROR(VLOOKUP(A30,'Centre WR1'!$A$7:$N$106,11,FALSE),0)+
IFERROR(VLOOKUP(A30,'Centre WV1'!$A$7:$N$109,11,FALSE),0)</f>
        <v>1.1000000000000001</v>
      </c>
      <c r="L30" s="32">
        <f>IFERROR(VLOOKUP(A30,'Centre DW1'!$A$7:$N$106,12,FALSE),0)+
IFERROR(VLOOKUP(A30,'Centre WP1'!$A$7:$N$107,12,FALSE),0)+
IFERROR(VLOOKUP(A30,'Centre WR1'!$A$7:$N$106,12,FALSE),0)+
IFERROR(VLOOKUP(A30,'Centre WV1'!$A$7:$N$109,12,FALSE),0)</f>
        <v>-6.3</v>
      </c>
      <c r="M30" s="32">
        <f>IFERROR(VLOOKUP(A30,'Centre DW1'!$A$7:$N$106,13,FALSE),0)+
IFERROR(VLOOKUP(A30,'Centre WP1'!$A$7:$N$107,13,FALSE),0)+
IFERROR(VLOOKUP(A30,'Centre WR1'!$A$7:$N$106,13,FALSE),0)+
IFERROR(VLOOKUP(A30,'Centre WV1'!$A$7:$N$109,13,FALSE),0)</f>
        <v>-0.6</v>
      </c>
      <c r="N30" s="32">
        <f>IFERROR(VLOOKUP(A30,'Centre DW1'!$A$7:$N$106,14,FALSE),0)+
IFERROR(VLOOKUP(A30,'Centre WP1'!$A$7:$N$107,14,FALSE),0)+
IFERROR(VLOOKUP(A30,'Centre WR1'!$A$7:$N$106,14,FALSE),0)+
IFERROR(VLOOKUP(A30,'Centre WV1'!$A$7:$N$109,14,FALSE),0)</f>
        <v>-0.6</v>
      </c>
    </row>
    <row r="31" spans="1:14" x14ac:dyDescent="0.2">
      <c r="A31" s="33" t="s">
        <v>68</v>
      </c>
      <c r="B31" s="34" t="s">
        <v>69</v>
      </c>
      <c r="C31" s="37">
        <f>IFERROR(VLOOKUP(A31,'Centre DW1'!$A$7:$N$106,3,FALSE),0)+
IFERROR(VLOOKUP(A31,'Centre WP1'!$A$7:$N$107,3,FALSE),0)+
IFERROR(VLOOKUP(A31,'Centre WR1'!$A$7:$N$106,3,FALSE),0)+
IFERROR(VLOOKUP(A31,'Centre WV1'!$A$7:$N$109,3,FALSE),0)</f>
        <v>0</v>
      </c>
      <c r="D31" s="37">
        <f>IFERROR(VLOOKUP(A31,'Centre DW1'!$A$7:$N$106,4,FALSE),0)+
IFERROR(VLOOKUP(A31,'Centre WP1'!$A$7:$N$107,4,FALSE),0)+
IFERROR(VLOOKUP(A31,'Centre WR1'!$A$7:$N$106,4,FALSE),0)+
IFERROR(VLOOKUP(A31,'Centre WV1'!$A$7:$N$109,4,FALSE),0)</f>
        <v>0</v>
      </c>
      <c r="E31" s="37">
        <f>IFERROR(VLOOKUP(A31,'Centre DW1'!$A$7:$N$106,5,FALSE),0)+
IFERROR(VLOOKUP(A31,'Centre WP1'!$A$7:$N$107,5,FALSE),0)+
IFERROR(VLOOKUP(A31,'Centre WR1'!$A$7:$N$106,5,FALSE),0)+
IFERROR(VLOOKUP(A31,'Centre WV1'!$A$7:$N$109,5,FALSE),0)</f>
        <v>0</v>
      </c>
      <c r="F31" s="37">
        <f>IFERROR(VLOOKUP(A31,'Centre DW1'!$A$7:$N$106,6,FALSE),0)+
IFERROR(VLOOKUP(A31,'Centre WP1'!$A$7:$N$107,6,FALSE),0)+
IFERROR(VLOOKUP(A31,'Centre WR1'!$A$7:$N$106,6,FALSE),0)+
IFERROR(VLOOKUP(A31,'Centre WV1'!$A$7:$N$109,6,FALSE),0)</f>
        <v>0</v>
      </c>
      <c r="G31" s="37">
        <f>IFERROR(VLOOKUP(A31,'Centre DW1'!$A$7:$N$106,7,FALSE),0)+
IFERROR(VLOOKUP(A31,'Centre WP1'!$A$7:$N$107,7,FALSE),0)+
IFERROR(VLOOKUP(A31,'Centre WR1'!$A$7:$N$106,7,FALSE),0)+
IFERROR(VLOOKUP(A31,'Centre WV1'!$A$7:$N$109,7,FALSE),0)</f>
        <v>0</v>
      </c>
      <c r="H31" s="37">
        <f>IFERROR(VLOOKUP(A31,'Centre DW1'!$A$7:$N$106,8,FALSE),0)+
IFERROR(VLOOKUP(A31,'Centre WP1'!$A$7:$N$107,8,FALSE),0)+
IFERROR(VLOOKUP(A31,'Centre WR1'!$A$7:$N$106,8,FALSE),0)+
IFERROR(VLOOKUP(A31,'Centre WV1'!$A$7:$N$109,8,FALSE),0)</f>
        <v>0</v>
      </c>
      <c r="I31" s="37">
        <f>IFERROR(VLOOKUP(A31,'Centre DW1'!$A$7:$N$106,9,FALSE),0)+
IFERROR(VLOOKUP(A31,'Centre WP1'!$A$7:$N$107,9,FALSE),0)+
IFERROR(VLOOKUP(A31,'Centre WR1'!$A$7:$N$106,9,FALSE),0)+
IFERROR(VLOOKUP(A31,'Centre WV1'!$A$7:$N$109,9,FALSE),0)</f>
        <v>0</v>
      </c>
      <c r="J31" s="38">
        <f>IFERROR(VLOOKUP(A31,'Centre DW1'!$A$7:$N$106,10,FALSE),0)+
IFERROR(VLOOKUP(A31,'Centre WP1'!$A$7:$N$107,10,FALSE),0)+
IFERROR(VLOOKUP(A31,'Centre WR1'!$A$7:$N$106,10,FALSE),0)+
IFERROR(VLOOKUP(A31,'Centre WV1'!$A$7:$N$109,10,FALSE),0)</f>
        <v>0</v>
      </c>
      <c r="K31" s="38">
        <f>IFERROR(VLOOKUP(A31,'Centre DW1'!$A$7:$N$106,11,FALSE),0)+
IFERROR(VLOOKUP(A31,'Centre WP1'!$A$7:$N$107,11,FALSE),0)+
IFERROR(VLOOKUP(A31,'Centre WR1'!$A$7:$N$106,11,FALSE),0)+
IFERROR(VLOOKUP(A31,'Centre WV1'!$A$7:$N$109,11,FALSE),0)</f>
        <v>0</v>
      </c>
      <c r="L31" s="38">
        <f>IFERROR(VLOOKUP(A31,'Centre DW1'!$A$7:$N$106,12,FALSE),0)+
IFERROR(VLOOKUP(A31,'Centre WP1'!$A$7:$N$107,12,FALSE),0)+
IFERROR(VLOOKUP(A31,'Centre WR1'!$A$7:$N$106,12,FALSE),0)+
IFERROR(VLOOKUP(A31,'Centre WV1'!$A$7:$N$109,12,FALSE),0)</f>
        <v>0</v>
      </c>
      <c r="M31" s="38">
        <f>IFERROR(VLOOKUP(A31,'Centre DW1'!$A$7:$N$106,13,FALSE),0)+
IFERROR(VLOOKUP(A31,'Centre WP1'!$A$7:$N$107,13,FALSE),0)+
IFERROR(VLOOKUP(A31,'Centre WR1'!$A$7:$N$106,13,FALSE),0)+
IFERROR(VLOOKUP(A31,'Centre WV1'!$A$7:$N$109,13,FALSE),0)</f>
        <v>0</v>
      </c>
      <c r="N31" s="38">
        <f>IFERROR(VLOOKUP(A31,'Centre DW1'!$A$7:$N$106,14,FALSE),0)+
IFERROR(VLOOKUP(A31,'Centre WP1'!$A$7:$N$107,14,FALSE),0)+
IFERROR(VLOOKUP(A31,'Centre WR1'!$A$7:$N$106,14,FALSE),0)+
IFERROR(VLOOKUP(A31,'Centre WV1'!$A$7:$N$109,14,FALSE),0)</f>
        <v>0</v>
      </c>
    </row>
    <row r="32" spans="1:14" outlineLevel="1" x14ac:dyDescent="0.2">
      <c r="A32" s="9" t="s">
        <v>70</v>
      </c>
      <c r="B32" s="1" t="s">
        <v>71</v>
      </c>
      <c r="C32" s="10">
        <f>IFERROR(VLOOKUP(A32,'Centre DW1'!$A$7:$N$106,3,FALSE),0)+
IFERROR(VLOOKUP(A32,'Centre WP1'!$A$7:$N$107,3,FALSE),0)+
IFERROR(VLOOKUP(A32,'Centre WR1'!$A$7:$N$106,3,FALSE),0)+
IFERROR(VLOOKUP(A32,'Centre WV1'!$A$7:$N$109,3,FALSE),0)</f>
        <v>0</v>
      </c>
      <c r="D32" s="10">
        <f>IFERROR(VLOOKUP(A32,'Centre DW1'!$A$7:$N$106,4,FALSE),0)+
IFERROR(VLOOKUP(A32,'Centre WP1'!$A$7:$N$107,4,FALSE),0)+
IFERROR(VLOOKUP(A32,'Centre WR1'!$A$7:$N$106,4,FALSE),0)+
IFERROR(VLOOKUP(A32,'Centre WV1'!$A$7:$N$109,4,FALSE),0)</f>
        <v>0</v>
      </c>
      <c r="E32" s="10">
        <f>IFERROR(VLOOKUP(A32,'Centre DW1'!$A$7:$N$106,5,FALSE),0)+
IFERROR(VLOOKUP(A32,'Centre WP1'!$A$7:$N$107,5,FALSE),0)+
IFERROR(VLOOKUP(A32,'Centre WR1'!$A$7:$N$106,5,FALSE),0)+
IFERROR(VLOOKUP(A32,'Centre WV1'!$A$7:$N$109,5,FALSE),0)</f>
        <v>0</v>
      </c>
      <c r="F32" s="10">
        <f>IFERROR(VLOOKUP(A32,'Centre DW1'!$A$7:$N$106,6,FALSE),0)+
IFERROR(VLOOKUP(A32,'Centre WP1'!$A$7:$N$107,6,FALSE),0)+
IFERROR(VLOOKUP(A32,'Centre WR1'!$A$7:$N$106,6,FALSE),0)+
IFERROR(VLOOKUP(A32,'Centre WV1'!$A$7:$N$109,6,FALSE),0)</f>
        <v>0</v>
      </c>
      <c r="G32" s="10">
        <f>IFERROR(VLOOKUP(A32,'Centre DW1'!$A$7:$N$106,7,FALSE),0)+
IFERROR(VLOOKUP(A32,'Centre WP1'!$A$7:$N$107,7,FALSE),0)+
IFERROR(VLOOKUP(A32,'Centre WR1'!$A$7:$N$106,7,FALSE),0)+
IFERROR(VLOOKUP(A32,'Centre WV1'!$A$7:$N$109,7,FALSE),0)</f>
        <v>0</v>
      </c>
      <c r="H32" s="10">
        <f>IFERROR(VLOOKUP(A32,'Centre DW1'!$A$7:$N$106,8,FALSE),0)+
IFERROR(VLOOKUP(A32,'Centre WP1'!$A$7:$N$107,8,FALSE),0)+
IFERROR(VLOOKUP(A32,'Centre WR1'!$A$7:$N$106,8,FALSE),0)+
IFERROR(VLOOKUP(A32,'Centre WV1'!$A$7:$N$109,8,FALSE),0)</f>
        <v>0</v>
      </c>
      <c r="I32" s="10">
        <f>IFERROR(VLOOKUP(A32,'Centre DW1'!$A$7:$N$106,9,FALSE),0)+
IFERROR(VLOOKUP(A32,'Centre WP1'!$A$7:$N$107,9,FALSE),0)+
IFERROR(VLOOKUP(A32,'Centre WR1'!$A$7:$N$106,9,FALSE),0)+
IFERROR(VLOOKUP(A32,'Centre WV1'!$A$7:$N$109,9,FALSE),0)</f>
        <v>0</v>
      </c>
      <c r="J32" s="32">
        <f>IFERROR(VLOOKUP(A32,'Centre DW1'!$A$7:$N$106,10,FALSE),0)+
IFERROR(VLOOKUP(A32,'Centre WP1'!$A$7:$N$107,10,FALSE),0)+
IFERROR(VLOOKUP(A32,'Centre WR1'!$A$7:$N$106,10,FALSE),0)+
IFERROR(VLOOKUP(A32,'Centre WV1'!$A$7:$N$109,10,FALSE),0)</f>
        <v>0</v>
      </c>
      <c r="K32" s="32">
        <f>IFERROR(VLOOKUP(A32,'Centre DW1'!$A$7:$N$106,11,FALSE),0)+
IFERROR(VLOOKUP(A32,'Centre WP1'!$A$7:$N$107,11,FALSE),0)+
IFERROR(VLOOKUP(A32,'Centre WR1'!$A$7:$N$106,11,FALSE),0)+
IFERROR(VLOOKUP(A32,'Centre WV1'!$A$7:$N$109,11,FALSE),0)</f>
        <v>0</v>
      </c>
      <c r="L32" s="32">
        <f>IFERROR(VLOOKUP(A32,'Centre DW1'!$A$7:$N$106,12,FALSE),0)+
IFERROR(VLOOKUP(A32,'Centre WP1'!$A$7:$N$107,12,FALSE),0)+
IFERROR(VLOOKUP(A32,'Centre WR1'!$A$7:$N$106,12,FALSE),0)+
IFERROR(VLOOKUP(A32,'Centre WV1'!$A$7:$N$109,12,FALSE),0)</f>
        <v>0</v>
      </c>
      <c r="M32" s="32">
        <f>IFERROR(VLOOKUP(A32,'Centre DW1'!$A$7:$N$106,13,FALSE),0)+
IFERROR(VLOOKUP(A32,'Centre WP1'!$A$7:$N$107,13,FALSE),0)+
IFERROR(VLOOKUP(A32,'Centre WR1'!$A$7:$N$106,13,FALSE),0)+
IFERROR(VLOOKUP(A32,'Centre WV1'!$A$7:$N$109,13,FALSE),0)</f>
        <v>0</v>
      </c>
      <c r="N32" s="32">
        <f>IFERROR(VLOOKUP(A32,'Centre DW1'!$A$7:$N$106,14,FALSE),0)+
IFERROR(VLOOKUP(A32,'Centre WP1'!$A$7:$N$107,14,FALSE),0)+
IFERROR(VLOOKUP(A32,'Centre WR1'!$A$7:$N$106,14,FALSE),0)+
IFERROR(VLOOKUP(A32,'Centre WV1'!$A$7:$N$109,14,FALSE),0)</f>
        <v>0</v>
      </c>
    </row>
    <row r="33" spans="1:14" x14ac:dyDescent="0.2">
      <c r="A33" s="41"/>
      <c r="B33" s="41" t="s">
        <v>72</v>
      </c>
      <c r="C33" s="42">
        <f t="shared" ref="C33:N33" si="5">+C20+C27+C28+C29+C31</f>
        <v>40.900000000000006</v>
      </c>
      <c r="D33" s="42">
        <f t="shared" si="5"/>
        <v>0.19999999999999929</v>
      </c>
      <c r="E33" s="42">
        <f t="shared" si="5"/>
        <v>17.700000000000003</v>
      </c>
      <c r="F33" s="42">
        <f t="shared" si="5"/>
        <v>16.7</v>
      </c>
      <c r="G33" s="42">
        <f t="shared" si="5"/>
        <v>30.800000000000008</v>
      </c>
      <c r="H33" s="42">
        <f t="shared" si="5"/>
        <v>17.7</v>
      </c>
      <c r="I33" s="42">
        <f t="shared" si="5"/>
        <v>0.19999999999999929</v>
      </c>
      <c r="J33" s="42">
        <f t="shared" si="5"/>
        <v>12.700000000000001</v>
      </c>
      <c r="K33" s="42">
        <f t="shared" si="5"/>
        <v>24.000000000000004</v>
      </c>
      <c r="L33" s="42">
        <f t="shared" si="5"/>
        <v>27.600000000000005</v>
      </c>
      <c r="M33" s="42">
        <f t="shared" si="5"/>
        <v>19.3</v>
      </c>
      <c r="N33" s="42">
        <f t="shared" si="5"/>
        <v>37.300000000000004</v>
      </c>
    </row>
    <row r="34" spans="1:14" x14ac:dyDescent="0.2">
      <c r="A34" s="39"/>
      <c r="B34" s="39" t="s">
        <v>73</v>
      </c>
      <c r="C34" s="40">
        <f>+C19-C33</f>
        <v>58.599999999999994</v>
      </c>
      <c r="D34" s="40">
        <f t="shared" ref="D34:N34" si="6">+D19-D33</f>
        <v>98.254799999999989</v>
      </c>
      <c r="E34" s="40">
        <f t="shared" si="6"/>
        <v>77.645563839999994</v>
      </c>
      <c r="F34" s="40">
        <f t="shared" si="6"/>
        <v>74.285936675071994</v>
      </c>
      <c r="G34" s="40">
        <f t="shared" si="6"/>
        <v>58.990933091919246</v>
      </c>
      <c r="H34" s="40">
        <f t="shared" si="6"/>
        <v>98.077074547584729</v>
      </c>
      <c r="I34" s="40">
        <f t="shared" si="6"/>
        <v>91.762540601981257</v>
      </c>
      <c r="J34" s="40">
        <f t="shared" si="6"/>
        <v>82.667335328660968</v>
      </c>
      <c r="K34" s="40">
        <f t="shared" si="6"/>
        <v>87.013470427190015</v>
      </c>
      <c r="L34" s="40">
        <f t="shared" si="6"/>
        <v>78.325166713390757</v>
      </c>
      <c r="M34" s="40">
        <f t="shared" si="6"/>
        <v>114.82907583195454</v>
      </c>
      <c r="N34" s="40">
        <f t="shared" si="6"/>
        <v>90.354524221054959</v>
      </c>
    </row>
    <row r="35" spans="1:14" x14ac:dyDescent="0.2">
      <c r="A35" s="45" t="s">
        <v>74</v>
      </c>
      <c r="B35" s="46" t="s">
        <v>74</v>
      </c>
      <c r="C35" s="10" t="s">
        <v>74</v>
      </c>
      <c r="D35" s="10" t="s">
        <v>74</v>
      </c>
      <c r="E35" s="10" t="s">
        <v>74</v>
      </c>
      <c r="F35" s="10" t="s">
        <v>74</v>
      </c>
      <c r="G35" s="10" t="s">
        <v>74</v>
      </c>
      <c r="H35" s="10" t="s">
        <v>74</v>
      </c>
      <c r="I35" s="10" t="s">
        <v>74</v>
      </c>
      <c r="J35" s="10" t="s">
        <v>74</v>
      </c>
      <c r="K35" s="10" t="s">
        <v>74</v>
      </c>
      <c r="L35" s="10" t="s">
        <v>74</v>
      </c>
      <c r="M35" s="10" t="s">
        <v>74</v>
      </c>
      <c r="N35" s="10" t="s">
        <v>74</v>
      </c>
    </row>
    <row r="36" spans="1:14" x14ac:dyDescent="0.2">
      <c r="A36" s="33" t="s">
        <v>75</v>
      </c>
      <c r="B36" s="34" t="s">
        <v>76</v>
      </c>
      <c r="C36" s="37">
        <f>SUM(C37:C53)</f>
        <v>7.7000000000000011</v>
      </c>
      <c r="D36" s="37">
        <f t="shared" ref="D36:N36" si="7">SUM(D37:D53)</f>
        <v>8.1999999999999993</v>
      </c>
      <c r="E36" s="37">
        <f t="shared" si="7"/>
        <v>7.2</v>
      </c>
      <c r="F36" s="37">
        <f t="shared" si="7"/>
        <v>22.7</v>
      </c>
      <c r="G36" s="37">
        <f t="shared" si="7"/>
        <v>7.9</v>
      </c>
      <c r="H36" s="37">
        <f t="shared" si="7"/>
        <v>6.1</v>
      </c>
      <c r="I36" s="37">
        <f t="shared" si="7"/>
        <v>11.799999999999999</v>
      </c>
      <c r="J36" s="37">
        <f t="shared" si="7"/>
        <v>8.3000000000000007</v>
      </c>
      <c r="K36" s="37">
        <f t="shared" si="7"/>
        <v>25.700000000000003</v>
      </c>
      <c r="L36" s="37">
        <f t="shared" si="7"/>
        <v>10.100000000000001</v>
      </c>
      <c r="M36" s="37">
        <f t="shared" si="7"/>
        <v>7.4999999999999991</v>
      </c>
      <c r="N36" s="37">
        <f t="shared" si="7"/>
        <v>8.6999999999999993</v>
      </c>
    </row>
    <row r="37" spans="1:14" outlineLevel="1" x14ac:dyDescent="0.2">
      <c r="A37" s="9" t="s">
        <v>77</v>
      </c>
      <c r="B37" s="1" t="s">
        <v>78</v>
      </c>
      <c r="C37" s="10">
        <f>IFERROR(VLOOKUP(A37,'Centre DW1'!$A$7:$N$106,3,FALSE),0)+
IFERROR(VLOOKUP(A37,'Centre WP1'!$A$7:$N$107,3,FALSE),0)+
IFERROR(VLOOKUP(A37,'Centre WR1'!$A$7:$N$106,3,FALSE),0)+
IFERROR(VLOOKUP(A37,'Centre WV1'!$A$7:$N$109,3,FALSE),0)</f>
        <v>4</v>
      </c>
      <c r="D37" s="10">
        <f>IFERROR(VLOOKUP(A37,'Centre DW1'!$A$7:$N$106,4,FALSE),0)+
IFERROR(VLOOKUP(A37,'Centre WP1'!$A$7:$N$107,4,FALSE),0)+
IFERROR(VLOOKUP(A37,'Centre WR1'!$A$7:$N$106,4,FALSE),0)+
IFERROR(VLOOKUP(A37,'Centre WV1'!$A$7:$N$109,4,FALSE),0)</f>
        <v>4.5999999999999996</v>
      </c>
      <c r="E37" s="10">
        <f>IFERROR(VLOOKUP(A37,'Centre DW1'!$A$7:$N$106,5,FALSE),0)+
IFERROR(VLOOKUP(A37,'Centre WP1'!$A$7:$N$107,5,FALSE),0)+
IFERROR(VLOOKUP(A37,'Centre WR1'!$A$7:$N$106,5,FALSE),0)+
IFERROR(VLOOKUP(A37,'Centre WV1'!$A$7:$N$109,5,FALSE),0)</f>
        <v>4.2</v>
      </c>
      <c r="F37" s="10">
        <f>IFERROR(VLOOKUP(A37,'Centre DW1'!$A$7:$N$106,6,FALSE),0)+
IFERROR(VLOOKUP(A37,'Centre WP1'!$A$7:$N$107,6,FALSE),0)+
IFERROR(VLOOKUP(A37,'Centre WR1'!$A$7:$N$106,6,FALSE),0)+
IFERROR(VLOOKUP(A37,'Centre WV1'!$A$7:$N$109,6,FALSE),0)</f>
        <v>4.3</v>
      </c>
      <c r="G37" s="10">
        <f>IFERROR(VLOOKUP(A37,'Centre DW1'!$A$7:$N$106,7,FALSE),0)+
IFERROR(VLOOKUP(A37,'Centre WP1'!$A$7:$N$107,7,FALSE),0)+
IFERROR(VLOOKUP(A37,'Centre WR1'!$A$7:$N$106,7,FALSE),0)+
IFERROR(VLOOKUP(A37,'Centre WV1'!$A$7:$N$109,7,FALSE),0)</f>
        <v>5.1000000000000005</v>
      </c>
      <c r="H37" s="10">
        <f>IFERROR(VLOOKUP(A37,'Centre DW1'!$A$7:$N$106,8,FALSE),0)+
IFERROR(VLOOKUP(A37,'Centre WP1'!$A$7:$N$107,8,FALSE),0)+
IFERROR(VLOOKUP(A37,'Centre WR1'!$A$7:$N$106,8,FALSE),0)+
IFERROR(VLOOKUP(A37,'Centre WV1'!$A$7:$N$109,8,FALSE),0)</f>
        <v>4.9000000000000004</v>
      </c>
      <c r="I37" s="10">
        <f>IFERROR(VLOOKUP(A37,'Centre DW1'!$A$7:$N$106,9,FALSE),0)+
IFERROR(VLOOKUP(A37,'Centre WP1'!$A$7:$N$107,9,FALSE),0)+
IFERROR(VLOOKUP(A37,'Centre WR1'!$A$7:$N$106,9,FALSE),0)+
IFERROR(VLOOKUP(A37,'Centre WV1'!$A$7:$N$109,9,FALSE),0)</f>
        <v>6.7</v>
      </c>
      <c r="J37" s="32">
        <f>IFERROR(VLOOKUP(A37,'Centre DW1'!$A$7:$N$106,10,FALSE),0)+
IFERROR(VLOOKUP(A37,'Centre WP1'!$A$7:$N$107,10,FALSE),0)+
IFERROR(VLOOKUP(A37,'Centre WR1'!$A$7:$N$106,10,FALSE),0)+
IFERROR(VLOOKUP(A37,'Centre WV1'!$A$7:$N$109,10,FALSE),0)</f>
        <v>5.3</v>
      </c>
      <c r="K37" s="32">
        <f>IFERROR(VLOOKUP(A37,'Centre DW1'!$A$7:$N$106,11,FALSE),0)+
IFERROR(VLOOKUP(A37,'Centre WP1'!$A$7:$N$107,11,FALSE),0)+
IFERROR(VLOOKUP(A37,'Centre WR1'!$A$7:$N$106,11,FALSE),0)+
IFERROR(VLOOKUP(A37,'Centre WV1'!$A$7:$N$109,11,FALSE),0)</f>
        <v>7.3</v>
      </c>
      <c r="L37" s="32">
        <f>IFERROR(VLOOKUP(A37,'Centre DW1'!$A$7:$N$106,12,FALSE),0)+
IFERROR(VLOOKUP(A37,'Centre WP1'!$A$7:$N$107,12,FALSE),0)+
IFERROR(VLOOKUP(A37,'Centre WR1'!$A$7:$N$106,12,FALSE),0)+
IFERROR(VLOOKUP(A37,'Centre WV1'!$A$7:$N$109,12,FALSE),0)</f>
        <v>7.3</v>
      </c>
      <c r="M37" s="32">
        <f>IFERROR(VLOOKUP(A37,'Centre DW1'!$A$7:$N$106,13,FALSE),0)+
IFERROR(VLOOKUP(A37,'Centre WP1'!$A$7:$N$107,13,FALSE),0)+
IFERROR(VLOOKUP(A37,'Centre WR1'!$A$7:$N$106,13,FALSE),0)+
IFERROR(VLOOKUP(A37,'Centre WV1'!$A$7:$N$109,13,FALSE),0)</f>
        <v>6.3</v>
      </c>
      <c r="N37" s="32">
        <f>IFERROR(VLOOKUP(A37,'Centre DW1'!$A$7:$N$106,14,FALSE),0)+
IFERROR(VLOOKUP(A37,'Centre WP1'!$A$7:$N$107,14,FALSE),0)+
IFERROR(VLOOKUP(A37,'Centre WR1'!$A$7:$N$106,14,FALSE),0)+
IFERROR(VLOOKUP(A37,'Centre WV1'!$A$7:$N$109,14,FALSE),0)</f>
        <v>7.3</v>
      </c>
    </row>
    <row r="38" spans="1:14" outlineLevel="1" x14ac:dyDescent="0.2">
      <c r="A38" s="9" t="s">
        <v>79</v>
      </c>
      <c r="B38" s="1" t="s">
        <v>80</v>
      </c>
      <c r="C38" s="10">
        <f>IFERROR(VLOOKUP(A38,'Centre DW1'!$A$7:$N$106,3,FALSE),0)+
IFERROR(VLOOKUP(A38,'Centre WP1'!$A$7:$N$107,3,FALSE),0)+
IFERROR(VLOOKUP(A38,'Centre WR1'!$A$7:$N$106,3,FALSE),0)+
IFERROR(VLOOKUP(A38,'Centre WV1'!$A$7:$N$109,3,FALSE),0)</f>
        <v>0.4</v>
      </c>
      <c r="D38" s="10">
        <f>IFERROR(VLOOKUP(A38,'Centre DW1'!$A$7:$N$106,4,FALSE),0)+
IFERROR(VLOOKUP(A38,'Centre WP1'!$A$7:$N$107,4,FALSE),0)+
IFERROR(VLOOKUP(A38,'Centre WR1'!$A$7:$N$106,4,FALSE),0)+
IFERROR(VLOOKUP(A38,'Centre WV1'!$A$7:$N$109,4,FALSE),0)</f>
        <v>0.4</v>
      </c>
      <c r="E38" s="10">
        <f>IFERROR(VLOOKUP(A38,'Centre DW1'!$A$7:$N$106,5,FALSE),0)+
IFERROR(VLOOKUP(A38,'Centre WP1'!$A$7:$N$107,5,FALSE),0)+
IFERROR(VLOOKUP(A38,'Centre WR1'!$A$7:$N$106,5,FALSE),0)+
IFERROR(VLOOKUP(A38,'Centre WV1'!$A$7:$N$109,5,FALSE),0)</f>
        <v>0.4</v>
      </c>
      <c r="F38" s="10">
        <f>IFERROR(VLOOKUP(A38,'Centre DW1'!$A$7:$N$106,6,FALSE),0)+
IFERROR(VLOOKUP(A38,'Centre WP1'!$A$7:$N$107,6,FALSE),0)+
IFERROR(VLOOKUP(A38,'Centre WR1'!$A$7:$N$106,6,FALSE),0)+
IFERROR(VLOOKUP(A38,'Centre WV1'!$A$7:$N$109,6,FALSE),0)</f>
        <v>0.2</v>
      </c>
      <c r="G38" s="10">
        <f>IFERROR(VLOOKUP(A38,'Centre DW1'!$A$7:$N$106,7,FALSE),0)+
IFERROR(VLOOKUP(A38,'Centre WP1'!$A$7:$N$107,7,FALSE),0)+
IFERROR(VLOOKUP(A38,'Centre WR1'!$A$7:$N$106,7,FALSE),0)+
IFERROR(VLOOKUP(A38,'Centre WV1'!$A$7:$N$109,7,FALSE),0)</f>
        <v>0</v>
      </c>
      <c r="H38" s="10">
        <f>IFERROR(VLOOKUP(A38,'Centre DW1'!$A$7:$N$106,8,FALSE),0)+
IFERROR(VLOOKUP(A38,'Centre WP1'!$A$7:$N$107,8,FALSE),0)+
IFERROR(VLOOKUP(A38,'Centre WR1'!$A$7:$N$106,8,FALSE),0)+
IFERROR(VLOOKUP(A38,'Centre WV1'!$A$7:$N$109,8,FALSE),0)</f>
        <v>0</v>
      </c>
      <c r="I38" s="10">
        <f>IFERROR(VLOOKUP(A38,'Centre DW1'!$A$7:$N$106,9,FALSE),0)+
IFERROR(VLOOKUP(A38,'Centre WP1'!$A$7:$N$107,9,FALSE),0)+
IFERROR(VLOOKUP(A38,'Centre WR1'!$A$7:$N$106,9,FALSE),0)+
IFERROR(VLOOKUP(A38,'Centre WV1'!$A$7:$N$109,9,FALSE),0)</f>
        <v>0.4</v>
      </c>
      <c r="J38" s="32">
        <f>IFERROR(VLOOKUP(A38,'Centre DW1'!$A$7:$N$106,10,FALSE),0)+
IFERROR(VLOOKUP(A38,'Centre WP1'!$A$7:$N$107,10,FALSE),0)+
IFERROR(VLOOKUP(A38,'Centre WR1'!$A$7:$N$106,10,FALSE),0)+
IFERROR(VLOOKUP(A38,'Centre WV1'!$A$7:$N$109,10,FALSE),0)</f>
        <v>0.4</v>
      </c>
      <c r="K38" s="32">
        <f>IFERROR(VLOOKUP(A38,'Centre DW1'!$A$7:$N$106,11,FALSE),0)+
IFERROR(VLOOKUP(A38,'Centre WP1'!$A$7:$N$107,11,FALSE),0)+
IFERROR(VLOOKUP(A38,'Centre WR1'!$A$7:$N$106,11,FALSE),0)+
IFERROR(VLOOKUP(A38,'Centre WV1'!$A$7:$N$109,11,FALSE),0)</f>
        <v>0.2</v>
      </c>
      <c r="L38" s="32">
        <f>IFERROR(VLOOKUP(A38,'Centre DW1'!$A$7:$N$106,12,FALSE),0)+
IFERROR(VLOOKUP(A38,'Centre WP1'!$A$7:$N$107,12,FALSE),0)+
IFERROR(VLOOKUP(A38,'Centre WR1'!$A$7:$N$106,12,FALSE),0)+
IFERROR(VLOOKUP(A38,'Centre WV1'!$A$7:$N$109,12,FALSE),0)</f>
        <v>0</v>
      </c>
      <c r="M38" s="32">
        <f>IFERROR(VLOOKUP(A38,'Centre DW1'!$A$7:$N$106,13,FALSE),0)+
IFERROR(VLOOKUP(A38,'Centre WP1'!$A$7:$N$107,13,FALSE),0)+
IFERROR(VLOOKUP(A38,'Centre WR1'!$A$7:$N$106,13,FALSE),0)+
IFERROR(VLOOKUP(A38,'Centre WV1'!$A$7:$N$109,13,FALSE),0)</f>
        <v>0</v>
      </c>
      <c r="N38" s="32">
        <f>IFERROR(VLOOKUP(A38,'Centre DW1'!$A$7:$N$106,14,FALSE),0)+
IFERROR(VLOOKUP(A38,'Centre WP1'!$A$7:$N$107,14,FALSE),0)+
IFERROR(VLOOKUP(A38,'Centre WR1'!$A$7:$N$106,14,FALSE),0)+
IFERROR(VLOOKUP(A38,'Centre WV1'!$A$7:$N$109,14,FALSE),0)</f>
        <v>0</v>
      </c>
    </row>
    <row r="39" spans="1:14" outlineLevel="1" x14ac:dyDescent="0.2">
      <c r="A39" s="9" t="s">
        <v>81</v>
      </c>
      <c r="B39" s="1" t="s">
        <v>82</v>
      </c>
      <c r="C39" s="10">
        <f>IFERROR(VLOOKUP(A39,'Centre DW1'!$A$7:$N$106,3,FALSE),0)+
IFERROR(VLOOKUP(A39,'Centre WP1'!$A$7:$N$107,3,FALSE),0)+
IFERROR(VLOOKUP(A39,'Centre WR1'!$A$7:$N$106,3,FALSE),0)+
IFERROR(VLOOKUP(A39,'Centre WV1'!$A$7:$N$109,3,FALSE),0)</f>
        <v>0.8</v>
      </c>
      <c r="D39" s="10">
        <f>IFERROR(VLOOKUP(A39,'Centre DW1'!$A$7:$N$106,4,FALSE),0)+
IFERROR(VLOOKUP(A39,'Centre WP1'!$A$7:$N$107,4,FALSE),0)+
IFERROR(VLOOKUP(A39,'Centre WR1'!$A$7:$N$106,4,FALSE),0)+
IFERROR(VLOOKUP(A39,'Centre WV1'!$A$7:$N$109,4,FALSE),0)</f>
        <v>0.8</v>
      </c>
      <c r="E39" s="10">
        <f>IFERROR(VLOOKUP(A39,'Centre DW1'!$A$7:$N$106,5,FALSE),0)+
IFERROR(VLOOKUP(A39,'Centre WP1'!$A$7:$N$107,5,FALSE),0)+
IFERROR(VLOOKUP(A39,'Centre WR1'!$A$7:$N$106,5,FALSE),0)+
IFERROR(VLOOKUP(A39,'Centre WV1'!$A$7:$N$109,5,FALSE),0)</f>
        <v>0.6</v>
      </c>
      <c r="F39" s="10">
        <f>IFERROR(VLOOKUP(A39,'Centre DW1'!$A$7:$N$106,6,FALSE),0)+
IFERROR(VLOOKUP(A39,'Centre WP1'!$A$7:$N$107,6,FALSE),0)+
IFERROR(VLOOKUP(A39,'Centre WR1'!$A$7:$N$106,6,FALSE),0)+
IFERROR(VLOOKUP(A39,'Centre WV1'!$A$7:$N$109,6,FALSE),0)</f>
        <v>2</v>
      </c>
      <c r="G39" s="10">
        <f>IFERROR(VLOOKUP(A39,'Centre DW1'!$A$7:$N$106,7,FALSE),0)+
IFERROR(VLOOKUP(A39,'Centre WP1'!$A$7:$N$107,7,FALSE),0)+
IFERROR(VLOOKUP(A39,'Centre WR1'!$A$7:$N$106,7,FALSE),0)+
IFERROR(VLOOKUP(A39,'Centre WV1'!$A$7:$N$109,7,FALSE),0)</f>
        <v>0.7</v>
      </c>
      <c r="H39" s="10">
        <f>IFERROR(VLOOKUP(A39,'Centre DW1'!$A$7:$N$106,8,FALSE),0)+
IFERROR(VLOOKUP(A39,'Centre WP1'!$A$7:$N$107,8,FALSE),0)+
IFERROR(VLOOKUP(A39,'Centre WR1'!$A$7:$N$106,8,FALSE),0)+
IFERROR(VLOOKUP(A39,'Centre WV1'!$A$7:$N$109,8,FALSE),0)</f>
        <v>-0.99999999999999989</v>
      </c>
      <c r="I39" s="10">
        <f>IFERROR(VLOOKUP(A39,'Centre DW1'!$A$7:$N$106,9,FALSE),0)+
IFERROR(VLOOKUP(A39,'Centre WP1'!$A$7:$N$107,9,FALSE),0)+
IFERROR(VLOOKUP(A39,'Centre WR1'!$A$7:$N$106,9,FALSE),0)+
IFERROR(VLOOKUP(A39,'Centre WV1'!$A$7:$N$109,9,FALSE),0)</f>
        <v>1.2000000000000002</v>
      </c>
      <c r="J39" s="32">
        <f>IFERROR(VLOOKUP(A39,'Centre DW1'!$A$7:$N$106,10,FALSE),0)+
IFERROR(VLOOKUP(A39,'Centre WP1'!$A$7:$N$107,10,FALSE),0)+
IFERROR(VLOOKUP(A39,'Centre WR1'!$A$7:$N$106,10,FALSE),0)+
IFERROR(VLOOKUP(A39,'Centre WV1'!$A$7:$N$109,10,FALSE),0)</f>
        <v>0.6</v>
      </c>
      <c r="K39" s="32">
        <f>IFERROR(VLOOKUP(A39,'Centre DW1'!$A$7:$N$106,11,FALSE),0)+
IFERROR(VLOOKUP(A39,'Centre WP1'!$A$7:$N$107,11,FALSE),0)+
IFERROR(VLOOKUP(A39,'Centre WR1'!$A$7:$N$106,11,FALSE),0)+
IFERROR(VLOOKUP(A39,'Centre WV1'!$A$7:$N$109,11,FALSE),0)</f>
        <v>2</v>
      </c>
      <c r="L39" s="32">
        <f>IFERROR(VLOOKUP(A39,'Centre DW1'!$A$7:$N$106,12,FALSE),0)+
IFERROR(VLOOKUP(A39,'Centre WP1'!$A$7:$N$107,12,FALSE),0)+
IFERROR(VLOOKUP(A39,'Centre WR1'!$A$7:$N$106,12,FALSE),0)+
IFERROR(VLOOKUP(A39,'Centre WV1'!$A$7:$N$109,12,FALSE),0)</f>
        <v>0.7</v>
      </c>
      <c r="M39" s="32">
        <f>IFERROR(VLOOKUP(A39,'Centre DW1'!$A$7:$N$106,13,FALSE),0)+
IFERROR(VLOOKUP(A39,'Centre WP1'!$A$7:$N$107,13,FALSE),0)+
IFERROR(VLOOKUP(A39,'Centre WR1'!$A$7:$N$106,13,FALSE),0)+
IFERROR(VLOOKUP(A39,'Centre WV1'!$A$7:$N$109,13,FALSE),0)</f>
        <v>-0.99999999999999989</v>
      </c>
      <c r="N39" s="32">
        <f>IFERROR(VLOOKUP(A39,'Centre DW1'!$A$7:$N$106,14,FALSE),0)+
IFERROR(VLOOKUP(A39,'Centre WP1'!$A$7:$N$107,14,FALSE),0)+
IFERROR(VLOOKUP(A39,'Centre WR1'!$A$7:$N$106,14,FALSE),0)+
IFERROR(VLOOKUP(A39,'Centre WV1'!$A$7:$N$109,14,FALSE),0)</f>
        <v>-0.99999999999999989</v>
      </c>
    </row>
    <row r="40" spans="1:14" outlineLevel="1" x14ac:dyDescent="0.2">
      <c r="A40" s="9" t="s">
        <v>83</v>
      </c>
      <c r="B40" s="1" t="s">
        <v>84</v>
      </c>
      <c r="C40" s="10">
        <f>IFERROR(VLOOKUP(A40,'Centre DW1'!$A$7:$N$106,3,FALSE),0)+
IFERROR(VLOOKUP(A40,'Centre WP1'!$A$7:$N$107,3,FALSE),0)+
IFERROR(VLOOKUP(A40,'Centre WR1'!$A$7:$N$106,3,FALSE),0)+
IFERROR(VLOOKUP(A40,'Centre WV1'!$A$7:$N$109,3,FALSE),0)</f>
        <v>0</v>
      </c>
      <c r="D40" s="10">
        <f>IFERROR(VLOOKUP(A40,'Centre DW1'!$A$7:$N$106,4,FALSE),0)+
IFERROR(VLOOKUP(A40,'Centre WP1'!$A$7:$N$107,4,FALSE),0)+
IFERROR(VLOOKUP(A40,'Centre WR1'!$A$7:$N$106,4,FALSE),0)+
IFERROR(VLOOKUP(A40,'Centre WV1'!$A$7:$N$109,4,FALSE),0)</f>
        <v>0</v>
      </c>
      <c r="E40" s="10">
        <f>IFERROR(VLOOKUP(A40,'Centre DW1'!$A$7:$N$106,5,FALSE),0)+
IFERROR(VLOOKUP(A40,'Centre WP1'!$A$7:$N$107,5,FALSE),0)+
IFERROR(VLOOKUP(A40,'Centre WR1'!$A$7:$N$106,5,FALSE),0)+
IFERROR(VLOOKUP(A40,'Centre WV1'!$A$7:$N$109,5,FALSE),0)</f>
        <v>0</v>
      </c>
      <c r="F40" s="10">
        <f>IFERROR(VLOOKUP(A40,'Centre DW1'!$A$7:$N$106,6,FALSE),0)+
IFERROR(VLOOKUP(A40,'Centre WP1'!$A$7:$N$107,6,FALSE),0)+
IFERROR(VLOOKUP(A40,'Centre WR1'!$A$7:$N$106,6,FALSE),0)+
IFERROR(VLOOKUP(A40,'Centre WV1'!$A$7:$N$109,6,FALSE),0)</f>
        <v>0</v>
      </c>
      <c r="G40" s="10">
        <f>IFERROR(VLOOKUP(A40,'Centre DW1'!$A$7:$N$106,7,FALSE),0)+
IFERROR(VLOOKUP(A40,'Centre WP1'!$A$7:$N$107,7,FALSE),0)+
IFERROR(VLOOKUP(A40,'Centre WR1'!$A$7:$N$106,7,FALSE),0)+
IFERROR(VLOOKUP(A40,'Centre WV1'!$A$7:$N$109,7,FALSE),0)</f>
        <v>0</v>
      </c>
      <c r="H40" s="10">
        <f>IFERROR(VLOOKUP(A40,'Centre DW1'!$A$7:$N$106,8,FALSE),0)+
IFERROR(VLOOKUP(A40,'Centre WP1'!$A$7:$N$107,8,FALSE),0)+
IFERROR(VLOOKUP(A40,'Centre WR1'!$A$7:$N$106,8,FALSE),0)+
IFERROR(VLOOKUP(A40,'Centre WV1'!$A$7:$N$109,8,FALSE),0)</f>
        <v>0</v>
      </c>
      <c r="I40" s="10">
        <f>IFERROR(VLOOKUP(A40,'Centre DW1'!$A$7:$N$106,9,FALSE),0)+
IFERROR(VLOOKUP(A40,'Centre WP1'!$A$7:$N$107,9,FALSE),0)+
IFERROR(VLOOKUP(A40,'Centre WR1'!$A$7:$N$106,9,FALSE),0)+
IFERROR(VLOOKUP(A40,'Centre WV1'!$A$7:$N$109,9,FALSE),0)</f>
        <v>0</v>
      </c>
      <c r="J40" s="32">
        <f>IFERROR(VLOOKUP(A40,'Centre DW1'!$A$7:$N$106,10,FALSE),0)+
IFERROR(VLOOKUP(A40,'Centre WP1'!$A$7:$N$107,10,FALSE),0)+
IFERROR(VLOOKUP(A40,'Centre WR1'!$A$7:$N$106,10,FALSE),0)+
IFERROR(VLOOKUP(A40,'Centre WV1'!$A$7:$N$109,10,FALSE),0)</f>
        <v>0</v>
      </c>
      <c r="K40" s="32">
        <f>IFERROR(VLOOKUP(A40,'Centre DW1'!$A$7:$N$106,11,FALSE),0)+
IFERROR(VLOOKUP(A40,'Centre WP1'!$A$7:$N$107,11,FALSE),0)+
IFERROR(VLOOKUP(A40,'Centre WR1'!$A$7:$N$106,11,FALSE),0)+
IFERROR(VLOOKUP(A40,'Centre WV1'!$A$7:$N$109,11,FALSE),0)</f>
        <v>0</v>
      </c>
      <c r="L40" s="32">
        <f>IFERROR(VLOOKUP(A40,'Centre DW1'!$A$7:$N$106,12,FALSE),0)+
IFERROR(VLOOKUP(A40,'Centre WP1'!$A$7:$N$107,12,FALSE),0)+
IFERROR(VLOOKUP(A40,'Centre WR1'!$A$7:$N$106,12,FALSE),0)+
IFERROR(VLOOKUP(A40,'Centre WV1'!$A$7:$N$109,12,FALSE),0)</f>
        <v>0</v>
      </c>
      <c r="M40" s="32">
        <f>IFERROR(VLOOKUP(A40,'Centre DW1'!$A$7:$N$106,13,FALSE),0)+
IFERROR(VLOOKUP(A40,'Centre WP1'!$A$7:$N$107,13,FALSE),0)+
IFERROR(VLOOKUP(A40,'Centre WR1'!$A$7:$N$106,13,FALSE),0)+
IFERROR(VLOOKUP(A40,'Centre WV1'!$A$7:$N$109,13,FALSE),0)</f>
        <v>0</v>
      </c>
      <c r="N40" s="32">
        <f>IFERROR(VLOOKUP(A40,'Centre DW1'!$A$7:$N$106,14,FALSE),0)+
IFERROR(VLOOKUP(A40,'Centre WP1'!$A$7:$N$107,14,FALSE),0)+
IFERROR(VLOOKUP(A40,'Centre WR1'!$A$7:$N$106,14,FALSE),0)+
IFERROR(VLOOKUP(A40,'Centre WV1'!$A$7:$N$109,14,FALSE),0)</f>
        <v>0</v>
      </c>
    </row>
    <row r="41" spans="1:14" outlineLevel="1" x14ac:dyDescent="0.2">
      <c r="A41" s="9" t="s">
        <v>85</v>
      </c>
      <c r="B41" s="1" t="s">
        <v>86</v>
      </c>
      <c r="C41" s="10">
        <f>IFERROR(VLOOKUP(A41,'Centre DW1'!$A$7:$N$106,3,FALSE),0)+
IFERROR(VLOOKUP(A41,'Centre WP1'!$A$7:$N$107,3,FALSE),0)+
IFERROR(VLOOKUP(A41,'Centre WR1'!$A$7:$N$106,3,FALSE),0)+
IFERROR(VLOOKUP(A41,'Centre WV1'!$A$7:$N$109,3,FALSE),0)</f>
        <v>0</v>
      </c>
      <c r="D41" s="10">
        <f>IFERROR(VLOOKUP(A41,'Centre DW1'!$A$7:$N$106,4,FALSE),0)+
IFERROR(VLOOKUP(A41,'Centre WP1'!$A$7:$N$107,4,FALSE),0)+
IFERROR(VLOOKUP(A41,'Centre WR1'!$A$7:$N$106,4,FALSE),0)+
IFERROR(VLOOKUP(A41,'Centre WV1'!$A$7:$N$109,4,FALSE),0)</f>
        <v>0</v>
      </c>
      <c r="E41" s="10">
        <f>IFERROR(VLOOKUP(A41,'Centre DW1'!$A$7:$N$106,5,FALSE),0)+
IFERROR(VLOOKUP(A41,'Centre WP1'!$A$7:$N$107,5,FALSE),0)+
IFERROR(VLOOKUP(A41,'Centre WR1'!$A$7:$N$106,5,FALSE),0)+
IFERROR(VLOOKUP(A41,'Centre WV1'!$A$7:$N$109,5,FALSE),0)</f>
        <v>0</v>
      </c>
      <c r="F41" s="10">
        <f>IFERROR(VLOOKUP(A41,'Centre DW1'!$A$7:$N$106,6,FALSE),0)+
IFERROR(VLOOKUP(A41,'Centre WP1'!$A$7:$N$107,6,FALSE),0)+
IFERROR(VLOOKUP(A41,'Centre WR1'!$A$7:$N$106,6,FALSE),0)+
IFERROR(VLOOKUP(A41,'Centre WV1'!$A$7:$N$109,6,FALSE),0)</f>
        <v>0</v>
      </c>
      <c r="G41" s="10">
        <f>IFERROR(VLOOKUP(A41,'Centre DW1'!$A$7:$N$106,7,FALSE),0)+
IFERROR(VLOOKUP(A41,'Centre WP1'!$A$7:$N$107,7,FALSE),0)+
IFERROR(VLOOKUP(A41,'Centre WR1'!$A$7:$N$106,7,FALSE),0)+
IFERROR(VLOOKUP(A41,'Centre WV1'!$A$7:$N$109,7,FALSE),0)</f>
        <v>0</v>
      </c>
      <c r="H41" s="10">
        <f>IFERROR(VLOOKUP(A41,'Centre DW1'!$A$7:$N$106,8,FALSE),0)+
IFERROR(VLOOKUP(A41,'Centre WP1'!$A$7:$N$107,8,FALSE),0)+
IFERROR(VLOOKUP(A41,'Centre WR1'!$A$7:$N$106,8,FALSE),0)+
IFERROR(VLOOKUP(A41,'Centre WV1'!$A$7:$N$109,8,FALSE),0)</f>
        <v>0.1</v>
      </c>
      <c r="I41" s="10">
        <f>IFERROR(VLOOKUP(A41,'Centre DW1'!$A$7:$N$106,9,FALSE),0)+
IFERROR(VLOOKUP(A41,'Centre WP1'!$A$7:$N$107,9,FALSE),0)+
IFERROR(VLOOKUP(A41,'Centre WR1'!$A$7:$N$106,9,FALSE),0)+
IFERROR(VLOOKUP(A41,'Centre WV1'!$A$7:$N$109,9,FALSE),0)</f>
        <v>0</v>
      </c>
      <c r="J41" s="32">
        <f>IFERROR(VLOOKUP(A41,'Centre DW1'!$A$7:$N$106,10,FALSE),0)+
IFERROR(VLOOKUP(A41,'Centre WP1'!$A$7:$N$107,10,FALSE),0)+
IFERROR(VLOOKUP(A41,'Centre WR1'!$A$7:$N$106,10,FALSE),0)+
IFERROR(VLOOKUP(A41,'Centre WV1'!$A$7:$N$109,10,FALSE),0)</f>
        <v>0</v>
      </c>
      <c r="K41" s="32">
        <f>IFERROR(VLOOKUP(A41,'Centre DW1'!$A$7:$N$106,11,FALSE),0)+
IFERROR(VLOOKUP(A41,'Centre WP1'!$A$7:$N$107,11,FALSE),0)+
IFERROR(VLOOKUP(A41,'Centre WR1'!$A$7:$N$106,11,FALSE),0)+
IFERROR(VLOOKUP(A41,'Centre WV1'!$A$7:$N$109,11,FALSE),0)</f>
        <v>0</v>
      </c>
      <c r="L41" s="32">
        <f>IFERROR(VLOOKUP(A41,'Centre DW1'!$A$7:$N$106,12,FALSE),0)+
IFERROR(VLOOKUP(A41,'Centre WP1'!$A$7:$N$107,12,FALSE),0)+
IFERROR(VLOOKUP(A41,'Centre WR1'!$A$7:$N$106,12,FALSE),0)+
IFERROR(VLOOKUP(A41,'Centre WV1'!$A$7:$N$109,12,FALSE),0)</f>
        <v>0</v>
      </c>
      <c r="M41" s="32">
        <f>IFERROR(VLOOKUP(A41,'Centre DW1'!$A$7:$N$106,13,FALSE),0)+
IFERROR(VLOOKUP(A41,'Centre WP1'!$A$7:$N$107,13,FALSE),0)+
IFERROR(VLOOKUP(A41,'Centre WR1'!$A$7:$N$106,13,FALSE),0)+
IFERROR(VLOOKUP(A41,'Centre WV1'!$A$7:$N$109,13,FALSE),0)</f>
        <v>0.1</v>
      </c>
      <c r="N41" s="32">
        <f>IFERROR(VLOOKUP(A41,'Centre DW1'!$A$7:$N$106,14,FALSE),0)+
IFERROR(VLOOKUP(A41,'Centre WP1'!$A$7:$N$107,14,FALSE),0)+
IFERROR(VLOOKUP(A41,'Centre WR1'!$A$7:$N$106,14,FALSE),0)+
IFERROR(VLOOKUP(A41,'Centre WV1'!$A$7:$N$109,14,FALSE),0)</f>
        <v>0</v>
      </c>
    </row>
    <row r="42" spans="1:14" outlineLevel="1" x14ac:dyDescent="0.2">
      <c r="A42" s="9" t="s">
        <v>87</v>
      </c>
      <c r="B42" s="1" t="s">
        <v>88</v>
      </c>
      <c r="C42" s="10">
        <f>IFERROR(VLOOKUP(A42,'Centre DW1'!$A$7:$N$106,3,FALSE),0)+
IFERROR(VLOOKUP(A42,'Centre WP1'!$A$7:$N$107,3,FALSE),0)+
IFERROR(VLOOKUP(A42,'Centre WR1'!$A$7:$N$106,3,FALSE),0)+
IFERROR(VLOOKUP(A42,'Centre WV1'!$A$7:$N$109,3,FALSE),0)</f>
        <v>0.4</v>
      </c>
      <c r="D42" s="10">
        <f>IFERROR(VLOOKUP(A42,'Centre DW1'!$A$7:$N$106,4,FALSE),0)+
IFERROR(VLOOKUP(A42,'Centre WP1'!$A$7:$N$107,4,FALSE),0)+
IFERROR(VLOOKUP(A42,'Centre WR1'!$A$7:$N$106,4,FALSE),0)+
IFERROR(VLOOKUP(A42,'Centre WV1'!$A$7:$N$109,4,FALSE),0)</f>
        <v>0.3</v>
      </c>
      <c r="E42" s="10">
        <f>IFERROR(VLOOKUP(A42,'Centre DW1'!$A$7:$N$106,5,FALSE),0)+
IFERROR(VLOOKUP(A42,'Centre WP1'!$A$7:$N$107,5,FALSE),0)+
IFERROR(VLOOKUP(A42,'Centre WR1'!$A$7:$N$106,5,FALSE),0)+
IFERROR(VLOOKUP(A42,'Centre WV1'!$A$7:$N$109,5,FALSE),0)</f>
        <v>0.2</v>
      </c>
      <c r="F42" s="10">
        <f>IFERROR(VLOOKUP(A42,'Centre DW1'!$A$7:$N$106,6,FALSE),0)+
IFERROR(VLOOKUP(A42,'Centre WP1'!$A$7:$N$107,6,FALSE),0)+
IFERROR(VLOOKUP(A42,'Centre WR1'!$A$7:$N$106,6,FALSE),0)+
IFERROR(VLOOKUP(A42,'Centre WV1'!$A$7:$N$109,6,FALSE),0)</f>
        <v>0.30000000000000004</v>
      </c>
      <c r="G42" s="10">
        <f>IFERROR(VLOOKUP(A42,'Centre DW1'!$A$7:$N$106,7,FALSE),0)+
IFERROR(VLOOKUP(A42,'Centre WP1'!$A$7:$N$107,7,FALSE),0)+
IFERROR(VLOOKUP(A42,'Centre WR1'!$A$7:$N$106,7,FALSE),0)+
IFERROR(VLOOKUP(A42,'Centre WV1'!$A$7:$N$109,7,FALSE),0)</f>
        <v>0.30000000000000004</v>
      </c>
      <c r="H42" s="10">
        <f>IFERROR(VLOOKUP(A42,'Centre DW1'!$A$7:$N$106,8,FALSE),0)+
IFERROR(VLOOKUP(A42,'Centre WP1'!$A$7:$N$107,8,FALSE),0)+
IFERROR(VLOOKUP(A42,'Centre WR1'!$A$7:$N$106,8,FALSE),0)+
IFERROR(VLOOKUP(A42,'Centre WV1'!$A$7:$N$109,8,FALSE),0)</f>
        <v>0.30000000000000004</v>
      </c>
      <c r="I42" s="10">
        <f>IFERROR(VLOOKUP(A42,'Centre DW1'!$A$7:$N$106,9,FALSE),0)+
IFERROR(VLOOKUP(A42,'Centre WP1'!$A$7:$N$107,9,FALSE),0)+
IFERROR(VLOOKUP(A42,'Centre WR1'!$A$7:$N$106,9,FALSE),0)+
IFERROR(VLOOKUP(A42,'Centre WV1'!$A$7:$N$109,9,FALSE),0)</f>
        <v>0.5</v>
      </c>
      <c r="J42" s="32">
        <f>IFERROR(VLOOKUP(A42,'Centre DW1'!$A$7:$N$106,10,FALSE),0)+
IFERROR(VLOOKUP(A42,'Centre WP1'!$A$7:$N$107,10,FALSE),0)+
IFERROR(VLOOKUP(A42,'Centre WR1'!$A$7:$N$106,10,FALSE),0)+
IFERROR(VLOOKUP(A42,'Centre WV1'!$A$7:$N$109,10,FALSE),0)</f>
        <v>0.2</v>
      </c>
      <c r="K42" s="32">
        <f>IFERROR(VLOOKUP(A42,'Centre DW1'!$A$7:$N$106,11,FALSE),0)+
IFERROR(VLOOKUP(A42,'Centre WP1'!$A$7:$N$107,11,FALSE),0)+
IFERROR(VLOOKUP(A42,'Centre WR1'!$A$7:$N$106,11,FALSE),0)+
IFERROR(VLOOKUP(A42,'Centre WV1'!$A$7:$N$109,11,FALSE),0)</f>
        <v>0.30000000000000004</v>
      </c>
      <c r="L42" s="32">
        <f>IFERROR(VLOOKUP(A42,'Centre DW1'!$A$7:$N$106,12,FALSE),0)+
IFERROR(VLOOKUP(A42,'Centre WP1'!$A$7:$N$107,12,FALSE),0)+
IFERROR(VLOOKUP(A42,'Centre WR1'!$A$7:$N$106,12,FALSE),0)+
IFERROR(VLOOKUP(A42,'Centre WV1'!$A$7:$N$109,12,FALSE),0)</f>
        <v>0.30000000000000004</v>
      </c>
      <c r="M42" s="32">
        <f>IFERROR(VLOOKUP(A42,'Centre DW1'!$A$7:$N$106,13,FALSE),0)+
IFERROR(VLOOKUP(A42,'Centre WP1'!$A$7:$N$107,13,FALSE),0)+
IFERROR(VLOOKUP(A42,'Centre WR1'!$A$7:$N$106,13,FALSE),0)+
IFERROR(VLOOKUP(A42,'Centre WV1'!$A$7:$N$109,13,FALSE),0)</f>
        <v>0.30000000000000004</v>
      </c>
      <c r="N42" s="32">
        <f>IFERROR(VLOOKUP(A42,'Centre DW1'!$A$7:$N$106,14,FALSE),0)+
IFERROR(VLOOKUP(A42,'Centre WP1'!$A$7:$N$107,14,FALSE),0)+
IFERROR(VLOOKUP(A42,'Centre WR1'!$A$7:$N$106,14,FALSE),0)+
IFERROR(VLOOKUP(A42,'Centre WV1'!$A$7:$N$109,14,FALSE),0)</f>
        <v>0.30000000000000004</v>
      </c>
    </row>
    <row r="43" spans="1:14" outlineLevel="1" x14ac:dyDescent="0.2">
      <c r="A43" s="9" t="s">
        <v>89</v>
      </c>
      <c r="B43" s="1" t="s">
        <v>90</v>
      </c>
      <c r="C43" s="10">
        <f>IFERROR(VLOOKUP(A43,'Centre DW1'!$A$7:$N$106,3,FALSE),0)+
IFERROR(VLOOKUP(A43,'Centre WP1'!$A$7:$N$107,3,FALSE),0)+
IFERROR(VLOOKUP(A43,'Centre WR1'!$A$7:$N$106,3,FALSE),0)+
IFERROR(VLOOKUP(A43,'Centre WV1'!$A$7:$N$109,3,FALSE),0)</f>
        <v>0.4</v>
      </c>
      <c r="D43" s="10">
        <f>IFERROR(VLOOKUP(A43,'Centre DW1'!$A$7:$N$106,4,FALSE),0)+
IFERROR(VLOOKUP(A43,'Centre WP1'!$A$7:$N$107,4,FALSE),0)+
IFERROR(VLOOKUP(A43,'Centre WR1'!$A$7:$N$106,4,FALSE),0)+
IFERROR(VLOOKUP(A43,'Centre WV1'!$A$7:$N$109,4,FALSE),0)</f>
        <v>0.4</v>
      </c>
      <c r="E43" s="10">
        <f>IFERROR(VLOOKUP(A43,'Centre DW1'!$A$7:$N$106,5,FALSE),0)+
IFERROR(VLOOKUP(A43,'Centre WP1'!$A$7:$N$107,5,FALSE),0)+
IFERROR(VLOOKUP(A43,'Centre WR1'!$A$7:$N$106,5,FALSE),0)+
IFERROR(VLOOKUP(A43,'Centre WV1'!$A$7:$N$109,5,FALSE),0)</f>
        <v>0.3</v>
      </c>
      <c r="F43" s="10">
        <f>IFERROR(VLOOKUP(A43,'Centre DW1'!$A$7:$N$106,6,FALSE),0)+
IFERROR(VLOOKUP(A43,'Centre WP1'!$A$7:$N$107,6,FALSE),0)+
IFERROR(VLOOKUP(A43,'Centre WR1'!$A$7:$N$106,6,FALSE),0)+
IFERROR(VLOOKUP(A43,'Centre WV1'!$A$7:$N$109,6,FALSE),0)</f>
        <v>0.79999999999999993</v>
      </c>
      <c r="G43" s="10">
        <f>IFERROR(VLOOKUP(A43,'Centre DW1'!$A$7:$N$106,7,FALSE),0)+
IFERROR(VLOOKUP(A43,'Centre WP1'!$A$7:$N$107,7,FALSE),0)+
IFERROR(VLOOKUP(A43,'Centre WR1'!$A$7:$N$106,7,FALSE),0)+
IFERROR(VLOOKUP(A43,'Centre WV1'!$A$7:$N$109,7,FALSE),0)</f>
        <v>0.30000000000000004</v>
      </c>
      <c r="H43" s="10">
        <f>IFERROR(VLOOKUP(A43,'Centre DW1'!$A$7:$N$106,8,FALSE),0)+
IFERROR(VLOOKUP(A43,'Centre WP1'!$A$7:$N$107,8,FALSE),0)+
IFERROR(VLOOKUP(A43,'Centre WR1'!$A$7:$N$106,8,FALSE),0)+
IFERROR(VLOOKUP(A43,'Centre WV1'!$A$7:$N$109,8,FALSE),0)</f>
        <v>0.30000000000000004</v>
      </c>
      <c r="I43" s="10">
        <f>IFERROR(VLOOKUP(A43,'Centre DW1'!$A$7:$N$106,9,FALSE),0)+
IFERROR(VLOOKUP(A43,'Centre WP1'!$A$7:$N$107,9,FALSE),0)+
IFERROR(VLOOKUP(A43,'Centre WR1'!$A$7:$N$106,9,FALSE),0)+
IFERROR(VLOOKUP(A43,'Centre WV1'!$A$7:$N$109,9,FALSE),0)</f>
        <v>0.60000000000000009</v>
      </c>
      <c r="J43" s="32">
        <f>IFERROR(VLOOKUP(A43,'Centre DW1'!$A$7:$N$106,10,FALSE),0)+
IFERROR(VLOOKUP(A43,'Centre WP1'!$A$7:$N$107,10,FALSE),0)+
IFERROR(VLOOKUP(A43,'Centre WR1'!$A$7:$N$106,10,FALSE),0)+
IFERROR(VLOOKUP(A43,'Centre WV1'!$A$7:$N$109,10,FALSE),0)</f>
        <v>0.3</v>
      </c>
      <c r="K43" s="32">
        <f>IFERROR(VLOOKUP(A43,'Centre DW1'!$A$7:$N$106,11,FALSE),0)+
IFERROR(VLOOKUP(A43,'Centre WP1'!$A$7:$N$107,11,FALSE),0)+
IFERROR(VLOOKUP(A43,'Centre WR1'!$A$7:$N$106,11,FALSE),0)+
IFERROR(VLOOKUP(A43,'Centre WV1'!$A$7:$N$109,11,FALSE),0)</f>
        <v>0.79999999999999993</v>
      </c>
      <c r="L43" s="32">
        <f>IFERROR(VLOOKUP(A43,'Centre DW1'!$A$7:$N$106,12,FALSE),0)+
IFERROR(VLOOKUP(A43,'Centre WP1'!$A$7:$N$107,12,FALSE),0)+
IFERROR(VLOOKUP(A43,'Centre WR1'!$A$7:$N$106,12,FALSE),0)+
IFERROR(VLOOKUP(A43,'Centre WV1'!$A$7:$N$109,12,FALSE),0)</f>
        <v>0.30000000000000004</v>
      </c>
      <c r="M43" s="32">
        <f>IFERROR(VLOOKUP(A43,'Centre DW1'!$A$7:$N$106,13,FALSE),0)+
IFERROR(VLOOKUP(A43,'Centre WP1'!$A$7:$N$107,13,FALSE),0)+
IFERROR(VLOOKUP(A43,'Centre WR1'!$A$7:$N$106,13,FALSE),0)+
IFERROR(VLOOKUP(A43,'Centre WV1'!$A$7:$N$109,13,FALSE),0)</f>
        <v>0.30000000000000004</v>
      </c>
      <c r="N43" s="32">
        <f>IFERROR(VLOOKUP(A43,'Centre DW1'!$A$7:$N$106,14,FALSE),0)+
IFERROR(VLOOKUP(A43,'Centre WP1'!$A$7:$N$107,14,FALSE),0)+
IFERROR(VLOOKUP(A43,'Centre WR1'!$A$7:$N$106,14,FALSE),0)+
IFERROR(VLOOKUP(A43,'Centre WV1'!$A$7:$N$109,14,FALSE),0)</f>
        <v>0.30000000000000004</v>
      </c>
    </row>
    <row r="44" spans="1:14" outlineLevel="1" x14ac:dyDescent="0.2">
      <c r="A44" s="9" t="s">
        <v>91</v>
      </c>
      <c r="B44" s="1" t="s">
        <v>92</v>
      </c>
      <c r="C44" s="10">
        <f>IFERROR(VLOOKUP(A44,'Centre DW1'!$A$7:$N$106,3,FALSE),0)+
IFERROR(VLOOKUP(A44,'Centre WP1'!$A$7:$N$107,3,FALSE),0)+
IFERROR(VLOOKUP(A44,'Centre WR1'!$A$7:$N$106,3,FALSE),0)+
IFERROR(VLOOKUP(A44,'Centre WV1'!$A$7:$N$109,3,FALSE),0)</f>
        <v>0</v>
      </c>
      <c r="D44" s="10">
        <f>IFERROR(VLOOKUP(A44,'Centre DW1'!$A$7:$N$106,4,FALSE),0)+
IFERROR(VLOOKUP(A44,'Centre WP1'!$A$7:$N$107,4,FALSE),0)+
IFERROR(VLOOKUP(A44,'Centre WR1'!$A$7:$N$106,4,FALSE),0)+
IFERROR(VLOOKUP(A44,'Centre WV1'!$A$7:$N$109,4,FALSE),0)</f>
        <v>0</v>
      </c>
      <c r="E44" s="10">
        <f>IFERROR(VLOOKUP(A44,'Centre DW1'!$A$7:$N$106,5,FALSE),0)+
IFERROR(VLOOKUP(A44,'Centre WP1'!$A$7:$N$107,5,FALSE),0)+
IFERROR(VLOOKUP(A44,'Centre WR1'!$A$7:$N$106,5,FALSE),0)+
IFERROR(VLOOKUP(A44,'Centre WV1'!$A$7:$N$109,5,FALSE),0)</f>
        <v>0</v>
      </c>
      <c r="F44" s="10">
        <f>IFERROR(VLOOKUP(A44,'Centre DW1'!$A$7:$N$106,6,FALSE),0)+
IFERROR(VLOOKUP(A44,'Centre WP1'!$A$7:$N$107,6,FALSE),0)+
IFERROR(VLOOKUP(A44,'Centre WR1'!$A$7:$N$106,6,FALSE),0)+
IFERROR(VLOOKUP(A44,'Centre WV1'!$A$7:$N$109,6,FALSE),0)</f>
        <v>11.7</v>
      </c>
      <c r="G44" s="10">
        <f>IFERROR(VLOOKUP(A44,'Centre DW1'!$A$7:$N$106,7,FALSE),0)+
IFERROR(VLOOKUP(A44,'Centre WP1'!$A$7:$N$107,7,FALSE),0)+
IFERROR(VLOOKUP(A44,'Centre WR1'!$A$7:$N$106,7,FALSE),0)+
IFERROR(VLOOKUP(A44,'Centre WV1'!$A$7:$N$109,7,FALSE),0)</f>
        <v>0</v>
      </c>
      <c r="H44" s="10">
        <f>IFERROR(VLOOKUP(A44,'Centre DW1'!$A$7:$N$106,8,FALSE),0)+
IFERROR(VLOOKUP(A44,'Centre WP1'!$A$7:$N$107,8,FALSE),0)+
IFERROR(VLOOKUP(A44,'Centre WR1'!$A$7:$N$106,8,FALSE),0)+
IFERROR(VLOOKUP(A44,'Centre WV1'!$A$7:$N$109,8,FALSE),0)</f>
        <v>0</v>
      </c>
      <c r="I44" s="10">
        <f>IFERROR(VLOOKUP(A44,'Centre DW1'!$A$7:$N$106,9,FALSE),0)+
IFERROR(VLOOKUP(A44,'Centre WP1'!$A$7:$N$107,9,FALSE),0)+
IFERROR(VLOOKUP(A44,'Centre WR1'!$A$7:$N$106,9,FALSE),0)+
IFERROR(VLOOKUP(A44,'Centre WV1'!$A$7:$N$109,9,FALSE),0)</f>
        <v>0</v>
      </c>
      <c r="J44" s="32">
        <f>IFERROR(VLOOKUP(A44,'Centre DW1'!$A$7:$N$106,10,FALSE),0)+
IFERROR(VLOOKUP(A44,'Centre WP1'!$A$7:$N$107,10,FALSE),0)+
IFERROR(VLOOKUP(A44,'Centre WR1'!$A$7:$N$106,10,FALSE),0)+
IFERROR(VLOOKUP(A44,'Centre WV1'!$A$7:$N$109,10,FALSE),0)</f>
        <v>0</v>
      </c>
      <c r="K44" s="32">
        <f>IFERROR(VLOOKUP(A44,'Centre DW1'!$A$7:$N$106,11,FALSE),0)+
IFERROR(VLOOKUP(A44,'Centre WP1'!$A$7:$N$107,11,FALSE),0)+
IFERROR(VLOOKUP(A44,'Centre WR1'!$A$7:$N$106,11,FALSE),0)+
IFERROR(VLOOKUP(A44,'Centre WV1'!$A$7:$N$109,11,FALSE),0)</f>
        <v>11.7</v>
      </c>
      <c r="L44" s="32">
        <f>IFERROR(VLOOKUP(A44,'Centre DW1'!$A$7:$N$106,12,FALSE),0)+
IFERROR(VLOOKUP(A44,'Centre WP1'!$A$7:$N$107,12,FALSE),0)+
IFERROR(VLOOKUP(A44,'Centre WR1'!$A$7:$N$106,12,FALSE),0)+
IFERROR(VLOOKUP(A44,'Centre WV1'!$A$7:$N$109,12,FALSE),0)</f>
        <v>0</v>
      </c>
      <c r="M44" s="32">
        <f>IFERROR(VLOOKUP(A44,'Centre DW1'!$A$7:$N$106,13,FALSE),0)+
IFERROR(VLOOKUP(A44,'Centre WP1'!$A$7:$N$107,13,FALSE),0)+
IFERROR(VLOOKUP(A44,'Centre WR1'!$A$7:$N$106,13,FALSE),0)+
IFERROR(VLOOKUP(A44,'Centre WV1'!$A$7:$N$109,13,FALSE),0)</f>
        <v>0</v>
      </c>
      <c r="N44" s="32">
        <f>IFERROR(VLOOKUP(A44,'Centre DW1'!$A$7:$N$106,14,FALSE),0)+
IFERROR(VLOOKUP(A44,'Centre WP1'!$A$7:$N$107,14,FALSE),0)+
IFERROR(VLOOKUP(A44,'Centre WR1'!$A$7:$N$106,14,FALSE),0)+
IFERROR(VLOOKUP(A44,'Centre WV1'!$A$7:$N$109,14,FALSE),0)</f>
        <v>0</v>
      </c>
    </row>
    <row r="45" spans="1:14" outlineLevel="1" x14ac:dyDescent="0.2">
      <c r="A45" s="9" t="s">
        <v>93</v>
      </c>
      <c r="B45" s="1" t="s">
        <v>94</v>
      </c>
      <c r="C45" s="10">
        <f>IFERROR(VLOOKUP(A45,'Centre DW1'!$A$7:$N$106,3,FALSE),0)+
IFERROR(VLOOKUP(A45,'Centre WP1'!$A$7:$N$107,3,FALSE),0)+
IFERROR(VLOOKUP(A45,'Centre WR1'!$A$7:$N$106,3,FALSE),0)+
IFERROR(VLOOKUP(A45,'Centre WV1'!$A$7:$N$109,3,FALSE),0)</f>
        <v>0.4</v>
      </c>
      <c r="D45" s="10">
        <f>IFERROR(VLOOKUP(A45,'Centre DW1'!$A$7:$N$106,4,FALSE),0)+
IFERROR(VLOOKUP(A45,'Centre WP1'!$A$7:$N$107,4,FALSE),0)+
IFERROR(VLOOKUP(A45,'Centre WR1'!$A$7:$N$106,4,FALSE),0)+
IFERROR(VLOOKUP(A45,'Centre WV1'!$A$7:$N$109,4,FALSE),0)</f>
        <v>0.4</v>
      </c>
      <c r="E45" s="10">
        <f>IFERROR(VLOOKUP(A45,'Centre DW1'!$A$7:$N$106,5,FALSE),0)+
IFERROR(VLOOKUP(A45,'Centre WP1'!$A$7:$N$107,5,FALSE),0)+
IFERROR(VLOOKUP(A45,'Centre WR1'!$A$7:$N$106,5,FALSE),0)+
IFERROR(VLOOKUP(A45,'Centre WV1'!$A$7:$N$109,5,FALSE),0)</f>
        <v>0.3</v>
      </c>
      <c r="F45" s="10">
        <f>IFERROR(VLOOKUP(A45,'Centre DW1'!$A$7:$N$106,6,FALSE),0)+
IFERROR(VLOOKUP(A45,'Centre WP1'!$A$7:$N$107,6,FALSE),0)+
IFERROR(VLOOKUP(A45,'Centre WR1'!$A$7:$N$106,6,FALSE),0)+
IFERROR(VLOOKUP(A45,'Centre WV1'!$A$7:$N$109,6,FALSE),0)</f>
        <v>2.1</v>
      </c>
      <c r="G45" s="10">
        <f>IFERROR(VLOOKUP(A45,'Centre DW1'!$A$7:$N$106,7,FALSE),0)+
IFERROR(VLOOKUP(A45,'Centre WP1'!$A$7:$N$107,7,FALSE),0)+
IFERROR(VLOOKUP(A45,'Centre WR1'!$A$7:$N$106,7,FALSE),0)+
IFERROR(VLOOKUP(A45,'Centre WV1'!$A$7:$N$109,7,FALSE),0)</f>
        <v>0.30000000000000004</v>
      </c>
      <c r="H45" s="10">
        <f>IFERROR(VLOOKUP(A45,'Centre DW1'!$A$7:$N$106,8,FALSE),0)+
IFERROR(VLOOKUP(A45,'Centre WP1'!$A$7:$N$107,8,FALSE),0)+
IFERROR(VLOOKUP(A45,'Centre WR1'!$A$7:$N$106,8,FALSE),0)+
IFERROR(VLOOKUP(A45,'Centre WV1'!$A$7:$N$109,8,FALSE),0)</f>
        <v>0.30000000000000004</v>
      </c>
      <c r="I45" s="10">
        <f>IFERROR(VLOOKUP(A45,'Centre DW1'!$A$7:$N$106,9,FALSE),0)+
IFERROR(VLOOKUP(A45,'Centre WP1'!$A$7:$N$107,9,FALSE),0)+
IFERROR(VLOOKUP(A45,'Centre WR1'!$A$7:$N$106,9,FALSE),0)+
IFERROR(VLOOKUP(A45,'Centre WV1'!$A$7:$N$109,9,FALSE),0)</f>
        <v>0.7</v>
      </c>
      <c r="J45" s="32">
        <f>IFERROR(VLOOKUP(A45,'Centre DW1'!$A$7:$N$106,10,FALSE),0)+
IFERROR(VLOOKUP(A45,'Centre WP1'!$A$7:$N$107,10,FALSE),0)+
IFERROR(VLOOKUP(A45,'Centre WR1'!$A$7:$N$106,10,FALSE),0)+
IFERROR(VLOOKUP(A45,'Centre WV1'!$A$7:$N$109,10,FALSE),0)</f>
        <v>0.3</v>
      </c>
      <c r="K45" s="32">
        <f>IFERROR(VLOOKUP(A45,'Centre DW1'!$A$7:$N$106,11,FALSE),0)+
IFERROR(VLOOKUP(A45,'Centre WP1'!$A$7:$N$107,11,FALSE),0)+
IFERROR(VLOOKUP(A45,'Centre WR1'!$A$7:$N$106,11,FALSE),0)+
IFERROR(VLOOKUP(A45,'Centre WV1'!$A$7:$N$109,11,FALSE),0)</f>
        <v>2.1</v>
      </c>
      <c r="L45" s="32">
        <f>IFERROR(VLOOKUP(A45,'Centre DW1'!$A$7:$N$106,12,FALSE),0)+
IFERROR(VLOOKUP(A45,'Centre WP1'!$A$7:$N$107,12,FALSE),0)+
IFERROR(VLOOKUP(A45,'Centre WR1'!$A$7:$N$106,12,FALSE),0)+
IFERROR(VLOOKUP(A45,'Centre WV1'!$A$7:$N$109,12,FALSE),0)</f>
        <v>0.30000000000000004</v>
      </c>
      <c r="M45" s="32">
        <f>IFERROR(VLOOKUP(A45,'Centre DW1'!$A$7:$N$106,13,FALSE),0)+
IFERROR(VLOOKUP(A45,'Centre WP1'!$A$7:$N$107,13,FALSE),0)+
IFERROR(VLOOKUP(A45,'Centre WR1'!$A$7:$N$106,13,FALSE),0)+
IFERROR(VLOOKUP(A45,'Centre WV1'!$A$7:$N$109,13,FALSE),0)</f>
        <v>0.30000000000000004</v>
      </c>
      <c r="N45" s="32">
        <f>IFERROR(VLOOKUP(A45,'Centre DW1'!$A$7:$N$106,14,FALSE),0)+
IFERROR(VLOOKUP(A45,'Centre WP1'!$A$7:$N$107,14,FALSE),0)+
IFERROR(VLOOKUP(A45,'Centre WR1'!$A$7:$N$106,14,FALSE),0)+
IFERROR(VLOOKUP(A45,'Centre WV1'!$A$7:$N$109,14,FALSE),0)</f>
        <v>0.4</v>
      </c>
    </row>
    <row r="46" spans="1:14" outlineLevel="1" x14ac:dyDescent="0.2">
      <c r="A46" s="9" t="s">
        <v>95</v>
      </c>
      <c r="B46" s="1" t="s">
        <v>96</v>
      </c>
      <c r="C46" s="10">
        <f>IFERROR(VLOOKUP(A46,'Centre DW1'!$A$7:$N$106,3,FALSE),0)+
IFERROR(VLOOKUP(A46,'Centre WP1'!$A$7:$N$107,3,FALSE),0)+
IFERROR(VLOOKUP(A46,'Centre WR1'!$A$7:$N$106,3,FALSE),0)+
IFERROR(VLOOKUP(A46,'Centre WV1'!$A$7:$N$109,3,FALSE),0)</f>
        <v>0.3</v>
      </c>
      <c r="D46" s="10">
        <f>IFERROR(VLOOKUP(A46,'Centre DW1'!$A$7:$N$106,4,FALSE),0)+
IFERROR(VLOOKUP(A46,'Centre WP1'!$A$7:$N$107,4,FALSE),0)+
IFERROR(VLOOKUP(A46,'Centre WR1'!$A$7:$N$106,4,FALSE),0)+
IFERROR(VLOOKUP(A46,'Centre WV1'!$A$7:$N$109,4,FALSE),0)</f>
        <v>0.3</v>
      </c>
      <c r="E46" s="10">
        <f>IFERROR(VLOOKUP(A46,'Centre DW1'!$A$7:$N$106,5,FALSE),0)+
IFERROR(VLOOKUP(A46,'Centre WP1'!$A$7:$N$107,5,FALSE),0)+
IFERROR(VLOOKUP(A46,'Centre WR1'!$A$7:$N$106,5,FALSE),0)+
IFERROR(VLOOKUP(A46,'Centre WV1'!$A$7:$N$109,5,FALSE),0)</f>
        <v>0.2</v>
      </c>
      <c r="F46" s="10">
        <f>IFERROR(VLOOKUP(A46,'Centre DW1'!$A$7:$N$106,6,FALSE),0)+
IFERROR(VLOOKUP(A46,'Centre WP1'!$A$7:$N$107,6,FALSE),0)+
IFERROR(VLOOKUP(A46,'Centre WR1'!$A$7:$N$106,6,FALSE),0)+
IFERROR(VLOOKUP(A46,'Centre WV1'!$A$7:$N$109,6,FALSE),0)</f>
        <v>0.30000000000000004</v>
      </c>
      <c r="G46" s="10">
        <f>IFERROR(VLOOKUP(A46,'Centre DW1'!$A$7:$N$106,7,FALSE),0)+
IFERROR(VLOOKUP(A46,'Centre WP1'!$A$7:$N$107,7,FALSE),0)+
IFERROR(VLOOKUP(A46,'Centre WR1'!$A$7:$N$106,7,FALSE),0)+
IFERROR(VLOOKUP(A46,'Centre WV1'!$A$7:$N$109,7,FALSE),0)</f>
        <v>0.2</v>
      </c>
      <c r="H46" s="10">
        <f>IFERROR(VLOOKUP(A46,'Centre DW1'!$A$7:$N$106,8,FALSE),0)+
IFERROR(VLOOKUP(A46,'Centre WP1'!$A$7:$N$107,8,FALSE),0)+
IFERROR(VLOOKUP(A46,'Centre WR1'!$A$7:$N$106,8,FALSE),0)+
IFERROR(VLOOKUP(A46,'Centre WV1'!$A$7:$N$109,8,FALSE),0)</f>
        <v>0.2</v>
      </c>
      <c r="I46" s="10">
        <f>IFERROR(VLOOKUP(A46,'Centre DW1'!$A$7:$N$106,9,FALSE),0)+
IFERROR(VLOOKUP(A46,'Centre WP1'!$A$7:$N$107,9,FALSE),0)+
IFERROR(VLOOKUP(A46,'Centre WR1'!$A$7:$N$106,9,FALSE),0)+
IFERROR(VLOOKUP(A46,'Centre WV1'!$A$7:$N$109,9,FALSE),0)</f>
        <v>0.5</v>
      </c>
      <c r="J46" s="32">
        <f>IFERROR(VLOOKUP(A46,'Centre DW1'!$A$7:$N$106,10,FALSE),0)+
IFERROR(VLOOKUP(A46,'Centre WP1'!$A$7:$N$107,10,FALSE),0)+
IFERROR(VLOOKUP(A46,'Centre WR1'!$A$7:$N$106,10,FALSE),0)+
IFERROR(VLOOKUP(A46,'Centre WV1'!$A$7:$N$109,10,FALSE),0)</f>
        <v>0.2</v>
      </c>
      <c r="K46" s="32">
        <f>IFERROR(VLOOKUP(A46,'Centre DW1'!$A$7:$N$106,11,FALSE),0)+
IFERROR(VLOOKUP(A46,'Centre WP1'!$A$7:$N$107,11,FALSE),0)+
IFERROR(VLOOKUP(A46,'Centre WR1'!$A$7:$N$106,11,FALSE),0)+
IFERROR(VLOOKUP(A46,'Centre WV1'!$A$7:$N$109,11,FALSE),0)</f>
        <v>0.30000000000000004</v>
      </c>
      <c r="L46" s="32">
        <f>IFERROR(VLOOKUP(A46,'Centre DW1'!$A$7:$N$106,12,FALSE),0)+
IFERROR(VLOOKUP(A46,'Centre WP1'!$A$7:$N$107,12,FALSE),0)+
IFERROR(VLOOKUP(A46,'Centre WR1'!$A$7:$N$106,12,FALSE),0)+
IFERROR(VLOOKUP(A46,'Centre WV1'!$A$7:$N$109,12,FALSE),0)</f>
        <v>0.2</v>
      </c>
      <c r="M46" s="32">
        <f>IFERROR(VLOOKUP(A46,'Centre DW1'!$A$7:$N$106,13,FALSE),0)+
IFERROR(VLOOKUP(A46,'Centre WP1'!$A$7:$N$107,13,FALSE),0)+
IFERROR(VLOOKUP(A46,'Centre WR1'!$A$7:$N$106,13,FALSE),0)+
IFERROR(VLOOKUP(A46,'Centre WV1'!$A$7:$N$109,13,FALSE),0)</f>
        <v>0.2</v>
      </c>
      <c r="N46" s="32">
        <f>IFERROR(VLOOKUP(A46,'Centre DW1'!$A$7:$N$106,14,FALSE),0)+
IFERROR(VLOOKUP(A46,'Centre WP1'!$A$7:$N$107,14,FALSE),0)+
IFERROR(VLOOKUP(A46,'Centre WR1'!$A$7:$N$106,14,FALSE),0)+
IFERROR(VLOOKUP(A46,'Centre WV1'!$A$7:$N$109,14,FALSE),0)</f>
        <v>0.2</v>
      </c>
    </row>
    <row r="47" spans="1:14" outlineLevel="1" x14ac:dyDescent="0.2">
      <c r="A47" s="9" t="s">
        <v>97</v>
      </c>
      <c r="B47" s="1" t="s">
        <v>98</v>
      </c>
      <c r="C47" s="10">
        <f>IFERROR(VLOOKUP(A47,'Centre DW1'!$A$7:$N$106,3,FALSE),0)+
IFERROR(VLOOKUP(A47,'Centre WP1'!$A$7:$N$107,3,FALSE),0)+
IFERROR(VLOOKUP(A47,'Centre WR1'!$A$7:$N$106,3,FALSE),0)+
IFERROR(VLOOKUP(A47,'Centre WV1'!$A$7:$N$109,3,FALSE),0)</f>
        <v>0</v>
      </c>
      <c r="D47" s="10">
        <f>IFERROR(VLOOKUP(A47,'Centre DW1'!$A$7:$N$106,4,FALSE),0)+
IFERROR(VLOOKUP(A47,'Centre WP1'!$A$7:$N$107,4,FALSE),0)+
IFERROR(VLOOKUP(A47,'Centre WR1'!$A$7:$N$106,4,FALSE),0)+
IFERROR(VLOOKUP(A47,'Centre WV1'!$A$7:$N$109,4,FALSE),0)</f>
        <v>0</v>
      </c>
      <c r="E47" s="10">
        <f>IFERROR(VLOOKUP(A47,'Centre DW1'!$A$7:$N$106,5,FALSE),0)+
IFERROR(VLOOKUP(A47,'Centre WP1'!$A$7:$N$107,5,FALSE),0)+
IFERROR(VLOOKUP(A47,'Centre WR1'!$A$7:$N$106,5,FALSE),0)+
IFERROR(VLOOKUP(A47,'Centre WV1'!$A$7:$N$109,5,FALSE),0)</f>
        <v>0</v>
      </c>
      <c r="F47" s="10">
        <f>IFERROR(VLOOKUP(A47,'Centre DW1'!$A$7:$N$106,6,FALSE),0)+
IFERROR(VLOOKUP(A47,'Centre WP1'!$A$7:$N$107,6,FALSE),0)+
IFERROR(VLOOKUP(A47,'Centre WR1'!$A$7:$N$106,6,FALSE),0)+
IFERROR(VLOOKUP(A47,'Centre WV1'!$A$7:$N$109,6,FALSE),0)</f>
        <v>0</v>
      </c>
      <c r="G47" s="10">
        <f>IFERROR(VLOOKUP(A47,'Centre DW1'!$A$7:$N$106,7,FALSE),0)+
IFERROR(VLOOKUP(A47,'Centre WP1'!$A$7:$N$107,7,FALSE),0)+
IFERROR(VLOOKUP(A47,'Centre WR1'!$A$7:$N$106,7,FALSE),0)+
IFERROR(VLOOKUP(A47,'Centre WV1'!$A$7:$N$109,7,FALSE),0)</f>
        <v>0</v>
      </c>
      <c r="H47" s="10">
        <f>IFERROR(VLOOKUP(A47,'Centre DW1'!$A$7:$N$106,8,FALSE),0)+
IFERROR(VLOOKUP(A47,'Centre WP1'!$A$7:$N$107,8,FALSE),0)+
IFERROR(VLOOKUP(A47,'Centre WR1'!$A$7:$N$106,8,FALSE),0)+
IFERROR(VLOOKUP(A47,'Centre WV1'!$A$7:$N$109,8,FALSE),0)</f>
        <v>0</v>
      </c>
      <c r="I47" s="10">
        <f>IFERROR(VLOOKUP(A47,'Centre DW1'!$A$7:$N$106,9,FALSE),0)+
IFERROR(VLOOKUP(A47,'Centre WP1'!$A$7:$N$107,9,FALSE),0)+
IFERROR(VLOOKUP(A47,'Centre WR1'!$A$7:$N$106,9,FALSE),0)+
IFERROR(VLOOKUP(A47,'Centre WV1'!$A$7:$N$109,9,FALSE),0)</f>
        <v>0</v>
      </c>
      <c r="J47" s="32">
        <f>IFERROR(VLOOKUP(A47,'Centre DW1'!$A$7:$N$106,10,FALSE),0)+
IFERROR(VLOOKUP(A47,'Centre WP1'!$A$7:$N$107,10,FALSE),0)+
IFERROR(VLOOKUP(A47,'Centre WR1'!$A$7:$N$106,10,FALSE),0)+
IFERROR(VLOOKUP(A47,'Centre WV1'!$A$7:$N$109,10,FALSE),0)</f>
        <v>0</v>
      </c>
      <c r="K47" s="32">
        <f>IFERROR(VLOOKUP(A47,'Centre DW1'!$A$7:$N$106,11,FALSE),0)+
IFERROR(VLOOKUP(A47,'Centre WP1'!$A$7:$N$107,11,FALSE),0)+
IFERROR(VLOOKUP(A47,'Centre WR1'!$A$7:$N$106,11,FALSE),0)+
IFERROR(VLOOKUP(A47,'Centre WV1'!$A$7:$N$109,11,FALSE),0)</f>
        <v>0</v>
      </c>
      <c r="L47" s="32">
        <f>IFERROR(VLOOKUP(A47,'Centre DW1'!$A$7:$N$106,12,FALSE),0)+
IFERROR(VLOOKUP(A47,'Centre WP1'!$A$7:$N$107,12,FALSE),0)+
IFERROR(VLOOKUP(A47,'Centre WR1'!$A$7:$N$106,12,FALSE),0)+
IFERROR(VLOOKUP(A47,'Centre WV1'!$A$7:$N$109,12,FALSE),0)</f>
        <v>0</v>
      </c>
      <c r="M47" s="32">
        <f>IFERROR(VLOOKUP(A47,'Centre DW1'!$A$7:$N$106,13,FALSE),0)+
IFERROR(VLOOKUP(A47,'Centre WP1'!$A$7:$N$107,13,FALSE),0)+
IFERROR(VLOOKUP(A47,'Centre WR1'!$A$7:$N$106,13,FALSE),0)+
IFERROR(VLOOKUP(A47,'Centre WV1'!$A$7:$N$109,13,FALSE),0)</f>
        <v>0</v>
      </c>
      <c r="N47" s="32">
        <f>IFERROR(VLOOKUP(A47,'Centre DW1'!$A$7:$N$106,14,FALSE),0)+
IFERROR(VLOOKUP(A47,'Centre WP1'!$A$7:$N$107,14,FALSE),0)+
IFERROR(VLOOKUP(A47,'Centre WR1'!$A$7:$N$106,14,FALSE),0)+
IFERROR(VLOOKUP(A47,'Centre WV1'!$A$7:$N$109,14,FALSE),0)</f>
        <v>0</v>
      </c>
    </row>
    <row r="48" spans="1:14" outlineLevel="1" x14ac:dyDescent="0.2">
      <c r="A48" s="9" t="s">
        <v>99</v>
      </c>
      <c r="B48" s="1" t="s">
        <v>100</v>
      </c>
      <c r="C48" s="10">
        <f>IFERROR(VLOOKUP(A48,'Centre DW1'!$A$7:$N$106,3,FALSE),0)+
IFERROR(VLOOKUP(A48,'Centre WP1'!$A$7:$N$107,3,FALSE),0)+
IFERROR(VLOOKUP(A48,'Centre WR1'!$A$7:$N$106,3,FALSE),0)+
IFERROR(VLOOKUP(A48,'Centre WV1'!$A$7:$N$109,3,FALSE),0)</f>
        <v>0</v>
      </c>
      <c r="D48" s="10">
        <f>IFERROR(VLOOKUP(A48,'Centre DW1'!$A$7:$N$106,4,FALSE),0)+
IFERROR(VLOOKUP(A48,'Centre WP1'!$A$7:$N$107,4,FALSE),0)+
IFERROR(VLOOKUP(A48,'Centre WR1'!$A$7:$N$106,4,FALSE),0)+
IFERROR(VLOOKUP(A48,'Centre WV1'!$A$7:$N$109,4,FALSE),0)</f>
        <v>0</v>
      </c>
      <c r="E48" s="10">
        <f>IFERROR(VLOOKUP(A48,'Centre DW1'!$A$7:$N$106,5,FALSE),0)+
IFERROR(VLOOKUP(A48,'Centre WP1'!$A$7:$N$107,5,FALSE),0)+
IFERROR(VLOOKUP(A48,'Centre WR1'!$A$7:$N$106,5,FALSE),0)+
IFERROR(VLOOKUP(A48,'Centre WV1'!$A$7:$N$109,5,FALSE),0)</f>
        <v>0</v>
      </c>
      <c r="F48" s="10">
        <f>IFERROR(VLOOKUP(A48,'Centre DW1'!$A$7:$N$106,6,FALSE),0)+
IFERROR(VLOOKUP(A48,'Centre WP1'!$A$7:$N$107,6,FALSE),0)+
IFERROR(VLOOKUP(A48,'Centre WR1'!$A$7:$N$106,6,FALSE),0)+
IFERROR(VLOOKUP(A48,'Centre WV1'!$A$7:$N$109,6,FALSE),0)</f>
        <v>0</v>
      </c>
      <c r="G48" s="10">
        <f>IFERROR(VLOOKUP(A48,'Centre DW1'!$A$7:$N$106,7,FALSE),0)+
IFERROR(VLOOKUP(A48,'Centre WP1'!$A$7:$N$107,7,FALSE),0)+
IFERROR(VLOOKUP(A48,'Centre WR1'!$A$7:$N$106,7,FALSE),0)+
IFERROR(VLOOKUP(A48,'Centre WV1'!$A$7:$N$109,7,FALSE),0)</f>
        <v>0</v>
      </c>
      <c r="H48" s="10">
        <f>IFERROR(VLOOKUP(A48,'Centre DW1'!$A$7:$N$106,8,FALSE),0)+
IFERROR(VLOOKUP(A48,'Centre WP1'!$A$7:$N$107,8,FALSE),0)+
IFERROR(VLOOKUP(A48,'Centre WR1'!$A$7:$N$106,8,FALSE),0)+
IFERROR(VLOOKUP(A48,'Centre WV1'!$A$7:$N$109,8,FALSE),0)</f>
        <v>0</v>
      </c>
      <c r="I48" s="10">
        <f>IFERROR(VLOOKUP(A48,'Centre DW1'!$A$7:$N$106,9,FALSE),0)+
IFERROR(VLOOKUP(A48,'Centre WP1'!$A$7:$N$107,9,FALSE),0)+
IFERROR(VLOOKUP(A48,'Centre WR1'!$A$7:$N$106,9,FALSE),0)+
IFERROR(VLOOKUP(A48,'Centre WV1'!$A$7:$N$109,9,FALSE),0)</f>
        <v>0</v>
      </c>
      <c r="J48" s="32">
        <f>IFERROR(VLOOKUP(A48,'Centre DW1'!$A$7:$N$106,10,FALSE),0)+
IFERROR(VLOOKUP(A48,'Centre WP1'!$A$7:$N$107,10,FALSE),0)+
IFERROR(VLOOKUP(A48,'Centre WR1'!$A$7:$N$106,10,FALSE),0)+
IFERROR(VLOOKUP(A48,'Centre WV1'!$A$7:$N$109,10,FALSE),0)</f>
        <v>0</v>
      </c>
      <c r="K48" s="32">
        <f>IFERROR(VLOOKUP(A48,'Centre DW1'!$A$7:$N$106,11,FALSE),0)+
IFERROR(VLOOKUP(A48,'Centre WP1'!$A$7:$N$107,11,FALSE),0)+
IFERROR(VLOOKUP(A48,'Centre WR1'!$A$7:$N$106,11,FALSE),0)+
IFERROR(VLOOKUP(A48,'Centre WV1'!$A$7:$N$109,11,FALSE),0)</f>
        <v>0</v>
      </c>
      <c r="L48" s="32">
        <f>IFERROR(VLOOKUP(A48,'Centre DW1'!$A$7:$N$106,12,FALSE),0)+
IFERROR(VLOOKUP(A48,'Centre WP1'!$A$7:$N$107,12,FALSE),0)+
IFERROR(VLOOKUP(A48,'Centre WR1'!$A$7:$N$106,12,FALSE),0)+
IFERROR(VLOOKUP(A48,'Centre WV1'!$A$7:$N$109,12,FALSE),0)</f>
        <v>0</v>
      </c>
      <c r="M48" s="32">
        <f>IFERROR(VLOOKUP(A48,'Centre DW1'!$A$7:$N$106,13,FALSE),0)+
IFERROR(VLOOKUP(A48,'Centre WP1'!$A$7:$N$107,13,FALSE),0)+
IFERROR(VLOOKUP(A48,'Centre WR1'!$A$7:$N$106,13,FALSE),0)+
IFERROR(VLOOKUP(A48,'Centre WV1'!$A$7:$N$109,13,FALSE),0)</f>
        <v>0</v>
      </c>
      <c r="N48" s="32">
        <f>IFERROR(VLOOKUP(A48,'Centre DW1'!$A$7:$N$106,14,FALSE),0)+
IFERROR(VLOOKUP(A48,'Centre WP1'!$A$7:$N$107,14,FALSE),0)+
IFERROR(VLOOKUP(A48,'Centre WR1'!$A$7:$N$106,14,FALSE),0)+
IFERROR(VLOOKUP(A48,'Centre WV1'!$A$7:$N$109,14,FALSE),0)</f>
        <v>0</v>
      </c>
    </row>
    <row r="49" spans="1:14" outlineLevel="1" x14ac:dyDescent="0.2">
      <c r="A49" s="9" t="s">
        <v>101</v>
      </c>
      <c r="B49" s="1" t="s">
        <v>102</v>
      </c>
      <c r="C49" s="10">
        <f>IFERROR(VLOOKUP(A49,'Centre DW1'!$A$7:$N$106,3,FALSE),0)+
IFERROR(VLOOKUP(A49,'Centre WP1'!$A$7:$N$107,3,FALSE),0)+
IFERROR(VLOOKUP(A49,'Centre WR1'!$A$7:$N$106,3,FALSE),0)+
IFERROR(VLOOKUP(A49,'Centre WV1'!$A$7:$N$109,3,FALSE),0)</f>
        <v>0</v>
      </c>
      <c r="D49" s="10">
        <f>IFERROR(VLOOKUP(A49,'Centre DW1'!$A$7:$N$106,4,FALSE),0)+
IFERROR(VLOOKUP(A49,'Centre WP1'!$A$7:$N$107,4,FALSE),0)+
IFERROR(VLOOKUP(A49,'Centre WR1'!$A$7:$N$106,4,FALSE),0)+
IFERROR(VLOOKUP(A49,'Centre WV1'!$A$7:$N$109,4,FALSE),0)</f>
        <v>0</v>
      </c>
      <c r="E49" s="10">
        <f>IFERROR(VLOOKUP(A49,'Centre DW1'!$A$7:$N$106,5,FALSE),0)+
IFERROR(VLOOKUP(A49,'Centre WP1'!$A$7:$N$107,5,FALSE),0)+
IFERROR(VLOOKUP(A49,'Centre WR1'!$A$7:$N$106,5,FALSE),0)+
IFERROR(VLOOKUP(A49,'Centre WV1'!$A$7:$N$109,5,FALSE),0)</f>
        <v>0</v>
      </c>
      <c r="F49" s="10">
        <f>IFERROR(VLOOKUP(A49,'Centre DW1'!$A$7:$N$106,6,FALSE),0)+
IFERROR(VLOOKUP(A49,'Centre WP1'!$A$7:$N$107,6,FALSE),0)+
IFERROR(VLOOKUP(A49,'Centre WR1'!$A$7:$N$106,6,FALSE),0)+
IFERROR(VLOOKUP(A49,'Centre WV1'!$A$7:$N$109,6,FALSE),0)</f>
        <v>0</v>
      </c>
      <c r="G49" s="10">
        <f>IFERROR(VLOOKUP(A49,'Centre DW1'!$A$7:$N$106,7,FALSE),0)+
IFERROR(VLOOKUP(A49,'Centre WP1'!$A$7:$N$107,7,FALSE),0)+
IFERROR(VLOOKUP(A49,'Centre WR1'!$A$7:$N$106,7,FALSE),0)+
IFERROR(VLOOKUP(A49,'Centre WV1'!$A$7:$N$109,7,FALSE),0)</f>
        <v>0</v>
      </c>
      <c r="H49" s="10">
        <f>IFERROR(VLOOKUP(A49,'Centre DW1'!$A$7:$N$106,8,FALSE),0)+
IFERROR(VLOOKUP(A49,'Centre WP1'!$A$7:$N$107,8,FALSE),0)+
IFERROR(VLOOKUP(A49,'Centre WR1'!$A$7:$N$106,8,FALSE),0)+
IFERROR(VLOOKUP(A49,'Centre WV1'!$A$7:$N$109,8,FALSE),0)</f>
        <v>0</v>
      </c>
      <c r="I49" s="10">
        <f>IFERROR(VLOOKUP(A49,'Centre DW1'!$A$7:$N$106,9,FALSE),0)+
IFERROR(VLOOKUP(A49,'Centre WP1'!$A$7:$N$107,9,FALSE),0)+
IFERROR(VLOOKUP(A49,'Centre WR1'!$A$7:$N$106,9,FALSE),0)+
IFERROR(VLOOKUP(A49,'Centre WV1'!$A$7:$N$109,9,FALSE),0)</f>
        <v>0</v>
      </c>
      <c r="J49" s="32">
        <f>IFERROR(VLOOKUP(A49,'Centre DW1'!$A$7:$N$106,10,FALSE),0)+
IFERROR(VLOOKUP(A49,'Centre WP1'!$A$7:$N$107,10,FALSE),0)+
IFERROR(VLOOKUP(A49,'Centre WR1'!$A$7:$N$106,10,FALSE),0)+
IFERROR(VLOOKUP(A49,'Centre WV1'!$A$7:$N$109,10,FALSE),0)</f>
        <v>0</v>
      </c>
      <c r="K49" s="32">
        <f>IFERROR(VLOOKUP(A49,'Centre DW1'!$A$7:$N$106,11,FALSE),0)+
IFERROR(VLOOKUP(A49,'Centre WP1'!$A$7:$N$107,11,FALSE),0)+
IFERROR(VLOOKUP(A49,'Centre WR1'!$A$7:$N$106,11,FALSE),0)+
IFERROR(VLOOKUP(A49,'Centre WV1'!$A$7:$N$109,11,FALSE),0)</f>
        <v>0</v>
      </c>
      <c r="L49" s="32">
        <f>IFERROR(VLOOKUP(A49,'Centre DW1'!$A$7:$N$106,12,FALSE),0)+
IFERROR(VLOOKUP(A49,'Centre WP1'!$A$7:$N$107,12,FALSE),0)+
IFERROR(VLOOKUP(A49,'Centre WR1'!$A$7:$N$106,12,FALSE),0)+
IFERROR(VLOOKUP(A49,'Centre WV1'!$A$7:$N$109,12,FALSE),0)</f>
        <v>0</v>
      </c>
      <c r="M49" s="32">
        <f>IFERROR(VLOOKUP(A49,'Centre DW1'!$A$7:$N$106,13,FALSE),0)+
IFERROR(VLOOKUP(A49,'Centre WP1'!$A$7:$N$107,13,FALSE),0)+
IFERROR(VLOOKUP(A49,'Centre WR1'!$A$7:$N$106,13,FALSE),0)+
IFERROR(VLOOKUP(A49,'Centre WV1'!$A$7:$N$109,13,FALSE),0)</f>
        <v>0</v>
      </c>
      <c r="N49" s="32">
        <f>IFERROR(VLOOKUP(A49,'Centre DW1'!$A$7:$N$106,14,FALSE),0)+
IFERROR(VLOOKUP(A49,'Centre WP1'!$A$7:$N$107,14,FALSE),0)+
IFERROR(VLOOKUP(A49,'Centre WR1'!$A$7:$N$106,14,FALSE),0)+
IFERROR(VLOOKUP(A49,'Centre WV1'!$A$7:$N$109,14,FALSE),0)</f>
        <v>0</v>
      </c>
    </row>
    <row r="50" spans="1:14" outlineLevel="1" x14ac:dyDescent="0.2">
      <c r="A50" s="9" t="s">
        <v>103</v>
      </c>
      <c r="B50" s="1" t="s">
        <v>104</v>
      </c>
      <c r="C50" s="10">
        <f>IFERROR(VLOOKUP(A50,'Centre DW1'!$A$7:$N$106,3,FALSE),0)+
IFERROR(VLOOKUP(A50,'Centre WP1'!$A$7:$N$107,3,FALSE),0)+
IFERROR(VLOOKUP(A50,'Centre WR1'!$A$7:$N$106,3,FALSE),0)+
IFERROR(VLOOKUP(A50,'Centre WV1'!$A$7:$N$109,3,FALSE),0)</f>
        <v>0</v>
      </c>
      <c r="D50" s="10">
        <f>IFERROR(VLOOKUP(A50,'Centre DW1'!$A$7:$N$106,4,FALSE),0)+
IFERROR(VLOOKUP(A50,'Centre WP1'!$A$7:$N$107,4,FALSE),0)+
IFERROR(VLOOKUP(A50,'Centre WR1'!$A$7:$N$106,4,FALSE),0)+
IFERROR(VLOOKUP(A50,'Centre WV1'!$A$7:$N$109,4,FALSE),0)</f>
        <v>0</v>
      </c>
      <c r="E50" s="10">
        <f>IFERROR(VLOOKUP(A50,'Centre DW1'!$A$7:$N$106,5,FALSE),0)+
IFERROR(VLOOKUP(A50,'Centre WP1'!$A$7:$N$107,5,FALSE),0)+
IFERROR(VLOOKUP(A50,'Centre WR1'!$A$7:$N$106,5,FALSE),0)+
IFERROR(VLOOKUP(A50,'Centre WV1'!$A$7:$N$109,5,FALSE),0)</f>
        <v>0</v>
      </c>
      <c r="F50" s="10">
        <f>IFERROR(VLOOKUP(A50,'Centre DW1'!$A$7:$N$106,6,FALSE),0)+
IFERROR(VLOOKUP(A50,'Centre WP1'!$A$7:$N$107,6,FALSE),0)+
IFERROR(VLOOKUP(A50,'Centre WR1'!$A$7:$N$106,6,FALSE),0)+
IFERROR(VLOOKUP(A50,'Centre WV1'!$A$7:$N$109,6,FALSE),0)</f>
        <v>0</v>
      </c>
      <c r="G50" s="10">
        <f>IFERROR(VLOOKUP(A50,'Centre DW1'!$A$7:$N$106,7,FALSE),0)+
IFERROR(VLOOKUP(A50,'Centre WP1'!$A$7:$N$107,7,FALSE),0)+
IFERROR(VLOOKUP(A50,'Centre WR1'!$A$7:$N$106,7,FALSE),0)+
IFERROR(VLOOKUP(A50,'Centre WV1'!$A$7:$N$109,7,FALSE),0)</f>
        <v>0</v>
      </c>
      <c r="H50" s="10">
        <f>IFERROR(VLOOKUP(A50,'Centre DW1'!$A$7:$N$106,8,FALSE),0)+
IFERROR(VLOOKUP(A50,'Centre WP1'!$A$7:$N$107,8,FALSE),0)+
IFERROR(VLOOKUP(A50,'Centre WR1'!$A$7:$N$106,8,FALSE),0)+
IFERROR(VLOOKUP(A50,'Centre WV1'!$A$7:$N$109,8,FALSE),0)</f>
        <v>0</v>
      </c>
      <c r="I50" s="10">
        <f>IFERROR(VLOOKUP(A50,'Centre DW1'!$A$7:$N$106,9,FALSE),0)+
IFERROR(VLOOKUP(A50,'Centre WP1'!$A$7:$N$107,9,FALSE),0)+
IFERROR(VLOOKUP(A50,'Centre WR1'!$A$7:$N$106,9,FALSE),0)+
IFERROR(VLOOKUP(A50,'Centre WV1'!$A$7:$N$109,9,FALSE),0)</f>
        <v>0</v>
      </c>
      <c r="J50" s="32">
        <f>IFERROR(VLOOKUP(A50,'Centre DW1'!$A$7:$N$106,10,FALSE),0)+
IFERROR(VLOOKUP(A50,'Centre WP1'!$A$7:$N$107,10,FALSE),0)+
IFERROR(VLOOKUP(A50,'Centre WR1'!$A$7:$N$106,10,FALSE),0)+
IFERROR(VLOOKUP(A50,'Centre WV1'!$A$7:$N$109,10,FALSE),0)</f>
        <v>0</v>
      </c>
      <c r="K50" s="32">
        <f>IFERROR(VLOOKUP(A50,'Centre DW1'!$A$7:$N$106,11,FALSE),0)+
IFERROR(VLOOKUP(A50,'Centre WP1'!$A$7:$N$107,11,FALSE),0)+
IFERROR(VLOOKUP(A50,'Centre WR1'!$A$7:$N$106,11,FALSE),0)+
IFERROR(VLOOKUP(A50,'Centre WV1'!$A$7:$N$109,11,FALSE),0)</f>
        <v>0</v>
      </c>
      <c r="L50" s="32">
        <f>IFERROR(VLOOKUP(A50,'Centre DW1'!$A$7:$N$106,12,FALSE),0)+
IFERROR(VLOOKUP(A50,'Centre WP1'!$A$7:$N$107,12,FALSE),0)+
IFERROR(VLOOKUP(A50,'Centre WR1'!$A$7:$N$106,12,FALSE),0)+
IFERROR(VLOOKUP(A50,'Centre WV1'!$A$7:$N$109,12,FALSE),0)</f>
        <v>0</v>
      </c>
      <c r="M50" s="32">
        <f>IFERROR(VLOOKUP(A50,'Centre DW1'!$A$7:$N$106,13,FALSE),0)+
IFERROR(VLOOKUP(A50,'Centre WP1'!$A$7:$N$107,13,FALSE),0)+
IFERROR(VLOOKUP(A50,'Centre WR1'!$A$7:$N$106,13,FALSE),0)+
IFERROR(VLOOKUP(A50,'Centre WV1'!$A$7:$N$109,13,FALSE),0)</f>
        <v>0</v>
      </c>
      <c r="N50" s="32">
        <f>IFERROR(VLOOKUP(A50,'Centre DW1'!$A$7:$N$106,14,FALSE),0)+
IFERROR(VLOOKUP(A50,'Centre WP1'!$A$7:$N$107,14,FALSE),0)+
IFERROR(VLOOKUP(A50,'Centre WR1'!$A$7:$N$106,14,FALSE),0)+
IFERROR(VLOOKUP(A50,'Centre WV1'!$A$7:$N$109,14,FALSE),0)</f>
        <v>0</v>
      </c>
    </row>
    <row r="51" spans="1:14" outlineLevel="1" x14ac:dyDescent="0.2">
      <c r="A51" s="9" t="s">
        <v>105</v>
      </c>
      <c r="B51" s="1" t="s">
        <v>106</v>
      </c>
      <c r="C51" s="10">
        <f>IFERROR(VLOOKUP(A51,'Centre DW1'!$A$7:$N$106,3,FALSE),0)+
IFERROR(VLOOKUP(A51,'Centre WP1'!$A$7:$N$107,3,FALSE),0)+
IFERROR(VLOOKUP(A51,'Centre WR1'!$A$7:$N$106,3,FALSE),0)+
IFERROR(VLOOKUP(A51,'Centre WV1'!$A$7:$N$109,3,FALSE),0)</f>
        <v>1</v>
      </c>
      <c r="D51" s="10">
        <f>IFERROR(VLOOKUP(A51,'Centre DW1'!$A$7:$N$106,4,FALSE),0)+
IFERROR(VLOOKUP(A51,'Centre WP1'!$A$7:$N$107,4,FALSE),0)+
IFERROR(VLOOKUP(A51,'Centre WR1'!$A$7:$N$106,4,FALSE),0)+
IFERROR(VLOOKUP(A51,'Centre WV1'!$A$7:$N$109,4,FALSE),0)</f>
        <v>1</v>
      </c>
      <c r="E51" s="10">
        <f>IFERROR(VLOOKUP(A51,'Centre DW1'!$A$7:$N$106,5,FALSE),0)+
IFERROR(VLOOKUP(A51,'Centre WP1'!$A$7:$N$107,5,FALSE),0)+
IFERROR(VLOOKUP(A51,'Centre WR1'!$A$7:$N$106,5,FALSE),0)+
IFERROR(VLOOKUP(A51,'Centre WV1'!$A$7:$N$109,5,FALSE),0)</f>
        <v>1</v>
      </c>
      <c r="F51" s="10">
        <f>IFERROR(VLOOKUP(A51,'Centre DW1'!$A$7:$N$106,6,FALSE),0)+
IFERROR(VLOOKUP(A51,'Centre WP1'!$A$7:$N$107,6,FALSE),0)+
IFERROR(VLOOKUP(A51,'Centre WR1'!$A$7:$N$106,6,FALSE),0)+
IFERROR(VLOOKUP(A51,'Centre WV1'!$A$7:$N$109,6,FALSE),0)</f>
        <v>1</v>
      </c>
      <c r="G51" s="10">
        <f>IFERROR(VLOOKUP(A51,'Centre DW1'!$A$7:$N$106,7,FALSE),0)+
IFERROR(VLOOKUP(A51,'Centre WP1'!$A$7:$N$107,7,FALSE),0)+
IFERROR(VLOOKUP(A51,'Centre WR1'!$A$7:$N$106,7,FALSE),0)+
IFERROR(VLOOKUP(A51,'Centre WV1'!$A$7:$N$109,7,FALSE),0)</f>
        <v>1</v>
      </c>
      <c r="H51" s="10">
        <f>IFERROR(VLOOKUP(A51,'Centre DW1'!$A$7:$N$106,8,FALSE),0)+
IFERROR(VLOOKUP(A51,'Centre WP1'!$A$7:$N$107,8,FALSE),0)+
IFERROR(VLOOKUP(A51,'Centre WR1'!$A$7:$N$106,8,FALSE),0)+
IFERROR(VLOOKUP(A51,'Centre WV1'!$A$7:$N$109,8,FALSE),0)</f>
        <v>1</v>
      </c>
      <c r="I51" s="10">
        <f>IFERROR(VLOOKUP(A51,'Centre DW1'!$A$7:$N$106,9,FALSE),0)+
IFERROR(VLOOKUP(A51,'Centre WP1'!$A$7:$N$107,9,FALSE),0)+
IFERROR(VLOOKUP(A51,'Centre WR1'!$A$7:$N$106,9,FALSE),0)+
IFERROR(VLOOKUP(A51,'Centre WV1'!$A$7:$N$109,9,FALSE),0)</f>
        <v>1</v>
      </c>
      <c r="J51" s="32">
        <f>IFERROR(VLOOKUP(A51,'Centre DW1'!$A$7:$N$106,10,FALSE),0)+
IFERROR(VLOOKUP(A51,'Centre WP1'!$A$7:$N$107,10,FALSE),0)+
IFERROR(VLOOKUP(A51,'Centre WR1'!$A$7:$N$106,10,FALSE),0)+
IFERROR(VLOOKUP(A51,'Centre WV1'!$A$7:$N$109,10,FALSE),0)</f>
        <v>1</v>
      </c>
      <c r="K51" s="32">
        <f>IFERROR(VLOOKUP(A51,'Centre DW1'!$A$7:$N$106,11,FALSE),0)+
IFERROR(VLOOKUP(A51,'Centre WP1'!$A$7:$N$107,11,FALSE),0)+
IFERROR(VLOOKUP(A51,'Centre WR1'!$A$7:$N$106,11,FALSE),0)+
IFERROR(VLOOKUP(A51,'Centre WV1'!$A$7:$N$109,11,FALSE),0)</f>
        <v>1</v>
      </c>
      <c r="L51" s="32">
        <f>IFERROR(VLOOKUP(A51,'Centre DW1'!$A$7:$N$106,12,FALSE),0)+
IFERROR(VLOOKUP(A51,'Centre WP1'!$A$7:$N$107,12,FALSE),0)+
IFERROR(VLOOKUP(A51,'Centre WR1'!$A$7:$N$106,12,FALSE),0)+
IFERROR(VLOOKUP(A51,'Centre WV1'!$A$7:$N$109,12,FALSE),0)</f>
        <v>1</v>
      </c>
      <c r="M51" s="32">
        <f>IFERROR(VLOOKUP(A51,'Centre DW1'!$A$7:$N$106,13,FALSE),0)+
IFERROR(VLOOKUP(A51,'Centre WP1'!$A$7:$N$107,13,FALSE),0)+
IFERROR(VLOOKUP(A51,'Centre WR1'!$A$7:$N$106,13,FALSE),0)+
IFERROR(VLOOKUP(A51,'Centre WV1'!$A$7:$N$109,13,FALSE),0)</f>
        <v>1</v>
      </c>
      <c r="N51" s="32">
        <f>IFERROR(VLOOKUP(A51,'Centre DW1'!$A$7:$N$106,14,FALSE),0)+
IFERROR(VLOOKUP(A51,'Centre WP1'!$A$7:$N$107,14,FALSE),0)+
IFERROR(VLOOKUP(A51,'Centre WR1'!$A$7:$N$106,14,FALSE),0)+
IFERROR(VLOOKUP(A51,'Centre WV1'!$A$7:$N$109,14,FALSE),0)</f>
        <v>1</v>
      </c>
    </row>
    <row r="52" spans="1:14" outlineLevel="1" x14ac:dyDescent="0.2">
      <c r="A52" s="9" t="s">
        <v>107</v>
      </c>
      <c r="B52" s="1" t="s">
        <v>108</v>
      </c>
      <c r="C52" s="10">
        <f>IFERROR(VLOOKUP(A52,'Centre DW1'!$A$7:$N$106,3,FALSE),0)+
IFERROR(VLOOKUP(A52,'Centre WP1'!$A$7:$N$107,3,FALSE),0)+
IFERROR(VLOOKUP(A52,'Centre WR1'!$A$7:$N$106,3,FALSE),0)+
IFERROR(VLOOKUP(A52,'Centre WV1'!$A$7:$N$109,3,FALSE),0)</f>
        <v>0</v>
      </c>
      <c r="D52" s="10">
        <f>IFERROR(VLOOKUP(A52,'Centre DW1'!$A$7:$N$106,4,FALSE),0)+
IFERROR(VLOOKUP(A52,'Centre WP1'!$A$7:$N$107,4,FALSE),0)+
IFERROR(VLOOKUP(A52,'Centre WR1'!$A$7:$N$106,4,FALSE),0)+
IFERROR(VLOOKUP(A52,'Centre WV1'!$A$7:$N$109,4,FALSE),0)</f>
        <v>0</v>
      </c>
      <c r="E52" s="10">
        <f>IFERROR(VLOOKUP(A52,'Centre DW1'!$A$7:$N$106,5,FALSE),0)+
IFERROR(VLOOKUP(A52,'Centre WP1'!$A$7:$N$107,5,FALSE),0)+
IFERROR(VLOOKUP(A52,'Centre WR1'!$A$7:$N$106,5,FALSE),0)+
IFERROR(VLOOKUP(A52,'Centre WV1'!$A$7:$N$109,5,FALSE),0)</f>
        <v>0</v>
      </c>
      <c r="F52" s="10">
        <f>IFERROR(VLOOKUP(A52,'Centre DW1'!$A$7:$N$106,6,FALSE),0)+
IFERROR(VLOOKUP(A52,'Centre WP1'!$A$7:$N$107,6,FALSE),0)+
IFERROR(VLOOKUP(A52,'Centre WR1'!$A$7:$N$106,6,FALSE),0)+
IFERROR(VLOOKUP(A52,'Centre WV1'!$A$7:$N$109,6,FALSE),0)</f>
        <v>0</v>
      </c>
      <c r="G52" s="10">
        <f>IFERROR(VLOOKUP(A52,'Centre DW1'!$A$7:$N$106,7,FALSE),0)+
IFERROR(VLOOKUP(A52,'Centre WP1'!$A$7:$N$107,7,FALSE),0)+
IFERROR(VLOOKUP(A52,'Centre WR1'!$A$7:$N$106,7,FALSE),0)+
IFERROR(VLOOKUP(A52,'Centre WV1'!$A$7:$N$109,7,FALSE),0)</f>
        <v>0</v>
      </c>
      <c r="H52" s="10">
        <f>IFERROR(VLOOKUP(A52,'Centre DW1'!$A$7:$N$106,8,FALSE),0)+
IFERROR(VLOOKUP(A52,'Centre WP1'!$A$7:$N$107,8,FALSE),0)+
IFERROR(VLOOKUP(A52,'Centre WR1'!$A$7:$N$106,8,FALSE),0)+
IFERROR(VLOOKUP(A52,'Centre WV1'!$A$7:$N$109,8,FALSE),0)</f>
        <v>0</v>
      </c>
      <c r="I52" s="10">
        <f>IFERROR(VLOOKUP(A52,'Centre DW1'!$A$7:$N$106,9,FALSE),0)+
IFERROR(VLOOKUP(A52,'Centre WP1'!$A$7:$N$107,9,FALSE),0)+
IFERROR(VLOOKUP(A52,'Centre WR1'!$A$7:$N$106,9,FALSE),0)+
IFERROR(VLOOKUP(A52,'Centre WV1'!$A$7:$N$109,9,FALSE),0)</f>
        <v>0</v>
      </c>
      <c r="J52" s="32">
        <f>IFERROR(VLOOKUP(A52,'Centre DW1'!$A$7:$N$106,10,FALSE),0)+
IFERROR(VLOOKUP(A52,'Centre WP1'!$A$7:$N$107,10,FALSE),0)+
IFERROR(VLOOKUP(A52,'Centre WR1'!$A$7:$N$106,10,FALSE),0)+
IFERROR(VLOOKUP(A52,'Centre WV1'!$A$7:$N$109,10,FALSE),0)</f>
        <v>0</v>
      </c>
      <c r="K52" s="32">
        <f>IFERROR(VLOOKUP(A52,'Centre DW1'!$A$7:$N$106,11,FALSE),0)+
IFERROR(VLOOKUP(A52,'Centre WP1'!$A$7:$N$107,11,FALSE),0)+
IFERROR(VLOOKUP(A52,'Centre WR1'!$A$7:$N$106,11,FALSE),0)+
IFERROR(VLOOKUP(A52,'Centre WV1'!$A$7:$N$109,11,FALSE),0)</f>
        <v>0</v>
      </c>
      <c r="L52" s="32">
        <f>IFERROR(VLOOKUP(A52,'Centre DW1'!$A$7:$N$106,12,FALSE),0)+
IFERROR(VLOOKUP(A52,'Centre WP1'!$A$7:$N$107,12,FALSE),0)+
IFERROR(VLOOKUP(A52,'Centre WR1'!$A$7:$N$106,12,FALSE),0)+
IFERROR(VLOOKUP(A52,'Centre WV1'!$A$7:$N$109,12,FALSE),0)</f>
        <v>0</v>
      </c>
      <c r="M52" s="32">
        <f>IFERROR(VLOOKUP(A52,'Centre DW1'!$A$7:$N$106,13,FALSE),0)+
IFERROR(VLOOKUP(A52,'Centre WP1'!$A$7:$N$107,13,FALSE),0)+
IFERROR(VLOOKUP(A52,'Centre WR1'!$A$7:$N$106,13,FALSE),0)+
IFERROR(VLOOKUP(A52,'Centre WV1'!$A$7:$N$109,13,FALSE),0)</f>
        <v>0</v>
      </c>
      <c r="N52" s="32">
        <f>IFERROR(VLOOKUP(A52,'Centre DW1'!$A$7:$N$106,14,FALSE),0)+
IFERROR(VLOOKUP(A52,'Centre WP1'!$A$7:$N$107,14,FALSE),0)+
IFERROR(VLOOKUP(A52,'Centre WR1'!$A$7:$N$106,14,FALSE),0)+
IFERROR(VLOOKUP(A52,'Centre WV1'!$A$7:$N$109,14,FALSE),0)</f>
        <v>0</v>
      </c>
    </row>
    <row r="53" spans="1:14" outlineLevel="1" x14ac:dyDescent="0.2">
      <c r="A53" s="9" t="s">
        <v>109</v>
      </c>
      <c r="B53" s="1" t="s">
        <v>110</v>
      </c>
      <c r="C53" s="10">
        <f>IFERROR(VLOOKUP(A53,'Centre DW1'!$A$7:$N$106,3,FALSE),0)+
IFERROR(VLOOKUP(A53,'Centre WP1'!$A$7:$N$107,3,FALSE),0)+
IFERROR(VLOOKUP(A53,'Centre WR1'!$A$7:$N$106,3,FALSE),0)+
IFERROR(VLOOKUP(A53,'Centre WV1'!$A$7:$N$109,3,FALSE),0)</f>
        <v>0</v>
      </c>
      <c r="D53" s="10">
        <f>IFERROR(VLOOKUP(A53,'Centre DW1'!$A$7:$N$106,4,FALSE),0)+
IFERROR(VLOOKUP(A53,'Centre WP1'!$A$7:$N$107,4,FALSE),0)+
IFERROR(VLOOKUP(A53,'Centre WR1'!$A$7:$N$106,4,FALSE),0)+
IFERROR(VLOOKUP(A53,'Centre WV1'!$A$7:$N$109,4,FALSE),0)</f>
        <v>0</v>
      </c>
      <c r="E53" s="10">
        <f>IFERROR(VLOOKUP(A53,'Centre DW1'!$A$7:$N$106,5,FALSE),0)+
IFERROR(VLOOKUP(A53,'Centre WP1'!$A$7:$N$107,5,FALSE),0)+
IFERROR(VLOOKUP(A53,'Centre WR1'!$A$7:$N$106,5,FALSE),0)+
IFERROR(VLOOKUP(A53,'Centre WV1'!$A$7:$N$109,5,FALSE),0)</f>
        <v>0</v>
      </c>
      <c r="F53" s="10">
        <f>IFERROR(VLOOKUP(A53,'Centre DW1'!$A$7:$N$106,6,FALSE),0)+
IFERROR(VLOOKUP(A53,'Centre WP1'!$A$7:$N$107,6,FALSE),0)+
IFERROR(VLOOKUP(A53,'Centre WR1'!$A$7:$N$106,6,FALSE),0)+
IFERROR(VLOOKUP(A53,'Centre WV1'!$A$7:$N$109,6,FALSE),0)</f>
        <v>0</v>
      </c>
      <c r="G53" s="10">
        <f>IFERROR(VLOOKUP(A53,'Centre DW1'!$A$7:$N$106,7,FALSE),0)+
IFERROR(VLOOKUP(A53,'Centre WP1'!$A$7:$N$107,7,FALSE),0)+
IFERROR(VLOOKUP(A53,'Centre WR1'!$A$7:$N$106,7,FALSE),0)+
IFERROR(VLOOKUP(A53,'Centre WV1'!$A$7:$N$109,7,FALSE),0)</f>
        <v>0</v>
      </c>
      <c r="H53" s="10">
        <f>IFERROR(VLOOKUP(A53,'Centre DW1'!$A$7:$N$106,8,FALSE),0)+
IFERROR(VLOOKUP(A53,'Centre WP1'!$A$7:$N$107,8,FALSE),0)+
IFERROR(VLOOKUP(A53,'Centre WR1'!$A$7:$N$106,8,FALSE),0)+
IFERROR(VLOOKUP(A53,'Centre WV1'!$A$7:$N$109,8,FALSE),0)</f>
        <v>0</v>
      </c>
      <c r="I53" s="10">
        <f>IFERROR(VLOOKUP(A53,'Centre DW1'!$A$7:$N$106,9,FALSE),0)+
IFERROR(VLOOKUP(A53,'Centre WP1'!$A$7:$N$107,9,FALSE),0)+
IFERROR(VLOOKUP(A53,'Centre WR1'!$A$7:$N$106,9,FALSE),0)+
IFERROR(VLOOKUP(A53,'Centre WV1'!$A$7:$N$109,9,FALSE),0)</f>
        <v>0.2</v>
      </c>
      <c r="J53" s="32">
        <f>IFERROR(VLOOKUP(A53,'Centre DW1'!$A$7:$N$106,10,FALSE),0)+
IFERROR(VLOOKUP(A53,'Centre WP1'!$A$7:$N$107,10,FALSE),0)+
IFERROR(VLOOKUP(A53,'Centre WR1'!$A$7:$N$106,10,FALSE),0)+
IFERROR(VLOOKUP(A53,'Centre WV1'!$A$7:$N$109,10,FALSE),0)</f>
        <v>0</v>
      </c>
      <c r="K53" s="32">
        <f>IFERROR(VLOOKUP(A53,'Centre DW1'!$A$7:$N$106,11,FALSE),0)+
IFERROR(VLOOKUP(A53,'Centre WP1'!$A$7:$N$107,11,FALSE),0)+
IFERROR(VLOOKUP(A53,'Centre WR1'!$A$7:$N$106,11,FALSE),0)+
IFERROR(VLOOKUP(A53,'Centre WV1'!$A$7:$N$109,11,FALSE),0)</f>
        <v>0</v>
      </c>
      <c r="L53" s="32">
        <f>IFERROR(VLOOKUP(A53,'Centre DW1'!$A$7:$N$106,12,FALSE),0)+
IFERROR(VLOOKUP(A53,'Centre WP1'!$A$7:$N$107,12,FALSE),0)+
IFERROR(VLOOKUP(A53,'Centre WR1'!$A$7:$N$106,12,FALSE),0)+
IFERROR(VLOOKUP(A53,'Centre WV1'!$A$7:$N$109,12,FALSE),0)</f>
        <v>0</v>
      </c>
      <c r="M53" s="32">
        <f>IFERROR(VLOOKUP(A53,'Centre DW1'!$A$7:$N$106,13,FALSE),0)+
IFERROR(VLOOKUP(A53,'Centre WP1'!$A$7:$N$107,13,FALSE),0)+
IFERROR(VLOOKUP(A53,'Centre WR1'!$A$7:$N$106,13,FALSE),0)+
IFERROR(VLOOKUP(A53,'Centre WV1'!$A$7:$N$109,13,FALSE),0)</f>
        <v>0</v>
      </c>
      <c r="N53" s="32">
        <f>IFERROR(VLOOKUP(A53,'Centre DW1'!$A$7:$N$106,14,FALSE),0)+
IFERROR(VLOOKUP(A53,'Centre WP1'!$A$7:$N$107,14,FALSE),0)+
IFERROR(VLOOKUP(A53,'Centre WR1'!$A$7:$N$106,14,FALSE),0)+
IFERROR(VLOOKUP(A53,'Centre WV1'!$A$7:$N$109,14,FALSE),0)</f>
        <v>0.2</v>
      </c>
    </row>
    <row r="54" spans="1:14" x14ac:dyDescent="0.2">
      <c r="A54" s="33" t="s">
        <v>111</v>
      </c>
      <c r="B54" s="34" t="s">
        <v>112</v>
      </c>
      <c r="C54" s="37">
        <f>SUM(C55:C57)</f>
        <v>0</v>
      </c>
      <c r="D54" s="37">
        <f t="shared" ref="D54:N54" si="8">SUM(D55:D57)</f>
        <v>0</v>
      </c>
      <c r="E54" s="37">
        <f t="shared" si="8"/>
        <v>0</v>
      </c>
      <c r="F54" s="37">
        <f t="shared" si="8"/>
        <v>0</v>
      </c>
      <c r="G54" s="37">
        <f t="shared" si="8"/>
        <v>0</v>
      </c>
      <c r="H54" s="37">
        <f t="shared" si="8"/>
        <v>0</v>
      </c>
      <c r="I54" s="37">
        <f t="shared" si="8"/>
        <v>0</v>
      </c>
      <c r="J54" s="37">
        <f t="shared" si="8"/>
        <v>0</v>
      </c>
      <c r="K54" s="37">
        <f t="shared" si="8"/>
        <v>0</v>
      </c>
      <c r="L54" s="37">
        <f t="shared" si="8"/>
        <v>0</v>
      </c>
      <c r="M54" s="37">
        <f t="shared" si="8"/>
        <v>0</v>
      </c>
      <c r="N54" s="37">
        <f t="shared" si="8"/>
        <v>0</v>
      </c>
    </row>
    <row r="55" spans="1:14" outlineLevel="1" x14ac:dyDescent="0.2">
      <c r="A55" s="9" t="s">
        <v>113</v>
      </c>
      <c r="B55" s="1" t="s">
        <v>114</v>
      </c>
      <c r="C55" s="10">
        <f>IFERROR(VLOOKUP(A55,'Centre DW1'!$A$7:$N$106,3,FALSE),0)+
IFERROR(VLOOKUP(A55,'Centre WP1'!$A$7:$N$107,3,FALSE),0)+
IFERROR(VLOOKUP(A55,'Centre WR1'!$A$7:$N$106,3,FALSE),0)+
IFERROR(VLOOKUP(A55,'Centre WV1'!$A$7:$N$109,3,FALSE),0)</f>
        <v>0</v>
      </c>
      <c r="D55" s="10">
        <f>IFERROR(VLOOKUP(A55,'Centre DW1'!$A$7:$N$106,4,FALSE),0)+
IFERROR(VLOOKUP(A55,'Centre WP1'!$A$7:$N$107,4,FALSE),0)+
IFERROR(VLOOKUP(A55,'Centre WR1'!$A$7:$N$106,4,FALSE),0)+
IFERROR(VLOOKUP(A55,'Centre WV1'!$A$7:$N$109,4,FALSE),0)</f>
        <v>0</v>
      </c>
      <c r="E55" s="10">
        <f>IFERROR(VLOOKUP(A55,'Centre DW1'!$A$7:$N$106,5,FALSE),0)+
IFERROR(VLOOKUP(A55,'Centre WP1'!$A$7:$N$107,5,FALSE),0)+
IFERROR(VLOOKUP(A55,'Centre WR1'!$A$7:$N$106,5,FALSE),0)+
IFERROR(VLOOKUP(A55,'Centre WV1'!$A$7:$N$109,5,FALSE),0)</f>
        <v>0</v>
      </c>
      <c r="F55" s="10">
        <f>IFERROR(VLOOKUP(A55,'Centre DW1'!$A$7:$N$106,6,FALSE),0)+
IFERROR(VLOOKUP(A55,'Centre WP1'!$A$7:$N$107,6,FALSE),0)+
IFERROR(VLOOKUP(A55,'Centre WR1'!$A$7:$N$106,6,FALSE),0)+
IFERROR(VLOOKUP(A55,'Centre WV1'!$A$7:$N$109,6,FALSE),0)</f>
        <v>0</v>
      </c>
      <c r="G55" s="10">
        <f>IFERROR(VLOOKUP(A55,'Centre DW1'!$A$7:$N$106,7,FALSE),0)+
IFERROR(VLOOKUP(A55,'Centre WP1'!$A$7:$N$107,7,FALSE),0)+
IFERROR(VLOOKUP(A55,'Centre WR1'!$A$7:$N$106,7,FALSE),0)+
IFERROR(VLOOKUP(A55,'Centre WV1'!$A$7:$N$109,7,FALSE),0)</f>
        <v>0</v>
      </c>
      <c r="H55" s="10">
        <f>IFERROR(VLOOKUP(A55,'Centre DW1'!$A$7:$N$106,8,FALSE),0)+
IFERROR(VLOOKUP(A55,'Centre WP1'!$A$7:$N$107,8,FALSE),0)+
IFERROR(VLOOKUP(A55,'Centre WR1'!$A$7:$N$106,8,FALSE),0)+
IFERROR(VLOOKUP(A55,'Centre WV1'!$A$7:$N$109,8,FALSE),0)</f>
        <v>0</v>
      </c>
      <c r="I55" s="10">
        <f>IFERROR(VLOOKUP(A55,'Centre DW1'!$A$7:$N$106,9,FALSE),0)+
IFERROR(VLOOKUP(A55,'Centre WP1'!$A$7:$N$107,9,FALSE),0)+
IFERROR(VLOOKUP(A55,'Centre WR1'!$A$7:$N$106,9,FALSE),0)+
IFERROR(VLOOKUP(A55,'Centre WV1'!$A$7:$N$109,9,FALSE),0)</f>
        <v>0</v>
      </c>
      <c r="J55" s="32">
        <f>IFERROR(VLOOKUP(A55,'Centre DW1'!$A$7:$N$106,10,FALSE),0)+
IFERROR(VLOOKUP(A55,'Centre WP1'!$A$7:$N$107,10,FALSE),0)+
IFERROR(VLOOKUP(A55,'Centre WR1'!$A$7:$N$106,10,FALSE),0)+
IFERROR(VLOOKUP(A55,'Centre WV1'!$A$7:$N$109,10,FALSE),0)</f>
        <v>0</v>
      </c>
      <c r="K55" s="32">
        <f>IFERROR(VLOOKUP(A55,'Centre DW1'!$A$7:$N$106,11,FALSE),0)+
IFERROR(VLOOKUP(A55,'Centre WP1'!$A$7:$N$107,11,FALSE),0)+
IFERROR(VLOOKUP(A55,'Centre WR1'!$A$7:$N$106,11,FALSE),0)+
IFERROR(VLOOKUP(A55,'Centre WV1'!$A$7:$N$109,11,FALSE),0)</f>
        <v>0</v>
      </c>
      <c r="L55" s="32">
        <f>IFERROR(VLOOKUP(A55,'Centre DW1'!$A$7:$N$106,12,FALSE),0)+
IFERROR(VLOOKUP(A55,'Centre WP1'!$A$7:$N$107,12,FALSE),0)+
IFERROR(VLOOKUP(A55,'Centre WR1'!$A$7:$N$106,12,FALSE),0)+
IFERROR(VLOOKUP(A55,'Centre WV1'!$A$7:$N$109,12,FALSE),0)</f>
        <v>0</v>
      </c>
      <c r="M55" s="32">
        <f>IFERROR(VLOOKUP(A55,'Centre DW1'!$A$7:$N$106,13,FALSE),0)+
IFERROR(VLOOKUP(A55,'Centre WP1'!$A$7:$N$107,13,FALSE),0)+
IFERROR(VLOOKUP(A55,'Centre WR1'!$A$7:$N$106,13,FALSE),0)+
IFERROR(VLOOKUP(A55,'Centre WV1'!$A$7:$N$109,13,FALSE),0)</f>
        <v>0</v>
      </c>
      <c r="N55" s="32">
        <f>IFERROR(VLOOKUP(A55,'Centre DW1'!$A$7:$N$106,14,FALSE),0)+
IFERROR(VLOOKUP(A55,'Centre WP1'!$A$7:$N$107,14,FALSE),0)+
IFERROR(VLOOKUP(A55,'Centre WR1'!$A$7:$N$106,14,FALSE),0)+
IFERROR(VLOOKUP(A55,'Centre WV1'!$A$7:$N$109,14,FALSE),0)</f>
        <v>0</v>
      </c>
    </row>
    <row r="56" spans="1:14" outlineLevel="1" x14ac:dyDescent="0.2">
      <c r="A56" s="9" t="s">
        <v>115</v>
      </c>
      <c r="B56" s="1" t="s">
        <v>116</v>
      </c>
      <c r="C56" s="10">
        <f>IFERROR(VLOOKUP(A56,'Centre DW1'!$A$7:$N$106,3,FALSE),0)+
IFERROR(VLOOKUP(A56,'Centre WP1'!$A$7:$N$107,3,FALSE),0)+
IFERROR(VLOOKUP(A56,'Centre WR1'!$A$7:$N$106,3,FALSE),0)+
IFERROR(VLOOKUP(A56,'Centre WV1'!$A$7:$N$109,3,FALSE),0)</f>
        <v>0</v>
      </c>
      <c r="D56" s="10">
        <f>IFERROR(VLOOKUP(A56,'Centre DW1'!$A$7:$N$106,4,FALSE),0)+
IFERROR(VLOOKUP(A56,'Centre WP1'!$A$7:$N$107,4,FALSE),0)+
IFERROR(VLOOKUP(A56,'Centre WR1'!$A$7:$N$106,4,FALSE),0)+
IFERROR(VLOOKUP(A56,'Centre WV1'!$A$7:$N$109,4,FALSE),0)</f>
        <v>0</v>
      </c>
      <c r="E56" s="10">
        <f>IFERROR(VLOOKUP(A56,'Centre DW1'!$A$7:$N$106,5,FALSE),0)+
IFERROR(VLOOKUP(A56,'Centre WP1'!$A$7:$N$107,5,FALSE),0)+
IFERROR(VLOOKUP(A56,'Centre WR1'!$A$7:$N$106,5,FALSE),0)+
IFERROR(VLOOKUP(A56,'Centre WV1'!$A$7:$N$109,5,FALSE),0)</f>
        <v>0</v>
      </c>
      <c r="F56" s="10">
        <f>IFERROR(VLOOKUP(A56,'Centre DW1'!$A$7:$N$106,6,FALSE),0)+
IFERROR(VLOOKUP(A56,'Centre WP1'!$A$7:$N$107,6,FALSE),0)+
IFERROR(VLOOKUP(A56,'Centre WR1'!$A$7:$N$106,6,FALSE),0)+
IFERROR(VLOOKUP(A56,'Centre WV1'!$A$7:$N$109,6,FALSE),0)</f>
        <v>0</v>
      </c>
      <c r="G56" s="10">
        <f>IFERROR(VLOOKUP(A56,'Centre DW1'!$A$7:$N$106,7,FALSE),0)+
IFERROR(VLOOKUP(A56,'Centre WP1'!$A$7:$N$107,7,FALSE),0)+
IFERROR(VLOOKUP(A56,'Centre WR1'!$A$7:$N$106,7,FALSE),0)+
IFERROR(VLOOKUP(A56,'Centre WV1'!$A$7:$N$109,7,FALSE),0)</f>
        <v>0</v>
      </c>
      <c r="H56" s="10">
        <f>IFERROR(VLOOKUP(A56,'Centre DW1'!$A$7:$N$106,8,FALSE),0)+
IFERROR(VLOOKUP(A56,'Centre WP1'!$A$7:$N$107,8,FALSE),0)+
IFERROR(VLOOKUP(A56,'Centre WR1'!$A$7:$N$106,8,FALSE),0)+
IFERROR(VLOOKUP(A56,'Centre WV1'!$A$7:$N$109,8,FALSE),0)</f>
        <v>0</v>
      </c>
      <c r="I56" s="10">
        <f>IFERROR(VLOOKUP(A56,'Centre DW1'!$A$7:$N$106,9,FALSE),0)+
IFERROR(VLOOKUP(A56,'Centre WP1'!$A$7:$N$107,9,FALSE),0)+
IFERROR(VLOOKUP(A56,'Centre WR1'!$A$7:$N$106,9,FALSE),0)+
IFERROR(VLOOKUP(A56,'Centre WV1'!$A$7:$N$109,9,FALSE),0)</f>
        <v>0</v>
      </c>
      <c r="J56" s="32">
        <f>IFERROR(VLOOKUP(A56,'Centre DW1'!$A$7:$N$106,10,FALSE),0)+
IFERROR(VLOOKUP(A56,'Centre WP1'!$A$7:$N$107,10,FALSE),0)+
IFERROR(VLOOKUP(A56,'Centre WR1'!$A$7:$N$106,10,FALSE),0)+
IFERROR(VLOOKUP(A56,'Centre WV1'!$A$7:$N$109,10,FALSE),0)</f>
        <v>0</v>
      </c>
      <c r="K56" s="32">
        <f>IFERROR(VLOOKUP(A56,'Centre DW1'!$A$7:$N$106,11,FALSE),0)+
IFERROR(VLOOKUP(A56,'Centre WP1'!$A$7:$N$107,11,FALSE),0)+
IFERROR(VLOOKUP(A56,'Centre WR1'!$A$7:$N$106,11,FALSE),0)+
IFERROR(VLOOKUP(A56,'Centre WV1'!$A$7:$N$109,11,FALSE),0)</f>
        <v>0</v>
      </c>
      <c r="L56" s="32">
        <f>IFERROR(VLOOKUP(A56,'Centre DW1'!$A$7:$N$106,12,FALSE),0)+
IFERROR(VLOOKUP(A56,'Centre WP1'!$A$7:$N$107,12,FALSE),0)+
IFERROR(VLOOKUP(A56,'Centre WR1'!$A$7:$N$106,12,FALSE),0)+
IFERROR(VLOOKUP(A56,'Centre WV1'!$A$7:$N$109,12,FALSE),0)</f>
        <v>0</v>
      </c>
      <c r="M56" s="32">
        <f>IFERROR(VLOOKUP(A56,'Centre DW1'!$A$7:$N$106,13,FALSE),0)+
IFERROR(VLOOKUP(A56,'Centre WP1'!$A$7:$N$107,13,FALSE),0)+
IFERROR(VLOOKUP(A56,'Centre WR1'!$A$7:$N$106,13,FALSE),0)+
IFERROR(VLOOKUP(A56,'Centre WV1'!$A$7:$N$109,13,FALSE),0)</f>
        <v>0</v>
      </c>
      <c r="N56" s="32">
        <f>IFERROR(VLOOKUP(A56,'Centre DW1'!$A$7:$N$106,14,FALSE),0)+
IFERROR(VLOOKUP(A56,'Centre WP1'!$A$7:$N$107,14,FALSE),0)+
IFERROR(VLOOKUP(A56,'Centre WR1'!$A$7:$N$106,14,FALSE),0)+
IFERROR(VLOOKUP(A56,'Centre WV1'!$A$7:$N$109,14,FALSE),0)</f>
        <v>0</v>
      </c>
    </row>
    <row r="57" spans="1:14" outlineLevel="1" x14ac:dyDescent="0.2">
      <c r="A57" s="9" t="s">
        <v>117</v>
      </c>
      <c r="B57" s="1" t="s">
        <v>118</v>
      </c>
      <c r="C57" s="10">
        <f>IFERROR(VLOOKUP(A57,'Centre DW1'!$A$7:$N$106,3,FALSE),0)+
IFERROR(VLOOKUP(A57,'Centre WP1'!$A$7:$N$107,3,FALSE),0)+
IFERROR(VLOOKUP(A57,'Centre WR1'!$A$7:$N$106,3,FALSE),0)+
IFERROR(VLOOKUP(A57,'Centre WV1'!$A$7:$N$109,3,FALSE),0)</f>
        <v>0</v>
      </c>
      <c r="D57" s="10">
        <f>IFERROR(VLOOKUP(A57,'Centre DW1'!$A$7:$N$106,4,FALSE),0)+
IFERROR(VLOOKUP(A57,'Centre WP1'!$A$7:$N$107,4,FALSE),0)+
IFERROR(VLOOKUP(A57,'Centre WR1'!$A$7:$N$106,4,FALSE),0)+
IFERROR(VLOOKUP(A57,'Centre WV1'!$A$7:$N$109,4,FALSE),0)</f>
        <v>0</v>
      </c>
      <c r="E57" s="10">
        <f>IFERROR(VLOOKUP(A57,'Centre DW1'!$A$7:$N$106,5,FALSE),0)+
IFERROR(VLOOKUP(A57,'Centre WP1'!$A$7:$N$107,5,FALSE),0)+
IFERROR(VLOOKUP(A57,'Centre WR1'!$A$7:$N$106,5,FALSE),0)+
IFERROR(VLOOKUP(A57,'Centre WV1'!$A$7:$N$109,5,FALSE),0)</f>
        <v>0</v>
      </c>
      <c r="F57" s="10">
        <f>IFERROR(VLOOKUP(A57,'Centre DW1'!$A$7:$N$106,6,FALSE),0)+
IFERROR(VLOOKUP(A57,'Centre WP1'!$A$7:$N$107,6,FALSE),0)+
IFERROR(VLOOKUP(A57,'Centre WR1'!$A$7:$N$106,6,FALSE),0)+
IFERROR(VLOOKUP(A57,'Centre WV1'!$A$7:$N$109,6,FALSE),0)</f>
        <v>0</v>
      </c>
      <c r="G57" s="10">
        <f>IFERROR(VLOOKUP(A57,'Centre DW1'!$A$7:$N$106,7,FALSE),0)+
IFERROR(VLOOKUP(A57,'Centre WP1'!$A$7:$N$107,7,FALSE),0)+
IFERROR(VLOOKUP(A57,'Centre WR1'!$A$7:$N$106,7,FALSE),0)+
IFERROR(VLOOKUP(A57,'Centre WV1'!$A$7:$N$109,7,FALSE),0)</f>
        <v>0</v>
      </c>
      <c r="H57" s="10">
        <f>IFERROR(VLOOKUP(A57,'Centre DW1'!$A$7:$N$106,8,FALSE),0)+
IFERROR(VLOOKUP(A57,'Centre WP1'!$A$7:$N$107,8,FALSE),0)+
IFERROR(VLOOKUP(A57,'Centre WR1'!$A$7:$N$106,8,FALSE),0)+
IFERROR(VLOOKUP(A57,'Centre WV1'!$A$7:$N$109,8,FALSE),0)</f>
        <v>0</v>
      </c>
      <c r="I57" s="10">
        <f>IFERROR(VLOOKUP(A57,'Centre DW1'!$A$7:$N$106,9,FALSE),0)+
IFERROR(VLOOKUP(A57,'Centre WP1'!$A$7:$N$107,9,FALSE),0)+
IFERROR(VLOOKUP(A57,'Centre WR1'!$A$7:$N$106,9,FALSE),0)+
IFERROR(VLOOKUP(A57,'Centre WV1'!$A$7:$N$109,9,FALSE),0)</f>
        <v>0</v>
      </c>
      <c r="J57" s="32">
        <f>IFERROR(VLOOKUP(A57,'Centre DW1'!$A$7:$N$106,10,FALSE),0)+
IFERROR(VLOOKUP(A57,'Centre WP1'!$A$7:$N$107,10,FALSE),0)+
IFERROR(VLOOKUP(A57,'Centre WR1'!$A$7:$N$106,10,FALSE),0)+
IFERROR(VLOOKUP(A57,'Centre WV1'!$A$7:$N$109,10,FALSE),0)</f>
        <v>0</v>
      </c>
      <c r="K57" s="32">
        <f>IFERROR(VLOOKUP(A57,'Centre DW1'!$A$7:$N$106,11,FALSE),0)+
IFERROR(VLOOKUP(A57,'Centre WP1'!$A$7:$N$107,11,FALSE),0)+
IFERROR(VLOOKUP(A57,'Centre WR1'!$A$7:$N$106,11,FALSE),0)+
IFERROR(VLOOKUP(A57,'Centre WV1'!$A$7:$N$109,11,FALSE),0)</f>
        <v>0</v>
      </c>
      <c r="L57" s="32">
        <f>IFERROR(VLOOKUP(A57,'Centre DW1'!$A$7:$N$106,12,FALSE),0)+
IFERROR(VLOOKUP(A57,'Centre WP1'!$A$7:$N$107,12,FALSE),0)+
IFERROR(VLOOKUP(A57,'Centre WR1'!$A$7:$N$106,12,FALSE),0)+
IFERROR(VLOOKUP(A57,'Centre WV1'!$A$7:$N$109,12,FALSE),0)</f>
        <v>0</v>
      </c>
      <c r="M57" s="32">
        <f>IFERROR(VLOOKUP(A57,'Centre DW1'!$A$7:$N$106,13,FALSE),0)+
IFERROR(VLOOKUP(A57,'Centre WP1'!$A$7:$N$107,13,FALSE),0)+
IFERROR(VLOOKUP(A57,'Centre WR1'!$A$7:$N$106,13,FALSE),0)+
IFERROR(VLOOKUP(A57,'Centre WV1'!$A$7:$N$109,13,FALSE),0)</f>
        <v>0</v>
      </c>
      <c r="N57" s="32">
        <f>IFERROR(VLOOKUP(A57,'Centre DW1'!$A$7:$N$106,14,FALSE),0)+
IFERROR(VLOOKUP(A57,'Centre WP1'!$A$7:$N$107,14,FALSE),0)+
IFERROR(VLOOKUP(A57,'Centre WR1'!$A$7:$N$106,14,FALSE),0)+
IFERROR(VLOOKUP(A57,'Centre WV1'!$A$7:$N$109,14,FALSE),0)</f>
        <v>0</v>
      </c>
    </row>
    <row r="58" spans="1:14" x14ac:dyDescent="0.2">
      <c r="A58" s="33" t="s">
        <v>119</v>
      </c>
      <c r="B58" s="34" t="s">
        <v>120</v>
      </c>
      <c r="C58" s="37">
        <f>SUM(C59:C61)</f>
        <v>0</v>
      </c>
      <c r="D58" s="37">
        <f t="shared" ref="D58:N58" si="9">SUM(D59:D61)</f>
        <v>0</v>
      </c>
      <c r="E58" s="37">
        <f t="shared" si="9"/>
        <v>0</v>
      </c>
      <c r="F58" s="37">
        <f t="shared" si="9"/>
        <v>0</v>
      </c>
      <c r="G58" s="37">
        <f t="shared" si="9"/>
        <v>0</v>
      </c>
      <c r="H58" s="37">
        <f t="shared" si="9"/>
        <v>0.1</v>
      </c>
      <c r="I58" s="37">
        <f t="shared" si="9"/>
        <v>0</v>
      </c>
      <c r="J58" s="37">
        <f t="shared" ca="1" si="9"/>
        <v>1</v>
      </c>
      <c r="K58" s="37">
        <f t="shared" ca="1" si="9"/>
        <v>1</v>
      </c>
      <c r="L58" s="37">
        <f t="shared" ca="1" si="9"/>
        <v>1</v>
      </c>
      <c r="M58" s="37">
        <f t="shared" ca="1" si="9"/>
        <v>1</v>
      </c>
      <c r="N58" s="37">
        <f t="shared" ca="1" si="9"/>
        <v>1</v>
      </c>
    </row>
    <row r="59" spans="1:14" outlineLevel="1" x14ac:dyDescent="0.2">
      <c r="A59" s="9" t="s">
        <v>121</v>
      </c>
      <c r="B59" s="1" t="s">
        <v>122</v>
      </c>
      <c r="C59" s="10">
        <f>IFERROR(VLOOKUP(A59,'Centre DW1'!$A$7:$N$106,3,FALSE),0)+
IFERROR(VLOOKUP(A59,'Centre WP1'!$A$7:$N$107,3,FALSE),0)+
IFERROR(VLOOKUP(A59,'Centre WR1'!$A$7:$N$106,3,FALSE),0)+
IFERROR(VLOOKUP(A59,'Centre WV1'!$A$7:$N$109,3,FALSE),0)</f>
        <v>0</v>
      </c>
      <c r="D59" s="10">
        <f>IFERROR(VLOOKUP(A59,'Centre DW1'!$A$7:$N$106,4,FALSE),0)+
IFERROR(VLOOKUP(A59,'Centre WP1'!$A$7:$N$107,4,FALSE),0)+
IFERROR(VLOOKUP(A59,'Centre WR1'!$A$7:$N$106,4,FALSE),0)+
IFERROR(VLOOKUP(A59,'Centre WV1'!$A$7:$N$109,4,FALSE),0)</f>
        <v>0</v>
      </c>
      <c r="E59" s="10">
        <f>IFERROR(VLOOKUP(A59,'Centre DW1'!$A$7:$N$106,5,FALSE),0)+
IFERROR(VLOOKUP(A59,'Centre WP1'!$A$7:$N$107,5,FALSE),0)+
IFERROR(VLOOKUP(A59,'Centre WR1'!$A$7:$N$106,5,FALSE),0)+
IFERROR(VLOOKUP(A59,'Centre WV1'!$A$7:$N$109,5,FALSE),0)</f>
        <v>0</v>
      </c>
      <c r="F59" s="10">
        <f>IFERROR(VLOOKUP(A59,'Centre DW1'!$A$7:$N$106,6,FALSE),0)+
IFERROR(VLOOKUP(A59,'Centre WP1'!$A$7:$N$107,6,FALSE),0)+
IFERROR(VLOOKUP(A59,'Centre WR1'!$A$7:$N$106,6,FALSE),0)+
IFERROR(VLOOKUP(A59,'Centre WV1'!$A$7:$N$109,6,FALSE),0)</f>
        <v>0</v>
      </c>
      <c r="G59" s="10">
        <f>IFERROR(VLOOKUP(A59,'Centre DW1'!$A$7:$N$106,7,FALSE),0)+
IFERROR(VLOOKUP(A59,'Centre WP1'!$A$7:$N$107,7,FALSE),0)+
IFERROR(VLOOKUP(A59,'Centre WR1'!$A$7:$N$106,7,FALSE),0)+
IFERROR(VLOOKUP(A59,'Centre WV1'!$A$7:$N$109,7,FALSE),0)</f>
        <v>0</v>
      </c>
      <c r="H59" s="10">
        <f>IFERROR(VLOOKUP(A59,'Centre DW1'!$A$7:$N$106,8,FALSE),0)+
IFERROR(VLOOKUP(A59,'Centre WP1'!$A$7:$N$107,8,FALSE),0)+
IFERROR(VLOOKUP(A59,'Centre WR1'!$A$7:$N$106,8,FALSE),0)+
IFERROR(VLOOKUP(A59,'Centre WV1'!$A$7:$N$109,8,FALSE),0)</f>
        <v>0</v>
      </c>
      <c r="I59" s="10">
        <f>IFERROR(VLOOKUP(A59,'Centre DW1'!$A$7:$N$106,9,FALSE),0)+
IFERROR(VLOOKUP(A59,'Centre WP1'!$A$7:$N$107,9,FALSE),0)+
IFERROR(VLOOKUP(A59,'Centre WR1'!$A$7:$N$106,9,FALSE),0)+
IFERROR(VLOOKUP(A59,'Centre WV1'!$A$7:$N$109,9,FALSE),0)</f>
        <v>0</v>
      </c>
      <c r="J59" s="32">
        <f>IFERROR(VLOOKUP(A59,'Centre DW1'!$A$7:$N$106,10,FALSE),0)+
IFERROR(VLOOKUP(A59,'Centre WP1'!$A$7:$N$107,10,FALSE),0)+
IFERROR(VLOOKUP(A59,'Centre WR1'!$A$7:$N$106,10,FALSE),0)+
IFERROR(VLOOKUP(A59,'Centre WV1'!$A$7:$N$109,10,FALSE),0)</f>
        <v>0</v>
      </c>
      <c r="K59" s="32">
        <f>IFERROR(VLOOKUP(A59,'Centre DW1'!$A$7:$N$106,11,FALSE),0)+
IFERROR(VLOOKUP(A59,'Centre WP1'!$A$7:$N$107,11,FALSE),0)+
IFERROR(VLOOKUP(A59,'Centre WR1'!$A$7:$N$106,11,FALSE),0)+
IFERROR(VLOOKUP(A59,'Centre WV1'!$A$7:$N$109,11,FALSE),0)</f>
        <v>0</v>
      </c>
      <c r="L59" s="32">
        <f>IFERROR(VLOOKUP(A59,'Centre DW1'!$A$7:$N$106,12,FALSE),0)+
IFERROR(VLOOKUP(A59,'Centre WP1'!$A$7:$N$107,12,FALSE),0)+
IFERROR(VLOOKUP(A59,'Centre WR1'!$A$7:$N$106,12,FALSE),0)+
IFERROR(VLOOKUP(A59,'Centre WV1'!$A$7:$N$109,12,FALSE),0)</f>
        <v>0</v>
      </c>
      <c r="M59" s="32">
        <f>IFERROR(VLOOKUP(A59,'Centre DW1'!$A$7:$N$106,13,FALSE),0)+
IFERROR(VLOOKUP(A59,'Centre WP1'!$A$7:$N$107,13,FALSE),0)+
IFERROR(VLOOKUP(A59,'Centre WR1'!$A$7:$N$106,13,FALSE),0)+
IFERROR(VLOOKUP(A59,'Centre WV1'!$A$7:$N$109,13,FALSE),0)</f>
        <v>0</v>
      </c>
      <c r="N59" s="32">
        <f>IFERROR(VLOOKUP(A59,'Centre DW1'!$A$7:$N$106,14,FALSE),0)+
IFERROR(VLOOKUP(A59,'Centre WP1'!$A$7:$N$107,14,FALSE),0)+
IFERROR(VLOOKUP(A59,'Centre WR1'!$A$7:$N$106,14,FALSE),0)+
IFERROR(VLOOKUP(A59,'Centre WV1'!$A$7:$N$109,14,FALSE),0)</f>
        <v>0</v>
      </c>
    </row>
    <row r="60" spans="1:14" outlineLevel="1" x14ac:dyDescent="0.2">
      <c r="A60" s="9" t="s">
        <v>123</v>
      </c>
      <c r="B60" s="1" t="s">
        <v>124</v>
      </c>
      <c r="C60" s="10">
        <f>IFERROR(VLOOKUP(A60,'Centre DW1'!$A$7:$N$106,3,FALSE),0)+
IFERROR(VLOOKUP(A60,'Centre WP1'!$A$7:$N$107,3,FALSE),0)+
IFERROR(VLOOKUP(A60,'Centre WR1'!$A$7:$N$106,3,FALSE),0)+
IFERROR(VLOOKUP(A60,'Centre WV1'!$A$7:$N$109,3,FALSE),0)</f>
        <v>0</v>
      </c>
      <c r="D60" s="10">
        <f>IFERROR(VLOOKUP(A60,'Centre DW1'!$A$7:$N$106,4,FALSE),0)+
IFERROR(VLOOKUP(A60,'Centre WP1'!$A$7:$N$107,4,FALSE),0)+
IFERROR(VLOOKUP(A60,'Centre WR1'!$A$7:$N$106,4,FALSE),0)+
IFERROR(VLOOKUP(A60,'Centre WV1'!$A$7:$N$109,4,FALSE),0)</f>
        <v>0</v>
      </c>
      <c r="E60" s="10">
        <f>IFERROR(VLOOKUP(A60,'Centre DW1'!$A$7:$N$106,5,FALSE),0)+
IFERROR(VLOOKUP(A60,'Centre WP1'!$A$7:$N$107,5,FALSE),0)+
IFERROR(VLOOKUP(A60,'Centre WR1'!$A$7:$N$106,5,FALSE),0)+
IFERROR(VLOOKUP(A60,'Centre WV1'!$A$7:$N$109,5,FALSE),0)</f>
        <v>0</v>
      </c>
      <c r="F60" s="10">
        <f>IFERROR(VLOOKUP(A60,'Centre DW1'!$A$7:$N$106,6,FALSE),0)+
IFERROR(VLOOKUP(A60,'Centre WP1'!$A$7:$N$107,6,FALSE),0)+
IFERROR(VLOOKUP(A60,'Centre WR1'!$A$7:$N$106,6,FALSE),0)+
IFERROR(VLOOKUP(A60,'Centre WV1'!$A$7:$N$109,6,FALSE),0)</f>
        <v>0</v>
      </c>
      <c r="G60" s="10">
        <f>IFERROR(VLOOKUP(A60,'Centre DW1'!$A$7:$N$106,7,FALSE),0)+
IFERROR(VLOOKUP(A60,'Centre WP1'!$A$7:$N$107,7,FALSE),0)+
IFERROR(VLOOKUP(A60,'Centre WR1'!$A$7:$N$106,7,FALSE),0)+
IFERROR(VLOOKUP(A60,'Centre WV1'!$A$7:$N$109,7,FALSE),0)</f>
        <v>0</v>
      </c>
      <c r="H60" s="10">
        <f>IFERROR(VLOOKUP(A60,'Centre DW1'!$A$7:$N$106,8,FALSE),0)+
IFERROR(VLOOKUP(A60,'Centre WP1'!$A$7:$N$107,8,FALSE),0)+
IFERROR(VLOOKUP(A60,'Centre WR1'!$A$7:$N$106,8,FALSE),0)+
IFERROR(VLOOKUP(A60,'Centre WV1'!$A$7:$N$109,8,FALSE),0)</f>
        <v>0.1</v>
      </c>
      <c r="I60" s="10">
        <f>IFERROR(VLOOKUP(A60,'Centre DW1'!$A$7:$N$106,9,FALSE),0)+
IFERROR(VLOOKUP(A60,'Centre WP1'!$A$7:$N$107,9,FALSE),0)+
IFERROR(VLOOKUP(A60,'Centre WR1'!$A$7:$N$106,9,FALSE),0)+
IFERROR(VLOOKUP(A60,'Centre WV1'!$A$7:$N$109,9,FALSE),0)</f>
        <v>0</v>
      </c>
      <c r="J60" s="32">
        <f ca="1">IFERROR(VLOOKUP(A60,'Centre DW1'!$A$7:$N$106,10,FALSE),0)+
IFERROR(VLOOKUP(A60,'Centre WP1'!$A$7:$N$107,10,FALSE),0)+
IFERROR(VLOOKUP(A60,'Centre WR1'!$A$7:$N$106,10,FALSE),0)+
IFERROR(VLOOKUP(A60,'Centre WV1'!$A$7:$N$109,10,FALSE),0)</f>
        <v>1</v>
      </c>
      <c r="K60" s="32">
        <f ca="1">IFERROR(VLOOKUP(A60,'Centre DW1'!$A$7:$N$106,11,FALSE),0)+
IFERROR(VLOOKUP(A60,'Centre WP1'!$A$7:$N$107,11,FALSE),0)+
IFERROR(VLOOKUP(A60,'Centre WR1'!$A$7:$N$106,11,FALSE),0)+
IFERROR(VLOOKUP(A60,'Centre WV1'!$A$7:$N$109,11,FALSE),0)</f>
        <v>1</v>
      </c>
      <c r="L60" s="32">
        <f ca="1">IFERROR(VLOOKUP(A60,'Centre DW1'!$A$7:$N$106,12,FALSE),0)+
IFERROR(VLOOKUP(A60,'Centre WP1'!$A$7:$N$107,12,FALSE),0)+
IFERROR(VLOOKUP(A60,'Centre WR1'!$A$7:$N$106,12,FALSE),0)+
IFERROR(VLOOKUP(A60,'Centre WV1'!$A$7:$N$109,12,FALSE),0)</f>
        <v>1</v>
      </c>
      <c r="M60" s="32">
        <f ca="1">IFERROR(VLOOKUP(A60,'Centre DW1'!$A$7:$N$106,13,FALSE),0)+
IFERROR(VLOOKUP(A60,'Centre WP1'!$A$7:$N$107,13,FALSE),0)+
IFERROR(VLOOKUP(A60,'Centre WR1'!$A$7:$N$106,13,FALSE),0)+
IFERROR(VLOOKUP(A60,'Centre WV1'!$A$7:$N$109,13,FALSE),0)</f>
        <v>1</v>
      </c>
      <c r="N60" s="32">
        <f ca="1">IFERROR(VLOOKUP(A60,'Centre DW1'!$A$7:$N$106,14,FALSE),0)+
IFERROR(VLOOKUP(A60,'Centre WP1'!$A$7:$N$107,14,FALSE),0)+
IFERROR(VLOOKUP(A60,'Centre WR1'!$A$7:$N$106,14,FALSE),0)+
IFERROR(VLOOKUP(A60,'Centre WV1'!$A$7:$N$109,14,FALSE),0)</f>
        <v>1</v>
      </c>
    </row>
    <row r="61" spans="1:14" outlineLevel="1" x14ac:dyDescent="0.2">
      <c r="A61" s="9" t="s">
        <v>125</v>
      </c>
      <c r="B61" s="1" t="s">
        <v>126</v>
      </c>
      <c r="C61" s="10">
        <f>IFERROR(VLOOKUP(A61,'Centre DW1'!$A$7:$N$106,3,FALSE),0)+
IFERROR(VLOOKUP(A61,'Centre WP1'!$A$7:$N$107,3,FALSE),0)+
IFERROR(VLOOKUP(A61,'Centre WR1'!$A$7:$N$106,3,FALSE),0)+
IFERROR(VLOOKUP(A61,'Centre WV1'!$A$7:$N$109,3,FALSE),0)</f>
        <v>0</v>
      </c>
      <c r="D61" s="10">
        <f>IFERROR(VLOOKUP(A61,'Centre DW1'!$A$7:$N$106,4,FALSE),0)+
IFERROR(VLOOKUP(A61,'Centre WP1'!$A$7:$N$107,4,FALSE),0)+
IFERROR(VLOOKUP(A61,'Centre WR1'!$A$7:$N$106,4,FALSE),0)+
IFERROR(VLOOKUP(A61,'Centre WV1'!$A$7:$N$109,4,FALSE),0)</f>
        <v>0</v>
      </c>
      <c r="E61" s="10">
        <f>IFERROR(VLOOKUP(A61,'Centre DW1'!$A$7:$N$106,5,FALSE),0)+
IFERROR(VLOOKUP(A61,'Centre WP1'!$A$7:$N$107,5,FALSE),0)+
IFERROR(VLOOKUP(A61,'Centre WR1'!$A$7:$N$106,5,FALSE),0)+
IFERROR(VLOOKUP(A61,'Centre WV1'!$A$7:$N$109,5,FALSE),0)</f>
        <v>0</v>
      </c>
      <c r="F61" s="10">
        <f>IFERROR(VLOOKUP(A61,'Centre DW1'!$A$7:$N$106,6,FALSE),0)+
IFERROR(VLOOKUP(A61,'Centre WP1'!$A$7:$N$107,6,FALSE),0)+
IFERROR(VLOOKUP(A61,'Centre WR1'!$A$7:$N$106,6,FALSE),0)+
IFERROR(VLOOKUP(A61,'Centre WV1'!$A$7:$N$109,6,FALSE),0)</f>
        <v>0</v>
      </c>
      <c r="G61" s="10">
        <f>IFERROR(VLOOKUP(A61,'Centre DW1'!$A$7:$N$106,7,FALSE),0)+
IFERROR(VLOOKUP(A61,'Centre WP1'!$A$7:$N$107,7,FALSE),0)+
IFERROR(VLOOKUP(A61,'Centre WR1'!$A$7:$N$106,7,FALSE),0)+
IFERROR(VLOOKUP(A61,'Centre WV1'!$A$7:$N$109,7,FALSE),0)</f>
        <v>0</v>
      </c>
      <c r="H61" s="10">
        <f>IFERROR(VLOOKUP(A61,'Centre DW1'!$A$7:$N$106,8,FALSE),0)+
IFERROR(VLOOKUP(A61,'Centre WP1'!$A$7:$N$107,8,FALSE),0)+
IFERROR(VLOOKUP(A61,'Centre WR1'!$A$7:$N$106,8,FALSE),0)+
IFERROR(VLOOKUP(A61,'Centre WV1'!$A$7:$N$109,8,FALSE),0)</f>
        <v>0</v>
      </c>
      <c r="I61" s="10">
        <f>IFERROR(VLOOKUP(A61,'Centre DW1'!$A$7:$N$106,9,FALSE),0)+
IFERROR(VLOOKUP(A61,'Centre WP1'!$A$7:$N$107,9,FALSE),0)+
IFERROR(VLOOKUP(A61,'Centre WR1'!$A$7:$N$106,9,FALSE),0)+
IFERROR(VLOOKUP(A61,'Centre WV1'!$A$7:$N$109,9,FALSE),0)</f>
        <v>0</v>
      </c>
      <c r="J61" s="32">
        <f>IFERROR(VLOOKUP(A61,'Centre DW1'!$A$7:$N$106,10,FALSE),0)+
IFERROR(VLOOKUP(A61,'Centre WP1'!$A$7:$N$107,10,FALSE),0)+
IFERROR(VLOOKUP(A61,'Centre WR1'!$A$7:$N$106,10,FALSE),0)+
IFERROR(VLOOKUP(A61,'Centre WV1'!$A$7:$N$109,10,FALSE),0)</f>
        <v>0</v>
      </c>
      <c r="K61" s="32">
        <f>IFERROR(VLOOKUP(A61,'Centre DW1'!$A$7:$N$106,11,FALSE),0)+
IFERROR(VLOOKUP(A61,'Centre WP1'!$A$7:$N$107,11,FALSE),0)+
IFERROR(VLOOKUP(A61,'Centre WR1'!$A$7:$N$106,11,FALSE),0)+
IFERROR(VLOOKUP(A61,'Centre WV1'!$A$7:$N$109,11,FALSE),0)</f>
        <v>0</v>
      </c>
      <c r="L61" s="32">
        <f>IFERROR(VLOOKUP(A61,'Centre DW1'!$A$7:$N$106,12,FALSE),0)+
IFERROR(VLOOKUP(A61,'Centre WP1'!$A$7:$N$107,12,FALSE),0)+
IFERROR(VLOOKUP(A61,'Centre WR1'!$A$7:$N$106,12,FALSE),0)+
IFERROR(VLOOKUP(A61,'Centre WV1'!$A$7:$N$109,12,FALSE),0)</f>
        <v>0</v>
      </c>
      <c r="M61" s="32">
        <f>IFERROR(VLOOKUP(A61,'Centre DW1'!$A$7:$N$106,13,FALSE),0)+
IFERROR(VLOOKUP(A61,'Centre WP1'!$A$7:$N$107,13,FALSE),0)+
IFERROR(VLOOKUP(A61,'Centre WR1'!$A$7:$N$106,13,FALSE),0)+
IFERROR(VLOOKUP(A61,'Centre WV1'!$A$7:$N$109,13,FALSE),0)</f>
        <v>0</v>
      </c>
      <c r="N61" s="32">
        <f>IFERROR(VLOOKUP(A61,'Centre DW1'!$A$7:$N$106,14,FALSE),0)+
IFERROR(VLOOKUP(A61,'Centre WP1'!$A$7:$N$107,14,FALSE),0)+
IFERROR(VLOOKUP(A61,'Centre WR1'!$A$7:$N$106,14,FALSE),0)+
IFERROR(VLOOKUP(A61,'Centre WV1'!$A$7:$N$109,14,FALSE),0)</f>
        <v>0</v>
      </c>
    </row>
    <row r="62" spans="1:14" x14ac:dyDescent="0.2">
      <c r="A62" s="33" t="s">
        <v>127</v>
      </c>
      <c r="B62" s="34" t="s">
        <v>128</v>
      </c>
      <c r="C62" s="37">
        <f>SUM(C63:C64)</f>
        <v>0</v>
      </c>
      <c r="D62" s="37">
        <f t="shared" ref="D62:N62" si="10">SUM(D63:D64)</f>
        <v>0</v>
      </c>
      <c r="E62" s="37">
        <f t="shared" si="10"/>
        <v>0</v>
      </c>
      <c r="F62" s="37">
        <f t="shared" si="10"/>
        <v>0</v>
      </c>
      <c r="G62" s="37">
        <f t="shared" si="10"/>
        <v>0</v>
      </c>
      <c r="H62" s="37">
        <f t="shared" si="10"/>
        <v>0</v>
      </c>
      <c r="I62" s="37">
        <f t="shared" si="10"/>
        <v>0</v>
      </c>
      <c r="J62" s="37">
        <f t="shared" si="10"/>
        <v>0</v>
      </c>
      <c r="K62" s="37">
        <f t="shared" si="10"/>
        <v>0</v>
      </c>
      <c r="L62" s="37">
        <f t="shared" si="10"/>
        <v>0</v>
      </c>
      <c r="M62" s="37">
        <f t="shared" si="10"/>
        <v>0</v>
      </c>
      <c r="N62" s="37">
        <f t="shared" si="10"/>
        <v>0</v>
      </c>
    </row>
    <row r="63" spans="1:14" outlineLevel="1" x14ac:dyDescent="0.2">
      <c r="A63" s="9" t="s">
        <v>129</v>
      </c>
      <c r="B63" s="1" t="s">
        <v>130</v>
      </c>
      <c r="C63" s="10">
        <f>IFERROR(VLOOKUP(A63,'Centre DW1'!$A$7:$N$106,3,FALSE),0)+
IFERROR(VLOOKUP(A63,'Centre WP1'!$A$7:$N$107,3,FALSE),0)+
IFERROR(VLOOKUP(A63,'Centre WR1'!$A$7:$N$106,3,FALSE),0)+
IFERROR(VLOOKUP(A63,'Centre WV1'!$A$7:$N$109,3,FALSE),0)</f>
        <v>0</v>
      </c>
      <c r="D63" s="10">
        <f>IFERROR(VLOOKUP(A63,'Centre DW1'!$A$7:$N$106,4,FALSE),0)+
IFERROR(VLOOKUP(A63,'Centre WP1'!$A$7:$N$107,4,FALSE),0)+
IFERROR(VLOOKUP(A63,'Centre WR1'!$A$7:$N$106,4,FALSE),0)+
IFERROR(VLOOKUP(A63,'Centre WV1'!$A$7:$N$109,4,FALSE),0)</f>
        <v>0</v>
      </c>
      <c r="E63" s="10">
        <f>IFERROR(VLOOKUP(A63,'Centre DW1'!$A$7:$N$106,5,FALSE),0)+
IFERROR(VLOOKUP(A63,'Centre WP1'!$A$7:$N$107,5,FALSE),0)+
IFERROR(VLOOKUP(A63,'Centre WR1'!$A$7:$N$106,5,FALSE),0)+
IFERROR(VLOOKUP(A63,'Centre WV1'!$A$7:$N$109,5,FALSE),0)</f>
        <v>0</v>
      </c>
      <c r="F63" s="10">
        <f>IFERROR(VLOOKUP(A63,'Centre DW1'!$A$7:$N$106,6,FALSE),0)+
IFERROR(VLOOKUP(A63,'Centre WP1'!$A$7:$N$107,6,FALSE),0)+
IFERROR(VLOOKUP(A63,'Centre WR1'!$A$7:$N$106,6,FALSE),0)+
IFERROR(VLOOKUP(A63,'Centre WV1'!$A$7:$N$109,6,FALSE),0)</f>
        <v>0</v>
      </c>
      <c r="G63" s="10">
        <f>IFERROR(VLOOKUP(A63,'Centre DW1'!$A$7:$N$106,7,FALSE),0)+
IFERROR(VLOOKUP(A63,'Centre WP1'!$A$7:$N$107,7,FALSE),0)+
IFERROR(VLOOKUP(A63,'Centre WR1'!$A$7:$N$106,7,FALSE),0)+
IFERROR(VLOOKUP(A63,'Centre WV1'!$A$7:$N$109,7,FALSE),0)</f>
        <v>0</v>
      </c>
      <c r="H63" s="10">
        <f>IFERROR(VLOOKUP(A63,'Centre DW1'!$A$7:$N$106,8,FALSE),0)+
IFERROR(VLOOKUP(A63,'Centre WP1'!$A$7:$N$107,8,FALSE),0)+
IFERROR(VLOOKUP(A63,'Centre WR1'!$A$7:$N$106,8,FALSE),0)+
IFERROR(VLOOKUP(A63,'Centre WV1'!$A$7:$N$109,8,FALSE),0)</f>
        <v>0</v>
      </c>
      <c r="I63" s="10">
        <f>IFERROR(VLOOKUP(A63,'Centre DW1'!$A$7:$N$106,9,FALSE),0)+
IFERROR(VLOOKUP(A63,'Centre WP1'!$A$7:$N$107,9,FALSE),0)+
IFERROR(VLOOKUP(A63,'Centre WR1'!$A$7:$N$106,9,FALSE),0)+
IFERROR(VLOOKUP(A63,'Centre WV1'!$A$7:$N$109,9,FALSE),0)</f>
        <v>0</v>
      </c>
      <c r="J63" s="32">
        <f>IFERROR(VLOOKUP(A63,'Centre DW1'!$A$7:$N$106,10,FALSE),0)+
IFERROR(VLOOKUP(A63,'Centre WP1'!$A$7:$N$107,10,FALSE),0)+
IFERROR(VLOOKUP(A63,'Centre WR1'!$A$7:$N$106,10,FALSE),0)+
IFERROR(VLOOKUP(A63,'Centre WV1'!$A$7:$N$109,10,FALSE),0)</f>
        <v>0</v>
      </c>
      <c r="K63" s="32">
        <f>IFERROR(VLOOKUP(A63,'Centre DW1'!$A$7:$N$106,11,FALSE),0)+
IFERROR(VLOOKUP(A63,'Centre WP1'!$A$7:$N$107,11,FALSE),0)+
IFERROR(VLOOKUP(A63,'Centre WR1'!$A$7:$N$106,11,FALSE),0)+
IFERROR(VLOOKUP(A63,'Centre WV1'!$A$7:$N$109,11,FALSE),0)</f>
        <v>0</v>
      </c>
      <c r="L63" s="32">
        <f>IFERROR(VLOOKUP(A63,'Centre DW1'!$A$7:$N$106,12,FALSE),0)+
IFERROR(VLOOKUP(A63,'Centre WP1'!$A$7:$N$107,12,FALSE),0)+
IFERROR(VLOOKUP(A63,'Centre WR1'!$A$7:$N$106,12,FALSE),0)+
IFERROR(VLOOKUP(A63,'Centre WV1'!$A$7:$N$109,12,FALSE),0)</f>
        <v>0</v>
      </c>
      <c r="M63" s="32">
        <f>IFERROR(VLOOKUP(A63,'Centre DW1'!$A$7:$N$106,13,FALSE),0)+
IFERROR(VLOOKUP(A63,'Centre WP1'!$A$7:$N$107,13,FALSE),0)+
IFERROR(VLOOKUP(A63,'Centre WR1'!$A$7:$N$106,13,FALSE),0)+
IFERROR(VLOOKUP(A63,'Centre WV1'!$A$7:$N$109,13,FALSE),0)</f>
        <v>0</v>
      </c>
      <c r="N63" s="32">
        <f>IFERROR(VLOOKUP(A63,'Centre DW1'!$A$7:$N$106,14,FALSE),0)+
IFERROR(VLOOKUP(A63,'Centre WP1'!$A$7:$N$107,14,FALSE),0)+
IFERROR(VLOOKUP(A63,'Centre WR1'!$A$7:$N$106,14,FALSE),0)+
IFERROR(VLOOKUP(A63,'Centre WV1'!$A$7:$N$109,14,FALSE),0)</f>
        <v>0</v>
      </c>
    </row>
    <row r="64" spans="1:14" outlineLevel="1" x14ac:dyDescent="0.2">
      <c r="A64" s="9" t="s">
        <v>131</v>
      </c>
      <c r="B64" s="1" t="s">
        <v>132</v>
      </c>
      <c r="C64" s="10">
        <f>IFERROR(VLOOKUP(A64,'Centre DW1'!$A$7:$N$106,3,FALSE),0)+
IFERROR(VLOOKUP(A64,'Centre WP1'!$A$7:$N$107,3,FALSE),0)+
IFERROR(VLOOKUP(A64,'Centre WR1'!$A$7:$N$106,3,FALSE),0)+
IFERROR(VLOOKUP(A64,'Centre WV1'!$A$7:$N$109,3,FALSE),0)</f>
        <v>0</v>
      </c>
      <c r="D64" s="10">
        <f>IFERROR(VLOOKUP(A64,'Centre DW1'!$A$7:$N$106,4,FALSE),0)+
IFERROR(VLOOKUP(A64,'Centre WP1'!$A$7:$N$107,4,FALSE),0)+
IFERROR(VLOOKUP(A64,'Centre WR1'!$A$7:$N$106,4,FALSE),0)+
IFERROR(VLOOKUP(A64,'Centre WV1'!$A$7:$N$109,4,FALSE),0)</f>
        <v>0</v>
      </c>
      <c r="E64" s="10">
        <f>IFERROR(VLOOKUP(A64,'Centre DW1'!$A$7:$N$106,5,FALSE),0)+
IFERROR(VLOOKUP(A64,'Centre WP1'!$A$7:$N$107,5,FALSE),0)+
IFERROR(VLOOKUP(A64,'Centre WR1'!$A$7:$N$106,5,FALSE),0)+
IFERROR(VLOOKUP(A64,'Centre WV1'!$A$7:$N$109,5,FALSE),0)</f>
        <v>0</v>
      </c>
      <c r="F64" s="10">
        <f>IFERROR(VLOOKUP(A64,'Centre DW1'!$A$7:$N$106,6,FALSE),0)+
IFERROR(VLOOKUP(A64,'Centre WP1'!$A$7:$N$107,6,FALSE),0)+
IFERROR(VLOOKUP(A64,'Centre WR1'!$A$7:$N$106,6,FALSE),0)+
IFERROR(VLOOKUP(A64,'Centre WV1'!$A$7:$N$109,6,FALSE),0)</f>
        <v>0</v>
      </c>
      <c r="G64" s="10">
        <f>IFERROR(VLOOKUP(A64,'Centre DW1'!$A$7:$N$106,7,FALSE),0)+
IFERROR(VLOOKUP(A64,'Centre WP1'!$A$7:$N$107,7,FALSE),0)+
IFERROR(VLOOKUP(A64,'Centre WR1'!$A$7:$N$106,7,FALSE),0)+
IFERROR(VLOOKUP(A64,'Centre WV1'!$A$7:$N$109,7,FALSE),0)</f>
        <v>0</v>
      </c>
      <c r="H64" s="10">
        <f>IFERROR(VLOOKUP(A64,'Centre DW1'!$A$7:$N$106,8,FALSE),0)+
IFERROR(VLOOKUP(A64,'Centre WP1'!$A$7:$N$107,8,FALSE),0)+
IFERROR(VLOOKUP(A64,'Centre WR1'!$A$7:$N$106,8,FALSE),0)+
IFERROR(VLOOKUP(A64,'Centre WV1'!$A$7:$N$109,8,FALSE),0)</f>
        <v>0</v>
      </c>
      <c r="I64" s="10">
        <f>IFERROR(VLOOKUP(A64,'Centre DW1'!$A$7:$N$106,9,FALSE),0)+
IFERROR(VLOOKUP(A64,'Centre WP1'!$A$7:$N$107,9,FALSE),0)+
IFERROR(VLOOKUP(A64,'Centre WR1'!$A$7:$N$106,9,FALSE),0)+
IFERROR(VLOOKUP(A64,'Centre WV1'!$A$7:$N$109,9,FALSE),0)</f>
        <v>0</v>
      </c>
      <c r="J64" s="32">
        <f>IFERROR(VLOOKUP(A64,'Centre DW1'!$A$7:$N$106,10,FALSE),0)+
IFERROR(VLOOKUP(A64,'Centre WP1'!$A$7:$N$107,10,FALSE),0)+
IFERROR(VLOOKUP(A64,'Centre WR1'!$A$7:$N$106,10,FALSE),0)+
IFERROR(VLOOKUP(A64,'Centre WV1'!$A$7:$N$109,10,FALSE),0)</f>
        <v>0</v>
      </c>
      <c r="K64" s="32">
        <f>IFERROR(VLOOKUP(A64,'Centre DW1'!$A$7:$N$106,11,FALSE),0)+
IFERROR(VLOOKUP(A64,'Centre WP1'!$A$7:$N$107,11,FALSE),0)+
IFERROR(VLOOKUP(A64,'Centre WR1'!$A$7:$N$106,11,FALSE),0)+
IFERROR(VLOOKUP(A64,'Centre WV1'!$A$7:$N$109,11,FALSE),0)</f>
        <v>0</v>
      </c>
      <c r="L64" s="32">
        <f>IFERROR(VLOOKUP(A64,'Centre DW1'!$A$7:$N$106,12,FALSE),0)+
IFERROR(VLOOKUP(A64,'Centre WP1'!$A$7:$N$107,12,FALSE),0)+
IFERROR(VLOOKUP(A64,'Centre WR1'!$A$7:$N$106,12,FALSE),0)+
IFERROR(VLOOKUP(A64,'Centre WV1'!$A$7:$N$109,12,FALSE),0)</f>
        <v>0</v>
      </c>
      <c r="M64" s="32">
        <f>IFERROR(VLOOKUP(A64,'Centre DW1'!$A$7:$N$106,13,FALSE),0)+
IFERROR(VLOOKUP(A64,'Centre WP1'!$A$7:$N$107,13,FALSE),0)+
IFERROR(VLOOKUP(A64,'Centre WR1'!$A$7:$N$106,13,FALSE),0)+
IFERROR(VLOOKUP(A64,'Centre WV1'!$A$7:$N$109,13,FALSE),0)</f>
        <v>0</v>
      </c>
      <c r="N64" s="32">
        <f>IFERROR(VLOOKUP(A64,'Centre DW1'!$A$7:$N$106,14,FALSE),0)+
IFERROR(VLOOKUP(A64,'Centre WP1'!$A$7:$N$107,14,FALSE),0)+
IFERROR(VLOOKUP(A64,'Centre WR1'!$A$7:$N$106,14,FALSE),0)+
IFERROR(VLOOKUP(A64,'Centre WV1'!$A$7:$N$109,14,FALSE),0)</f>
        <v>0</v>
      </c>
    </row>
    <row r="65" spans="1:14" x14ac:dyDescent="0.2">
      <c r="A65" s="33" t="s">
        <v>133</v>
      </c>
      <c r="B65" s="34" t="s">
        <v>134</v>
      </c>
      <c r="C65" s="37">
        <f>+C66</f>
        <v>0</v>
      </c>
      <c r="D65" s="37">
        <f t="shared" ref="D65:N65" si="11">+D66</f>
        <v>0</v>
      </c>
      <c r="E65" s="37">
        <f t="shared" si="11"/>
        <v>0</v>
      </c>
      <c r="F65" s="37">
        <f t="shared" si="11"/>
        <v>0</v>
      </c>
      <c r="G65" s="37">
        <f t="shared" si="11"/>
        <v>0</v>
      </c>
      <c r="H65" s="37">
        <f t="shared" si="11"/>
        <v>0</v>
      </c>
      <c r="I65" s="37">
        <f t="shared" si="11"/>
        <v>0</v>
      </c>
      <c r="J65" s="37">
        <f t="shared" si="11"/>
        <v>0</v>
      </c>
      <c r="K65" s="37">
        <f t="shared" si="11"/>
        <v>0</v>
      </c>
      <c r="L65" s="37">
        <f t="shared" si="11"/>
        <v>0</v>
      </c>
      <c r="M65" s="37">
        <f t="shared" si="11"/>
        <v>0</v>
      </c>
      <c r="N65" s="37">
        <f t="shared" si="11"/>
        <v>0</v>
      </c>
    </row>
    <row r="66" spans="1:14" outlineLevel="1" x14ac:dyDescent="0.2">
      <c r="A66" s="9" t="s">
        <v>135</v>
      </c>
      <c r="B66" s="1" t="s">
        <v>136</v>
      </c>
      <c r="C66" s="10">
        <f>IFERROR(VLOOKUP(A66,'Centre DW1'!$A$7:$N$106,3,FALSE),0)+
IFERROR(VLOOKUP(A66,'Centre WP1'!$A$7:$N$107,3,FALSE),0)+
IFERROR(VLOOKUP(A66,'Centre WR1'!$A$7:$N$106,3,FALSE),0)+
IFERROR(VLOOKUP(A66,'Centre WV1'!$A$7:$N$109,3,FALSE),0)</f>
        <v>0</v>
      </c>
      <c r="D66" s="10">
        <f>IFERROR(VLOOKUP(A66,'Centre DW1'!$A$7:$N$106,4,FALSE),0)+
IFERROR(VLOOKUP(A66,'Centre WP1'!$A$7:$N$107,4,FALSE),0)+
IFERROR(VLOOKUP(A66,'Centre WR1'!$A$7:$N$106,4,FALSE),0)+
IFERROR(VLOOKUP(A66,'Centre WV1'!$A$7:$N$109,4,FALSE),0)</f>
        <v>0</v>
      </c>
      <c r="E66" s="10">
        <f>IFERROR(VLOOKUP(A66,'Centre DW1'!$A$7:$N$106,5,FALSE),0)+
IFERROR(VLOOKUP(A66,'Centre WP1'!$A$7:$N$107,5,FALSE),0)+
IFERROR(VLOOKUP(A66,'Centre WR1'!$A$7:$N$106,5,FALSE),0)+
IFERROR(VLOOKUP(A66,'Centre WV1'!$A$7:$N$109,5,FALSE),0)</f>
        <v>0</v>
      </c>
      <c r="F66" s="10">
        <f>IFERROR(VLOOKUP(A66,'Centre DW1'!$A$7:$N$106,6,FALSE),0)+
IFERROR(VLOOKUP(A66,'Centre WP1'!$A$7:$N$107,6,FALSE),0)+
IFERROR(VLOOKUP(A66,'Centre WR1'!$A$7:$N$106,6,FALSE),0)+
IFERROR(VLOOKUP(A66,'Centre WV1'!$A$7:$N$109,6,FALSE),0)</f>
        <v>0</v>
      </c>
      <c r="G66" s="10">
        <f>IFERROR(VLOOKUP(A66,'Centre DW1'!$A$7:$N$106,7,FALSE),0)+
IFERROR(VLOOKUP(A66,'Centre WP1'!$A$7:$N$107,7,FALSE),0)+
IFERROR(VLOOKUP(A66,'Centre WR1'!$A$7:$N$106,7,FALSE),0)+
IFERROR(VLOOKUP(A66,'Centre WV1'!$A$7:$N$109,7,FALSE),0)</f>
        <v>0</v>
      </c>
      <c r="H66" s="10">
        <f>IFERROR(VLOOKUP(A66,'Centre DW1'!$A$7:$N$106,8,FALSE),0)+
IFERROR(VLOOKUP(A66,'Centre WP1'!$A$7:$N$107,8,FALSE),0)+
IFERROR(VLOOKUP(A66,'Centre WR1'!$A$7:$N$106,8,FALSE),0)+
IFERROR(VLOOKUP(A66,'Centre WV1'!$A$7:$N$109,8,FALSE),0)</f>
        <v>0</v>
      </c>
      <c r="I66" s="10">
        <f>IFERROR(VLOOKUP(A66,'Centre DW1'!$A$7:$N$106,9,FALSE),0)+
IFERROR(VLOOKUP(A66,'Centre WP1'!$A$7:$N$107,9,FALSE),0)+
IFERROR(VLOOKUP(A66,'Centre WR1'!$A$7:$N$106,9,FALSE),0)+
IFERROR(VLOOKUP(A66,'Centre WV1'!$A$7:$N$109,9,FALSE),0)</f>
        <v>0</v>
      </c>
      <c r="J66" s="32">
        <f>IFERROR(VLOOKUP(A66,'Centre DW1'!$A$7:$N$106,10,FALSE),0)+
IFERROR(VLOOKUP(A66,'Centre WP1'!$A$7:$N$107,10,FALSE),0)+
IFERROR(VLOOKUP(A66,'Centre WR1'!$A$7:$N$106,10,FALSE),0)+
IFERROR(VLOOKUP(A66,'Centre WV1'!$A$7:$N$109,10,FALSE),0)</f>
        <v>0</v>
      </c>
      <c r="K66" s="32">
        <f>IFERROR(VLOOKUP(A66,'Centre DW1'!$A$7:$N$106,11,FALSE),0)+
IFERROR(VLOOKUP(A66,'Centre WP1'!$A$7:$N$107,11,FALSE),0)+
IFERROR(VLOOKUP(A66,'Centre WR1'!$A$7:$N$106,11,FALSE),0)+
IFERROR(VLOOKUP(A66,'Centre WV1'!$A$7:$N$109,11,FALSE),0)</f>
        <v>0</v>
      </c>
      <c r="L66" s="32">
        <f>IFERROR(VLOOKUP(A66,'Centre DW1'!$A$7:$N$106,12,FALSE),0)+
IFERROR(VLOOKUP(A66,'Centre WP1'!$A$7:$N$107,12,FALSE),0)+
IFERROR(VLOOKUP(A66,'Centre WR1'!$A$7:$N$106,12,FALSE),0)+
IFERROR(VLOOKUP(A66,'Centre WV1'!$A$7:$N$109,12,FALSE),0)</f>
        <v>0</v>
      </c>
      <c r="M66" s="32">
        <f>IFERROR(VLOOKUP(A66,'Centre DW1'!$A$7:$N$106,13,FALSE),0)+
IFERROR(VLOOKUP(A66,'Centre WP1'!$A$7:$N$107,13,FALSE),0)+
IFERROR(VLOOKUP(A66,'Centre WR1'!$A$7:$N$106,13,FALSE),0)+
IFERROR(VLOOKUP(A66,'Centre WV1'!$A$7:$N$109,13,FALSE),0)</f>
        <v>0</v>
      </c>
      <c r="N66" s="32">
        <f>IFERROR(VLOOKUP(A66,'Centre DW1'!$A$7:$N$106,14,FALSE),0)+
IFERROR(VLOOKUP(A66,'Centre WP1'!$A$7:$N$107,14,FALSE),0)+
IFERROR(VLOOKUP(A66,'Centre WR1'!$A$7:$N$106,14,FALSE),0)+
IFERROR(VLOOKUP(A66,'Centre WV1'!$A$7:$N$109,14,FALSE),0)</f>
        <v>0</v>
      </c>
    </row>
    <row r="67" spans="1:14" x14ac:dyDescent="0.2">
      <c r="A67" s="33" t="s">
        <v>137</v>
      </c>
      <c r="B67" s="34" t="s">
        <v>138</v>
      </c>
      <c r="C67" s="37">
        <f>IFERROR(VLOOKUP(A67,'Centre DW1'!$A$7:$N$106,3,FALSE),0)+
IFERROR(VLOOKUP(A67,'Centre WP1'!$A$7:$N$107,3,FALSE),0)+
IFERROR(VLOOKUP(A67,'Centre WR1'!$A$7:$N$106,3,FALSE),0)+
IFERROR(VLOOKUP(A67,'Centre WV1'!$A$7:$N$109,3,FALSE),0)</f>
        <v>0</v>
      </c>
      <c r="D67" s="37">
        <f>IFERROR(VLOOKUP(A67,'Centre DW1'!$A$7:$N$106,4,FALSE),0)+
IFERROR(VLOOKUP(A67,'Centre WP1'!$A$7:$N$107,4,FALSE),0)+
IFERROR(VLOOKUP(A67,'Centre WR1'!$A$7:$N$106,4,FALSE),0)+
IFERROR(VLOOKUP(A67,'Centre WV1'!$A$7:$N$109,4,FALSE),0)</f>
        <v>0</v>
      </c>
      <c r="E67" s="37">
        <f>IFERROR(VLOOKUP(A67,'Centre DW1'!$A$7:$N$106,5,FALSE),0)+
IFERROR(VLOOKUP(A67,'Centre WP1'!$A$7:$N$107,5,FALSE),0)+
IFERROR(VLOOKUP(A67,'Centre WR1'!$A$7:$N$106,5,FALSE),0)+
IFERROR(VLOOKUP(A67,'Centre WV1'!$A$7:$N$109,5,FALSE),0)</f>
        <v>0</v>
      </c>
      <c r="F67" s="37">
        <f>IFERROR(VLOOKUP(A67,'Centre DW1'!$A$7:$N$106,6,FALSE),0)+
IFERROR(VLOOKUP(A67,'Centre WP1'!$A$7:$N$107,6,FALSE),0)+
IFERROR(VLOOKUP(A67,'Centre WR1'!$A$7:$N$106,6,FALSE),0)+
IFERROR(VLOOKUP(A67,'Centre WV1'!$A$7:$N$109,6,FALSE),0)</f>
        <v>0</v>
      </c>
      <c r="G67" s="37">
        <f>IFERROR(VLOOKUP(A67,'Centre DW1'!$A$7:$N$106,7,FALSE),0)+
IFERROR(VLOOKUP(A67,'Centre WP1'!$A$7:$N$107,7,FALSE),0)+
IFERROR(VLOOKUP(A67,'Centre WR1'!$A$7:$N$106,7,FALSE),0)+
IFERROR(VLOOKUP(A67,'Centre WV1'!$A$7:$N$109,7,FALSE),0)</f>
        <v>0</v>
      </c>
      <c r="H67" s="37">
        <f>IFERROR(VLOOKUP(A67,'Centre DW1'!$A$7:$N$106,8,FALSE),0)+
IFERROR(VLOOKUP(A67,'Centre WP1'!$A$7:$N$107,8,FALSE),0)+
IFERROR(VLOOKUP(A67,'Centre WR1'!$A$7:$N$106,8,FALSE),0)+
IFERROR(VLOOKUP(A67,'Centre WV1'!$A$7:$N$109,8,FALSE),0)</f>
        <v>0</v>
      </c>
      <c r="I67" s="37">
        <f>IFERROR(VLOOKUP(A67,'Centre DW1'!$A$7:$N$106,9,FALSE),0)+
IFERROR(VLOOKUP(A67,'Centre WP1'!$A$7:$N$107,9,FALSE),0)+
IFERROR(VLOOKUP(A67,'Centre WR1'!$A$7:$N$106,9,FALSE),0)+
IFERROR(VLOOKUP(A67,'Centre WV1'!$A$7:$N$109,9,FALSE),0)</f>
        <v>0</v>
      </c>
      <c r="J67" s="38">
        <f>IFERROR(VLOOKUP(A67,'Centre DW1'!$A$7:$N$106,10,FALSE),0)+
IFERROR(VLOOKUP(A67,'Centre WP1'!$A$7:$N$107,10,FALSE),0)+
IFERROR(VLOOKUP(A67,'Centre WR1'!$A$7:$N$106,10,FALSE),0)+
IFERROR(VLOOKUP(A67,'Centre WV1'!$A$7:$N$109,10,FALSE),0)</f>
        <v>0</v>
      </c>
      <c r="K67" s="38">
        <f>IFERROR(VLOOKUP(A67,'Centre DW1'!$A$7:$N$106,11,FALSE),0)+
IFERROR(VLOOKUP(A67,'Centre WP1'!$A$7:$N$107,11,FALSE),0)+
IFERROR(VLOOKUP(A67,'Centre WR1'!$A$7:$N$106,11,FALSE),0)+
IFERROR(VLOOKUP(A67,'Centre WV1'!$A$7:$N$109,11,FALSE),0)</f>
        <v>0</v>
      </c>
      <c r="L67" s="38">
        <f>IFERROR(VLOOKUP(A67,'Centre DW1'!$A$7:$N$106,12,FALSE),0)+
IFERROR(VLOOKUP(A67,'Centre WP1'!$A$7:$N$107,12,FALSE),0)+
IFERROR(VLOOKUP(A67,'Centre WR1'!$A$7:$N$106,12,FALSE),0)+
IFERROR(VLOOKUP(A67,'Centre WV1'!$A$7:$N$109,12,FALSE),0)</f>
        <v>0</v>
      </c>
      <c r="M67" s="38">
        <f>IFERROR(VLOOKUP(A67,'Centre DW1'!$A$7:$N$106,13,FALSE),0)+
IFERROR(VLOOKUP(A67,'Centre WP1'!$A$7:$N$107,13,FALSE),0)+
IFERROR(VLOOKUP(A67,'Centre WR1'!$A$7:$N$106,13,FALSE),0)+
IFERROR(VLOOKUP(A67,'Centre WV1'!$A$7:$N$109,13,FALSE),0)</f>
        <v>0</v>
      </c>
      <c r="N67" s="38">
        <f>IFERROR(VLOOKUP(A67,'Centre DW1'!$A$7:$N$106,14,FALSE),0)+
IFERROR(VLOOKUP(A67,'Centre WP1'!$A$7:$N$107,14,FALSE),0)+
IFERROR(VLOOKUP(A67,'Centre WR1'!$A$7:$N$106,14,FALSE),0)+
IFERROR(VLOOKUP(A67,'Centre WV1'!$A$7:$N$109,14,FALSE),0)</f>
        <v>0</v>
      </c>
    </row>
    <row r="68" spans="1:14" x14ac:dyDescent="0.2">
      <c r="A68" s="33" t="s">
        <v>139</v>
      </c>
      <c r="B68" s="34" t="s">
        <v>140</v>
      </c>
      <c r="C68" s="37">
        <f>IFERROR(VLOOKUP(A68,'Centre DW1'!$A$7:$N$106,3,FALSE),0)+
IFERROR(VLOOKUP(A68,'Centre WP1'!$A$7:$N$107,3,FALSE),0)+
IFERROR(VLOOKUP(A68,'Centre WR1'!$A$7:$N$106,3,FALSE),0)+
IFERROR(VLOOKUP(A68,'Centre WV1'!$A$7:$N$109,3,FALSE),0)</f>
        <v>0</v>
      </c>
      <c r="D68" s="37">
        <f>IFERROR(VLOOKUP(A68,'Centre DW1'!$A$7:$N$106,4,FALSE),0)+
IFERROR(VLOOKUP(A68,'Centre WP1'!$A$7:$N$107,4,FALSE),0)+
IFERROR(VLOOKUP(A68,'Centre WR1'!$A$7:$N$106,4,FALSE),0)+
IFERROR(VLOOKUP(A68,'Centre WV1'!$A$7:$N$109,4,FALSE),0)</f>
        <v>0</v>
      </c>
      <c r="E68" s="37">
        <f>IFERROR(VLOOKUP(A68,'Centre DW1'!$A$7:$N$106,5,FALSE),0)+
IFERROR(VLOOKUP(A68,'Centre WP1'!$A$7:$N$107,5,FALSE),0)+
IFERROR(VLOOKUP(A68,'Centre WR1'!$A$7:$N$106,5,FALSE),0)+
IFERROR(VLOOKUP(A68,'Centre WV1'!$A$7:$N$109,5,FALSE),0)</f>
        <v>0</v>
      </c>
      <c r="F68" s="37">
        <f>IFERROR(VLOOKUP(A68,'Centre DW1'!$A$7:$N$106,6,FALSE),0)+
IFERROR(VLOOKUP(A68,'Centre WP1'!$A$7:$N$107,6,FALSE),0)+
IFERROR(VLOOKUP(A68,'Centre WR1'!$A$7:$N$106,6,FALSE),0)+
IFERROR(VLOOKUP(A68,'Centre WV1'!$A$7:$N$109,6,FALSE),0)</f>
        <v>0</v>
      </c>
      <c r="G68" s="37">
        <f>IFERROR(VLOOKUP(A68,'Centre DW1'!$A$7:$N$106,7,FALSE),0)+
IFERROR(VLOOKUP(A68,'Centre WP1'!$A$7:$N$107,7,FALSE),0)+
IFERROR(VLOOKUP(A68,'Centre WR1'!$A$7:$N$106,7,FALSE),0)+
IFERROR(VLOOKUP(A68,'Centre WV1'!$A$7:$N$109,7,FALSE),0)</f>
        <v>0</v>
      </c>
      <c r="H68" s="37">
        <f>IFERROR(VLOOKUP(A68,'Centre DW1'!$A$7:$N$106,8,FALSE),0)+
IFERROR(VLOOKUP(A68,'Centre WP1'!$A$7:$N$107,8,FALSE),0)+
IFERROR(VLOOKUP(A68,'Centre WR1'!$A$7:$N$106,8,FALSE),0)+
IFERROR(VLOOKUP(A68,'Centre WV1'!$A$7:$N$109,8,FALSE),0)</f>
        <v>0</v>
      </c>
      <c r="I68" s="37">
        <f>IFERROR(VLOOKUP(A68,'Centre DW1'!$A$7:$N$106,9,FALSE),0)+
IFERROR(VLOOKUP(A68,'Centre WP1'!$A$7:$N$107,9,FALSE),0)+
IFERROR(VLOOKUP(A68,'Centre WR1'!$A$7:$N$106,9,FALSE),0)+
IFERROR(VLOOKUP(A68,'Centre WV1'!$A$7:$N$109,9,FALSE),0)</f>
        <v>0</v>
      </c>
      <c r="J68" s="38">
        <f>IFERROR(VLOOKUP(A68,'Centre DW1'!$A$7:$N$106,10,FALSE),0)+
IFERROR(VLOOKUP(A68,'Centre WP1'!$A$7:$N$107,10,FALSE),0)+
IFERROR(VLOOKUP(A68,'Centre WR1'!$A$7:$N$106,10,FALSE),0)+
IFERROR(VLOOKUP(A68,'Centre WV1'!$A$7:$N$109,10,FALSE),0)</f>
        <v>0</v>
      </c>
      <c r="K68" s="38">
        <f>IFERROR(VLOOKUP(A68,'Centre DW1'!$A$7:$N$106,11,FALSE),0)+
IFERROR(VLOOKUP(A68,'Centre WP1'!$A$7:$N$107,11,FALSE),0)+
IFERROR(VLOOKUP(A68,'Centre WR1'!$A$7:$N$106,11,FALSE),0)+
IFERROR(VLOOKUP(A68,'Centre WV1'!$A$7:$N$109,11,FALSE),0)</f>
        <v>0</v>
      </c>
      <c r="L68" s="38">
        <f>IFERROR(VLOOKUP(A68,'Centre DW1'!$A$7:$N$106,12,FALSE),0)+
IFERROR(VLOOKUP(A68,'Centre WP1'!$A$7:$N$107,12,FALSE),0)+
IFERROR(VLOOKUP(A68,'Centre WR1'!$A$7:$N$106,12,FALSE),0)+
IFERROR(VLOOKUP(A68,'Centre WV1'!$A$7:$N$109,12,FALSE),0)</f>
        <v>0</v>
      </c>
      <c r="M68" s="38">
        <f>IFERROR(VLOOKUP(A68,'Centre DW1'!$A$7:$N$106,13,FALSE),0)+
IFERROR(VLOOKUP(A68,'Centre WP1'!$A$7:$N$107,13,FALSE),0)+
IFERROR(VLOOKUP(A68,'Centre WR1'!$A$7:$N$106,13,FALSE),0)+
IFERROR(VLOOKUP(A68,'Centre WV1'!$A$7:$N$109,13,FALSE),0)</f>
        <v>0</v>
      </c>
      <c r="N68" s="38">
        <f>IFERROR(VLOOKUP(A68,'Centre DW1'!$A$7:$N$106,14,FALSE),0)+
IFERROR(VLOOKUP(A68,'Centre WP1'!$A$7:$N$107,14,FALSE),0)+
IFERROR(VLOOKUP(A68,'Centre WR1'!$A$7:$N$106,14,FALSE),0)+
IFERROR(VLOOKUP(A68,'Centre WV1'!$A$7:$N$109,14,FALSE),0)</f>
        <v>0</v>
      </c>
    </row>
    <row r="69" spans="1:14" x14ac:dyDescent="0.2">
      <c r="A69" s="33" t="s">
        <v>141</v>
      </c>
      <c r="B69" s="34" t="s">
        <v>142</v>
      </c>
      <c r="C69" s="37">
        <f>IFERROR(VLOOKUP(A69,'Centre DW1'!$A$7:$N$106,3,FALSE),0)+
IFERROR(VLOOKUP(A69,'Centre WP1'!$A$7:$N$107,3,FALSE),0)+
IFERROR(VLOOKUP(A69,'Centre WR1'!$A$7:$N$106,3,FALSE),0)+
IFERROR(VLOOKUP(A69,'Centre WV1'!$A$7:$N$109,3,FALSE),0)</f>
        <v>0</v>
      </c>
      <c r="D69" s="37">
        <f>IFERROR(VLOOKUP(A69,'Centre DW1'!$A$7:$N$106,4,FALSE),0)+
IFERROR(VLOOKUP(A69,'Centre WP1'!$A$7:$N$107,4,FALSE),0)+
IFERROR(VLOOKUP(A69,'Centre WR1'!$A$7:$N$106,4,FALSE),0)+
IFERROR(VLOOKUP(A69,'Centre WV1'!$A$7:$N$109,4,FALSE),0)</f>
        <v>0</v>
      </c>
      <c r="E69" s="37">
        <f>IFERROR(VLOOKUP(A69,'Centre DW1'!$A$7:$N$106,5,FALSE),0)+
IFERROR(VLOOKUP(A69,'Centre WP1'!$A$7:$N$107,5,FALSE),0)+
IFERROR(VLOOKUP(A69,'Centre WR1'!$A$7:$N$106,5,FALSE),0)+
IFERROR(VLOOKUP(A69,'Centre WV1'!$A$7:$N$109,5,FALSE),0)</f>
        <v>0</v>
      </c>
      <c r="F69" s="37">
        <f>IFERROR(VLOOKUP(A69,'Centre DW1'!$A$7:$N$106,6,FALSE),0)+
IFERROR(VLOOKUP(A69,'Centre WP1'!$A$7:$N$107,6,FALSE),0)+
IFERROR(VLOOKUP(A69,'Centre WR1'!$A$7:$N$106,6,FALSE),0)+
IFERROR(VLOOKUP(A69,'Centre WV1'!$A$7:$N$109,6,FALSE),0)</f>
        <v>0</v>
      </c>
      <c r="G69" s="37">
        <f>IFERROR(VLOOKUP(A69,'Centre DW1'!$A$7:$N$106,7,FALSE),0)+
IFERROR(VLOOKUP(A69,'Centre WP1'!$A$7:$N$107,7,FALSE),0)+
IFERROR(VLOOKUP(A69,'Centre WR1'!$A$7:$N$106,7,FALSE),0)+
IFERROR(VLOOKUP(A69,'Centre WV1'!$A$7:$N$109,7,FALSE),0)</f>
        <v>0</v>
      </c>
      <c r="H69" s="37">
        <f>IFERROR(VLOOKUP(A69,'Centre DW1'!$A$7:$N$106,8,FALSE),0)+
IFERROR(VLOOKUP(A69,'Centre WP1'!$A$7:$N$107,8,FALSE),0)+
IFERROR(VLOOKUP(A69,'Centre WR1'!$A$7:$N$106,8,FALSE),0)+
IFERROR(VLOOKUP(A69,'Centre WV1'!$A$7:$N$109,8,FALSE),0)</f>
        <v>0</v>
      </c>
      <c r="I69" s="37">
        <f>IFERROR(VLOOKUP(A69,'Centre DW1'!$A$7:$N$106,9,FALSE),0)+
IFERROR(VLOOKUP(A69,'Centre WP1'!$A$7:$N$107,9,FALSE),0)+
IFERROR(VLOOKUP(A69,'Centre WR1'!$A$7:$N$106,9,FALSE),0)+
IFERROR(VLOOKUP(A69,'Centre WV1'!$A$7:$N$109,9,FALSE),0)</f>
        <v>0</v>
      </c>
      <c r="J69" s="38">
        <f>IFERROR(VLOOKUP(A69,'Centre DW1'!$A$7:$N$106,10,FALSE),0)+
IFERROR(VLOOKUP(A69,'Centre WP1'!$A$7:$N$107,10,FALSE),0)+
IFERROR(VLOOKUP(A69,'Centre WR1'!$A$7:$N$106,10,FALSE),0)+
IFERROR(VLOOKUP(A69,'Centre WV1'!$A$7:$N$109,10,FALSE),0)</f>
        <v>0</v>
      </c>
      <c r="K69" s="38">
        <f>IFERROR(VLOOKUP(A69,'Centre DW1'!$A$7:$N$106,11,FALSE),0)+
IFERROR(VLOOKUP(A69,'Centre WP1'!$A$7:$N$107,11,FALSE),0)+
IFERROR(VLOOKUP(A69,'Centre WR1'!$A$7:$N$106,11,FALSE),0)+
IFERROR(VLOOKUP(A69,'Centre WV1'!$A$7:$N$109,11,FALSE),0)</f>
        <v>0</v>
      </c>
      <c r="L69" s="38">
        <f>IFERROR(VLOOKUP(A69,'Centre DW1'!$A$7:$N$106,12,FALSE),0)+
IFERROR(VLOOKUP(A69,'Centre WP1'!$A$7:$N$107,12,FALSE),0)+
IFERROR(VLOOKUP(A69,'Centre WR1'!$A$7:$N$106,12,FALSE),0)+
IFERROR(VLOOKUP(A69,'Centre WV1'!$A$7:$N$109,12,FALSE),0)</f>
        <v>0</v>
      </c>
      <c r="M69" s="38">
        <f>IFERROR(VLOOKUP(A69,'Centre DW1'!$A$7:$N$106,13,FALSE),0)+
IFERROR(VLOOKUP(A69,'Centre WP1'!$A$7:$N$107,13,FALSE),0)+
IFERROR(VLOOKUP(A69,'Centre WR1'!$A$7:$N$106,13,FALSE),0)+
IFERROR(VLOOKUP(A69,'Centre WV1'!$A$7:$N$109,13,FALSE),0)</f>
        <v>0</v>
      </c>
      <c r="N69" s="38">
        <f>IFERROR(VLOOKUP(A69,'Centre DW1'!$A$7:$N$106,14,FALSE),0)+
IFERROR(VLOOKUP(A69,'Centre WP1'!$A$7:$N$107,14,FALSE),0)+
IFERROR(VLOOKUP(A69,'Centre WR1'!$A$7:$N$106,14,FALSE),0)+
IFERROR(VLOOKUP(A69,'Centre WV1'!$A$7:$N$109,14,FALSE),0)</f>
        <v>0</v>
      </c>
    </row>
    <row r="70" spans="1:14" x14ac:dyDescent="0.2">
      <c r="A70" s="33" t="s">
        <v>143</v>
      </c>
      <c r="B70" s="34" t="s">
        <v>144</v>
      </c>
      <c r="C70" s="37">
        <f>SUM(C71:C76)</f>
        <v>1.7</v>
      </c>
      <c r="D70" s="37">
        <f t="shared" ref="D70:N70" si="12">SUM(D71:D76)</f>
        <v>1</v>
      </c>
      <c r="E70" s="37">
        <f t="shared" si="12"/>
        <v>4.3</v>
      </c>
      <c r="F70" s="37">
        <f t="shared" si="12"/>
        <v>1</v>
      </c>
      <c r="G70" s="37">
        <f t="shared" si="12"/>
        <v>1.8</v>
      </c>
      <c r="H70" s="37">
        <f t="shared" si="12"/>
        <v>0.8</v>
      </c>
      <c r="I70" s="37">
        <f t="shared" si="12"/>
        <v>0.6</v>
      </c>
      <c r="J70" s="37">
        <f t="shared" ca="1" si="12"/>
        <v>1</v>
      </c>
      <c r="K70" s="37">
        <f t="shared" ca="1" si="12"/>
        <v>4.3</v>
      </c>
      <c r="L70" s="37">
        <f t="shared" ca="1" si="12"/>
        <v>3.2</v>
      </c>
      <c r="M70" s="37">
        <f t="shared" ca="1" si="12"/>
        <v>4.4000000000000004</v>
      </c>
      <c r="N70" s="37">
        <f t="shared" ca="1" si="12"/>
        <v>1</v>
      </c>
    </row>
    <row r="71" spans="1:14" outlineLevel="1" x14ac:dyDescent="0.2">
      <c r="A71" s="9" t="s">
        <v>145</v>
      </c>
      <c r="B71" s="1" t="s">
        <v>146</v>
      </c>
      <c r="C71" s="10">
        <f>IFERROR(VLOOKUP(A71,'Centre DW1'!$A$7:$N$106,3,FALSE),0)+
IFERROR(VLOOKUP(A71,'Centre WP1'!$A$7:$N$107,3,FALSE),0)+
IFERROR(VLOOKUP(A71,'Centre WR1'!$A$7:$N$106,3,FALSE),0)+
IFERROR(VLOOKUP(A71,'Centre WV1'!$A$7:$N$109,3,FALSE),0)</f>
        <v>1</v>
      </c>
      <c r="D71" s="10">
        <f>IFERROR(VLOOKUP(A71,'Centre DW1'!$A$7:$N$106,4,FALSE),0)+
IFERROR(VLOOKUP(A71,'Centre WP1'!$A$7:$N$107,4,FALSE),0)+
IFERROR(VLOOKUP(A71,'Centre WR1'!$A$7:$N$106,4,FALSE),0)+
IFERROR(VLOOKUP(A71,'Centre WV1'!$A$7:$N$109,4,FALSE),0)</f>
        <v>1</v>
      </c>
      <c r="E71" s="10">
        <f>IFERROR(VLOOKUP(A71,'Centre DW1'!$A$7:$N$106,5,FALSE),0)+
IFERROR(VLOOKUP(A71,'Centre WP1'!$A$7:$N$107,5,FALSE),0)+
IFERROR(VLOOKUP(A71,'Centre WR1'!$A$7:$N$106,5,FALSE),0)+
IFERROR(VLOOKUP(A71,'Centre WV1'!$A$7:$N$109,5,FALSE),0)</f>
        <v>1</v>
      </c>
      <c r="F71" s="10">
        <f>IFERROR(VLOOKUP(A71,'Centre DW1'!$A$7:$N$106,6,FALSE),0)+
IFERROR(VLOOKUP(A71,'Centre WP1'!$A$7:$N$107,6,FALSE),0)+
IFERROR(VLOOKUP(A71,'Centre WR1'!$A$7:$N$106,6,FALSE),0)+
IFERROR(VLOOKUP(A71,'Centre WV1'!$A$7:$N$109,6,FALSE),0)</f>
        <v>1</v>
      </c>
      <c r="G71" s="10">
        <f>IFERROR(VLOOKUP(A71,'Centre DW1'!$A$7:$N$106,7,FALSE),0)+
IFERROR(VLOOKUP(A71,'Centre WP1'!$A$7:$N$107,7,FALSE),0)+
IFERROR(VLOOKUP(A71,'Centre WR1'!$A$7:$N$106,7,FALSE),0)+
IFERROR(VLOOKUP(A71,'Centre WV1'!$A$7:$N$109,7,FALSE),0)</f>
        <v>1.8</v>
      </c>
      <c r="H71" s="10">
        <f>IFERROR(VLOOKUP(A71,'Centre DW1'!$A$7:$N$106,8,FALSE),0)+
IFERROR(VLOOKUP(A71,'Centre WP1'!$A$7:$N$107,8,FALSE),0)+
IFERROR(VLOOKUP(A71,'Centre WR1'!$A$7:$N$106,8,FALSE),0)+
IFERROR(VLOOKUP(A71,'Centre WV1'!$A$7:$N$109,8,FALSE),0)</f>
        <v>0.8</v>
      </c>
      <c r="I71" s="10">
        <f>IFERROR(VLOOKUP(A71,'Centre DW1'!$A$7:$N$106,9,FALSE),0)+
IFERROR(VLOOKUP(A71,'Centre WP1'!$A$7:$N$107,9,FALSE),0)+
IFERROR(VLOOKUP(A71,'Centre WR1'!$A$7:$N$106,9,FALSE),0)+
IFERROR(VLOOKUP(A71,'Centre WV1'!$A$7:$N$109,9,FALSE),0)</f>
        <v>0.6</v>
      </c>
      <c r="J71" s="32">
        <f ca="1">IFERROR(VLOOKUP(A71,'Centre DW1'!$A$7:$N$106,10,FALSE),0)+
IFERROR(VLOOKUP(A71,'Centre WP1'!$A$7:$N$107,10,FALSE),0)+
IFERROR(VLOOKUP(A71,'Centre WR1'!$A$7:$N$106,10,FALSE),0)+
IFERROR(VLOOKUP(A71,'Centre WV1'!$A$7:$N$109,10,FALSE),0)</f>
        <v>1</v>
      </c>
      <c r="K71" s="32">
        <f ca="1">IFERROR(VLOOKUP(A71,'Centre DW1'!$A$7:$N$106,11,FALSE),0)+
IFERROR(VLOOKUP(A71,'Centre WP1'!$A$7:$N$107,11,FALSE),0)+
IFERROR(VLOOKUP(A71,'Centre WR1'!$A$7:$N$106,11,FALSE),0)+
IFERROR(VLOOKUP(A71,'Centre WV1'!$A$7:$N$109,11,FALSE),0)</f>
        <v>1</v>
      </c>
      <c r="L71" s="32">
        <f ca="1">IFERROR(VLOOKUP(A71,'Centre DW1'!$A$7:$N$106,12,FALSE),0)+
IFERROR(VLOOKUP(A71,'Centre WP1'!$A$7:$N$107,12,FALSE),0)+
IFERROR(VLOOKUP(A71,'Centre WR1'!$A$7:$N$106,12,FALSE),0)+
IFERROR(VLOOKUP(A71,'Centre WV1'!$A$7:$N$109,12,FALSE),0)</f>
        <v>1</v>
      </c>
      <c r="M71" s="32">
        <f ca="1">IFERROR(VLOOKUP(A71,'Centre DW1'!$A$7:$N$106,13,FALSE),0)+
IFERROR(VLOOKUP(A71,'Centre WP1'!$A$7:$N$107,13,FALSE),0)+
IFERROR(VLOOKUP(A71,'Centre WR1'!$A$7:$N$106,13,FALSE),0)+
IFERROR(VLOOKUP(A71,'Centre WV1'!$A$7:$N$109,13,FALSE),0)</f>
        <v>1</v>
      </c>
      <c r="N71" s="32">
        <f ca="1">IFERROR(VLOOKUP(A71,'Centre DW1'!$A$7:$N$106,14,FALSE),0)+
IFERROR(VLOOKUP(A71,'Centre WP1'!$A$7:$N$107,14,FALSE),0)+
IFERROR(VLOOKUP(A71,'Centre WR1'!$A$7:$N$106,14,FALSE),0)+
IFERROR(VLOOKUP(A71,'Centre WV1'!$A$7:$N$109,14,FALSE),0)</f>
        <v>1</v>
      </c>
    </row>
    <row r="72" spans="1:14" outlineLevel="1" x14ac:dyDescent="0.2">
      <c r="A72" s="9" t="s">
        <v>147</v>
      </c>
      <c r="B72" s="1" t="s">
        <v>148</v>
      </c>
      <c r="C72" s="10">
        <f>IFERROR(VLOOKUP(A72,'Centre DW1'!$A$7:$N$106,3,FALSE),0)+
IFERROR(VLOOKUP(A72,'Centre WP1'!$A$7:$N$107,3,FALSE),0)+
IFERROR(VLOOKUP(A72,'Centre WR1'!$A$7:$N$106,3,FALSE),0)+
IFERROR(VLOOKUP(A72,'Centre WV1'!$A$7:$N$109,3,FALSE),0)</f>
        <v>0</v>
      </c>
      <c r="D72" s="10">
        <f>IFERROR(VLOOKUP(A72,'Centre DW1'!$A$7:$N$106,4,FALSE),0)+
IFERROR(VLOOKUP(A72,'Centre WP1'!$A$7:$N$107,4,FALSE),0)+
IFERROR(VLOOKUP(A72,'Centre WR1'!$A$7:$N$106,4,FALSE),0)+
IFERROR(VLOOKUP(A72,'Centre WV1'!$A$7:$N$109,4,FALSE),0)</f>
        <v>0</v>
      </c>
      <c r="E72" s="10">
        <f>IFERROR(VLOOKUP(A72,'Centre DW1'!$A$7:$N$106,5,FALSE),0)+
IFERROR(VLOOKUP(A72,'Centre WP1'!$A$7:$N$107,5,FALSE),0)+
IFERROR(VLOOKUP(A72,'Centre WR1'!$A$7:$N$106,5,FALSE),0)+
IFERROR(VLOOKUP(A72,'Centre WV1'!$A$7:$N$109,5,FALSE),0)</f>
        <v>0</v>
      </c>
      <c r="F72" s="10">
        <f>IFERROR(VLOOKUP(A72,'Centre DW1'!$A$7:$N$106,6,FALSE),0)+
IFERROR(VLOOKUP(A72,'Centre WP1'!$A$7:$N$107,6,FALSE),0)+
IFERROR(VLOOKUP(A72,'Centre WR1'!$A$7:$N$106,6,FALSE),0)+
IFERROR(VLOOKUP(A72,'Centre WV1'!$A$7:$N$109,6,FALSE),0)</f>
        <v>0</v>
      </c>
      <c r="G72" s="10">
        <f>IFERROR(VLOOKUP(A72,'Centre DW1'!$A$7:$N$106,7,FALSE),0)+
IFERROR(VLOOKUP(A72,'Centre WP1'!$A$7:$N$107,7,FALSE),0)+
IFERROR(VLOOKUP(A72,'Centre WR1'!$A$7:$N$106,7,FALSE),0)+
IFERROR(VLOOKUP(A72,'Centre WV1'!$A$7:$N$109,7,FALSE),0)</f>
        <v>0</v>
      </c>
      <c r="H72" s="10">
        <f>IFERROR(VLOOKUP(A72,'Centre DW1'!$A$7:$N$106,8,FALSE),0)+
IFERROR(VLOOKUP(A72,'Centre WP1'!$A$7:$N$107,8,FALSE),0)+
IFERROR(VLOOKUP(A72,'Centre WR1'!$A$7:$N$106,8,FALSE),0)+
IFERROR(VLOOKUP(A72,'Centre WV1'!$A$7:$N$109,8,FALSE),0)</f>
        <v>0</v>
      </c>
      <c r="I72" s="10">
        <f>IFERROR(VLOOKUP(A72,'Centre DW1'!$A$7:$N$106,9,FALSE),0)+
IFERROR(VLOOKUP(A72,'Centre WP1'!$A$7:$N$107,9,FALSE),0)+
IFERROR(VLOOKUP(A72,'Centre WR1'!$A$7:$N$106,9,FALSE),0)+
IFERROR(VLOOKUP(A72,'Centre WV1'!$A$7:$N$109,9,FALSE),0)</f>
        <v>0</v>
      </c>
      <c r="J72" s="32">
        <f>IFERROR(VLOOKUP(A72,'Centre DW1'!$A$7:$N$106,10,FALSE),0)+
IFERROR(VLOOKUP(A72,'Centre WP1'!$A$7:$N$107,10,FALSE),0)+
IFERROR(VLOOKUP(A72,'Centre WR1'!$A$7:$N$106,10,FALSE),0)+
IFERROR(VLOOKUP(A72,'Centre WV1'!$A$7:$N$109,10,FALSE),0)</f>
        <v>0</v>
      </c>
      <c r="K72" s="32">
        <f>IFERROR(VLOOKUP(A72,'Centre DW1'!$A$7:$N$106,11,FALSE),0)+
IFERROR(VLOOKUP(A72,'Centre WP1'!$A$7:$N$107,11,FALSE),0)+
IFERROR(VLOOKUP(A72,'Centre WR1'!$A$7:$N$106,11,FALSE),0)+
IFERROR(VLOOKUP(A72,'Centre WV1'!$A$7:$N$109,11,FALSE),0)</f>
        <v>0</v>
      </c>
      <c r="L72" s="32">
        <f>IFERROR(VLOOKUP(A72,'Centre DW1'!$A$7:$N$106,12,FALSE),0)+
IFERROR(VLOOKUP(A72,'Centre WP1'!$A$7:$N$107,12,FALSE),0)+
IFERROR(VLOOKUP(A72,'Centre WR1'!$A$7:$N$106,12,FALSE),0)+
IFERROR(VLOOKUP(A72,'Centre WV1'!$A$7:$N$109,12,FALSE),0)</f>
        <v>0</v>
      </c>
      <c r="M72" s="32">
        <f>IFERROR(VLOOKUP(A72,'Centre DW1'!$A$7:$N$106,13,FALSE),0)+
IFERROR(VLOOKUP(A72,'Centre WP1'!$A$7:$N$107,13,FALSE),0)+
IFERROR(VLOOKUP(A72,'Centre WR1'!$A$7:$N$106,13,FALSE),0)+
IFERROR(VLOOKUP(A72,'Centre WV1'!$A$7:$N$109,13,FALSE),0)</f>
        <v>0</v>
      </c>
      <c r="N72" s="32">
        <f>IFERROR(VLOOKUP(A72,'Centre DW1'!$A$7:$N$106,14,FALSE),0)+
IFERROR(VLOOKUP(A72,'Centre WP1'!$A$7:$N$107,14,FALSE),0)+
IFERROR(VLOOKUP(A72,'Centre WR1'!$A$7:$N$106,14,FALSE),0)+
IFERROR(VLOOKUP(A72,'Centre WV1'!$A$7:$N$109,14,FALSE),0)</f>
        <v>0</v>
      </c>
    </row>
    <row r="73" spans="1:14" outlineLevel="1" x14ac:dyDescent="0.2">
      <c r="A73" s="9" t="s">
        <v>149</v>
      </c>
      <c r="B73" s="1" t="s">
        <v>150</v>
      </c>
      <c r="C73" s="10">
        <f>IFERROR(VLOOKUP(A73,'Centre DW1'!$A$7:$N$106,3,FALSE),0)+
IFERROR(VLOOKUP(A73,'Centre WP1'!$A$7:$N$107,3,FALSE),0)+
IFERROR(VLOOKUP(A73,'Centre WR1'!$A$7:$N$106,3,FALSE),0)+
IFERROR(VLOOKUP(A73,'Centre WV1'!$A$7:$N$109,3,FALSE),0)</f>
        <v>0</v>
      </c>
      <c r="D73" s="10">
        <f>IFERROR(VLOOKUP(A73,'Centre DW1'!$A$7:$N$106,4,FALSE),0)+
IFERROR(VLOOKUP(A73,'Centre WP1'!$A$7:$N$107,4,FALSE),0)+
IFERROR(VLOOKUP(A73,'Centre WR1'!$A$7:$N$106,4,FALSE),0)+
IFERROR(VLOOKUP(A73,'Centre WV1'!$A$7:$N$109,4,FALSE),0)</f>
        <v>0</v>
      </c>
      <c r="E73" s="10">
        <f>IFERROR(VLOOKUP(A73,'Centre DW1'!$A$7:$N$106,5,FALSE),0)+
IFERROR(VLOOKUP(A73,'Centre WP1'!$A$7:$N$107,5,FALSE),0)+
IFERROR(VLOOKUP(A73,'Centre WR1'!$A$7:$N$106,5,FALSE),0)+
IFERROR(VLOOKUP(A73,'Centre WV1'!$A$7:$N$109,5,FALSE),0)</f>
        <v>3.3</v>
      </c>
      <c r="F73" s="10">
        <f>IFERROR(VLOOKUP(A73,'Centre DW1'!$A$7:$N$106,6,FALSE),0)+
IFERROR(VLOOKUP(A73,'Centre WP1'!$A$7:$N$107,6,FALSE),0)+
IFERROR(VLOOKUP(A73,'Centre WR1'!$A$7:$N$106,6,FALSE),0)+
IFERROR(VLOOKUP(A73,'Centre WV1'!$A$7:$N$109,6,FALSE),0)</f>
        <v>0</v>
      </c>
      <c r="G73" s="10">
        <f>IFERROR(VLOOKUP(A73,'Centre DW1'!$A$7:$N$106,7,FALSE),0)+
IFERROR(VLOOKUP(A73,'Centre WP1'!$A$7:$N$107,7,FALSE),0)+
IFERROR(VLOOKUP(A73,'Centre WR1'!$A$7:$N$106,7,FALSE),0)+
IFERROR(VLOOKUP(A73,'Centre WV1'!$A$7:$N$109,7,FALSE),0)</f>
        <v>0</v>
      </c>
      <c r="H73" s="10">
        <f>IFERROR(VLOOKUP(A73,'Centre DW1'!$A$7:$N$106,8,FALSE),0)+
IFERROR(VLOOKUP(A73,'Centre WP1'!$A$7:$N$107,8,FALSE),0)+
IFERROR(VLOOKUP(A73,'Centre WR1'!$A$7:$N$106,8,FALSE),0)+
IFERROR(VLOOKUP(A73,'Centre WV1'!$A$7:$N$109,8,FALSE),0)</f>
        <v>0</v>
      </c>
      <c r="I73" s="10">
        <f>IFERROR(VLOOKUP(A73,'Centre DW1'!$A$7:$N$106,9,FALSE),0)+
IFERROR(VLOOKUP(A73,'Centre WP1'!$A$7:$N$107,9,FALSE),0)+
IFERROR(VLOOKUP(A73,'Centre WR1'!$A$7:$N$106,9,FALSE),0)+
IFERROR(VLOOKUP(A73,'Centre WV1'!$A$7:$N$109,9,FALSE),0)</f>
        <v>0</v>
      </c>
      <c r="J73" s="32">
        <f>IFERROR(VLOOKUP(A73,'Centre DW1'!$A$7:$N$106,10,FALSE),0)+
IFERROR(VLOOKUP(A73,'Centre WP1'!$A$7:$N$107,10,FALSE),0)+
IFERROR(VLOOKUP(A73,'Centre WR1'!$A$7:$N$106,10,FALSE),0)+
IFERROR(VLOOKUP(A73,'Centre WV1'!$A$7:$N$109,10,FALSE),0)</f>
        <v>0</v>
      </c>
      <c r="K73" s="32">
        <f>IFERROR(VLOOKUP(A73,'Centre DW1'!$A$7:$N$106,11,FALSE),0)+
IFERROR(VLOOKUP(A73,'Centre WP1'!$A$7:$N$107,11,FALSE),0)+
IFERROR(VLOOKUP(A73,'Centre WR1'!$A$7:$N$106,11,FALSE),0)+
IFERROR(VLOOKUP(A73,'Centre WV1'!$A$7:$N$109,11,FALSE),0)</f>
        <v>3.3</v>
      </c>
      <c r="L73" s="32">
        <f>IFERROR(VLOOKUP(A73,'Centre DW1'!$A$7:$N$106,12,FALSE),0)+
IFERROR(VLOOKUP(A73,'Centre WP1'!$A$7:$N$107,12,FALSE),0)+
IFERROR(VLOOKUP(A73,'Centre WR1'!$A$7:$N$106,12,FALSE),0)+
IFERROR(VLOOKUP(A73,'Centre WV1'!$A$7:$N$109,12,FALSE),0)</f>
        <v>2.2000000000000002</v>
      </c>
      <c r="M73" s="32">
        <f>IFERROR(VLOOKUP(A73,'Centre DW1'!$A$7:$N$106,13,FALSE),0)+
IFERROR(VLOOKUP(A73,'Centre WP1'!$A$7:$N$107,13,FALSE),0)+
IFERROR(VLOOKUP(A73,'Centre WR1'!$A$7:$N$106,13,FALSE),0)+
IFERROR(VLOOKUP(A73,'Centre WV1'!$A$7:$N$109,13,FALSE),0)</f>
        <v>3.4</v>
      </c>
      <c r="N73" s="32">
        <f>IFERROR(VLOOKUP(A73,'Centre DW1'!$A$7:$N$106,14,FALSE),0)+
IFERROR(VLOOKUP(A73,'Centre WP1'!$A$7:$N$107,14,FALSE),0)+
IFERROR(VLOOKUP(A73,'Centre WR1'!$A$7:$N$106,14,FALSE),0)+
IFERROR(VLOOKUP(A73,'Centre WV1'!$A$7:$N$109,14,FALSE),0)</f>
        <v>0</v>
      </c>
    </row>
    <row r="74" spans="1:14" outlineLevel="1" x14ac:dyDescent="0.2">
      <c r="A74" s="9" t="s">
        <v>151</v>
      </c>
      <c r="B74" s="1" t="s">
        <v>152</v>
      </c>
      <c r="C74" s="10">
        <f>IFERROR(VLOOKUP(A74,'Centre DW1'!$A$7:$N$106,3,FALSE),0)+
IFERROR(VLOOKUP(A74,'Centre WP1'!$A$7:$N$107,3,FALSE),0)+
IFERROR(VLOOKUP(A74,'Centre WR1'!$A$7:$N$106,3,FALSE),0)+
IFERROR(VLOOKUP(A74,'Centre WV1'!$A$7:$N$109,3,FALSE),0)</f>
        <v>0</v>
      </c>
      <c r="D74" s="10">
        <f>IFERROR(VLOOKUP(A74,'Centre DW1'!$A$7:$N$106,4,FALSE),0)+
IFERROR(VLOOKUP(A74,'Centre WP1'!$A$7:$N$107,4,FALSE),0)+
IFERROR(VLOOKUP(A74,'Centre WR1'!$A$7:$N$106,4,FALSE),0)+
IFERROR(VLOOKUP(A74,'Centre WV1'!$A$7:$N$109,4,FALSE),0)</f>
        <v>0</v>
      </c>
      <c r="E74" s="10">
        <f>IFERROR(VLOOKUP(A74,'Centre DW1'!$A$7:$N$106,5,FALSE),0)+
IFERROR(VLOOKUP(A74,'Centre WP1'!$A$7:$N$107,5,FALSE),0)+
IFERROR(VLOOKUP(A74,'Centre WR1'!$A$7:$N$106,5,FALSE),0)+
IFERROR(VLOOKUP(A74,'Centre WV1'!$A$7:$N$109,5,FALSE),0)</f>
        <v>0</v>
      </c>
      <c r="F74" s="10">
        <f>IFERROR(VLOOKUP(A74,'Centre DW1'!$A$7:$N$106,6,FALSE),0)+
IFERROR(VLOOKUP(A74,'Centre WP1'!$A$7:$N$107,6,FALSE),0)+
IFERROR(VLOOKUP(A74,'Centre WR1'!$A$7:$N$106,6,FALSE),0)+
IFERROR(VLOOKUP(A74,'Centre WV1'!$A$7:$N$109,6,FALSE),0)</f>
        <v>0</v>
      </c>
      <c r="G74" s="10">
        <f>IFERROR(VLOOKUP(A74,'Centre DW1'!$A$7:$N$106,7,FALSE),0)+
IFERROR(VLOOKUP(A74,'Centre WP1'!$A$7:$N$107,7,FALSE),0)+
IFERROR(VLOOKUP(A74,'Centre WR1'!$A$7:$N$106,7,FALSE),0)+
IFERROR(VLOOKUP(A74,'Centre WV1'!$A$7:$N$109,7,FALSE),0)</f>
        <v>0</v>
      </c>
      <c r="H74" s="10">
        <f>IFERROR(VLOOKUP(A74,'Centre DW1'!$A$7:$N$106,8,FALSE),0)+
IFERROR(VLOOKUP(A74,'Centre WP1'!$A$7:$N$107,8,FALSE),0)+
IFERROR(VLOOKUP(A74,'Centre WR1'!$A$7:$N$106,8,FALSE),0)+
IFERROR(VLOOKUP(A74,'Centre WV1'!$A$7:$N$109,8,FALSE),0)</f>
        <v>0</v>
      </c>
      <c r="I74" s="10">
        <f>IFERROR(VLOOKUP(A74,'Centre DW1'!$A$7:$N$106,9,FALSE),0)+
IFERROR(VLOOKUP(A74,'Centre WP1'!$A$7:$N$107,9,FALSE),0)+
IFERROR(VLOOKUP(A74,'Centre WR1'!$A$7:$N$106,9,FALSE),0)+
IFERROR(VLOOKUP(A74,'Centre WV1'!$A$7:$N$109,9,FALSE),0)</f>
        <v>0</v>
      </c>
      <c r="J74" s="32">
        <f>IFERROR(VLOOKUP(A74,'Centre DW1'!$A$7:$N$106,10,FALSE),0)+
IFERROR(VLOOKUP(A74,'Centre WP1'!$A$7:$N$107,10,FALSE),0)+
IFERROR(VLOOKUP(A74,'Centre WR1'!$A$7:$N$106,10,FALSE),0)+
IFERROR(VLOOKUP(A74,'Centre WV1'!$A$7:$N$109,10,FALSE),0)</f>
        <v>0</v>
      </c>
      <c r="K74" s="32">
        <f>IFERROR(VLOOKUP(A74,'Centre DW1'!$A$7:$N$106,11,FALSE),0)+
IFERROR(VLOOKUP(A74,'Centre WP1'!$A$7:$N$107,11,FALSE),0)+
IFERROR(VLOOKUP(A74,'Centre WR1'!$A$7:$N$106,11,FALSE),0)+
IFERROR(VLOOKUP(A74,'Centre WV1'!$A$7:$N$109,11,FALSE),0)</f>
        <v>0</v>
      </c>
      <c r="L74" s="32">
        <f>IFERROR(VLOOKUP(A74,'Centre DW1'!$A$7:$N$106,12,FALSE),0)+
IFERROR(VLOOKUP(A74,'Centre WP1'!$A$7:$N$107,12,FALSE),0)+
IFERROR(VLOOKUP(A74,'Centre WR1'!$A$7:$N$106,12,FALSE),0)+
IFERROR(VLOOKUP(A74,'Centre WV1'!$A$7:$N$109,12,FALSE),0)</f>
        <v>0</v>
      </c>
      <c r="M74" s="32">
        <f>IFERROR(VLOOKUP(A74,'Centre DW1'!$A$7:$N$106,13,FALSE),0)+
IFERROR(VLOOKUP(A74,'Centre WP1'!$A$7:$N$107,13,FALSE),0)+
IFERROR(VLOOKUP(A74,'Centre WR1'!$A$7:$N$106,13,FALSE),0)+
IFERROR(VLOOKUP(A74,'Centre WV1'!$A$7:$N$109,13,FALSE),0)</f>
        <v>0</v>
      </c>
      <c r="N74" s="32">
        <f>IFERROR(VLOOKUP(A74,'Centre DW1'!$A$7:$N$106,14,FALSE),0)+
IFERROR(VLOOKUP(A74,'Centre WP1'!$A$7:$N$107,14,FALSE),0)+
IFERROR(VLOOKUP(A74,'Centre WR1'!$A$7:$N$106,14,FALSE),0)+
IFERROR(VLOOKUP(A74,'Centre WV1'!$A$7:$N$109,14,FALSE),0)</f>
        <v>0</v>
      </c>
    </row>
    <row r="75" spans="1:14" outlineLevel="1" x14ac:dyDescent="0.2">
      <c r="A75" s="9" t="s">
        <v>153</v>
      </c>
      <c r="B75" s="1" t="s">
        <v>154</v>
      </c>
      <c r="C75" s="10">
        <f>IFERROR(VLOOKUP(A75,'Centre DW1'!$A$7:$N$106,3,FALSE),0)+
IFERROR(VLOOKUP(A75,'Centre WP1'!$A$7:$N$107,3,FALSE),0)+
IFERROR(VLOOKUP(A75,'Centre WR1'!$A$7:$N$106,3,FALSE),0)+
IFERROR(VLOOKUP(A75,'Centre WV1'!$A$7:$N$109,3,FALSE),0)</f>
        <v>0</v>
      </c>
      <c r="D75" s="10">
        <f>IFERROR(VLOOKUP(A75,'Centre DW1'!$A$7:$N$106,4,FALSE),0)+
IFERROR(VLOOKUP(A75,'Centre WP1'!$A$7:$N$107,4,FALSE),0)+
IFERROR(VLOOKUP(A75,'Centre WR1'!$A$7:$N$106,4,FALSE),0)+
IFERROR(VLOOKUP(A75,'Centre WV1'!$A$7:$N$109,4,FALSE),0)</f>
        <v>0</v>
      </c>
      <c r="E75" s="10">
        <f>IFERROR(VLOOKUP(A75,'Centre DW1'!$A$7:$N$106,5,FALSE),0)+
IFERROR(VLOOKUP(A75,'Centre WP1'!$A$7:$N$107,5,FALSE),0)+
IFERROR(VLOOKUP(A75,'Centre WR1'!$A$7:$N$106,5,FALSE),0)+
IFERROR(VLOOKUP(A75,'Centre WV1'!$A$7:$N$109,5,FALSE),0)</f>
        <v>0</v>
      </c>
      <c r="F75" s="10">
        <f>IFERROR(VLOOKUP(A75,'Centre DW1'!$A$7:$N$106,6,FALSE),0)+
IFERROR(VLOOKUP(A75,'Centre WP1'!$A$7:$N$107,6,FALSE),0)+
IFERROR(VLOOKUP(A75,'Centre WR1'!$A$7:$N$106,6,FALSE),0)+
IFERROR(VLOOKUP(A75,'Centre WV1'!$A$7:$N$109,6,FALSE),0)</f>
        <v>0</v>
      </c>
      <c r="G75" s="10">
        <f>IFERROR(VLOOKUP(A75,'Centre DW1'!$A$7:$N$106,7,FALSE),0)+
IFERROR(VLOOKUP(A75,'Centre WP1'!$A$7:$N$107,7,FALSE),0)+
IFERROR(VLOOKUP(A75,'Centre WR1'!$A$7:$N$106,7,FALSE),0)+
IFERROR(VLOOKUP(A75,'Centre WV1'!$A$7:$N$109,7,FALSE),0)</f>
        <v>0</v>
      </c>
      <c r="H75" s="10">
        <f>IFERROR(VLOOKUP(A75,'Centre DW1'!$A$7:$N$106,8,FALSE),0)+
IFERROR(VLOOKUP(A75,'Centre WP1'!$A$7:$N$107,8,FALSE),0)+
IFERROR(VLOOKUP(A75,'Centre WR1'!$A$7:$N$106,8,FALSE),0)+
IFERROR(VLOOKUP(A75,'Centre WV1'!$A$7:$N$109,8,FALSE),0)</f>
        <v>0</v>
      </c>
      <c r="I75" s="10">
        <f>IFERROR(VLOOKUP(A75,'Centre DW1'!$A$7:$N$106,9,FALSE),0)+
IFERROR(VLOOKUP(A75,'Centre WP1'!$A$7:$N$107,9,FALSE),0)+
IFERROR(VLOOKUP(A75,'Centre WR1'!$A$7:$N$106,9,FALSE),0)+
IFERROR(VLOOKUP(A75,'Centre WV1'!$A$7:$N$109,9,FALSE),0)</f>
        <v>0</v>
      </c>
      <c r="J75" s="32">
        <f>IFERROR(VLOOKUP(A75,'Centre DW1'!$A$7:$N$106,10,FALSE),0)+
IFERROR(VLOOKUP(A75,'Centre WP1'!$A$7:$N$107,10,FALSE),0)+
IFERROR(VLOOKUP(A75,'Centre WR1'!$A$7:$N$106,10,FALSE),0)+
IFERROR(VLOOKUP(A75,'Centre WV1'!$A$7:$N$109,10,FALSE),0)</f>
        <v>0</v>
      </c>
      <c r="K75" s="32">
        <f>IFERROR(VLOOKUP(A75,'Centre DW1'!$A$7:$N$106,11,FALSE),0)+
IFERROR(VLOOKUP(A75,'Centre WP1'!$A$7:$N$107,11,FALSE),0)+
IFERROR(VLOOKUP(A75,'Centre WR1'!$A$7:$N$106,11,FALSE),0)+
IFERROR(VLOOKUP(A75,'Centre WV1'!$A$7:$N$109,11,FALSE),0)</f>
        <v>0</v>
      </c>
      <c r="L75" s="32">
        <f>IFERROR(VLOOKUP(A75,'Centre DW1'!$A$7:$N$106,12,FALSE),0)+
IFERROR(VLOOKUP(A75,'Centre WP1'!$A$7:$N$107,12,FALSE),0)+
IFERROR(VLOOKUP(A75,'Centre WR1'!$A$7:$N$106,12,FALSE),0)+
IFERROR(VLOOKUP(A75,'Centre WV1'!$A$7:$N$109,12,FALSE),0)</f>
        <v>0</v>
      </c>
      <c r="M75" s="32">
        <f>IFERROR(VLOOKUP(A75,'Centre DW1'!$A$7:$N$106,13,FALSE),0)+
IFERROR(VLOOKUP(A75,'Centre WP1'!$A$7:$N$107,13,FALSE),0)+
IFERROR(VLOOKUP(A75,'Centre WR1'!$A$7:$N$106,13,FALSE),0)+
IFERROR(VLOOKUP(A75,'Centre WV1'!$A$7:$N$109,13,FALSE),0)</f>
        <v>0</v>
      </c>
      <c r="N75" s="32">
        <f>IFERROR(VLOOKUP(A75,'Centre DW1'!$A$7:$N$106,14,FALSE),0)+
IFERROR(VLOOKUP(A75,'Centre WP1'!$A$7:$N$107,14,FALSE),0)+
IFERROR(VLOOKUP(A75,'Centre WR1'!$A$7:$N$106,14,FALSE),0)+
IFERROR(VLOOKUP(A75,'Centre WV1'!$A$7:$N$109,14,FALSE),0)</f>
        <v>0</v>
      </c>
    </row>
    <row r="76" spans="1:14" outlineLevel="1" x14ac:dyDescent="0.2">
      <c r="A76" s="9" t="s">
        <v>155</v>
      </c>
      <c r="B76" s="1" t="s">
        <v>156</v>
      </c>
      <c r="C76" s="10">
        <f>IFERROR(VLOOKUP(A76,'Centre DW1'!$A$7:$N$106,3,FALSE),0)+
IFERROR(VLOOKUP(A76,'Centre WP1'!$A$7:$N$107,3,FALSE),0)+
IFERROR(VLOOKUP(A76,'Centre WR1'!$A$7:$N$106,3,FALSE),0)+
IFERROR(VLOOKUP(A76,'Centre WV1'!$A$7:$N$109,3,FALSE),0)</f>
        <v>0.7</v>
      </c>
      <c r="D76" s="10">
        <f>IFERROR(VLOOKUP(A76,'Centre DW1'!$A$7:$N$106,4,FALSE),0)+
IFERROR(VLOOKUP(A76,'Centre WP1'!$A$7:$N$107,4,FALSE),0)+
IFERROR(VLOOKUP(A76,'Centre WR1'!$A$7:$N$106,4,FALSE),0)+
IFERROR(VLOOKUP(A76,'Centre WV1'!$A$7:$N$109,4,FALSE),0)</f>
        <v>0</v>
      </c>
      <c r="E76" s="10">
        <f>IFERROR(VLOOKUP(A76,'Centre DW1'!$A$7:$N$106,5,FALSE),0)+
IFERROR(VLOOKUP(A76,'Centre WP1'!$A$7:$N$107,5,FALSE),0)+
IFERROR(VLOOKUP(A76,'Centre WR1'!$A$7:$N$106,5,FALSE),0)+
IFERROR(VLOOKUP(A76,'Centre WV1'!$A$7:$N$109,5,FALSE),0)</f>
        <v>0</v>
      </c>
      <c r="F76" s="10">
        <f>IFERROR(VLOOKUP(A76,'Centre DW1'!$A$7:$N$106,6,FALSE),0)+
IFERROR(VLOOKUP(A76,'Centre WP1'!$A$7:$N$107,6,FALSE),0)+
IFERROR(VLOOKUP(A76,'Centre WR1'!$A$7:$N$106,6,FALSE),0)+
IFERROR(VLOOKUP(A76,'Centre WV1'!$A$7:$N$109,6,FALSE),0)</f>
        <v>0</v>
      </c>
      <c r="G76" s="10">
        <f>IFERROR(VLOOKUP(A76,'Centre DW1'!$A$7:$N$106,7,FALSE),0)+
IFERROR(VLOOKUP(A76,'Centre WP1'!$A$7:$N$107,7,FALSE),0)+
IFERROR(VLOOKUP(A76,'Centre WR1'!$A$7:$N$106,7,FALSE),0)+
IFERROR(VLOOKUP(A76,'Centre WV1'!$A$7:$N$109,7,FALSE),0)</f>
        <v>0</v>
      </c>
      <c r="H76" s="10">
        <f>IFERROR(VLOOKUP(A76,'Centre DW1'!$A$7:$N$106,8,FALSE),0)+
IFERROR(VLOOKUP(A76,'Centre WP1'!$A$7:$N$107,8,FALSE),0)+
IFERROR(VLOOKUP(A76,'Centre WR1'!$A$7:$N$106,8,FALSE),0)+
IFERROR(VLOOKUP(A76,'Centre WV1'!$A$7:$N$109,8,FALSE),0)</f>
        <v>0</v>
      </c>
      <c r="I76" s="10">
        <f>IFERROR(VLOOKUP(A76,'Centre DW1'!$A$7:$N$106,9,FALSE),0)+
IFERROR(VLOOKUP(A76,'Centre WP1'!$A$7:$N$107,9,FALSE),0)+
IFERROR(VLOOKUP(A76,'Centre WR1'!$A$7:$N$106,9,FALSE),0)+
IFERROR(VLOOKUP(A76,'Centre WV1'!$A$7:$N$109,9,FALSE),0)</f>
        <v>0</v>
      </c>
      <c r="J76" s="32">
        <f>IFERROR(VLOOKUP(A76,'Centre DW1'!$A$7:$N$106,10,FALSE),0)+
IFERROR(VLOOKUP(A76,'Centre WP1'!$A$7:$N$107,10,FALSE),0)+
IFERROR(VLOOKUP(A76,'Centre WR1'!$A$7:$N$106,10,FALSE),0)+
IFERROR(VLOOKUP(A76,'Centre WV1'!$A$7:$N$109,10,FALSE),0)</f>
        <v>0</v>
      </c>
      <c r="K76" s="32">
        <f>IFERROR(VLOOKUP(A76,'Centre DW1'!$A$7:$N$106,11,FALSE),0)+
IFERROR(VLOOKUP(A76,'Centre WP1'!$A$7:$N$107,11,FALSE),0)+
IFERROR(VLOOKUP(A76,'Centre WR1'!$A$7:$N$106,11,FALSE),0)+
IFERROR(VLOOKUP(A76,'Centre WV1'!$A$7:$N$109,11,FALSE),0)</f>
        <v>0</v>
      </c>
      <c r="L76" s="32">
        <f>IFERROR(VLOOKUP(A76,'Centre DW1'!$A$7:$N$106,12,FALSE),0)+
IFERROR(VLOOKUP(A76,'Centre WP1'!$A$7:$N$107,12,FALSE),0)+
IFERROR(VLOOKUP(A76,'Centre WR1'!$A$7:$N$106,12,FALSE),0)+
IFERROR(VLOOKUP(A76,'Centre WV1'!$A$7:$N$109,12,FALSE),0)</f>
        <v>0</v>
      </c>
      <c r="M76" s="32">
        <f>IFERROR(VLOOKUP(A76,'Centre DW1'!$A$7:$N$106,13,FALSE),0)+
IFERROR(VLOOKUP(A76,'Centre WP1'!$A$7:$N$107,13,FALSE),0)+
IFERROR(VLOOKUP(A76,'Centre WR1'!$A$7:$N$106,13,FALSE),0)+
IFERROR(VLOOKUP(A76,'Centre WV1'!$A$7:$N$109,13,FALSE),0)</f>
        <v>0</v>
      </c>
      <c r="N76" s="32">
        <f>IFERROR(VLOOKUP(A76,'Centre DW1'!$A$7:$N$106,14,FALSE),0)+
IFERROR(VLOOKUP(A76,'Centre WP1'!$A$7:$N$107,14,FALSE),0)+
IFERROR(VLOOKUP(A76,'Centre WR1'!$A$7:$N$106,14,FALSE),0)+
IFERROR(VLOOKUP(A76,'Centre WV1'!$A$7:$N$109,14,FALSE),0)</f>
        <v>0</v>
      </c>
    </row>
    <row r="77" spans="1:14" x14ac:dyDescent="0.2">
      <c r="A77" s="33" t="s">
        <v>157</v>
      </c>
      <c r="B77" s="34" t="s">
        <v>158</v>
      </c>
      <c r="C77" s="37">
        <f>SUM(C78:C80)</f>
        <v>2.5</v>
      </c>
      <c r="D77" s="37">
        <f t="shared" ref="D77:N77" si="13">SUM(D78:D80)</f>
        <v>-0.6</v>
      </c>
      <c r="E77" s="37">
        <f t="shared" si="13"/>
        <v>5.7</v>
      </c>
      <c r="F77" s="37">
        <f t="shared" si="13"/>
        <v>-7.5</v>
      </c>
      <c r="G77" s="37">
        <f t="shared" si="13"/>
        <v>-0.5</v>
      </c>
      <c r="H77" s="37">
        <f t="shared" si="13"/>
        <v>1.0999999999999999</v>
      </c>
      <c r="I77" s="37">
        <f t="shared" si="13"/>
        <v>-0.8</v>
      </c>
      <c r="J77" s="37">
        <f t="shared" si="13"/>
        <v>0.9</v>
      </c>
      <c r="K77" s="37">
        <f t="shared" si="13"/>
        <v>3.2</v>
      </c>
      <c r="L77" s="37">
        <f t="shared" si="13"/>
        <v>0.9</v>
      </c>
      <c r="M77" s="37">
        <f t="shared" si="13"/>
        <v>-5.0999999999999996</v>
      </c>
      <c r="N77" s="37">
        <f t="shared" si="13"/>
        <v>-4.0999999999999996</v>
      </c>
    </row>
    <row r="78" spans="1:14" outlineLevel="1" x14ac:dyDescent="0.2">
      <c r="A78" s="9" t="s">
        <v>159</v>
      </c>
      <c r="B78" s="1" t="s">
        <v>160</v>
      </c>
      <c r="C78" s="10">
        <f>IFERROR(VLOOKUP(A78,'Centre DW1'!$A$7:$N$106,3,FALSE),0)+
IFERROR(VLOOKUP(A78,'Centre WP1'!$A$7:$N$107,3,FALSE),0)+
IFERROR(VLOOKUP(A78,'Centre WR1'!$A$7:$N$106,3,FALSE),0)+
IFERROR(VLOOKUP(A78,'Centre WV1'!$A$7:$N$109,3,FALSE),0)</f>
        <v>2.5</v>
      </c>
      <c r="D78" s="10">
        <f>IFERROR(VLOOKUP(A78,'Centre DW1'!$A$7:$N$106,4,FALSE),0)+
IFERROR(VLOOKUP(A78,'Centre WP1'!$A$7:$N$107,4,FALSE),0)+
IFERROR(VLOOKUP(A78,'Centre WR1'!$A$7:$N$106,4,FALSE),0)+
IFERROR(VLOOKUP(A78,'Centre WV1'!$A$7:$N$109,4,FALSE),0)</f>
        <v>-0.6</v>
      </c>
      <c r="E78" s="10">
        <f>IFERROR(VLOOKUP(A78,'Centre DW1'!$A$7:$N$106,5,FALSE),0)+
IFERROR(VLOOKUP(A78,'Centre WP1'!$A$7:$N$107,5,FALSE),0)+
IFERROR(VLOOKUP(A78,'Centre WR1'!$A$7:$N$106,5,FALSE),0)+
IFERROR(VLOOKUP(A78,'Centre WV1'!$A$7:$N$109,5,FALSE),0)</f>
        <v>5.7</v>
      </c>
      <c r="F78" s="10">
        <f>IFERROR(VLOOKUP(A78,'Centre DW1'!$A$7:$N$106,6,FALSE),0)+
IFERROR(VLOOKUP(A78,'Centre WP1'!$A$7:$N$107,6,FALSE),0)+
IFERROR(VLOOKUP(A78,'Centre WR1'!$A$7:$N$106,6,FALSE),0)+
IFERROR(VLOOKUP(A78,'Centre WV1'!$A$7:$N$109,6,FALSE),0)</f>
        <v>-7.5</v>
      </c>
      <c r="G78" s="10">
        <f>IFERROR(VLOOKUP(A78,'Centre DW1'!$A$7:$N$106,7,FALSE),0)+
IFERROR(VLOOKUP(A78,'Centre WP1'!$A$7:$N$107,7,FALSE),0)+
IFERROR(VLOOKUP(A78,'Centre WR1'!$A$7:$N$106,7,FALSE),0)+
IFERROR(VLOOKUP(A78,'Centre WV1'!$A$7:$N$109,7,FALSE),0)</f>
        <v>-0.5</v>
      </c>
      <c r="H78" s="10">
        <f>IFERROR(VLOOKUP(A78,'Centre DW1'!$A$7:$N$106,8,FALSE),0)+
IFERROR(VLOOKUP(A78,'Centre WP1'!$A$7:$N$107,8,FALSE),0)+
IFERROR(VLOOKUP(A78,'Centre WR1'!$A$7:$N$106,8,FALSE),0)+
IFERROR(VLOOKUP(A78,'Centre WV1'!$A$7:$N$109,8,FALSE),0)</f>
        <v>1.0999999999999999</v>
      </c>
      <c r="I78" s="10">
        <f>IFERROR(VLOOKUP(A78,'Centre DW1'!$A$7:$N$106,9,FALSE),0)+
IFERROR(VLOOKUP(A78,'Centre WP1'!$A$7:$N$107,9,FALSE),0)+
IFERROR(VLOOKUP(A78,'Centre WR1'!$A$7:$N$106,9,FALSE),0)+
IFERROR(VLOOKUP(A78,'Centre WV1'!$A$7:$N$109,9,FALSE),0)</f>
        <v>-0.8</v>
      </c>
      <c r="J78" s="32">
        <f>IFERROR(VLOOKUP(A78,'Centre DW1'!$A$7:$N$106,10,FALSE),0)+
IFERROR(VLOOKUP(A78,'Centre WP1'!$A$7:$N$107,10,FALSE),0)+
IFERROR(VLOOKUP(A78,'Centre WR1'!$A$7:$N$106,10,FALSE),0)+
IFERROR(VLOOKUP(A78,'Centre WV1'!$A$7:$N$109,10,FALSE),0)</f>
        <v>0.9</v>
      </c>
      <c r="K78" s="32">
        <f>IFERROR(VLOOKUP(A78,'Centre DW1'!$A$7:$N$106,11,FALSE),0)+
IFERROR(VLOOKUP(A78,'Centre WP1'!$A$7:$N$107,11,FALSE),0)+
IFERROR(VLOOKUP(A78,'Centre WR1'!$A$7:$N$106,11,FALSE),0)+
IFERROR(VLOOKUP(A78,'Centre WV1'!$A$7:$N$109,11,FALSE),0)</f>
        <v>3.2</v>
      </c>
      <c r="L78" s="32">
        <f>IFERROR(VLOOKUP(A78,'Centre DW1'!$A$7:$N$106,12,FALSE),0)+
IFERROR(VLOOKUP(A78,'Centre WP1'!$A$7:$N$107,12,FALSE),0)+
IFERROR(VLOOKUP(A78,'Centre WR1'!$A$7:$N$106,12,FALSE),0)+
IFERROR(VLOOKUP(A78,'Centre WV1'!$A$7:$N$109,12,FALSE),0)</f>
        <v>0.9</v>
      </c>
      <c r="M78" s="32">
        <f>IFERROR(VLOOKUP(A78,'Centre DW1'!$A$7:$N$106,13,FALSE),0)+
IFERROR(VLOOKUP(A78,'Centre WP1'!$A$7:$N$107,13,FALSE),0)+
IFERROR(VLOOKUP(A78,'Centre WR1'!$A$7:$N$106,13,FALSE),0)+
IFERROR(VLOOKUP(A78,'Centre WV1'!$A$7:$N$109,13,FALSE),0)</f>
        <v>-5.0999999999999996</v>
      </c>
      <c r="N78" s="32">
        <f>IFERROR(VLOOKUP(A78,'Centre DW1'!$A$7:$N$106,14,FALSE),0)+
IFERROR(VLOOKUP(A78,'Centre WP1'!$A$7:$N$107,14,FALSE),0)+
IFERROR(VLOOKUP(A78,'Centre WR1'!$A$7:$N$106,14,FALSE),0)+
IFERROR(VLOOKUP(A78,'Centre WV1'!$A$7:$N$109,14,FALSE),0)</f>
        <v>-4.0999999999999996</v>
      </c>
    </row>
    <row r="79" spans="1:14" outlineLevel="1" x14ac:dyDescent="0.2">
      <c r="A79" s="9" t="s">
        <v>161</v>
      </c>
      <c r="B79" s="1" t="s">
        <v>162</v>
      </c>
      <c r="C79" s="10">
        <f>IFERROR(VLOOKUP(A79,'Centre DW1'!$A$7:$N$106,3,FALSE),0)+
IFERROR(VLOOKUP(A79,'Centre WP1'!$A$7:$N$107,3,FALSE),0)+
IFERROR(VLOOKUP(A79,'Centre WR1'!$A$7:$N$106,3,FALSE),0)+
IFERROR(VLOOKUP(A79,'Centre WV1'!$A$7:$N$109,3,FALSE),0)</f>
        <v>0</v>
      </c>
      <c r="D79" s="10">
        <f>IFERROR(VLOOKUP(A79,'Centre DW1'!$A$7:$N$106,4,FALSE),0)+
IFERROR(VLOOKUP(A79,'Centre WP1'!$A$7:$N$107,4,FALSE),0)+
IFERROR(VLOOKUP(A79,'Centre WR1'!$A$7:$N$106,4,FALSE),0)+
IFERROR(VLOOKUP(A79,'Centre WV1'!$A$7:$N$109,4,FALSE),0)</f>
        <v>0</v>
      </c>
      <c r="E79" s="10">
        <f>IFERROR(VLOOKUP(A79,'Centre DW1'!$A$7:$N$106,5,FALSE),0)+
IFERROR(VLOOKUP(A79,'Centre WP1'!$A$7:$N$107,5,FALSE),0)+
IFERROR(VLOOKUP(A79,'Centre WR1'!$A$7:$N$106,5,FALSE),0)+
IFERROR(VLOOKUP(A79,'Centre WV1'!$A$7:$N$109,5,FALSE),0)</f>
        <v>0</v>
      </c>
      <c r="F79" s="10">
        <f>IFERROR(VLOOKUP(A79,'Centre DW1'!$A$7:$N$106,6,FALSE),0)+
IFERROR(VLOOKUP(A79,'Centre WP1'!$A$7:$N$107,6,FALSE),0)+
IFERROR(VLOOKUP(A79,'Centre WR1'!$A$7:$N$106,6,FALSE),0)+
IFERROR(VLOOKUP(A79,'Centre WV1'!$A$7:$N$109,6,FALSE),0)</f>
        <v>0</v>
      </c>
      <c r="G79" s="10">
        <f>IFERROR(VLOOKUP(A79,'Centre DW1'!$A$7:$N$106,7,FALSE),0)+
IFERROR(VLOOKUP(A79,'Centre WP1'!$A$7:$N$107,7,FALSE),0)+
IFERROR(VLOOKUP(A79,'Centre WR1'!$A$7:$N$106,7,FALSE),0)+
IFERROR(VLOOKUP(A79,'Centre WV1'!$A$7:$N$109,7,FALSE),0)</f>
        <v>0</v>
      </c>
      <c r="H79" s="10">
        <f>IFERROR(VLOOKUP(A79,'Centre DW1'!$A$7:$N$106,8,FALSE),0)+
IFERROR(VLOOKUP(A79,'Centre WP1'!$A$7:$N$107,8,FALSE),0)+
IFERROR(VLOOKUP(A79,'Centre WR1'!$A$7:$N$106,8,FALSE),0)+
IFERROR(VLOOKUP(A79,'Centre WV1'!$A$7:$N$109,8,FALSE),0)</f>
        <v>0</v>
      </c>
      <c r="I79" s="10">
        <f>IFERROR(VLOOKUP(A79,'Centre DW1'!$A$7:$N$106,9,FALSE),0)+
IFERROR(VLOOKUP(A79,'Centre WP1'!$A$7:$N$107,9,FALSE),0)+
IFERROR(VLOOKUP(A79,'Centre WR1'!$A$7:$N$106,9,FALSE),0)+
IFERROR(VLOOKUP(A79,'Centre WV1'!$A$7:$N$109,9,FALSE),0)</f>
        <v>0</v>
      </c>
      <c r="J79" s="32">
        <f>IFERROR(VLOOKUP(A79,'Centre DW1'!$A$7:$N$106,10,FALSE),0)+
IFERROR(VLOOKUP(A79,'Centre WP1'!$A$7:$N$107,10,FALSE),0)+
IFERROR(VLOOKUP(A79,'Centre WR1'!$A$7:$N$106,10,FALSE),0)+
IFERROR(VLOOKUP(A79,'Centre WV1'!$A$7:$N$109,10,FALSE),0)</f>
        <v>0</v>
      </c>
      <c r="K79" s="32">
        <f>IFERROR(VLOOKUP(A79,'Centre DW1'!$A$7:$N$106,11,FALSE),0)+
IFERROR(VLOOKUP(A79,'Centre WP1'!$A$7:$N$107,11,FALSE),0)+
IFERROR(VLOOKUP(A79,'Centre WR1'!$A$7:$N$106,11,FALSE),0)+
IFERROR(VLOOKUP(A79,'Centre WV1'!$A$7:$N$109,11,FALSE),0)</f>
        <v>0</v>
      </c>
      <c r="L79" s="32">
        <f>IFERROR(VLOOKUP(A79,'Centre DW1'!$A$7:$N$106,12,FALSE),0)+
IFERROR(VLOOKUP(A79,'Centre WP1'!$A$7:$N$107,12,FALSE),0)+
IFERROR(VLOOKUP(A79,'Centre WR1'!$A$7:$N$106,12,FALSE),0)+
IFERROR(VLOOKUP(A79,'Centre WV1'!$A$7:$N$109,12,FALSE),0)</f>
        <v>0</v>
      </c>
      <c r="M79" s="32">
        <f>IFERROR(VLOOKUP(A79,'Centre DW1'!$A$7:$N$106,13,FALSE),0)+
IFERROR(VLOOKUP(A79,'Centre WP1'!$A$7:$N$107,13,FALSE),0)+
IFERROR(VLOOKUP(A79,'Centre WR1'!$A$7:$N$106,13,FALSE),0)+
IFERROR(VLOOKUP(A79,'Centre WV1'!$A$7:$N$109,13,FALSE),0)</f>
        <v>0</v>
      </c>
      <c r="N79" s="32">
        <f>IFERROR(VLOOKUP(A79,'Centre DW1'!$A$7:$N$106,14,FALSE),0)+
IFERROR(VLOOKUP(A79,'Centre WP1'!$A$7:$N$107,14,FALSE),0)+
IFERROR(VLOOKUP(A79,'Centre WR1'!$A$7:$N$106,14,FALSE),0)+
IFERROR(VLOOKUP(A79,'Centre WV1'!$A$7:$N$109,14,FALSE),0)</f>
        <v>0</v>
      </c>
    </row>
    <row r="80" spans="1:14" outlineLevel="1" x14ac:dyDescent="0.2">
      <c r="A80" s="9" t="s">
        <v>163</v>
      </c>
      <c r="B80" s="1" t="s">
        <v>164</v>
      </c>
      <c r="C80" s="10">
        <f>IFERROR(VLOOKUP(A80,'Centre DW1'!$A$7:$N$106,3,FALSE),0)+
IFERROR(VLOOKUP(A80,'Centre WP1'!$A$7:$N$107,3,FALSE),0)+
IFERROR(VLOOKUP(A80,'Centre WR1'!$A$7:$N$106,3,FALSE),0)+
IFERROR(VLOOKUP(A80,'Centre WV1'!$A$7:$N$109,3,FALSE),0)</f>
        <v>0</v>
      </c>
      <c r="D80" s="10">
        <f>IFERROR(VLOOKUP(A80,'Centre DW1'!$A$7:$N$106,4,FALSE),0)+
IFERROR(VLOOKUP(A80,'Centre WP1'!$A$7:$N$107,4,FALSE),0)+
IFERROR(VLOOKUP(A80,'Centre WR1'!$A$7:$N$106,4,FALSE),0)+
IFERROR(VLOOKUP(A80,'Centre WV1'!$A$7:$N$109,4,FALSE),0)</f>
        <v>0</v>
      </c>
      <c r="E80" s="10">
        <f>IFERROR(VLOOKUP(A80,'Centre DW1'!$A$7:$N$106,5,FALSE),0)+
IFERROR(VLOOKUP(A80,'Centre WP1'!$A$7:$N$107,5,FALSE),0)+
IFERROR(VLOOKUP(A80,'Centre WR1'!$A$7:$N$106,5,FALSE),0)+
IFERROR(VLOOKUP(A80,'Centre WV1'!$A$7:$N$109,5,FALSE),0)</f>
        <v>0</v>
      </c>
      <c r="F80" s="10">
        <f>IFERROR(VLOOKUP(A80,'Centre DW1'!$A$7:$N$106,6,FALSE),0)+
IFERROR(VLOOKUP(A80,'Centre WP1'!$A$7:$N$107,6,FALSE),0)+
IFERROR(VLOOKUP(A80,'Centre WR1'!$A$7:$N$106,6,FALSE),0)+
IFERROR(VLOOKUP(A80,'Centre WV1'!$A$7:$N$109,6,FALSE),0)</f>
        <v>0</v>
      </c>
      <c r="G80" s="10">
        <f>IFERROR(VLOOKUP(A80,'Centre DW1'!$A$7:$N$106,7,FALSE),0)+
IFERROR(VLOOKUP(A80,'Centre WP1'!$A$7:$N$107,7,FALSE),0)+
IFERROR(VLOOKUP(A80,'Centre WR1'!$A$7:$N$106,7,FALSE),0)+
IFERROR(VLOOKUP(A80,'Centre WV1'!$A$7:$N$109,7,FALSE),0)</f>
        <v>0</v>
      </c>
      <c r="H80" s="10">
        <f>IFERROR(VLOOKUP(A80,'Centre DW1'!$A$7:$N$106,8,FALSE),0)+
IFERROR(VLOOKUP(A80,'Centre WP1'!$A$7:$N$107,8,FALSE),0)+
IFERROR(VLOOKUP(A80,'Centre WR1'!$A$7:$N$106,8,FALSE),0)+
IFERROR(VLOOKUP(A80,'Centre WV1'!$A$7:$N$109,8,FALSE),0)</f>
        <v>0</v>
      </c>
      <c r="I80" s="10">
        <f>IFERROR(VLOOKUP(A80,'Centre DW1'!$A$7:$N$106,9,FALSE),0)+
IFERROR(VLOOKUP(A80,'Centre WP1'!$A$7:$N$107,9,FALSE),0)+
IFERROR(VLOOKUP(A80,'Centre WR1'!$A$7:$N$106,9,FALSE),0)+
IFERROR(VLOOKUP(A80,'Centre WV1'!$A$7:$N$109,9,FALSE),0)</f>
        <v>0</v>
      </c>
      <c r="J80" s="32">
        <f>IFERROR(VLOOKUP(A80,'Centre DW1'!$A$7:$N$106,10,FALSE),0)+
IFERROR(VLOOKUP(A80,'Centre WP1'!$A$7:$N$107,10,FALSE),0)+
IFERROR(VLOOKUP(A80,'Centre WR1'!$A$7:$N$106,10,FALSE),0)+
IFERROR(VLOOKUP(A80,'Centre WV1'!$A$7:$N$109,10,FALSE),0)</f>
        <v>0</v>
      </c>
      <c r="K80" s="32">
        <f>IFERROR(VLOOKUP(A80,'Centre DW1'!$A$7:$N$106,11,FALSE),0)+
IFERROR(VLOOKUP(A80,'Centre WP1'!$A$7:$N$107,11,FALSE),0)+
IFERROR(VLOOKUP(A80,'Centre WR1'!$A$7:$N$106,11,FALSE),0)+
IFERROR(VLOOKUP(A80,'Centre WV1'!$A$7:$N$109,11,FALSE),0)</f>
        <v>0</v>
      </c>
      <c r="L80" s="32">
        <f>IFERROR(VLOOKUP(A80,'Centre DW1'!$A$7:$N$106,12,FALSE),0)+
IFERROR(VLOOKUP(A80,'Centre WP1'!$A$7:$N$107,12,FALSE),0)+
IFERROR(VLOOKUP(A80,'Centre WR1'!$A$7:$N$106,12,FALSE),0)+
IFERROR(VLOOKUP(A80,'Centre WV1'!$A$7:$N$109,12,FALSE),0)</f>
        <v>0</v>
      </c>
      <c r="M80" s="32">
        <f>IFERROR(VLOOKUP(A80,'Centre DW1'!$A$7:$N$106,13,FALSE),0)+
IFERROR(VLOOKUP(A80,'Centre WP1'!$A$7:$N$107,13,FALSE),0)+
IFERROR(VLOOKUP(A80,'Centre WR1'!$A$7:$N$106,13,FALSE),0)+
IFERROR(VLOOKUP(A80,'Centre WV1'!$A$7:$N$109,13,FALSE),0)</f>
        <v>0</v>
      </c>
      <c r="N80" s="32">
        <f>IFERROR(VLOOKUP(A80,'Centre DW1'!$A$7:$N$106,14,FALSE),0)+
IFERROR(VLOOKUP(A80,'Centre WP1'!$A$7:$N$107,14,FALSE),0)+
IFERROR(VLOOKUP(A80,'Centre WR1'!$A$7:$N$106,14,FALSE),0)+
IFERROR(VLOOKUP(A80,'Centre WV1'!$A$7:$N$109,14,FALSE),0)</f>
        <v>0</v>
      </c>
    </row>
    <row r="81" spans="1:14" x14ac:dyDescent="0.2">
      <c r="A81" s="41"/>
      <c r="B81" s="41" t="s">
        <v>165</v>
      </c>
      <c r="C81" s="42">
        <f>+C36+C54+C58+C62+C65+C67+C68+C69+C70+C77</f>
        <v>11.9</v>
      </c>
      <c r="D81" s="42">
        <f t="shared" ref="D81:N81" si="14">+D36+D54+D58+D62+D65+D67+D68+D69+D70+D77</f>
        <v>8.6</v>
      </c>
      <c r="E81" s="42">
        <f t="shared" si="14"/>
        <v>17.2</v>
      </c>
      <c r="F81" s="42">
        <f t="shared" si="14"/>
        <v>16.2</v>
      </c>
      <c r="G81" s="42">
        <f t="shared" si="14"/>
        <v>9.2000000000000011</v>
      </c>
      <c r="H81" s="42">
        <f t="shared" si="14"/>
        <v>8.1</v>
      </c>
      <c r="I81" s="42">
        <f t="shared" si="14"/>
        <v>11.599999999999998</v>
      </c>
      <c r="J81" s="42">
        <f t="shared" ca="1" si="14"/>
        <v>11.200000000000001</v>
      </c>
      <c r="K81" s="42">
        <f t="shared" ca="1" si="14"/>
        <v>34.200000000000003</v>
      </c>
      <c r="L81" s="42">
        <f t="shared" ca="1" si="14"/>
        <v>15.200000000000001</v>
      </c>
      <c r="M81" s="42">
        <f t="shared" ca="1" si="14"/>
        <v>7.8000000000000007</v>
      </c>
      <c r="N81" s="42">
        <f t="shared" ca="1" si="14"/>
        <v>6.6</v>
      </c>
    </row>
    <row r="82" spans="1:14" x14ac:dyDescent="0.2">
      <c r="A82" s="39"/>
      <c r="B82" s="39" t="s">
        <v>166</v>
      </c>
      <c r="C82" s="40">
        <f>+C34-C81</f>
        <v>46.699999999999996</v>
      </c>
      <c r="D82" s="40">
        <f t="shared" ref="D82:N82" si="15">+D34-D81</f>
        <v>89.654799999999994</v>
      </c>
      <c r="E82" s="40">
        <f t="shared" si="15"/>
        <v>60.445563839999991</v>
      </c>
      <c r="F82" s="40">
        <f t="shared" si="15"/>
        <v>58.085936675071991</v>
      </c>
      <c r="G82" s="40">
        <f t="shared" si="15"/>
        <v>49.790933091919243</v>
      </c>
      <c r="H82" s="40">
        <f t="shared" si="15"/>
        <v>89.977074547584735</v>
      </c>
      <c r="I82" s="40">
        <f t="shared" si="15"/>
        <v>80.162540601981263</v>
      </c>
      <c r="J82" s="40">
        <f t="shared" ca="1" si="15"/>
        <v>71.467335328660965</v>
      </c>
      <c r="K82" s="40">
        <f t="shared" ca="1" si="15"/>
        <v>52.813470427190012</v>
      </c>
      <c r="L82" s="40">
        <f t="shared" ca="1" si="15"/>
        <v>63.125166713390755</v>
      </c>
      <c r="M82" s="40">
        <f t="shared" ca="1" si="15"/>
        <v>107.02907583195454</v>
      </c>
      <c r="N82" s="40">
        <f t="shared" ca="1" si="15"/>
        <v>83.754524221054965</v>
      </c>
    </row>
    <row r="83" spans="1:14" x14ac:dyDescent="0.2">
      <c r="A83" s="33" t="s">
        <v>167</v>
      </c>
      <c r="B83" s="34" t="s">
        <v>168</v>
      </c>
      <c r="C83" s="37">
        <f>SUM(C84:C99)</f>
        <v>18.600000000000001</v>
      </c>
      <c r="D83" s="37">
        <f t="shared" ref="D83:N83" si="16">SUM(D84:D99)</f>
        <v>14.4</v>
      </c>
      <c r="E83" s="37">
        <f t="shared" si="16"/>
        <v>14.900000000000002</v>
      </c>
      <c r="F83" s="37">
        <f t="shared" si="16"/>
        <v>23.4</v>
      </c>
      <c r="G83" s="37">
        <f t="shared" si="16"/>
        <v>6.1</v>
      </c>
      <c r="H83" s="37">
        <f t="shared" si="16"/>
        <v>6.9</v>
      </c>
      <c r="I83" s="37">
        <f t="shared" si="16"/>
        <v>14.4</v>
      </c>
      <c r="J83" s="37">
        <f t="shared" si="16"/>
        <v>16.3</v>
      </c>
      <c r="K83" s="37">
        <f t="shared" si="16"/>
        <v>21.599999999999998</v>
      </c>
      <c r="L83" s="37">
        <f t="shared" si="16"/>
        <v>11.1</v>
      </c>
      <c r="M83" s="37">
        <f t="shared" si="16"/>
        <v>14.5</v>
      </c>
      <c r="N83" s="37">
        <f t="shared" si="16"/>
        <v>13.9</v>
      </c>
    </row>
    <row r="84" spans="1:14" outlineLevel="1" x14ac:dyDescent="0.2">
      <c r="A84" s="9" t="s">
        <v>169</v>
      </c>
      <c r="B84" s="1" t="s">
        <v>170</v>
      </c>
      <c r="C84" s="10">
        <f>IFERROR(VLOOKUP(A84,'Centre DW1'!$A$7:$N$106,3,FALSE),0)+
IFERROR(VLOOKUP(A84,'Centre WP1'!$A$7:$N$107,3,FALSE),0)+
IFERROR(VLOOKUP(A84,'Centre WR1'!$A$7:$N$106,3,FALSE),0)+
IFERROR(VLOOKUP(A84,'Centre WV1'!$A$7:$N$109,3,FALSE),0)</f>
        <v>0</v>
      </c>
      <c r="D84" s="10">
        <f>IFERROR(VLOOKUP(A84,'Centre DW1'!$A$7:$N$106,4,FALSE),0)+
IFERROR(VLOOKUP(A84,'Centre WP1'!$A$7:$N$107,4,FALSE),0)+
IFERROR(VLOOKUP(A84,'Centre WR1'!$A$7:$N$106,4,FALSE),0)+
IFERROR(VLOOKUP(A84,'Centre WV1'!$A$7:$N$109,4,FALSE),0)</f>
        <v>0</v>
      </c>
      <c r="E84" s="10">
        <f>IFERROR(VLOOKUP(A84,'Centre DW1'!$A$7:$N$106,5,FALSE),0)+
IFERROR(VLOOKUP(A84,'Centre WP1'!$A$7:$N$107,5,FALSE),0)+
IFERROR(VLOOKUP(A84,'Centre WR1'!$A$7:$N$106,5,FALSE),0)+
IFERROR(VLOOKUP(A84,'Centre WV1'!$A$7:$N$109,5,FALSE),0)</f>
        <v>0</v>
      </c>
      <c r="F84" s="10">
        <f>IFERROR(VLOOKUP(A84,'Centre DW1'!$A$7:$N$106,6,FALSE),0)+
IFERROR(VLOOKUP(A84,'Centre WP1'!$A$7:$N$107,6,FALSE),0)+
IFERROR(VLOOKUP(A84,'Centre WR1'!$A$7:$N$106,6,FALSE),0)+
IFERROR(VLOOKUP(A84,'Centre WV1'!$A$7:$N$109,6,FALSE),0)</f>
        <v>0</v>
      </c>
      <c r="G84" s="10">
        <f>IFERROR(VLOOKUP(A84,'Centre DW1'!$A$7:$N$106,7,FALSE),0)+
IFERROR(VLOOKUP(A84,'Centre WP1'!$A$7:$N$107,7,FALSE),0)+
IFERROR(VLOOKUP(A84,'Centre WR1'!$A$7:$N$106,7,FALSE),0)+
IFERROR(VLOOKUP(A84,'Centre WV1'!$A$7:$N$109,7,FALSE),0)</f>
        <v>0</v>
      </c>
      <c r="H84" s="10">
        <f>IFERROR(VLOOKUP(A84,'Centre DW1'!$A$7:$N$106,8,FALSE),0)+
IFERROR(VLOOKUP(A84,'Centre WP1'!$A$7:$N$107,8,FALSE),0)+
IFERROR(VLOOKUP(A84,'Centre WR1'!$A$7:$N$106,8,FALSE),0)+
IFERROR(VLOOKUP(A84,'Centre WV1'!$A$7:$N$109,8,FALSE),0)</f>
        <v>0</v>
      </c>
      <c r="I84" s="10">
        <f>IFERROR(VLOOKUP(A84,'Centre DW1'!$A$7:$N$106,9,FALSE),0)+
IFERROR(VLOOKUP(A84,'Centre WP1'!$A$7:$N$107,9,FALSE),0)+
IFERROR(VLOOKUP(A84,'Centre WR1'!$A$7:$N$106,9,FALSE),0)+
IFERROR(VLOOKUP(A84,'Centre WV1'!$A$7:$N$109,9,FALSE),0)</f>
        <v>0</v>
      </c>
      <c r="J84" s="32">
        <f>IFERROR(VLOOKUP(A84,'Centre DW1'!$A$7:$N$106,10,FALSE),0)+
IFERROR(VLOOKUP(A84,'Centre WP1'!$A$7:$N$107,10,FALSE),0)+
IFERROR(VLOOKUP(A84,'Centre WR1'!$A$7:$N$106,10,FALSE),0)+
IFERROR(VLOOKUP(A84,'Centre WV1'!$A$7:$N$109,10,FALSE),0)</f>
        <v>0</v>
      </c>
      <c r="K84" s="32">
        <f>IFERROR(VLOOKUP(A84,'Centre DW1'!$A$7:$N$106,11,FALSE),0)+
IFERROR(VLOOKUP(A84,'Centre WP1'!$A$7:$N$107,11,FALSE),0)+
IFERROR(VLOOKUP(A84,'Centre WR1'!$A$7:$N$106,11,FALSE),0)+
IFERROR(VLOOKUP(A84,'Centre WV1'!$A$7:$N$109,11,FALSE),0)</f>
        <v>0</v>
      </c>
      <c r="L84" s="32">
        <f>IFERROR(VLOOKUP(A84,'Centre DW1'!$A$7:$N$106,12,FALSE),0)+
IFERROR(VLOOKUP(A84,'Centre WP1'!$A$7:$N$107,12,FALSE),0)+
IFERROR(VLOOKUP(A84,'Centre WR1'!$A$7:$N$106,12,FALSE),0)+
IFERROR(VLOOKUP(A84,'Centre WV1'!$A$7:$N$109,12,FALSE),0)</f>
        <v>0</v>
      </c>
      <c r="M84" s="32">
        <f>IFERROR(VLOOKUP(A84,'Centre DW1'!$A$7:$N$106,13,FALSE),0)+
IFERROR(VLOOKUP(A84,'Centre WP1'!$A$7:$N$107,13,FALSE),0)+
IFERROR(VLOOKUP(A84,'Centre WR1'!$A$7:$N$106,13,FALSE),0)+
IFERROR(VLOOKUP(A84,'Centre WV1'!$A$7:$N$109,13,FALSE),0)</f>
        <v>0</v>
      </c>
      <c r="N84" s="32">
        <f>IFERROR(VLOOKUP(A84,'Centre DW1'!$A$7:$N$106,14,FALSE),0)+
IFERROR(VLOOKUP(A84,'Centre WP1'!$A$7:$N$107,14,FALSE),0)+
IFERROR(VLOOKUP(A84,'Centre WR1'!$A$7:$N$106,14,FALSE),0)+
IFERROR(VLOOKUP(A84,'Centre WV1'!$A$7:$N$109,14,FALSE),0)</f>
        <v>0</v>
      </c>
    </row>
    <row r="85" spans="1:14" outlineLevel="1" x14ac:dyDescent="0.2">
      <c r="A85" s="9" t="s">
        <v>171</v>
      </c>
      <c r="B85" s="1" t="s">
        <v>172</v>
      </c>
      <c r="C85" s="10">
        <f>IFERROR(VLOOKUP(A85,'Centre DW1'!$A$7:$N$106,3,FALSE),0)+
IFERROR(VLOOKUP(A85,'Centre WP1'!$A$7:$N$107,3,FALSE),0)+
IFERROR(VLOOKUP(A85,'Centre WR1'!$A$7:$N$106,3,FALSE),0)+
IFERROR(VLOOKUP(A85,'Centre WV1'!$A$7:$N$109,3,FALSE),0)</f>
        <v>3.9</v>
      </c>
      <c r="D85" s="10">
        <f>IFERROR(VLOOKUP(A85,'Centre DW1'!$A$7:$N$106,4,FALSE),0)+
IFERROR(VLOOKUP(A85,'Centre WP1'!$A$7:$N$107,4,FALSE),0)+
IFERROR(VLOOKUP(A85,'Centre WR1'!$A$7:$N$106,4,FALSE),0)+
IFERROR(VLOOKUP(A85,'Centre WV1'!$A$7:$N$109,4,FALSE),0)</f>
        <v>3</v>
      </c>
      <c r="E85" s="10">
        <f>IFERROR(VLOOKUP(A85,'Centre DW1'!$A$7:$N$106,5,FALSE),0)+
IFERROR(VLOOKUP(A85,'Centre WP1'!$A$7:$N$107,5,FALSE),0)+
IFERROR(VLOOKUP(A85,'Centre WR1'!$A$7:$N$106,5,FALSE),0)+
IFERROR(VLOOKUP(A85,'Centre WV1'!$A$7:$N$109,5,FALSE),0)</f>
        <v>2.6</v>
      </c>
      <c r="F85" s="10">
        <f>IFERROR(VLOOKUP(A85,'Centre DW1'!$A$7:$N$106,6,FALSE),0)+
IFERROR(VLOOKUP(A85,'Centre WP1'!$A$7:$N$107,6,FALSE),0)+
IFERROR(VLOOKUP(A85,'Centre WR1'!$A$7:$N$106,6,FALSE),0)+
IFERROR(VLOOKUP(A85,'Centre WV1'!$A$7:$N$109,6,FALSE),0)</f>
        <v>6.8</v>
      </c>
      <c r="G85" s="10">
        <f>IFERROR(VLOOKUP(A85,'Centre DW1'!$A$7:$N$106,7,FALSE),0)+
IFERROR(VLOOKUP(A85,'Centre WP1'!$A$7:$N$107,7,FALSE),0)+
IFERROR(VLOOKUP(A85,'Centre WR1'!$A$7:$N$106,7,FALSE),0)+
IFERROR(VLOOKUP(A85,'Centre WV1'!$A$7:$N$109,7,FALSE),0)</f>
        <v>1</v>
      </c>
      <c r="H85" s="10">
        <f>IFERROR(VLOOKUP(A85,'Centre DW1'!$A$7:$N$106,8,FALSE),0)+
IFERROR(VLOOKUP(A85,'Centre WP1'!$A$7:$N$107,8,FALSE),0)+
IFERROR(VLOOKUP(A85,'Centre WR1'!$A$7:$N$106,8,FALSE),0)+
IFERROR(VLOOKUP(A85,'Centre WV1'!$A$7:$N$109,8,FALSE),0)</f>
        <v>2</v>
      </c>
      <c r="I85" s="10">
        <f>IFERROR(VLOOKUP(A85,'Centre DW1'!$A$7:$N$106,9,FALSE),0)+
IFERROR(VLOOKUP(A85,'Centre WP1'!$A$7:$N$107,9,FALSE),0)+
IFERROR(VLOOKUP(A85,'Centre WR1'!$A$7:$N$106,9,FALSE),0)+
IFERROR(VLOOKUP(A85,'Centre WV1'!$A$7:$N$109,9,FALSE),0)</f>
        <v>3</v>
      </c>
      <c r="J85" s="32">
        <f>IFERROR(VLOOKUP(A85,'Centre DW1'!$A$7:$N$106,10,FALSE),0)+
IFERROR(VLOOKUP(A85,'Centre WP1'!$A$7:$N$107,10,FALSE),0)+
IFERROR(VLOOKUP(A85,'Centre WR1'!$A$7:$N$106,10,FALSE),0)+
IFERROR(VLOOKUP(A85,'Centre WV1'!$A$7:$N$109,10,FALSE),0)</f>
        <v>3.6</v>
      </c>
      <c r="K85" s="32">
        <f>IFERROR(VLOOKUP(A85,'Centre DW1'!$A$7:$N$106,11,FALSE),0)+
IFERROR(VLOOKUP(A85,'Centre WP1'!$A$7:$N$107,11,FALSE),0)+
IFERROR(VLOOKUP(A85,'Centre WR1'!$A$7:$N$106,11,FALSE),0)+
IFERROR(VLOOKUP(A85,'Centre WV1'!$A$7:$N$109,11,FALSE),0)</f>
        <v>7.8</v>
      </c>
      <c r="L85" s="32">
        <f>IFERROR(VLOOKUP(A85,'Centre DW1'!$A$7:$N$106,12,FALSE),0)+
IFERROR(VLOOKUP(A85,'Centre WP1'!$A$7:$N$107,12,FALSE),0)+
IFERROR(VLOOKUP(A85,'Centre WR1'!$A$7:$N$106,12,FALSE),0)+
IFERROR(VLOOKUP(A85,'Centre WV1'!$A$7:$N$109,12,FALSE),0)</f>
        <v>1</v>
      </c>
      <c r="M85" s="32">
        <f>IFERROR(VLOOKUP(A85,'Centre DW1'!$A$7:$N$106,13,FALSE),0)+
IFERROR(VLOOKUP(A85,'Centre WP1'!$A$7:$N$107,13,FALSE),0)+
IFERROR(VLOOKUP(A85,'Centre WR1'!$A$7:$N$106,13,FALSE),0)+
IFERROR(VLOOKUP(A85,'Centre WV1'!$A$7:$N$109,13,FALSE),0)</f>
        <v>1</v>
      </c>
      <c r="N85" s="32">
        <f>IFERROR(VLOOKUP(A85,'Centre DW1'!$A$7:$N$106,14,FALSE),0)+
IFERROR(VLOOKUP(A85,'Centre WP1'!$A$7:$N$107,14,FALSE),0)+
IFERROR(VLOOKUP(A85,'Centre WR1'!$A$7:$N$106,14,FALSE),0)+
IFERROR(VLOOKUP(A85,'Centre WV1'!$A$7:$N$109,14,FALSE),0)</f>
        <v>2</v>
      </c>
    </row>
    <row r="86" spans="1:14" outlineLevel="1" x14ac:dyDescent="0.2">
      <c r="A86" s="9" t="s">
        <v>173</v>
      </c>
      <c r="B86" s="1" t="s">
        <v>174</v>
      </c>
      <c r="C86" s="10">
        <f>IFERROR(VLOOKUP(A86,'Centre DW1'!$A$7:$N$106,3,FALSE),0)+
IFERROR(VLOOKUP(A86,'Centre WP1'!$A$7:$N$107,3,FALSE),0)+
IFERROR(VLOOKUP(A86,'Centre WR1'!$A$7:$N$106,3,FALSE),0)+
IFERROR(VLOOKUP(A86,'Centre WV1'!$A$7:$N$109,3,FALSE),0)</f>
        <v>5.9</v>
      </c>
      <c r="D86" s="10">
        <f>IFERROR(VLOOKUP(A86,'Centre DW1'!$A$7:$N$106,4,FALSE),0)+
IFERROR(VLOOKUP(A86,'Centre WP1'!$A$7:$N$107,4,FALSE),0)+
IFERROR(VLOOKUP(A86,'Centre WR1'!$A$7:$N$106,4,FALSE),0)+
IFERROR(VLOOKUP(A86,'Centre WV1'!$A$7:$N$109,4,FALSE),0)</f>
        <v>0.2</v>
      </c>
      <c r="E86" s="10">
        <f>IFERROR(VLOOKUP(A86,'Centre DW1'!$A$7:$N$106,5,FALSE),0)+
IFERROR(VLOOKUP(A86,'Centre WP1'!$A$7:$N$107,5,FALSE),0)+
IFERROR(VLOOKUP(A86,'Centre WR1'!$A$7:$N$106,5,FALSE),0)+
IFERROR(VLOOKUP(A86,'Centre WV1'!$A$7:$N$109,5,FALSE),0)</f>
        <v>1.8</v>
      </c>
      <c r="F86" s="10">
        <f>IFERROR(VLOOKUP(A86,'Centre DW1'!$A$7:$N$106,6,FALSE),0)+
IFERROR(VLOOKUP(A86,'Centre WP1'!$A$7:$N$107,6,FALSE),0)+
IFERROR(VLOOKUP(A86,'Centre WR1'!$A$7:$N$106,6,FALSE),0)+
IFERROR(VLOOKUP(A86,'Centre WV1'!$A$7:$N$109,6,FALSE),0)</f>
        <v>3.4</v>
      </c>
      <c r="G86" s="10">
        <f>IFERROR(VLOOKUP(A86,'Centre DW1'!$A$7:$N$106,7,FALSE),0)+
IFERROR(VLOOKUP(A86,'Centre WP1'!$A$7:$N$107,7,FALSE),0)+
IFERROR(VLOOKUP(A86,'Centre WR1'!$A$7:$N$106,7,FALSE),0)+
IFERROR(VLOOKUP(A86,'Centre WV1'!$A$7:$N$109,7,FALSE),0)</f>
        <v>0</v>
      </c>
      <c r="H86" s="10">
        <f>IFERROR(VLOOKUP(A86,'Centre DW1'!$A$7:$N$106,8,FALSE),0)+
IFERROR(VLOOKUP(A86,'Centre WP1'!$A$7:$N$107,8,FALSE),0)+
IFERROR(VLOOKUP(A86,'Centre WR1'!$A$7:$N$106,8,FALSE),0)+
IFERROR(VLOOKUP(A86,'Centre WV1'!$A$7:$N$109,8,FALSE),0)</f>
        <v>0</v>
      </c>
      <c r="I86" s="10">
        <f>IFERROR(VLOOKUP(A86,'Centre DW1'!$A$7:$N$106,9,FALSE),0)+
IFERROR(VLOOKUP(A86,'Centre WP1'!$A$7:$N$107,9,FALSE),0)+
IFERROR(VLOOKUP(A86,'Centre WR1'!$A$7:$N$106,9,FALSE),0)+
IFERROR(VLOOKUP(A86,'Centre WV1'!$A$7:$N$109,9,FALSE),0)</f>
        <v>0.2</v>
      </c>
      <c r="J86" s="32">
        <f>IFERROR(VLOOKUP(A86,'Centre DW1'!$A$7:$N$106,10,FALSE),0)+
IFERROR(VLOOKUP(A86,'Centre WP1'!$A$7:$N$107,10,FALSE),0)+
IFERROR(VLOOKUP(A86,'Centre WR1'!$A$7:$N$106,10,FALSE),0)+
IFERROR(VLOOKUP(A86,'Centre WV1'!$A$7:$N$109,10,FALSE),0)</f>
        <v>1.8</v>
      </c>
      <c r="K86" s="32">
        <f>IFERROR(VLOOKUP(A86,'Centre DW1'!$A$7:$N$106,11,FALSE),0)+
IFERROR(VLOOKUP(A86,'Centre WP1'!$A$7:$N$107,11,FALSE),0)+
IFERROR(VLOOKUP(A86,'Centre WR1'!$A$7:$N$106,11,FALSE),0)+
IFERROR(VLOOKUP(A86,'Centre WV1'!$A$7:$N$109,11,FALSE),0)</f>
        <v>3.4</v>
      </c>
      <c r="L86" s="32">
        <f>IFERROR(VLOOKUP(A86,'Centre DW1'!$A$7:$N$106,12,FALSE),0)+
IFERROR(VLOOKUP(A86,'Centre WP1'!$A$7:$N$107,12,FALSE),0)+
IFERROR(VLOOKUP(A86,'Centre WR1'!$A$7:$N$106,12,FALSE),0)+
IFERROR(VLOOKUP(A86,'Centre WV1'!$A$7:$N$109,12,FALSE),0)</f>
        <v>0</v>
      </c>
      <c r="M86" s="32">
        <f>IFERROR(VLOOKUP(A86,'Centre DW1'!$A$7:$N$106,13,FALSE),0)+
IFERROR(VLOOKUP(A86,'Centre WP1'!$A$7:$N$107,13,FALSE),0)+
IFERROR(VLOOKUP(A86,'Centre WR1'!$A$7:$N$106,13,FALSE),0)+
IFERROR(VLOOKUP(A86,'Centre WV1'!$A$7:$N$109,13,FALSE),0)</f>
        <v>0</v>
      </c>
      <c r="N86" s="32">
        <f>IFERROR(VLOOKUP(A86,'Centre DW1'!$A$7:$N$106,14,FALSE),0)+
IFERROR(VLOOKUP(A86,'Centre WP1'!$A$7:$N$107,14,FALSE),0)+
IFERROR(VLOOKUP(A86,'Centre WR1'!$A$7:$N$106,14,FALSE),0)+
IFERROR(VLOOKUP(A86,'Centre WV1'!$A$7:$N$109,14,FALSE),0)</f>
        <v>0</v>
      </c>
    </row>
    <row r="87" spans="1:14" outlineLevel="1" x14ac:dyDescent="0.2">
      <c r="A87" s="9" t="s">
        <v>175</v>
      </c>
      <c r="B87" s="1" t="s">
        <v>176</v>
      </c>
      <c r="C87" s="10">
        <f>IFERROR(VLOOKUP(A87,'Centre DW1'!$A$7:$N$106,3,FALSE),0)+
IFERROR(VLOOKUP(A87,'Centre WP1'!$A$7:$N$107,3,FALSE),0)+
IFERROR(VLOOKUP(A87,'Centre WR1'!$A$7:$N$106,3,FALSE),0)+
IFERROR(VLOOKUP(A87,'Centre WV1'!$A$7:$N$109,3,FALSE),0)</f>
        <v>4.0999999999999996</v>
      </c>
      <c r="D87" s="10">
        <f>IFERROR(VLOOKUP(A87,'Centre DW1'!$A$7:$N$106,4,FALSE),0)+
IFERROR(VLOOKUP(A87,'Centre WP1'!$A$7:$N$107,4,FALSE),0)+
IFERROR(VLOOKUP(A87,'Centre WR1'!$A$7:$N$106,4,FALSE),0)+
IFERROR(VLOOKUP(A87,'Centre WV1'!$A$7:$N$109,4,FALSE),0)</f>
        <v>5.2</v>
      </c>
      <c r="E87" s="10">
        <f>IFERROR(VLOOKUP(A87,'Centre DW1'!$A$7:$N$106,5,FALSE),0)+
IFERROR(VLOOKUP(A87,'Centre WP1'!$A$7:$N$107,5,FALSE),0)+
IFERROR(VLOOKUP(A87,'Centre WR1'!$A$7:$N$106,5,FALSE),0)+
IFERROR(VLOOKUP(A87,'Centre WV1'!$A$7:$N$109,5,FALSE),0)</f>
        <v>5.6</v>
      </c>
      <c r="F87" s="10">
        <f>IFERROR(VLOOKUP(A87,'Centre DW1'!$A$7:$N$106,6,FALSE),0)+
IFERROR(VLOOKUP(A87,'Centre WP1'!$A$7:$N$107,6,FALSE),0)+
IFERROR(VLOOKUP(A87,'Centre WR1'!$A$7:$N$106,6,FALSE),0)+
IFERROR(VLOOKUP(A87,'Centre WV1'!$A$7:$N$109,6,FALSE),0)</f>
        <v>7.8</v>
      </c>
      <c r="G87" s="10">
        <f>IFERROR(VLOOKUP(A87,'Centre DW1'!$A$7:$N$106,7,FALSE),0)+
IFERROR(VLOOKUP(A87,'Centre WP1'!$A$7:$N$107,7,FALSE),0)+
IFERROR(VLOOKUP(A87,'Centre WR1'!$A$7:$N$106,7,FALSE),0)+
IFERROR(VLOOKUP(A87,'Centre WV1'!$A$7:$N$109,7,FALSE),0)</f>
        <v>0</v>
      </c>
      <c r="H87" s="10">
        <f>IFERROR(VLOOKUP(A87,'Centre DW1'!$A$7:$N$106,8,FALSE),0)+
IFERROR(VLOOKUP(A87,'Centre WP1'!$A$7:$N$107,8,FALSE),0)+
IFERROR(VLOOKUP(A87,'Centre WR1'!$A$7:$N$106,8,FALSE),0)+
IFERROR(VLOOKUP(A87,'Centre WV1'!$A$7:$N$109,8,FALSE),0)</f>
        <v>0</v>
      </c>
      <c r="I87" s="10">
        <f>IFERROR(VLOOKUP(A87,'Centre DW1'!$A$7:$N$106,9,FALSE),0)+
IFERROR(VLOOKUP(A87,'Centre WP1'!$A$7:$N$107,9,FALSE),0)+
IFERROR(VLOOKUP(A87,'Centre WR1'!$A$7:$N$106,9,FALSE),0)+
IFERROR(VLOOKUP(A87,'Centre WV1'!$A$7:$N$109,9,FALSE),0)</f>
        <v>5.2</v>
      </c>
      <c r="J87" s="32">
        <f>IFERROR(VLOOKUP(A87,'Centre DW1'!$A$7:$N$106,10,FALSE),0)+
IFERROR(VLOOKUP(A87,'Centre WP1'!$A$7:$N$107,10,FALSE),0)+
IFERROR(VLOOKUP(A87,'Centre WR1'!$A$7:$N$106,10,FALSE),0)+
IFERROR(VLOOKUP(A87,'Centre WV1'!$A$7:$N$109,10,FALSE),0)</f>
        <v>6</v>
      </c>
      <c r="K87" s="32">
        <f>IFERROR(VLOOKUP(A87,'Centre DW1'!$A$7:$N$106,11,FALSE),0)+
IFERROR(VLOOKUP(A87,'Centre WP1'!$A$7:$N$107,11,FALSE),0)+
IFERROR(VLOOKUP(A87,'Centre WR1'!$A$7:$N$106,11,FALSE),0)+
IFERROR(VLOOKUP(A87,'Centre WV1'!$A$7:$N$109,11,FALSE),0)</f>
        <v>5</v>
      </c>
      <c r="L87" s="32">
        <f>IFERROR(VLOOKUP(A87,'Centre DW1'!$A$7:$N$106,12,FALSE),0)+
IFERROR(VLOOKUP(A87,'Centre WP1'!$A$7:$N$107,12,FALSE),0)+
IFERROR(VLOOKUP(A87,'Centre WR1'!$A$7:$N$106,12,FALSE),0)+
IFERROR(VLOOKUP(A87,'Centre WV1'!$A$7:$N$109,12,FALSE),0)</f>
        <v>5</v>
      </c>
      <c r="M87" s="32">
        <f>IFERROR(VLOOKUP(A87,'Centre DW1'!$A$7:$N$106,13,FALSE),0)+
IFERROR(VLOOKUP(A87,'Centre WP1'!$A$7:$N$107,13,FALSE),0)+
IFERROR(VLOOKUP(A87,'Centre WR1'!$A$7:$N$106,13,FALSE),0)+
IFERROR(VLOOKUP(A87,'Centre WV1'!$A$7:$N$109,13,FALSE),0)</f>
        <v>8</v>
      </c>
      <c r="N87" s="32">
        <f>IFERROR(VLOOKUP(A87,'Centre DW1'!$A$7:$N$106,14,FALSE),0)+
IFERROR(VLOOKUP(A87,'Centre WP1'!$A$7:$N$107,14,FALSE),0)+
IFERROR(VLOOKUP(A87,'Centre WR1'!$A$7:$N$106,14,FALSE),0)+
IFERROR(VLOOKUP(A87,'Centre WV1'!$A$7:$N$109,14,FALSE),0)</f>
        <v>7</v>
      </c>
    </row>
    <row r="88" spans="1:14" outlineLevel="1" x14ac:dyDescent="0.2">
      <c r="A88" s="9" t="s">
        <v>177</v>
      </c>
      <c r="B88" s="1" t="s">
        <v>178</v>
      </c>
      <c r="C88" s="10">
        <f>IFERROR(VLOOKUP(A88,'Centre DW1'!$A$7:$N$106,3,FALSE),0)+
IFERROR(VLOOKUP(A88,'Centre WP1'!$A$7:$N$107,3,FALSE),0)+
IFERROR(VLOOKUP(A88,'Centre WR1'!$A$7:$N$106,3,FALSE),0)+
IFERROR(VLOOKUP(A88,'Centre WV1'!$A$7:$N$109,3,FALSE),0)</f>
        <v>0.5</v>
      </c>
      <c r="D88" s="10">
        <f>IFERROR(VLOOKUP(A88,'Centre DW1'!$A$7:$N$106,4,FALSE),0)+
IFERROR(VLOOKUP(A88,'Centre WP1'!$A$7:$N$107,4,FALSE),0)+
IFERROR(VLOOKUP(A88,'Centre WR1'!$A$7:$N$106,4,FALSE),0)+
IFERROR(VLOOKUP(A88,'Centre WV1'!$A$7:$N$109,4,FALSE),0)</f>
        <v>0.5</v>
      </c>
      <c r="E88" s="10">
        <f>IFERROR(VLOOKUP(A88,'Centre DW1'!$A$7:$N$106,5,FALSE),0)+
IFERROR(VLOOKUP(A88,'Centre WP1'!$A$7:$N$107,5,FALSE),0)+
IFERROR(VLOOKUP(A88,'Centre WR1'!$A$7:$N$106,5,FALSE),0)+
IFERROR(VLOOKUP(A88,'Centre WV1'!$A$7:$N$109,5,FALSE),0)</f>
        <v>0.5</v>
      </c>
      <c r="F88" s="10">
        <f>IFERROR(VLOOKUP(A88,'Centre DW1'!$A$7:$N$106,6,FALSE),0)+
IFERROR(VLOOKUP(A88,'Centre WP1'!$A$7:$N$107,6,FALSE),0)+
IFERROR(VLOOKUP(A88,'Centre WR1'!$A$7:$N$106,6,FALSE),0)+
IFERROR(VLOOKUP(A88,'Centre WV1'!$A$7:$N$109,6,FALSE),0)</f>
        <v>0.6</v>
      </c>
      <c r="G88" s="10">
        <f>IFERROR(VLOOKUP(A88,'Centre DW1'!$A$7:$N$106,7,FALSE),0)+
IFERROR(VLOOKUP(A88,'Centre WP1'!$A$7:$N$107,7,FALSE),0)+
IFERROR(VLOOKUP(A88,'Centre WR1'!$A$7:$N$106,7,FALSE),0)+
IFERROR(VLOOKUP(A88,'Centre WV1'!$A$7:$N$109,7,FALSE),0)</f>
        <v>0</v>
      </c>
      <c r="H88" s="10">
        <f>IFERROR(VLOOKUP(A88,'Centre DW1'!$A$7:$N$106,8,FALSE),0)+
IFERROR(VLOOKUP(A88,'Centre WP1'!$A$7:$N$107,8,FALSE),0)+
IFERROR(VLOOKUP(A88,'Centre WR1'!$A$7:$N$106,8,FALSE),0)+
IFERROR(VLOOKUP(A88,'Centre WV1'!$A$7:$N$109,8,FALSE),0)</f>
        <v>0</v>
      </c>
      <c r="I88" s="10">
        <f>IFERROR(VLOOKUP(A88,'Centre DW1'!$A$7:$N$106,9,FALSE),0)+
IFERROR(VLOOKUP(A88,'Centre WP1'!$A$7:$N$107,9,FALSE),0)+
IFERROR(VLOOKUP(A88,'Centre WR1'!$A$7:$N$106,9,FALSE),0)+
IFERROR(VLOOKUP(A88,'Centre WV1'!$A$7:$N$109,9,FALSE),0)</f>
        <v>0.5</v>
      </c>
      <c r="J88" s="32">
        <f>IFERROR(VLOOKUP(A88,'Centre DW1'!$A$7:$N$106,10,FALSE),0)+
IFERROR(VLOOKUP(A88,'Centre WP1'!$A$7:$N$107,10,FALSE),0)+
IFERROR(VLOOKUP(A88,'Centre WR1'!$A$7:$N$106,10,FALSE),0)+
IFERROR(VLOOKUP(A88,'Centre WV1'!$A$7:$N$109,10,FALSE),0)</f>
        <v>0.5</v>
      </c>
      <c r="K88" s="32">
        <f>IFERROR(VLOOKUP(A88,'Centre DW1'!$A$7:$N$106,11,FALSE),0)+
IFERROR(VLOOKUP(A88,'Centre WP1'!$A$7:$N$107,11,FALSE),0)+
IFERROR(VLOOKUP(A88,'Centre WR1'!$A$7:$N$106,11,FALSE),0)+
IFERROR(VLOOKUP(A88,'Centre WV1'!$A$7:$N$109,11,FALSE),0)</f>
        <v>0.6</v>
      </c>
      <c r="L88" s="32">
        <f>IFERROR(VLOOKUP(A88,'Centre DW1'!$A$7:$N$106,12,FALSE),0)+
IFERROR(VLOOKUP(A88,'Centre WP1'!$A$7:$N$107,12,FALSE),0)+
IFERROR(VLOOKUP(A88,'Centre WR1'!$A$7:$N$106,12,FALSE),0)+
IFERROR(VLOOKUP(A88,'Centre WV1'!$A$7:$N$109,12,FALSE),0)</f>
        <v>0</v>
      </c>
      <c r="M88" s="32">
        <f>IFERROR(VLOOKUP(A88,'Centre DW1'!$A$7:$N$106,13,FALSE),0)+
IFERROR(VLOOKUP(A88,'Centre WP1'!$A$7:$N$107,13,FALSE),0)+
IFERROR(VLOOKUP(A88,'Centre WR1'!$A$7:$N$106,13,FALSE),0)+
IFERROR(VLOOKUP(A88,'Centre WV1'!$A$7:$N$109,13,FALSE),0)</f>
        <v>0.6</v>
      </c>
      <c r="N88" s="32">
        <f>IFERROR(VLOOKUP(A88,'Centre DW1'!$A$7:$N$106,14,FALSE),0)+
IFERROR(VLOOKUP(A88,'Centre WP1'!$A$7:$N$107,14,FALSE),0)+
IFERROR(VLOOKUP(A88,'Centre WR1'!$A$7:$N$106,14,FALSE),0)+
IFERROR(VLOOKUP(A88,'Centre WV1'!$A$7:$N$109,14,FALSE),0)</f>
        <v>0</v>
      </c>
    </row>
    <row r="89" spans="1:14" outlineLevel="1" x14ac:dyDescent="0.2">
      <c r="A89" s="9" t="s">
        <v>179</v>
      </c>
      <c r="B89" s="1" t="s">
        <v>180</v>
      </c>
      <c r="C89" s="10">
        <f>IFERROR(VLOOKUP(A89,'Centre DW1'!$A$7:$N$106,3,FALSE),0)+
IFERROR(VLOOKUP(A89,'Centre WP1'!$A$7:$N$107,3,FALSE),0)+
IFERROR(VLOOKUP(A89,'Centre WR1'!$A$7:$N$106,3,FALSE),0)+
IFERROR(VLOOKUP(A89,'Centre WV1'!$A$7:$N$109,3,FALSE),0)</f>
        <v>0</v>
      </c>
      <c r="D89" s="10">
        <f>IFERROR(VLOOKUP(A89,'Centre DW1'!$A$7:$N$106,4,FALSE),0)+
IFERROR(VLOOKUP(A89,'Centre WP1'!$A$7:$N$107,4,FALSE),0)+
IFERROR(VLOOKUP(A89,'Centre WR1'!$A$7:$N$106,4,FALSE),0)+
IFERROR(VLOOKUP(A89,'Centre WV1'!$A$7:$N$109,4,FALSE),0)</f>
        <v>0</v>
      </c>
      <c r="E89" s="10">
        <f>IFERROR(VLOOKUP(A89,'Centre DW1'!$A$7:$N$106,5,FALSE),0)+
IFERROR(VLOOKUP(A89,'Centre WP1'!$A$7:$N$107,5,FALSE),0)+
IFERROR(VLOOKUP(A89,'Centre WR1'!$A$7:$N$106,5,FALSE),0)+
IFERROR(VLOOKUP(A89,'Centre WV1'!$A$7:$N$109,5,FALSE),0)</f>
        <v>0</v>
      </c>
      <c r="F89" s="10">
        <f>IFERROR(VLOOKUP(A89,'Centre DW1'!$A$7:$N$106,6,FALSE),0)+
IFERROR(VLOOKUP(A89,'Centre WP1'!$A$7:$N$107,6,FALSE),0)+
IFERROR(VLOOKUP(A89,'Centre WR1'!$A$7:$N$106,6,FALSE),0)+
IFERROR(VLOOKUP(A89,'Centre WV1'!$A$7:$N$109,6,FALSE),0)</f>
        <v>0</v>
      </c>
      <c r="G89" s="10">
        <f>IFERROR(VLOOKUP(A89,'Centre DW1'!$A$7:$N$106,7,FALSE),0)+
IFERROR(VLOOKUP(A89,'Centre WP1'!$A$7:$N$107,7,FALSE),0)+
IFERROR(VLOOKUP(A89,'Centre WR1'!$A$7:$N$106,7,FALSE),0)+
IFERROR(VLOOKUP(A89,'Centre WV1'!$A$7:$N$109,7,FALSE),0)</f>
        <v>0</v>
      </c>
      <c r="H89" s="10">
        <f>IFERROR(VLOOKUP(A89,'Centre DW1'!$A$7:$N$106,8,FALSE),0)+
IFERROR(VLOOKUP(A89,'Centre WP1'!$A$7:$N$107,8,FALSE),0)+
IFERROR(VLOOKUP(A89,'Centre WR1'!$A$7:$N$106,8,FALSE),0)+
IFERROR(VLOOKUP(A89,'Centre WV1'!$A$7:$N$109,8,FALSE),0)</f>
        <v>0</v>
      </c>
      <c r="I89" s="10">
        <f>IFERROR(VLOOKUP(A89,'Centre DW1'!$A$7:$N$106,9,FALSE),0)+
IFERROR(VLOOKUP(A89,'Centre WP1'!$A$7:$N$107,9,FALSE),0)+
IFERROR(VLOOKUP(A89,'Centre WR1'!$A$7:$N$106,9,FALSE),0)+
IFERROR(VLOOKUP(A89,'Centre WV1'!$A$7:$N$109,9,FALSE),0)</f>
        <v>0</v>
      </c>
      <c r="J89" s="32">
        <f>IFERROR(VLOOKUP(A89,'Centre DW1'!$A$7:$N$106,10,FALSE),0)+
IFERROR(VLOOKUP(A89,'Centre WP1'!$A$7:$N$107,10,FALSE),0)+
IFERROR(VLOOKUP(A89,'Centre WR1'!$A$7:$N$106,10,FALSE),0)+
IFERROR(VLOOKUP(A89,'Centre WV1'!$A$7:$N$109,10,FALSE),0)</f>
        <v>0</v>
      </c>
      <c r="K89" s="32">
        <f>IFERROR(VLOOKUP(A89,'Centre DW1'!$A$7:$N$106,11,FALSE),0)+
IFERROR(VLOOKUP(A89,'Centre WP1'!$A$7:$N$107,11,FALSE),0)+
IFERROR(VLOOKUP(A89,'Centre WR1'!$A$7:$N$106,11,FALSE),0)+
IFERROR(VLOOKUP(A89,'Centre WV1'!$A$7:$N$109,11,FALSE),0)</f>
        <v>0</v>
      </c>
      <c r="L89" s="32">
        <f>IFERROR(VLOOKUP(A89,'Centre DW1'!$A$7:$N$106,12,FALSE),0)+
IFERROR(VLOOKUP(A89,'Centre WP1'!$A$7:$N$107,12,FALSE),0)+
IFERROR(VLOOKUP(A89,'Centre WR1'!$A$7:$N$106,12,FALSE),0)+
IFERROR(VLOOKUP(A89,'Centre WV1'!$A$7:$N$109,12,FALSE),0)</f>
        <v>0</v>
      </c>
      <c r="M89" s="32">
        <f>IFERROR(VLOOKUP(A89,'Centre DW1'!$A$7:$N$106,13,FALSE),0)+
IFERROR(VLOOKUP(A89,'Centre WP1'!$A$7:$N$107,13,FALSE),0)+
IFERROR(VLOOKUP(A89,'Centre WR1'!$A$7:$N$106,13,FALSE),0)+
IFERROR(VLOOKUP(A89,'Centre WV1'!$A$7:$N$109,13,FALSE),0)</f>
        <v>0</v>
      </c>
      <c r="N89" s="32">
        <f>IFERROR(VLOOKUP(A89,'Centre DW1'!$A$7:$N$106,14,FALSE),0)+
IFERROR(VLOOKUP(A89,'Centre WP1'!$A$7:$N$107,14,FALSE),0)+
IFERROR(VLOOKUP(A89,'Centre WR1'!$A$7:$N$106,14,FALSE),0)+
IFERROR(VLOOKUP(A89,'Centre WV1'!$A$7:$N$109,14,FALSE),0)</f>
        <v>0</v>
      </c>
    </row>
    <row r="90" spans="1:14" outlineLevel="1" x14ac:dyDescent="0.2">
      <c r="A90" s="9" t="s">
        <v>181</v>
      </c>
      <c r="B90" s="1" t="s">
        <v>182</v>
      </c>
      <c r="C90" s="10">
        <f>IFERROR(VLOOKUP(A90,'Centre DW1'!$A$7:$N$106,3,FALSE),0)+
IFERROR(VLOOKUP(A90,'Centre WP1'!$A$7:$N$107,3,FALSE),0)+
IFERROR(VLOOKUP(A90,'Centre WR1'!$A$7:$N$106,3,FALSE),0)+
IFERROR(VLOOKUP(A90,'Centre WV1'!$A$7:$N$109,3,FALSE),0)</f>
        <v>2.4</v>
      </c>
      <c r="D90" s="10">
        <f>IFERROR(VLOOKUP(A90,'Centre DW1'!$A$7:$N$106,4,FALSE),0)+
IFERROR(VLOOKUP(A90,'Centre WP1'!$A$7:$N$107,4,FALSE),0)+
IFERROR(VLOOKUP(A90,'Centre WR1'!$A$7:$N$106,4,FALSE),0)+
IFERROR(VLOOKUP(A90,'Centre WV1'!$A$7:$N$109,4,FALSE),0)</f>
        <v>2.9</v>
      </c>
      <c r="E90" s="10">
        <f>IFERROR(VLOOKUP(A90,'Centre DW1'!$A$7:$N$106,5,FALSE),0)+
IFERROR(VLOOKUP(A90,'Centre WP1'!$A$7:$N$107,5,FALSE),0)+
IFERROR(VLOOKUP(A90,'Centre WR1'!$A$7:$N$106,5,FALSE),0)+
IFERROR(VLOOKUP(A90,'Centre WV1'!$A$7:$N$109,5,FALSE),0)</f>
        <v>1.8</v>
      </c>
      <c r="F90" s="10">
        <f>IFERROR(VLOOKUP(A90,'Centre DW1'!$A$7:$N$106,6,FALSE),0)+
IFERROR(VLOOKUP(A90,'Centre WP1'!$A$7:$N$107,6,FALSE),0)+
IFERROR(VLOOKUP(A90,'Centre WR1'!$A$7:$N$106,6,FALSE),0)+
IFERROR(VLOOKUP(A90,'Centre WV1'!$A$7:$N$109,6,FALSE),0)</f>
        <v>1.4</v>
      </c>
      <c r="G90" s="10">
        <f>IFERROR(VLOOKUP(A90,'Centre DW1'!$A$7:$N$106,7,FALSE),0)+
IFERROR(VLOOKUP(A90,'Centre WP1'!$A$7:$N$107,7,FALSE),0)+
IFERROR(VLOOKUP(A90,'Centre WR1'!$A$7:$N$106,7,FALSE),0)+
IFERROR(VLOOKUP(A90,'Centre WV1'!$A$7:$N$109,7,FALSE),0)</f>
        <v>1.7</v>
      </c>
      <c r="H90" s="10">
        <f>IFERROR(VLOOKUP(A90,'Centre DW1'!$A$7:$N$106,8,FALSE),0)+
IFERROR(VLOOKUP(A90,'Centre WP1'!$A$7:$N$107,8,FALSE),0)+
IFERROR(VLOOKUP(A90,'Centre WR1'!$A$7:$N$106,8,FALSE),0)+
IFERROR(VLOOKUP(A90,'Centre WV1'!$A$7:$N$109,8,FALSE),0)</f>
        <v>1.6</v>
      </c>
      <c r="I90" s="10">
        <f>IFERROR(VLOOKUP(A90,'Centre DW1'!$A$7:$N$106,9,FALSE),0)+
IFERROR(VLOOKUP(A90,'Centre WP1'!$A$7:$N$107,9,FALSE),0)+
IFERROR(VLOOKUP(A90,'Centre WR1'!$A$7:$N$106,9,FALSE),0)+
IFERROR(VLOOKUP(A90,'Centre WV1'!$A$7:$N$109,9,FALSE),0)</f>
        <v>2.9</v>
      </c>
      <c r="J90" s="32">
        <f>IFERROR(VLOOKUP(A90,'Centre DW1'!$A$7:$N$106,10,FALSE),0)+
IFERROR(VLOOKUP(A90,'Centre WP1'!$A$7:$N$107,10,FALSE),0)+
IFERROR(VLOOKUP(A90,'Centre WR1'!$A$7:$N$106,10,FALSE),0)+
IFERROR(VLOOKUP(A90,'Centre WV1'!$A$7:$N$109,10,FALSE),0)</f>
        <v>1.8</v>
      </c>
      <c r="K90" s="32">
        <f>IFERROR(VLOOKUP(A90,'Centre DW1'!$A$7:$N$106,11,FALSE),0)+
IFERROR(VLOOKUP(A90,'Centre WP1'!$A$7:$N$107,11,FALSE),0)+
IFERROR(VLOOKUP(A90,'Centre WR1'!$A$7:$N$106,11,FALSE),0)+
IFERROR(VLOOKUP(A90,'Centre WV1'!$A$7:$N$109,11,FALSE),0)</f>
        <v>1.4</v>
      </c>
      <c r="L90" s="32">
        <f>IFERROR(VLOOKUP(A90,'Centre DW1'!$A$7:$N$106,12,FALSE),0)+
IFERROR(VLOOKUP(A90,'Centre WP1'!$A$7:$N$107,12,FALSE),0)+
IFERROR(VLOOKUP(A90,'Centre WR1'!$A$7:$N$106,12,FALSE),0)+
IFERROR(VLOOKUP(A90,'Centre WV1'!$A$7:$N$109,12,FALSE),0)</f>
        <v>1.7</v>
      </c>
      <c r="M90" s="32">
        <f>IFERROR(VLOOKUP(A90,'Centre DW1'!$A$7:$N$106,13,FALSE),0)+
IFERROR(VLOOKUP(A90,'Centre WP1'!$A$7:$N$107,13,FALSE),0)+
IFERROR(VLOOKUP(A90,'Centre WR1'!$A$7:$N$106,13,FALSE),0)+
IFERROR(VLOOKUP(A90,'Centre WV1'!$A$7:$N$109,13,FALSE),0)</f>
        <v>1.6</v>
      </c>
      <c r="N90" s="32">
        <f>IFERROR(VLOOKUP(A90,'Centre DW1'!$A$7:$N$106,14,FALSE),0)+
IFERROR(VLOOKUP(A90,'Centre WP1'!$A$7:$N$107,14,FALSE),0)+
IFERROR(VLOOKUP(A90,'Centre WR1'!$A$7:$N$106,14,FALSE),0)+
IFERROR(VLOOKUP(A90,'Centre WV1'!$A$7:$N$109,14,FALSE),0)</f>
        <v>1.6</v>
      </c>
    </row>
    <row r="91" spans="1:14" outlineLevel="1" x14ac:dyDescent="0.2">
      <c r="A91" s="9" t="s">
        <v>183</v>
      </c>
      <c r="B91" s="1" t="s">
        <v>184</v>
      </c>
      <c r="C91" s="10">
        <f>IFERROR(VLOOKUP(A91,'Centre DW1'!$A$7:$N$106,3,FALSE),0)+
IFERROR(VLOOKUP(A91,'Centre WP1'!$A$7:$N$107,3,FALSE),0)+
IFERROR(VLOOKUP(A91,'Centre WR1'!$A$7:$N$106,3,FALSE),0)+
IFERROR(VLOOKUP(A91,'Centre WV1'!$A$7:$N$109,3,FALSE),0)</f>
        <v>0</v>
      </c>
      <c r="D91" s="10">
        <f>IFERROR(VLOOKUP(A91,'Centre DW1'!$A$7:$N$106,4,FALSE),0)+
IFERROR(VLOOKUP(A91,'Centre WP1'!$A$7:$N$107,4,FALSE),0)+
IFERROR(VLOOKUP(A91,'Centre WR1'!$A$7:$N$106,4,FALSE),0)+
IFERROR(VLOOKUP(A91,'Centre WV1'!$A$7:$N$109,4,FALSE),0)</f>
        <v>0.1</v>
      </c>
      <c r="E91" s="10">
        <f>IFERROR(VLOOKUP(A91,'Centre DW1'!$A$7:$N$106,5,FALSE),0)+
IFERROR(VLOOKUP(A91,'Centre WP1'!$A$7:$N$107,5,FALSE),0)+
IFERROR(VLOOKUP(A91,'Centre WR1'!$A$7:$N$106,5,FALSE),0)+
IFERROR(VLOOKUP(A91,'Centre WV1'!$A$7:$N$109,5,FALSE),0)</f>
        <v>0.6</v>
      </c>
      <c r="F91" s="10">
        <f>IFERROR(VLOOKUP(A91,'Centre DW1'!$A$7:$N$106,6,FALSE),0)+
IFERROR(VLOOKUP(A91,'Centre WP1'!$A$7:$N$107,6,FALSE),0)+
IFERROR(VLOOKUP(A91,'Centre WR1'!$A$7:$N$106,6,FALSE),0)+
IFERROR(VLOOKUP(A91,'Centre WV1'!$A$7:$N$109,6,FALSE),0)</f>
        <v>1.2</v>
      </c>
      <c r="G91" s="10">
        <f>IFERROR(VLOOKUP(A91,'Centre DW1'!$A$7:$N$106,7,FALSE),0)+
IFERROR(VLOOKUP(A91,'Centre WP1'!$A$7:$N$107,7,FALSE),0)+
IFERROR(VLOOKUP(A91,'Centre WR1'!$A$7:$N$106,7,FALSE),0)+
IFERROR(VLOOKUP(A91,'Centre WV1'!$A$7:$N$109,7,FALSE),0)</f>
        <v>1.5</v>
      </c>
      <c r="H91" s="10">
        <f>IFERROR(VLOOKUP(A91,'Centre DW1'!$A$7:$N$106,8,FALSE),0)+
IFERROR(VLOOKUP(A91,'Centre WP1'!$A$7:$N$107,8,FALSE),0)+
IFERROR(VLOOKUP(A91,'Centre WR1'!$A$7:$N$106,8,FALSE),0)+
IFERROR(VLOOKUP(A91,'Centre WV1'!$A$7:$N$109,8,FALSE),0)</f>
        <v>0.8</v>
      </c>
      <c r="I91" s="10">
        <f>IFERROR(VLOOKUP(A91,'Centre DW1'!$A$7:$N$106,9,FALSE),0)+
IFERROR(VLOOKUP(A91,'Centre WP1'!$A$7:$N$107,9,FALSE),0)+
IFERROR(VLOOKUP(A91,'Centre WR1'!$A$7:$N$106,9,FALSE),0)+
IFERROR(VLOOKUP(A91,'Centre WV1'!$A$7:$N$109,9,FALSE),0)</f>
        <v>0.1</v>
      </c>
      <c r="J91" s="32">
        <f>IFERROR(VLOOKUP(A91,'Centre DW1'!$A$7:$N$106,10,FALSE),0)+
IFERROR(VLOOKUP(A91,'Centre WP1'!$A$7:$N$107,10,FALSE),0)+
IFERROR(VLOOKUP(A91,'Centre WR1'!$A$7:$N$106,10,FALSE),0)+
IFERROR(VLOOKUP(A91,'Centre WV1'!$A$7:$N$109,10,FALSE),0)</f>
        <v>0.6</v>
      </c>
      <c r="K91" s="32">
        <f>IFERROR(VLOOKUP(A91,'Centre DW1'!$A$7:$N$106,11,FALSE),0)+
IFERROR(VLOOKUP(A91,'Centre WP1'!$A$7:$N$107,11,FALSE),0)+
IFERROR(VLOOKUP(A91,'Centre WR1'!$A$7:$N$106,11,FALSE),0)+
IFERROR(VLOOKUP(A91,'Centre WV1'!$A$7:$N$109,11,FALSE),0)</f>
        <v>1.2</v>
      </c>
      <c r="L91" s="32">
        <f>IFERROR(VLOOKUP(A91,'Centre DW1'!$A$7:$N$106,12,FALSE),0)+
IFERROR(VLOOKUP(A91,'Centre WP1'!$A$7:$N$107,12,FALSE),0)+
IFERROR(VLOOKUP(A91,'Centre WR1'!$A$7:$N$106,12,FALSE),0)+
IFERROR(VLOOKUP(A91,'Centre WV1'!$A$7:$N$109,12,FALSE),0)</f>
        <v>1.5</v>
      </c>
      <c r="M91" s="32">
        <f>IFERROR(VLOOKUP(A91,'Centre DW1'!$A$7:$N$106,13,FALSE),0)+
IFERROR(VLOOKUP(A91,'Centre WP1'!$A$7:$N$107,13,FALSE),0)+
IFERROR(VLOOKUP(A91,'Centre WR1'!$A$7:$N$106,13,FALSE),0)+
IFERROR(VLOOKUP(A91,'Centre WV1'!$A$7:$N$109,13,FALSE),0)</f>
        <v>0.8</v>
      </c>
      <c r="N91" s="32">
        <f>IFERROR(VLOOKUP(A91,'Centre DW1'!$A$7:$N$106,14,FALSE),0)+
IFERROR(VLOOKUP(A91,'Centre WP1'!$A$7:$N$107,14,FALSE),0)+
IFERROR(VLOOKUP(A91,'Centre WR1'!$A$7:$N$106,14,FALSE),0)+
IFERROR(VLOOKUP(A91,'Centre WV1'!$A$7:$N$109,14,FALSE),0)</f>
        <v>0.8</v>
      </c>
    </row>
    <row r="92" spans="1:14" outlineLevel="1" x14ac:dyDescent="0.2">
      <c r="A92" s="9" t="s">
        <v>185</v>
      </c>
      <c r="B92" s="1" t="s">
        <v>186</v>
      </c>
      <c r="C92" s="10">
        <f>IFERROR(VLOOKUP(A92,'Centre DW1'!$A$7:$N$106,3,FALSE),0)+
IFERROR(VLOOKUP(A92,'Centre WP1'!$A$7:$N$107,3,FALSE),0)+
IFERROR(VLOOKUP(A92,'Centre WR1'!$A$7:$N$106,3,FALSE),0)+
IFERROR(VLOOKUP(A92,'Centre WV1'!$A$7:$N$109,3,FALSE),0)</f>
        <v>0.3</v>
      </c>
      <c r="D92" s="10">
        <f>IFERROR(VLOOKUP(A92,'Centre DW1'!$A$7:$N$106,4,FALSE),0)+
IFERROR(VLOOKUP(A92,'Centre WP1'!$A$7:$N$107,4,FALSE),0)+
IFERROR(VLOOKUP(A92,'Centre WR1'!$A$7:$N$106,4,FALSE),0)+
IFERROR(VLOOKUP(A92,'Centre WV1'!$A$7:$N$109,4,FALSE),0)</f>
        <v>0.3</v>
      </c>
      <c r="E92" s="10">
        <f>IFERROR(VLOOKUP(A92,'Centre DW1'!$A$7:$N$106,5,FALSE),0)+
IFERROR(VLOOKUP(A92,'Centre WP1'!$A$7:$N$107,5,FALSE),0)+
IFERROR(VLOOKUP(A92,'Centre WR1'!$A$7:$N$106,5,FALSE),0)+
IFERROR(VLOOKUP(A92,'Centre WV1'!$A$7:$N$109,5,FALSE),0)</f>
        <v>0.4</v>
      </c>
      <c r="F92" s="10">
        <f>IFERROR(VLOOKUP(A92,'Centre DW1'!$A$7:$N$106,6,FALSE),0)+
IFERROR(VLOOKUP(A92,'Centre WP1'!$A$7:$N$107,6,FALSE),0)+
IFERROR(VLOOKUP(A92,'Centre WR1'!$A$7:$N$106,6,FALSE),0)+
IFERROR(VLOOKUP(A92,'Centre WV1'!$A$7:$N$109,6,FALSE),0)</f>
        <v>0.4</v>
      </c>
      <c r="G92" s="10">
        <f>IFERROR(VLOOKUP(A92,'Centre DW1'!$A$7:$N$106,7,FALSE),0)+
IFERROR(VLOOKUP(A92,'Centre WP1'!$A$7:$N$107,7,FALSE),0)+
IFERROR(VLOOKUP(A92,'Centre WR1'!$A$7:$N$106,7,FALSE),0)+
IFERROR(VLOOKUP(A92,'Centre WV1'!$A$7:$N$109,7,FALSE),0)</f>
        <v>0.5</v>
      </c>
      <c r="H92" s="10">
        <f>IFERROR(VLOOKUP(A92,'Centre DW1'!$A$7:$N$106,8,FALSE),0)+
IFERROR(VLOOKUP(A92,'Centre WP1'!$A$7:$N$107,8,FALSE),0)+
IFERROR(VLOOKUP(A92,'Centre WR1'!$A$7:$N$106,8,FALSE),0)+
IFERROR(VLOOKUP(A92,'Centre WV1'!$A$7:$N$109,8,FALSE),0)</f>
        <v>0.4</v>
      </c>
      <c r="I92" s="10">
        <f>IFERROR(VLOOKUP(A92,'Centre DW1'!$A$7:$N$106,9,FALSE),0)+
IFERROR(VLOOKUP(A92,'Centre WP1'!$A$7:$N$107,9,FALSE),0)+
IFERROR(VLOOKUP(A92,'Centre WR1'!$A$7:$N$106,9,FALSE),0)+
IFERROR(VLOOKUP(A92,'Centre WV1'!$A$7:$N$109,9,FALSE),0)</f>
        <v>0.3</v>
      </c>
      <c r="J92" s="32">
        <f>IFERROR(VLOOKUP(A92,'Centre DW1'!$A$7:$N$106,10,FALSE),0)+
IFERROR(VLOOKUP(A92,'Centre WP1'!$A$7:$N$107,10,FALSE),0)+
IFERROR(VLOOKUP(A92,'Centre WR1'!$A$7:$N$106,10,FALSE),0)+
IFERROR(VLOOKUP(A92,'Centre WV1'!$A$7:$N$109,10,FALSE),0)</f>
        <v>0.4</v>
      </c>
      <c r="K92" s="32">
        <f>IFERROR(VLOOKUP(A92,'Centre DW1'!$A$7:$N$106,11,FALSE),0)+
IFERROR(VLOOKUP(A92,'Centre WP1'!$A$7:$N$107,11,FALSE),0)+
IFERROR(VLOOKUP(A92,'Centre WR1'!$A$7:$N$106,11,FALSE),0)+
IFERROR(VLOOKUP(A92,'Centre WV1'!$A$7:$N$109,11,FALSE),0)</f>
        <v>0.4</v>
      </c>
      <c r="L92" s="32">
        <f>IFERROR(VLOOKUP(A92,'Centre DW1'!$A$7:$N$106,12,FALSE),0)+
IFERROR(VLOOKUP(A92,'Centre WP1'!$A$7:$N$107,12,FALSE),0)+
IFERROR(VLOOKUP(A92,'Centre WR1'!$A$7:$N$106,12,FALSE),0)+
IFERROR(VLOOKUP(A92,'Centre WV1'!$A$7:$N$109,12,FALSE),0)</f>
        <v>0.5</v>
      </c>
      <c r="M92" s="32">
        <f>IFERROR(VLOOKUP(A92,'Centre DW1'!$A$7:$N$106,13,FALSE),0)+
IFERROR(VLOOKUP(A92,'Centre WP1'!$A$7:$N$107,13,FALSE),0)+
IFERROR(VLOOKUP(A92,'Centre WR1'!$A$7:$N$106,13,FALSE),0)+
IFERROR(VLOOKUP(A92,'Centre WV1'!$A$7:$N$109,13,FALSE),0)</f>
        <v>0.4</v>
      </c>
      <c r="N92" s="32">
        <f>IFERROR(VLOOKUP(A92,'Centre DW1'!$A$7:$N$106,14,FALSE),0)+
IFERROR(VLOOKUP(A92,'Centre WP1'!$A$7:$N$107,14,FALSE),0)+
IFERROR(VLOOKUP(A92,'Centre WR1'!$A$7:$N$106,14,FALSE),0)+
IFERROR(VLOOKUP(A92,'Centre WV1'!$A$7:$N$109,14,FALSE),0)</f>
        <v>0.4</v>
      </c>
    </row>
    <row r="93" spans="1:14" outlineLevel="1" x14ac:dyDescent="0.2">
      <c r="A93" s="9" t="s">
        <v>187</v>
      </c>
      <c r="B93" s="1" t="s">
        <v>184</v>
      </c>
      <c r="C93" s="10">
        <f>IFERROR(VLOOKUP(A93,'Centre DW1'!$A$7:$N$106,3,FALSE),0)+
IFERROR(VLOOKUP(A93,'Centre WP1'!$A$7:$N$107,3,FALSE),0)+
IFERROR(VLOOKUP(A93,'Centre WR1'!$A$7:$N$106,3,FALSE),0)+
IFERROR(VLOOKUP(A93,'Centre WV1'!$A$7:$N$109,3,FALSE),0)</f>
        <v>0.1</v>
      </c>
      <c r="D93" s="10">
        <f>IFERROR(VLOOKUP(A93,'Centre DW1'!$A$7:$N$106,4,FALSE),0)+
IFERROR(VLOOKUP(A93,'Centre WP1'!$A$7:$N$107,4,FALSE),0)+
IFERROR(VLOOKUP(A93,'Centre WR1'!$A$7:$N$106,4,FALSE),0)+
IFERROR(VLOOKUP(A93,'Centre WV1'!$A$7:$N$109,4,FALSE),0)</f>
        <v>0.1</v>
      </c>
      <c r="E93" s="10">
        <f>IFERROR(VLOOKUP(A93,'Centre DW1'!$A$7:$N$106,5,FALSE),0)+
IFERROR(VLOOKUP(A93,'Centre WP1'!$A$7:$N$107,5,FALSE),0)+
IFERROR(VLOOKUP(A93,'Centre WR1'!$A$7:$N$106,5,FALSE),0)+
IFERROR(VLOOKUP(A93,'Centre WV1'!$A$7:$N$109,5,FALSE),0)</f>
        <v>0</v>
      </c>
      <c r="F93" s="10">
        <f>IFERROR(VLOOKUP(A93,'Centre DW1'!$A$7:$N$106,6,FALSE),0)+
IFERROR(VLOOKUP(A93,'Centre WP1'!$A$7:$N$107,6,FALSE),0)+
IFERROR(VLOOKUP(A93,'Centre WR1'!$A$7:$N$106,6,FALSE),0)+
IFERROR(VLOOKUP(A93,'Centre WV1'!$A$7:$N$109,6,FALSE),0)</f>
        <v>0.1</v>
      </c>
      <c r="G93" s="10">
        <f>IFERROR(VLOOKUP(A93,'Centre DW1'!$A$7:$N$106,7,FALSE),0)+
IFERROR(VLOOKUP(A93,'Centre WP1'!$A$7:$N$107,7,FALSE),0)+
IFERROR(VLOOKUP(A93,'Centre WR1'!$A$7:$N$106,7,FALSE),0)+
IFERROR(VLOOKUP(A93,'Centre WV1'!$A$7:$N$109,7,FALSE),0)</f>
        <v>0.1</v>
      </c>
      <c r="H93" s="10">
        <f>IFERROR(VLOOKUP(A93,'Centre DW1'!$A$7:$N$106,8,FALSE),0)+
IFERROR(VLOOKUP(A93,'Centre WP1'!$A$7:$N$107,8,FALSE),0)+
IFERROR(VLOOKUP(A93,'Centre WR1'!$A$7:$N$106,8,FALSE),0)+
IFERROR(VLOOKUP(A93,'Centre WV1'!$A$7:$N$109,8,FALSE),0)</f>
        <v>0.1</v>
      </c>
      <c r="I93" s="10">
        <f>IFERROR(VLOOKUP(A93,'Centre DW1'!$A$7:$N$106,9,FALSE),0)+
IFERROR(VLOOKUP(A93,'Centre WP1'!$A$7:$N$107,9,FALSE),0)+
IFERROR(VLOOKUP(A93,'Centre WR1'!$A$7:$N$106,9,FALSE),0)+
IFERROR(VLOOKUP(A93,'Centre WV1'!$A$7:$N$109,9,FALSE),0)</f>
        <v>0.1</v>
      </c>
      <c r="J93" s="32">
        <f>IFERROR(VLOOKUP(A93,'Centre DW1'!$A$7:$N$106,10,FALSE),0)+
IFERROR(VLOOKUP(A93,'Centre WP1'!$A$7:$N$107,10,FALSE),0)+
IFERROR(VLOOKUP(A93,'Centre WR1'!$A$7:$N$106,10,FALSE),0)+
IFERROR(VLOOKUP(A93,'Centre WV1'!$A$7:$N$109,10,FALSE),0)</f>
        <v>0</v>
      </c>
      <c r="K93" s="32">
        <f>IFERROR(VLOOKUP(A93,'Centre DW1'!$A$7:$N$106,11,FALSE),0)+
IFERROR(VLOOKUP(A93,'Centre WP1'!$A$7:$N$107,11,FALSE),0)+
IFERROR(VLOOKUP(A93,'Centre WR1'!$A$7:$N$106,11,FALSE),0)+
IFERROR(VLOOKUP(A93,'Centre WV1'!$A$7:$N$109,11,FALSE),0)</f>
        <v>0.1</v>
      </c>
      <c r="L93" s="32">
        <f>IFERROR(VLOOKUP(A93,'Centre DW1'!$A$7:$N$106,12,FALSE),0)+
IFERROR(VLOOKUP(A93,'Centre WP1'!$A$7:$N$107,12,FALSE),0)+
IFERROR(VLOOKUP(A93,'Centre WR1'!$A$7:$N$106,12,FALSE),0)+
IFERROR(VLOOKUP(A93,'Centre WV1'!$A$7:$N$109,12,FALSE),0)</f>
        <v>0.1</v>
      </c>
      <c r="M93" s="32">
        <f>IFERROR(VLOOKUP(A93,'Centre DW1'!$A$7:$N$106,13,FALSE),0)+
IFERROR(VLOOKUP(A93,'Centre WP1'!$A$7:$N$107,13,FALSE),0)+
IFERROR(VLOOKUP(A93,'Centre WR1'!$A$7:$N$106,13,FALSE),0)+
IFERROR(VLOOKUP(A93,'Centre WV1'!$A$7:$N$109,13,FALSE),0)</f>
        <v>0.1</v>
      </c>
      <c r="N93" s="32">
        <f>IFERROR(VLOOKUP(A93,'Centre DW1'!$A$7:$N$106,14,FALSE),0)+
IFERROR(VLOOKUP(A93,'Centre WP1'!$A$7:$N$107,14,FALSE),0)+
IFERROR(VLOOKUP(A93,'Centre WR1'!$A$7:$N$106,14,FALSE),0)+
IFERROR(VLOOKUP(A93,'Centre WV1'!$A$7:$N$109,14,FALSE),0)</f>
        <v>0.1</v>
      </c>
    </row>
    <row r="94" spans="1:14" outlineLevel="1" x14ac:dyDescent="0.2">
      <c r="A94" s="9" t="s">
        <v>188</v>
      </c>
      <c r="B94" s="1" t="s">
        <v>189</v>
      </c>
      <c r="C94" s="10">
        <f>IFERROR(VLOOKUP(A94,'Centre DW1'!$A$7:$N$106,3,FALSE),0)+
IFERROR(VLOOKUP(A94,'Centre WP1'!$A$7:$N$107,3,FALSE),0)+
IFERROR(VLOOKUP(A94,'Centre WR1'!$A$7:$N$106,3,FALSE),0)+
IFERROR(VLOOKUP(A94,'Centre WV1'!$A$7:$N$109,3,FALSE),0)</f>
        <v>0.4</v>
      </c>
      <c r="D94" s="10">
        <f>IFERROR(VLOOKUP(A94,'Centre DW1'!$A$7:$N$106,4,FALSE),0)+
IFERROR(VLOOKUP(A94,'Centre WP1'!$A$7:$N$107,4,FALSE),0)+
IFERROR(VLOOKUP(A94,'Centre WR1'!$A$7:$N$106,4,FALSE),0)+
IFERROR(VLOOKUP(A94,'Centre WV1'!$A$7:$N$109,4,FALSE),0)</f>
        <v>0.5</v>
      </c>
      <c r="E94" s="10">
        <f>IFERROR(VLOOKUP(A94,'Centre DW1'!$A$7:$N$106,5,FALSE),0)+
IFERROR(VLOOKUP(A94,'Centre WP1'!$A$7:$N$107,5,FALSE),0)+
IFERROR(VLOOKUP(A94,'Centre WR1'!$A$7:$N$106,5,FALSE),0)+
IFERROR(VLOOKUP(A94,'Centre WV1'!$A$7:$N$109,5,FALSE),0)</f>
        <v>0.6</v>
      </c>
      <c r="F94" s="10">
        <f>IFERROR(VLOOKUP(A94,'Centre DW1'!$A$7:$N$106,6,FALSE),0)+
IFERROR(VLOOKUP(A94,'Centre WP1'!$A$7:$N$107,6,FALSE),0)+
IFERROR(VLOOKUP(A94,'Centre WR1'!$A$7:$N$106,6,FALSE),0)+
IFERROR(VLOOKUP(A94,'Centre WV1'!$A$7:$N$109,6,FALSE),0)</f>
        <v>0.6</v>
      </c>
      <c r="G94" s="10">
        <f>IFERROR(VLOOKUP(A94,'Centre DW1'!$A$7:$N$106,7,FALSE),0)+
IFERROR(VLOOKUP(A94,'Centre WP1'!$A$7:$N$107,7,FALSE),0)+
IFERROR(VLOOKUP(A94,'Centre WR1'!$A$7:$N$106,7,FALSE),0)+
IFERROR(VLOOKUP(A94,'Centre WV1'!$A$7:$N$109,7,FALSE),0)</f>
        <v>0.3</v>
      </c>
      <c r="H94" s="10">
        <f>IFERROR(VLOOKUP(A94,'Centre DW1'!$A$7:$N$106,8,FALSE),0)+
IFERROR(VLOOKUP(A94,'Centre WP1'!$A$7:$N$107,8,FALSE),0)+
IFERROR(VLOOKUP(A94,'Centre WR1'!$A$7:$N$106,8,FALSE),0)+
IFERROR(VLOOKUP(A94,'Centre WV1'!$A$7:$N$109,8,FALSE),0)</f>
        <v>0.7</v>
      </c>
      <c r="I94" s="10">
        <f>IFERROR(VLOOKUP(A94,'Centre DW1'!$A$7:$N$106,9,FALSE),0)+
IFERROR(VLOOKUP(A94,'Centre WP1'!$A$7:$N$107,9,FALSE),0)+
IFERROR(VLOOKUP(A94,'Centre WR1'!$A$7:$N$106,9,FALSE),0)+
IFERROR(VLOOKUP(A94,'Centre WV1'!$A$7:$N$109,9,FALSE),0)</f>
        <v>0.5</v>
      </c>
      <c r="J94" s="32">
        <f>IFERROR(VLOOKUP(A94,'Centre DW1'!$A$7:$N$106,10,FALSE),0)+
IFERROR(VLOOKUP(A94,'Centre WP1'!$A$7:$N$107,10,FALSE),0)+
IFERROR(VLOOKUP(A94,'Centre WR1'!$A$7:$N$106,10,FALSE),0)+
IFERROR(VLOOKUP(A94,'Centre WV1'!$A$7:$N$109,10,FALSE),0)</f>
        <v>0.6</v>
      </c>
      <c r="K94" s="32">
        <f>IFERROR(VLOOKUP(A94,'Centre DW1'!$A$7:$N$106,11,FALSE),0)+
IFERROR(VLOOKUP(A94,'Centre WP1'!$A$7:$N$107,11,FALSE),0)+
IFERROR(VLOOKUP(A94,'Centre WR1'!$A$7:$N$106,11,FALSE),0)+
IFERROR(VLOOKUP(A94,'Centre WV1'!$A$7:$N$109,11,FALSE),0)</f>
        <v>0.6</v>
      </c>
      <c r="L94" s="32">
        <f>IFERROR(VLOOKUP(A94,'Centre DW1'!$A$7:$N$106,12,FALSE),0)+
IFERROR(VLOOKUP(A94,'Centre WP1'!$A$7:$N$107,12,FALSE),0)+
IFERROR(VLOOKUP(A94,'Centre WR1'!$A$7:$N$106,12,FALSE),0)+
IFERROR(VLOOKUP(A94,'Centre WV1'!$A$7:$N$109,12,FALSE),0)</f>
        <v>0.3</v>
      </c>
      <c r="M94" s="32">
        <f>IFERROR(VLOOKUP(A94,'Centre DW1'!$A$7:$N$106,13,FALSE),0)+
IFERROR(VLOOKUP(A94,'Centre WP1'!$A$7:$N$107,13,FALSE),0)+
IFERROR(VLOOKUP(A94,'Centre WR1'!$A$7:$N$106,13,FALSE),0)+
IFERROR(VLOOKUP(A94,'Centre WV1'!$A$7:$N$109,13,FALSE),0)</f>
        <v>0.7</v>
      </c>
      <c r="N94" s="32">
        <f>IFERROR(VLOOKUP(A94,'Centre DW1'!$A$7:$N$106,14,FALSE),0)+
IFERROR(VLOOKUP(A94,'Centre WP1'!$A$7:$N$107,14,FALSE),0)+
IFERROR(VLOOKUP(A94,'Centre WR1'!$A$7:$N$106,14,FALSE),0)+
IFERROR(VLOOKUP(A94,'Centre WV1'!$A$7:$N$109,14,FALSE),0)</f>
        <v>0.7</v>
      </c>
    </row>
    <row r="95" spans="1:14" outlineLevel="1" x14ac:dyDescent="0.2">
      <c r="A95" s="9" t="s">
        <v>190</v>
      </c>
      <c r="B95" s="1" t="s">
        <v>191</v>
      </c>
      <c r="C95" s="10">
        <f>IFERROR(VLOOKUP(A95,'Centre DW1'!$A$7:$N$106,3,FALSE),0)+
IFERROR(VLOOKUP(A95,'Centre WP1'!$A$7:$N$107,3,FALSE),0)+
IFERROR(VLOOKUP(A95,'Centre WR1'!$A$7:$N$106,3,FALSE),0)+
IFERROR(VLOOKUP(A95,'Centre WV1'!$A$7:$N$109,3,FALSE),0)</f>
        <v>0.2</v>
      </c>
      <c r="D95" s="10">
        <f>IFERROR(VLOOKUP(A95,'Centre DW1'!$A$7:$N$106,4,FALSE),0)+
IFERROR(VLOOKUP(A95,'Centre WP1'!$A$7:$N$107,4,FALSE),0)+
IFERROR(VLOOKUP(A95,'Centre WR1'!$A$7:$N$106,4,FALSE),0)+
IFERROR(VLOOKUP(A95,'Centre WV1'!$A$7:$N$109,4,FALSE),0)</f>
        <v>0.2</v>
      </c>
      <c r="E95" s="10">
        <f>IFERROR(VLOOKUP(A95,'Centre DW1'!$A$7:$N$106,5,FALSE),0)+
IFERROR(VLOOKUP(A95,'Centre WP1'!$A$7:$N$107,5,FALSE),0)+
IFERROR(VLOOKUP(A95,'Centre WR1'!$A$7:$N$106,5,FALSE),0)+
IFERROR(VLOOKUP(A95,'Centre WV1'!$A$7:$N$109,5,FALSE),0)</f>
        <v>0.3</v>
      </c>
      <c r="F95" s="10">
        <f>IFERROR(VLOOKUP(A95,'Centre DW1'!$A$7:$N$106,6,FALSE),0)+
IFERROR(VLOOKUP(A95,'Centre WP1'!$A$7:$N$107,6,FALSE),0)+
IFERROR(VLOOKUP(A95,'Centre WR1'!$A$7:$N$106,6,FALSE),0)+
IFERROR(VLOOKUP(A95,'Centre WV1'!$A$7:$N$109,6,FALSE),0)</f>
        <v>0.3</v>
      </c>
      <c r="G95" s="10">
        <f>IFERROR(VLOOKUP(A95,'Centre DW1'!$A$7:$N$106,7,FALSE),0)+
IFERROR(VLOOKUP(A95,'Centre WP1'!$A$7:$N$107,7,FALSE),0)+
IFERROR(VLOOKUP(A95,'Centre WR1'!$A$7:$N$106,7,FALSE),0)+
IFERROR(VLOOKUP(A95,'Centre WV1'!$A$7:$N$109,7,FALSE),0)</f>
        <v>0.1</v>
      </c>
      <c r="H95" s="10">
        <f>IFERROR(VLOOKUP(A95,'Centre DW1'!$A$7:$N$106,8,FALSE),0)+
IFERROR(VLOOKUP(A95,'Centre WP1'!$A$7:$N$107,8,FALSE),0)+
IFERROR(VLOOKUP(A95,'Centre WR1'!$A$7:$N$106,8,FALSE),0)+
IFERROR(VLOOKUP(A95,'Centre WV1'!$A$7:$N$109,8,FALSE),0)</f>
        <v>0.5</v>
      </c>
      <c r="I95" s="10">
        <f>IFERROR(VLOOKUP(A95,'Centre DW1'!$A$7:$N$106,9,FALSE),0)+
IFERROR(VLOOKUP(A95,'Centre WP1'!$A$7:$N$107,9,FALSE),0)+
IFERROR(VLOOKUP(A95,'Centre WR1'!$A$7:$N$106,9,FALSE),0)+
IFERROR(VLOOKUP(A95,'Centre WV1'!$A$7:$N$109,9,FALSE),0)</f>
        <v>0.2</v>
      </c>
      <c r="J95" s="32">
        <f>IFERROR(VLOOKUP(A95,'Centre DW1'!$A$7:$N$106,10,FALSE),0)+
IFERROR(VLOOKUP(A95,'Centre WP1'!$A$7:$N$107,10,FALSE),0)+
IFERROR(VLOOKUP(A95,'Centre WR1'!$A$7:$N$106,10,FALSE),0)+
IFERROR(VLOOKUP(A95,'Centre WV1'!$A$7:$N$109,10,FALSE),0)</f>
        <v>0.3</v>
      </c>
      <c r="K95" s="32">
        <f>IFERROR(VLOOKUP(A95,'Centre DW1'!$A$7:$N$106,11,FALSE),0)+
IFERROR(VLOOKUP(A95,'Centre WP1'!$A$7:$N$107,11,FALSE),0)+
IFERROR(VLOOKUP(A95,'Centre WR1'!$A$7:$N$106,11,FALSE),0)+
IFERROR(VLOOKUP(A95,'Centre WV1'!$A$7:$N$109,11,FALSE),0)</f>
        <v>0.3</v>
      </c>
      <c r="L95" s="32">
        <f>IFERROR(VLOOKUP(A95,'Centre DW1'!$A$7:$N$106,12,FALSE),0)+
IFERROR(VLOOKUP(A95,'Centre WP1'!$A$7:$N$107,12,FALSE),0)+
IFERROR(VLOOKUP(A95,'Centre WR1'!$A$7:$N$106,12,FALSE),0)+
IFERROR(VLOOKUP(A95,'Centre WV1'!$A$7:$N$109,12,FALSE),0)</f>
        <v>0.1</v>
      </c>
      <c r="M95" s="32">
        <f>IFERROR(VLOOKUP(A95,'Centre DW1'!$A$7:$N$106,13,FALSE),0)+
IFERROR(VLOOKUP(A95,'Centre WP1'!$A$7:$N$107,13,FALSE),0)+
IFERROR(VLOOKUP(A95,'Centre WR1'!$A$7:$N$106,13,FALSE),0)+
IFERROR(VLOOKUP(A95,'Centre WV1'!$A$7:$N$109,13,FALSE),0)</f>
        <v>0.5</v>
      </c>
      <c r="N95" s="32">
        <f>IFERROR(VLOOKUP(A95,'Centre DW1'!$A$7:$N$106,14,FALSE),0)+
IFERROR(VLOOKUP(A95,'Centre WP1'!$A$7:$N$107,14,FALSE),0)+
IFERROR(VLOOKUP(A95,'Centre WR1'!$A$7:$N$106,14,FALSE),0)+
IFERROR(VLOOKUP(A95,'Centre WV1'!$A$7:$N$109,14,FALSE),0)</f>
        <v>0.5</v>
      </c>
    </row>
    <row r="96" spans="1:14" outlineLevel="1" x14ac:dyDescent="0.2">
      <c r="A96" s="9" t="s">
        <v>192</v>
      </c>
      <c r="B96" s="1" t="s">
        <v>193</v>
      </c>
      <c r="C96" s="10">
        <f>IFERROR(VLOOKUP(A96,'Centre DW1'!$A$7:$N$106,3,FALSE),0)+
IFERROR(VLOOKUP(A96,'Centre WP1'!$A$7:$N$107,3,FALSE),0)+
IFERROR(VLOOKUP(A96,'Centre WR1'!$A$7:$N$106,3,FALSE),0)+
IFERROR(VLOOKUP(A96,'Centre WV1'!$A$7:$N$109,3,FALSE),0)</f>
        <v>0</v>
      </c>
      <c r="D96" s="10">
        <f>IFERROR(VLOOKUP(A96,'Centre DW1'!$A$7:$N$106,4,FALSE),0)+
IFERROR(VLOOKUP(A96,'Centre WP1'!$A$7:$N$107,4,FALSE),0)+
IFERROR(VLOOKUP(A96,'Centre WR1'!$A$7:$N$106,4,FALSE),0)+
IFERROR(VLOOKUP(A96,'Centre WV1'!$A$7:$N$109,4,FALSE),0)</f>
        <v>0</v>
      </c>
      <c r="E96" s="10">
        <f>IFERROR(VLOOKUP(A96,'Centre DW1'!$A$7:$N$106,5,FALSE),0)+
IFERROR(VLOOKUP(A96,'Centre WP1'!$A$7:$N$107,5,FALSE),0)+
IFERROR(VLOOKUP(A96,'Centre WR1'!$A$7:$N$106,5,FALSE),0)+
IFERROR(VLOOKUP(A96,'Centre WV1'!$A$7:$N$109,5,FALSE),0)</f>
        <v>0</v>
      </c>
      <c r="F96" s="10">
        <f>IFERROR(VLOOKUP(A96,'Centre DW1'!$A$7:$N$106,6,FALSE),0)+
IFERROR(VLOOKUP(A96,'Centre WP1'!$A$7:$N$107,6,FALSE),0)+
IFERROR(VLOOKUP(A96,'Centre WR1'!$A$7:$N$106,6,FALSE),0)+
IFERROR(VLOOKUP(A96,'Centre WV1'!$A$7:$N$109,6,FALSE),0)</f>
        <v>0</v>
      </c>
      <c r="G96" s="10">
        <f>IFERROR(VLOOKUP(A96,'Centre DW1'!$A$7:$N$106,7,FALSE),0)+
IFERROR(VLOOKUP(A96,'Centre WP1'!$A$7:$N$107,7,FALSE),0)+
IFERROR(VLOOKUP(A96,'Centre WR1'!$A$7:$N$106,7,FALSE),0)+
IFERROR(VLOOKUP(A96,'Centre WV1'!$A$7:$N$109,7,FALSE),0)</f>
        <v>0</v>
      </c>
      <c r="H96" s="10">
        <f>IFERROR(VLOOKUP(A96,'Centre DW1'!$A$7:$N$106,8,FALSE),0)+
IFERROR(VLOOKUP(A96,'Centre WP1'!$A$7:$N$107,8,FALSE),0)+
IFERROR(VLOOKUP(A96,'Centre WR1'!$A$7:$N$106,8,FALSE),0)+
IFERROR(VLOOKUP(A96,'Centre WV1'!$A$7:$N$109,8,FALSE),0)</f>
        <v>0</v>
      </c>
      <c r="I96" s="10">
        <f>IFERROR(VLOOKUP(A96,'Centre DW1'!$A$7:$N$106,9,FALSE),0)+
IFERROR(VLOOKUP(A96,'Centre WP1'!$A$7:$N$107,9,FALSE),0)+
IFERROR(VLOOKUP(A96,'Centre WR1'!$A$7:$N$106,9,FALSE),0)+
IFERROR(VLOOKUP(A96,'Centre WV1'!$A$7:$N$109,9,FALSE),0)</f>
        <v>0</v>
      </c>
      <c r="J96" s="32">
        <f>IFERROR(VLOOKUP(A96,'Centre DW1'!$A$7:$N$106,10,FALSE),0)+
IFERROR(VLOOKUP(A96,'Centre WP1'!$A$7:$N$107,10,FALSE),0)+
IFERROR(VLOOKUP(A96,'Centre WR1'!$A$7:$N$106,10,FALSE),0)+
IFERROR(VLOOKUP(A96,'Centre WV1'!$A$7:$N$109,10,FALSE),0)</f>
        <v>0</v>
      </c>
      <c r="K96" s="32">
        <f>IFERROR(VLOOKUP(A96,'Centre DW1'!$A$7:$N$106,11,FALSE),0)+
IFERROR(VLOOKUP(A96,'Centre WP1'!$A$7:$N$107,11,FALSE),0)+
IFERROR(VLOOKUP(A96,'Centre WR1'!$A$7:$N$106,11,FALSE),0)+
IFERROR(VLOOKUP(A96,'Centre WV1'!$A$7:$N$109,11,FALSE),0)</f>
        <v>0</v>
      </c>
      <c r="L96" s="32">
        <f>IFERROR(VLOOKUP(A96,'Centre DW1'!$A$7:$N$106,12,FALSE),0)+
IFERROR(VLOOKUP(A96,'Centre WP1'!$A$7:$N$107,12,FALSE),0)+
IFERROR(VLOOKUP(A96,'Centre WR1'!$A$7:$N$106,12,FALSE),0)+
IFERROR(VLOOKUP(A96,'Centre WV1'!$A$7:$N$109,12,FALSE),0)</f>
        <v>0</v>
      </c>
      <c r="M96" s="32">
        <f>IFERROR(VLOOKUP(A96,'Centre DW1'!$A$7:$N$106,13,FALSE),0)+
IFERROR(VLOOKUP(A96,'Centre WP1'!$A$7:$N$107,13,FALSE),0)+
IFERROR(VLOOKUP(A96,'Centre WR1'!$A$7:$N$106,13,FALSE),0)+
IFERROR(VLOOKUP(A96,'Centre WV1'!$A$7:$N$109,13,FALSE),0)</f>
        <v>0</v>
      </c>
      <c r="N96" s="32">
        <f>IFERROR(VLOOKUP(A96,'Centre DW1'!$A$7:$N$106,14,FALSE),0)+
IFERROR(VLOOKUP(A96,'Centre WP1'!$A$7:$N$107,14,FALSE),0)+
IFERROR(VLOOKUP(A96,'Centre WR1'!$A$7:$N$106,14,FALSE),0)+
IFERROR(VLOOKUP(A96,'Centre WV1'!$A$7:$N$109,14,FALSE),0)</f>
        <v>0</v>
      </c>
    </row>
    <row r="97" spans="1:14" outlineLevel="1" x14ac:dyDescent="0.2">
      <c r="A97" s="9" t="s">
        <v>194</v>
      </c>
      <c r="B97" s="1" t="s">
        <v>195</v>
      </c>
      <c r="C97" s="10">
        <f>IFERROR(VLOOKUP(A97,'Centre DW1'!$A$7:$N$106,3,FALSE),0)+
IFERROR(VLOOKUP(A97,'Centre WP1'!$A$7:$N$107,3,FALSE),0)+
IFERROR(VLOOKUP(A97,'Centre WR1'!$A$7:$N$106,3,FALSE),0)+
IFERROR(VLOOKUP(A97,'Centre WV1'!$A$7:$N$109,3,FALSE),0)</f>
        <v>0.5</v>
      </c>
      <c r="D97" s="10">
        <f>IFERROR(VLOOKUP(A97,'Centre DW1'!$A$7:$N$106,4,FALSE),0)+
IFERROR(VLOOKUP(A97,'Centre WP1'!$A$7:$N$107,4,FALSE),0)+
IFERROR(VLOOKUP(A97,'Centre WR1'!$A$7:$N$106,4,FALSE),0)+
IFERROR(VLOOKUP(A97,'Centre WV1'!$A$7:$N$109,4,FALSE),0)</f>
        <v>1.1000000000000001</v>
      </c>
      <c r="E97" s="10">
        <f>IFERROR(VLOOKUP(A97,'Centre DW1'!$A$7:$N$106,5,FALSE),0)+
IFERROR(VLOOKUP(A97,'Centre WP1'!$A$7:$N$107,5,FALSE),0)+
IFERROR(VLOOKUP(A97,'Centre WR1'!$A$7:$N$106,5,FALSE),0)+
IFERROR(VLOOKUP(A97,'Centre WV1'!$A$7:$N$109,5,FALSE),0)</f>
        <v>0.4</v>
      </c>
      <c r="F97" s="10">
        <f>IFERROR(VLOOKUP(A97,'Centre DW1'!$A$7:$N$106,6,FALSE),0)+
IFERROR(VLOOKUP(A97,'Centre WP1'!$A$7:$N$107,6,FALSE),0)+
IFERROR(VLOOKUP(A97,'Centre WR1'!$A$7:$N$106,6,FALSE),0)+
IFERROR(VLOOKUP(A97,'Centre WV1'!$A$7:$N$109,6,FALSE),0)</f>
        <v>0.4</v>
      </c>
      <c r="G97" s="10">
        <f>IFERROR(VLOOKUP(A97,'Centre DW1'!$A$7:$N$106,7,FALSE),0)+
IFERROR(VLOOKUP(A97,'Centre WP1'!$A$7:$N$107,7,FALSE),0)+
IFERROR(VLOOKUP(A97,'Centre WR1'!$A$7:$N$106,7,FALSE),0)+
IFERROR(VLOOKUP(A97,'Centre WV1'!$A$7:$N$109,7,FALSE),0)</f>
        <v>0.5</v>
      </c>
      <c r="H97" s="10">
        <f>IFERROR(VLOOKUP(A97,'Centre DW1'!$A$7:$N$106,8,FALSE),0)+
IFERROR(VLOOKUP(A97,'Centre WP1'!$A$7:$N$107,8,FALSE),0)+
IFERROR(VLOOKUP(A97,'Centre WR1'!$A$7:$N$106,8,FALSE),0)+
IFERROR(VLOOKUP(A97,'Centre WV1'!$A$7:$N$109,8,FALSE),0)</f>
        <v>0.5</v>
      </c>
      <c r="I97" s="10">
        <f>IFERROR(VLOOKUP(A97,'Centre DW1'!$A$7:$N$106,9,FALSE),0)+
IFERROR(VLOOKUP(A97,'Centre WP1'!$A$7:$N$107,9,FALSE),0)+
IFERROR(VLOOKUP(A97,'Centre WR1'!$A$7:$N$106,9,FALSE),0)+
IFERROR(VLOOKUP(A97,'Centre WV1'!$A$7:$N$109,9,FALSE),0)</f>
        <v>1.1000000000000001</v>
      </c>
      <c r="J97" s="32">
        <f>IFERROR(VLOOKUP(A97,'Centre DW1'!$A$7:$N$106,10,FALSE),0)+
IFERROR(VLOOKUP(A97,'Centre WP1'!$A$7:$N$107,10,FALSE),0)+
IFERROR(VLOOKUP(A97,'Centre WR1'!$A$7:$N$106,10,FALSE),0)+
IFERROR(VLOOKUP(A97,'Centre WV1'!$A$7:$N$109,10,FALSE),0)</f>
        <v>0.4</v>
      </c>
      <c r="K97" s="32">
        <f>IFERROR(VLOOKUP(A97,'Centre DW1'!$A$7:$N$106,11,FALSE),0)+
IFERROR(VLOOKUP(A97,'Centre WP1'!$A$7:$N$107,11,FALSE),0)+
IFERROR(VLOOKUP(A97,'Centre WR1'!$A$7:$N$106,11,FALSE),0)+
IFERROR(VLOOKUP(A97,'Centre WV1'!$A$7:$N$109,11,FALSE),0)</f>
        <v>0.4</v>
      </c>
      <c r="L97" s="32">
        <f>IFERROR(VLOOKUP(A97,'Centre DW1'!$A$7:$N$106,12,FALSE),0)+
IFERROR(VLOOKUP(A97,'Centre WP1'!$A$7:$N$107,12,FALSE),0)+
IFERROR(VLOOKUP(A97,'Centre WR1'!$A$7:$N$106,12,FALSE),0)+
IFERROR(VLOOKUP(A97,'Centre WV1'!$A$7:$N$109,12,FALSE),0)</f>
        <v>0.5</v>
      </c>
      <c r="M97" s="32">
        <f>IFERROR(VLOOKUP(A97,'Centre DW1'!$A$7:$N$106,13,FALSE),0)+
IFERROR(VLOOKUP(A97,'Centre WP1'!$A$7:$N$107,13,FALSE),0)+
IFERROR(VLOOKUP(A97,'Centre WR1'!$A$7:$N$106,13,FALSE),0)+
IFERROR(VLOOKUP(A97,'Centre WV1'!$A$7:$N$109,13,FALSE),0)</f>
        <v>0.5</v>
      </c>
      <c r="N97" s="32">
        <f>IFERROR(VLOOKUP(A97,'Centre DW1'!$A$7:$N$106,14,FALSE),0)+
IFERROR(VLOOKUP(A97,'Centre WP1'!$A$7:$N$107,14,FALSE),0)+
IFERROR(VLOOKUP(A97,'Centre WR1'!$A$7:$N$106,14,FALSE),0)+
IFERROR(VLOOKUP(A97,'Centre WV1'!$A$7:$N$109,14,FALSE),0)</f>
        <v>0.5</v>
      </c>
    </row>
    <row r="98" spans="1:14" outlineLevel="1" x14ac:dyDescent="0.2">
      <c r="A98" s="9" t="s">
        <v>196</v>
      </c>
      <c r="B98" s="1" t="s">
        <v>197</v>
      </c>
      <c r="C98" s="10">
        <f>IFERROR(VLOOKUP(A98,'Centre DW1'!$A$7:$N$106,3,FALSE),0)+
IFERROR(VLOOKUP(A98,'Centre WP1'!$A$7:$N$107,3,FALSE),0)+
IFERROR(VLOOKUP(A98,'Centre WR1'!$A$7:$N$106,3,FALSE),0)+
IFERROR(VLOOKUP(A98,'Centre WV1'!$A$7:$N$109,3,FALSE),0)</f>
        <v>0</v>
      </c>
      <c r="D98" s="10">
        <f>IFERROR(VLOOKUP(A98,'Centre DW1'!$A$7:$N$106,4,FALSE),0)+
IFERROR(VLOOKUP(A98,'Centre WP1'!$A$7:$N$107,4,FALSE),0)+
IFERROR(VLOOKUP(A98,'Centre WR1'!$A$7:$N$106,4,FALSE),0)+
IFERROR(VLOOKUP(A98,'Centre WV1'!$A$7:$N$109,4,FALSE),0)</f>
        <v>0</v>
      </c>
      <c r="E98" s="10">
        <f>IFERROR(VLOOKUP(A98,'Centre DW1'!$A$7:$N$106,5,FALSE),0)+
IFERROR(VLOOKUP(A98,'Centre WP1'!$A$7:$N$107,5,FALSE),0)+
IFERROR(VLOOKUP(A98,'Centre WR1'!$A$7:$N$106,5,FALSE),0)+
IFERROR(VLOOKUP(A98,'Centre WV1'!$A$7:$N$109,5,FALSE),0)</f>
        <v>0</v>
      </c>
      <c r="F98" s="10">
        <f>IFERROR(VLOOKUP(A98,'Centre DW1'!$A$7:$N$106,6,FALSE),0)+
IFERROR(VLOOKUP(A98,'Centre WP1'!$A$7:$N$107,6,FALSE),0)+
IFERROR(VLOOKUP(A98,'Centre WR1'!$A$7:$N$106,6,FALSE),0)+
IFERROR(VLOOKUP(A98,'Centre WV1'!$A$7:$N$109,6,FALSE),0)</f>
        <v>0</v>
      </c>
      <c r="G98" s="10">
        <f>IFERROR(VLOOKUP(A98,'Centre DW1'!$A$7:$N$106,7,FALSE),0)+
IFERROR(VLOOKUP(A98,'Centre WP1'!$A$7:$N$107,7,FALSE),0)+
IFERROR(VLOOKUP(A98,'Centre WR1'!$A$7:$N$106,7,FALSE),0)+
IFERROR(VLOOKUP(A98,'Centre WV1'!$A$7:$N$109,7,FALSE),0)</f>
        <v>0</v>
      </c>
      <c r="H98" s="10">
        <f>IFERROR(VLOOKUP(A98,'Centre DW1'!$A$7:$N$106,8,FALSE),0)+
IFERROR(VLOOKUP(A98,'Centre WP1'!$A$7:$N$107,8,FALSE),0)+
IFERROR(VLOOKUP(A98,'Centre WR1'!$A$7:$N$106,8,FALSE),0)+
IFERROR(VLOOKUP(A98,'Centre WV1'!$A$7:$N$109,8,FALSE),0)</f>
        <v>0</v>
      </c>
      <c r="I98" s="10">
        <f>IFERROR(VLOOKUP(A98,'Centre DW1'!$A$7:$N$106,9,FALSE),0)+
IFERROR(VLOOKUP(A98,'Centre WP1'!$A$7:$N$107,9,FALSE),0)+
IFERROR(VLOOKUP(A98,'Centre WR1'!$A$7:$N$106,9,FALSE),0)+
IFERROR(VLOOKUP(A98,'Centre WV1'!$A$7:$N$109,9,FALSE),0)</f>
        <v>0</v>
      </c>
      <c r="J98" s="32">
        <f>IFERROR(VLOOKUP(A98,'Centre DW1'!$A$7:$N$106,10,FALSE),0)+
IFERROR(VLOOKUP(A98,'Centre WP1'!$A$7:$N$107,10,FALSE),0)+
IFERROR(VLOOKUP(A98,'Centre WR1'!$A$7:$N$106,10,FALSE),0)+
IFERROR(VLOOKUP(A98,'Centre WV1'!$A$7:$N$109,10,FALSE),0)</f>
        <v>0</v>
      </c>
      <c r="K98" s="32">
        <f>IFERROR(VLOOKUP(A98,'Centre DW1'!$A$7:$N$106,11,FALSE),0)+
IFERROR(VLOOKUP(A98,'Centre WP1'!$A$7:$N$107,11,FALSE),0)+
IFERROR(VLOOKUP(A98,'Centre WR1'!$A$7:$N$106,11,FALSE),0)+
IFERROR(VLOOKUP(A98,'Centre WV1'!$A$7:$N$109,11,FALSE),0)</f>
        <v>0</v>
      </c>
      <c r="L98" s="32">
        <f>IFERROR(VLOOKUP(A98,'Centre DW1'!$A$7:$N$106,12,FALSE),0)+
IFERROR(VLOOKUP(A98,'Centre WP1'!$A$7:$N$107,12,FALSE),0)+
IFERROR(VLOOKUP(A98,'Centre WR1'!$A$7:$N$106,12,FALSE),0)+
IFERROR(VLOOKUP(A98,'Centre WV1'!$A$7:$N$109,12,FALSE),0)</f>
        <v>0</v>
      </c>
      <c r="M98" s="32">
        <f>IFERROR(VLOOKUP(A98,'Centre DW1'!$A$7:$N$106,13,FALSE),0)+
IFERROR(VLOOKUP(A98,'Centre WP1'!$A$7:$N$107,13,FALSE),0)+
IFERROR(VLOOKUP(A98,'Centre WR1'!$A$7:$N$106,13,FALSE),0)+
IFERROR(VLOOKUP(A98,'Centre WV1'!$A$7:$N$109,13,FALSE),0)</f>
        <v>0</v>
      </c>
      <c r="N98" s="32">
        <f>IFERROR(VLOOKUP(A98,'Centre DW1'!$A$7:$N$106,14,FALSE),0)+
IFERROR(VLOOKUP(A98,'Centre WP1'!$A$7:$N$107,14,FALSE),0)+
IFERROR(VLOOKUP(A98,'Centre WR1'!$A$7:$N$106,14,FALSE),0)+
IFERROR(VLOOKUP(A98,'Centre WV1'!$A$7:$N$109,14,FALSE),0)</f>
        <v>0</v>
      </c>
    </row>
    <row r="99" spans="1:14" outlineLevel="1" x14ac:dyDescent="0.2">
      <c r="A99" s="9" t="s">
        <v>198</v>
      </c>
      <c r="B99" s="1" t="s">
        <v>199</v>
      </c>
      <c r="C99" s="10">
        <f>IFERROR(VLOOKUP(A99,'Centre DW1'!$A$7:$N$106,3,FALSE),0)+
IFERROR(VLOOKUP(A99,'Centre WP1'!$A$7:$N$107,3,FALSE),0)+
IFERROR(VLOOKUP(A99,'Centre WR1'!$A$7:$N$106,3,FALSE),0)+
IFERROR(VLOOKUP(A99,'Centre WV1'!$A$7:$N$109,3,FALSE),0)</f>
        <v>0.3</v>
      </c>
      <c r="D99" s="10">
        <f>IFERROR(VLOOKUP(A99,'Centre DW1'!$A$7:$N$106,4,FALSE),0)+
IFERROR(VLOOKUP(A99,'Centre WP1'!$A$7:$N$107,4,FALSE),0)+
IFERROR(VLOOKUP(A99,'Centre WR1'!$A$7:$N$106,4,FALSE),0)+
IFERROR(VLOOKUP(A99,'Centre WV1'!$A$7:$N$109,4,FALSE),0)</f>
        <v>0.3</v>
      </c>
      <c r="E99" s="10">
        <f>IFERROR(VLOOKUP(A99,'Centre DW1'!$A$7:$N$106,5,FALSE),0)+
IFERROR(VLOOKUP(A99,'Centre WP1'!$A$7:$N$107,5,FALSE),0)+
IFERROR(VLOOKUP(A99,'Centre WR1'!$A$7:$N$106,5,FALSE),0)+
IFERROR(VLOOKUP(A99,'Centre WV1'!$A$7:$N$109,5,FALSE),0)</f>
        <v>0.3</v>
      </c>
      <c r="F99" s="10">
        <f>IFERROR(VLOOKUP(A99,'Centre DW1'!$A$7:$N$106,6,FALSE),0)+
IFERROR(VLOOKUP(A99,'Centre WP1'!$A$7:$N$107,6,FALSE),0)+
IFERROR(VLOOKUP(A99,'Centre WR1'!$A$7:$N$106,6,FALSE),0)+
IFERROR(VLOOKUP(A99,'Centre WV1'!$A$7:$N$109,6,FALSE),0)</f>
        <v>0.4</v>
      </c>
      <c r="G99" s="10">
        <f>IFERROR(VLOOKUP(A99,'Centre DW1'!$A$7:$N$106,7,FALSE),0)+
IFERROR(VLOOKUP(A99,'Centre WP1'!$A$7:$N$107,7,FALSE),0)+
IFERROR(VLOOKUP(A99,'Centre WR1'!$A$7:$N$106,7,FALSE),0)+
IFERROR(VLOOKUP(A99,'Centre WV1'!$A$7:$N$109,7,FALSE),0)</f>
        <v>0.4</v>
      </c>
      <c r="H99" s="10">
        <f>IFERROR(VLOOKUP(A99,'Centre DW1'!$A$7:$N$106,8,FALSE),0)+
IFERROR(VLOOKUP(A99,'Centre WP1'!$A$7:$N$107,8,FALSE),0)+
IFERROR(VLOOKUP(A99,'Centre WR1'!$A$7:$N$106,8,FALSE),0)+
IFERROR(VLOOKUP(A99,'Centre WV1'!$A$7:$N$109,8,FALSE),0)</f>
        <v>0.3</v>
      </c>
      <c r="I99" s="10">
        <f>IFERROR(VLOOKUP(A99,'Centre DW1'!$A$7:$N$106,9,FALSE),0)+
IFERROR(VLOOKUP(A99,'Centre WP1'!$A$7:$N$107,9,FALSE),0)+
IFERROR(VLOOKUP(A99,'Centre WR1'!$A$7:$N$106,9,FALSE),0)+
IFERROR(VLOOKUP(A99,'Centre WV1'!$A$7:$N$109,9,FALSE),0)</f>
        <v>0.3</v>
      </c>
      <c r="J99" s="32">
        <f>IFERROR(VLOOKUP(A99,'Centre DW1'!$A$7:$N$106,10,FALSE),0)+
IFERROR(VLOOKUP(A99,'Centre WP1'!$A$7:$N$107,10,FALSE),0)+
IFERROR(VLOOKUP(A99,'Centre WR1'!$A$7:$N$106,10,FALSE),0)+
IFERROR(VLOOKUP(A99,'Centre WV1'!$A$7:$N$109,10,FALSE),0)</f>
        <v>0.3</v>
      </c>
      <c r="K99" s="32">
        <f>IFERROR(VLOOKUP(A99,'Centre DW1'!$A$7:$N$106,11,FALSE),0)+
IFERROR(VLOOKUP(A99,'Centre WP1'!$A$7:$N$107,11,FALSE),0)+
IFERROR(VLOOKUP(A99,'Centre WR1'!$A$7:$N$106,11,FALSE),0)+
IFERROR(VLOOKUP(A99,'Centre WV1'!$A$7:$N$109,11,FALSE),0)</f>
        <v>0.4</v>
      </c>
      <c r="L99" s="32">
        <f>IFERROR(VLOOKUP(A99,'Centre DW1'!$A$7:$N$106,12,FALSE),0)+
IFERROR(VLOOKUP(A99,'Centre WP1'!$A$7:$N$107,12,FALSE),0)+
IFERROR(VLOOKUP(A99,'Centre WR1'!$A$7:$N$106,12,FALSE),0)+
IFERROR(VLOOKUP(A99,'Centre WV1'!$A$7:$N$109,12,FALSE),0)</f>
        <v>0.4</v>
      </c>
      <c r="M99" s="32">
        <f>IFERROR(VLOOKUP(A99,'Centre DW1'!$A$7:$N$106,13,FALSE),0)+
IFERROR(VLOOKUP(A99,'Centre WP1'!$A$7:$N$107,13,FALSE),0)+
IFERROR(VLOOKUP(A99,'Centre WR1'!$A$7:$N$106,13,FALSE),0)+
IFERROR(VLOOKUP(A99,'Centre WV1'!$A$7:$N$109,13,FALSE),0)</f>
        <v>0.3</v>
      </c>
      <c r="N99" s="32">
        <f>IFERROR(VLOOKUP(A99,'Centre DW1'!$A$7:$N$106,14,FALSE),0)+
IFERROR(VLOOKUP(A99,'Centre WP1'!$A$7:$N$107,14,FALSE),0)+
IFERROR(VLOOKUP(A99,'Centre WR1'!$A$7:$N$106,14,FALSE),0)+
IFERROR(VLOOKUP(A99,'Centre WV1'!$A$7:$N$109,14,FALSE),0)</f>
        <v>0.3</v>
      </c>
    </row>
    <row r="100" spans="1:14" x14ac:dyDescent="0.2">
      <c r="A100" s="33" t="s">
        <v>200</v>
      </c>
      <c r="B100" s="34" t="s">
        <v>201</v>
      </c>
      <c r="C100" s="37">
        <f>SUM(C101:C112)</f>
        <v>1.3</v>
      </c>
      <c r="D100" s="37">
        <f t="shared" ref="D100:N100" si="17">SUM(D101:D112)</f>
        <v>1.2</v>
      </c>
      <c r="E100" s="37">
        <f t="shared" si="17"/>
        <v>1.6</v>
      </c>
      <c r="F100" s="37">
        <f t="shared" si="17"/>
        <v>1.6</v>
      </c>
      <c r="G100" s="37">
        <f t="shared" si="17"/>
        <v>0.5</v>
      </c>
      <c r="H100" s="37">
        <f t="shared" si="17"/>
        <v>3</v>
      </c>
      <c r="I100" s="37">
        <f t="shared" si="17"/>
        <v>6.1000000000000005</v>
      </c>
      <c r="J100" s="37">
        <f t="shared" si="17"/>
        <v>1.6</v>
      </c>
      <c r="K100" s="37">
        <f t="shared" si="17"/>
        <v>1.6</v>
      </c>
      <c r="L100" s="37">
        <f t="shared" si="17"/>
        <v>1.7</v>
      </c>
      <c r="M100" s="37">
        <f t="shared" si="17"/>
        <v>0.8</v>
      </c>
      <c r="N100" s="37">
        <f t="shared" si="17"/>
        <v>3</v>
      </c>
    </row>
    <row r="101" spans="1:14" outlineLevel="1" x14ac:dyDescent="0.2">
      <c r="A101" s="9" t="s">
        <v>202</v>
      </c>
      <c r="B101" s="1" t="s">
        <v>203</v>
      </c>
      <c r="C101" s="10">
        <f>IFERROR(VLOOKUP(A101,'Centre DW1'!$A$7:$N$106,3,FALSE),0)+
IFERROR(VLOOKUP(A101,'Centre WP1'!$A$7:$N$107,3,FALSE),0)+
IFERROR(VLOOKUP(A101,'Centre WR1'!$A$7:$N$106,3,FALSE),0)+
IFERROR(VLOOKUP(A101,'Centre WV1'!$A$7:$N$109,3,FALSE),0)</f>
        <v>0</v>
      </c>
      <c r="D101" s="10">
        <f>IFERROR(VLOOKUP(A101,'Centre DW1'!$A$7:$N$106,4,FALSE),0)+
IFERROR(VLOOKUP(A101,'Centre WP1'!$A$7:$N$107,4,FALSE),0)+
IFERROR(VLOOKUP(A101,'Centre WR1'!$A$7:$N$106,4,FALSE),0)+
IFERROR(VLOOKUP(A101,'Centre WV1'!$A$7:$N$109,4,FALSE),0)</f>
        <v>0</v>
      </c>
      <c r="E101" s="10">
        <f>IFERROR(VLOOKUP(A101,'Centre DW1'!$A$7:$N$106,5,FALSE),0)+
IFERROR(VLOOKUP(A101,'Centre WP1'!$A$7:$N$107,5,FALSE),0)+
IFERROR(VLOOKUP(A101,'Centre WR1'!$A$7:$N$106,5,FALSE),0)+
IFERROR(VLOOKUP(A101,'Centre WV1'!$A$7:$N$109,5,FALSE),0)</f>
        <v>0</v>
      </c>
      <c r="F101" s="10">
        <f>IFERROR(VLOOKUP(A101,'Centre DW1'!$A$7:$N$106,6,FALSE),0)+
IFERROR(VLOOKUP(A101,'Centre WP1'!$A$7:$N$107,6,FALSE),0)+
IFERROR(VLOOKUP(A101,'Centre WR1'!$A$7:$N$106,6,FALSE),0)+
IFERROR(VLOOKUP(A101,'Centre WV1'!$A$7:$N$109,6,FALSE),0)</f>
        <v>0</v>
      </c>
      <c r="G101" s="10">
        <f>IFERROR(VLOOKUP(A101,'Centre DW1'!$A$7:$N$106,7,FALSE),0)+
IFERROR(VLOOKUP(A101,'Centre WP1'!$A$7:$N$107,7,FALSE),0)+
IFERROR(VLOOKUP(A101,'Centre WR1'!$A$7:$N$106,7,FALSE),0)+
IFERROR(VLOOKUP(A101,'Centre WV1'!$A$7:$N$109,7,FALSE),0)</f>
        <v>0</v>
      </c>
      <c r="H101" s="10">
        <f>IFERROR(VLOOKUP(A101,'Centre DW1'!$A$7:$N$106,8,FALSE),0)+
IFERROR(VLOOKUP(A101,'Centre WP1'!$A$7:$N$107,8,FALSE),0)+
IFERROR(VLOOKUP(A101,'Centre WR1'!$A$7:$N$106,8,FALSE),0)+
IFERROR(VLOOKUP(A101,'Centre WV1'!$A$7:$N$109,8,FALSE),0)</f>
        <v>0</v>
      </c>
      <c r="I101" s="10">
        <f>IFERROR(VLOOKUP(A101,'Centre DW1'!$A$7:$N$106,9,FALSE),0)+
IFERROR(VLOOKUP(A101,'Centre WP1'!$A$7:$N$107,9,FALSE),0)+
IFERROR(VLOOKUP(A101,'Centre WR1'!$A$7:$N$106,9,FALSE),0)+
IFERROR(VLOOKUP(A101,'Centre WV1'!$A$7:$N$109,9,FALSE),0)</f>
        <v>0</v>
      </c>
      <c r="J101" s="32">
        <f>IFERROR(VLOOKUP(A101,'Centre DW1'!$A$7:$N$106,10,FALSE),0)+
IFERROR(VLOOKUP(A101,'Centre WP1'!$A$7:$N$107,10,FALSE),0)+
IFERROR(VLOOKUP(A101,'Centre WR1'!$A$7:$N$106,10,FALSE),0)+
IFERROR(VLOOKUP(A101,'Centre WV1'!$A$7:$N$109,10,FALSE),0)</f>
        <v>0</v>
      </c>
      <c r="K101" s="32">
        <f>IFERROR(VLOOKUP(A101,'Centre DW1'!$A$7:$N$106,11,FALSE),0)+
IFERROR(VLOOKUP(A101,'Centre WP1'!$A$7:$N$107,11,FALSE),0)+
IFERROR(VLOOKUP(A101,'Centre WR1'!$A$7:$N$106,11,FALSE),0)+
IFERROR(VLOOKUP(A101,'Centre WV1'!$A$7:$N$109,11,FALSE),0)</f>
        <v>0</v>
      </c>
      <c r="L101" s="32">
        <f>IFERROR(VLOOKUP(A101,'Centre DW1'!$A$7:$N$106,12,FALSE),0)+
IFERROR(VLOOKUP(A101,'Centre WP1'!$A$7:$N$107,12,FALSE),0)+
IFERROR(VLOOKUP(A101,'Centre WR1'!$A$7:$N$106,12,FALSE),0)+
IFERROR(VLOOKUP(A101,'Centre WV1'!$A$7:$N$109,12,FALSE),0)</f>
        <v>0</v>
      </c>
      <c r="M101" s="32">
        <f>IFERROR(VLOOKUP(A101,'Centre DW1'!$A$7:$N$106,13,FALSE),0)+
IFERROR(VLOOKUP(A101,'Centre WP1'!$A$7:$N$107,13,FALSE),0)+
IFERROR(VLOOKUP(A101,'Centre WR1'!$A$7:$N$106,13,FALSE),0)+
IFERROR(VLOOKUP(A101,'Centre WV1'!$A$7:$N$109,13,FALSE),0)</f>
        <v>0</v>
      </c>
      <c r="N101" s="32">
        <f>IFERROR(VLOOKUP(A101,'Centre DW1'!$A$7:$N$106,14,FALSE),0)+
IFERROR(VLOOKUP(A101,'Centre WP1'!$A$7:$N$107,14,FALSE),0)+
IFERROR(VLOOKUP(A101,'Centre WR1'!$A$7:$N$106,14,FALSE),0)+
IFERROR(VLOOKUP(A101,'Centre WV1'!$A$7:$N$109,14,FALSE),0)</f>
        <v>0</v>
      </c>
    </row>
    <row r="102" spans="1:14" outlineLevel="1" x14ac:dyDescent="0.2">
      <c r="A102" s="9" t="s">
        <v>204</v>
      </c>
      <c r="B102" s="1" t="s">
        <v>205</v>
      </c>
      <c r="C102" s="10">
        <f>IFERROR(VLOOKUP(A102,'Centre DW1'!$A$7:$N$106,3,FALSE),0)+
IFERROR(VLOOKUP(A102,'Centre WP1'!$A$7:$N$107,3,FALSE),0)+
IFERROR(VLOOKUP(A102,'Centre WR1'!$A$7:$N$106,3,FALSE),0)+
IFERROR(VLOOKUP(A102,'Centre WV1'!$A$7:$N$109,3,FALSE),0)</f>
        <v>0</v>
      </c>
      <c r="D102" s="10">
        <f>IFERROR(VLOOKUP(A102,'Centre DW1'!$A$7:$N$106,4,FALSE),0)+
IFERROR(VLOOKUP(A102,'Centre WP1'!$A$7:$N$107,4,FALSE),0)+
IFERROR(VLOOKUP(A102,'Centre WR1'!$A$7:$N$106,4,FALSE),0)+
IFERROR(VLOOKUP(A102,'Centre WV1'!$A$7:$N$109,4,FALSE),0)</f>
        <v>0</v>
      </c>
      <c r="E102" s="10">
        <f>IFERROR(VLOOKUP(A102,'Centre DW1'!$A$7:$N$106,5,FALSE),0)+
IFERROR(VLOOKUP(A102,'Centre WP1'!$A$7:$N$107,5,FALSE),0)+
IFERROR(VLOOKUP(A102,'Centre WR1'!$A$7:$N$106,5,FALSE),0)+
IFERROR(VLOOKUP(A102,'Centre WV1'!$A$7:$N$109,5,FALSE),0)</f>
        <v>0</v>
      </c>
      <c r="F102" s="10">
        <f>IFERROR(VLOOKUP(A102,'Centre DW1'!$A$7:$N$106,6,FALSE),0)+
IFERROR(VLOOKUP(A102,'Centre WP1'!$A$7:$N$107,6,FALSE),0)+
IFERROR(VLOOKUP(A102,'Centre WR1'!$A$7:$N$106,6,FALSE),0)+
IFERROR(VLOOKUP(A102,'Centre WV1'!$A$7:$N$109,6,FALSE),0)</f>
        <v>0</v>
      </c>
      <c r="G102" s="10">
        <f>IFERROR(VLOOKUP(A102,'Centre DW1'!$A$7:$N$106,7,FALSE),0)+
IFERROR(VLOOKUP(A102,'Centre WP1'!$A$7:$N$107,7,FALSE),0)+
IFERROR(VLOOKUP(A102,'Centre WR1'!$A$7:$N$106,7,FALSE),0)+
IFERROR(VLOOKUP(A102,'Centre WV1'!$A$7:$N$109,7,FALSE),0)</f>
        <v>0</v>
      </c>
      <c r="H102" s="10">
        <f>IFERROR(VLOOKUP(A102,'Centre DW1'!$A$7:$N$106,8,FALSE),0)+
IFERROR(VLOOKUP(A102,'Centre WP1'!$A$7:$N$107,8,FALSE),0)+
IFERROR(VLOOKUP(A102,'Centre WR1'!$A$7:$N$106,8,FALSE),0)+
IFERROR(VLOOKUP(A102,'Centre WV1'!$A$7:$N$109,8,FALSE),0)</f>
        <v>0</v>
      </c>
      <c r="I102" s="10">
        <f>IFERROR(VLOOKUP(A102,'Centre DW1'!$A$7:$N$106,9,FALSE),0)+
IFERROR(VLOOKUP(A102,'Centre WP1'!$A$7:$N$107,9,FALSE),0)+
IFERROR(VLOOKUP(A102,'Centre WR1'!$A$7:$N$106,9,FALSE),0)+
IFERROR(VLOOKUP(A102,'Centre WV1'!$A$7:$N$109,9,FALSE),0)</f>
        <v>0</v>
      </c>
      <c r="J102" s="32">
        <f>IFERROR(VLOOKUP(A102,'Centre DW1'!$A$7:$N$106,10,FALSE),0)+
IFERROR(VLOOKUP(A102,'Centre WP1'!$A$7:$N$107,10,FALSE),0)+
IFERROR(VLOOKUP(A102,'Centre WR1'!$A$7:$N$106,10,FALSE),0)+
IFERROR(VLOOKUP(A102,'Centre WV1'!$A$7:$N$109,10,FALSE),0)</f>
        <v>0</v>
      </c>
      <c r="K102" s="32">
        <f>IFERROR(VLOOKUP(A102,'Centre DW1'!$A$7:$N$106,11,FALSE),0)+
IFERROR(VLOOKUP(A102,'Centre WP1'!$A$7:$N$107,11,FALSE),0)+
IFERROR(VLOOKUP(A102,'Centre WR1'!$A$7:$N$106,11,FALSE),0)+
IFERROR(VLOOKUP(A102,'Centre WV1'!$A$7:$N$109,11,FALSE),0)</f>
        <v>0</v>
      </c>
      <c r="L102" s="32">
        <f>IFERROR(VLOOKUP(A102,'Centre DW1'!$A$7:$N$106,12,FALSE),0)+
IFERROR(VLOOKUP(A102,'Centre WP1'!$A$7:$N$107,12,FALSE),0)+
IFERROR(VLOOKUP(A102,'Centre WR1'!$A$7:$N$106,12,FALSE),0)+
IFERROR(VLOOKUP(A102,'Centre WV1'!$A$7:$N$109,12,FALSE),0)</f>
        <v>0</v>
      </c>
      <c r="M102" s="32">
        <f>IFERROR(VLOOKUP(A102,'Centre DW1'!$A$7:$N$106,13,FALSE),0)+
IFERROR(VLOOKUP(A102,'Centre WP1'!$A$7:$N$107,13,FALSE),0)+
IFERROR(VLOOKUP(A102,'Centre WR1'!$A$7:$N$106,13,FALSE),0)+
IFERROR(VLOOKUP(A102,'Centre WV1'!$A$7:$N$109,13,FALSE),0)</f>
        <v>0</v>
      </c>
      <c r="N102" s="32">
        <f>IFERROR(VLOOKUP(A102,'Centre DW1'!$A$7:$N$106,14,FALSE),0)+
IFERROR(VLOOKUP(A102,'Centre WP1'!$A$7:$N$107,14,FALSE),0)+
IFERROR(VLOOKUP(A102,'Centre WR1'!$A$7:$N$106,14,FALSE),0)+
IFERROR(VLOOKUP(A102,'Centre WV1'!$A$7:$N$109,14,FALSE),0)</f>
        <v>0</v>
      </c>
    </row>
    <row r="103" spans="1:14" outlineLevel="1" x14ac:dyDescent="0.2">
      <c r="A103" s="9" t="s">
        <v>206</v>
      </c>
      <c r="B103" s="1" t="s">
        <v>207</v>
      </c>
      <c r="C103" s="10">
        <f>IFERROR(VLOOKUP(A103,'Centre DW1'!$A$7:$N$106,3,FALSE),0)+
IFERROR(VLOOKUP(A103,'Centre WP1'!$A$7:$N$107,3,FALSE),0)+
IFERROR(VLOOKUP(A103,'Centre WR1'!$A$7:$N$106,3,FALSE),0)+
IFERROR(VLOOKUP(A103,'Centre WV1'!$A$7:$N$109,3,FALSE),0)</f>
        <v>0</v>
      </c>
      <c r="D103" s="10">
        <f>IFERROR(VLOOKUP(A103,'Centre DW1'!$A$7:$N$106,4,FALSE),0)+
IFERROR(VLOOKUP(A103,'Centre WP1'!$A$7:$N$107,4,FALSE),0)+
IFERROR(VLOOKUP(A103,'Centre WR1'!$A$7:$N$106,4,FALSE),0)+
IFERROR(VLOOKUP(A103,'Centre WV1'!$A$7:$N$109,4,FALSE),0)</f>
        <v>0.1</v>
      </c>
      <c r="E103" s="10">
        <f>IFERROR(VLOOKUP(A103,'Centre DW1'!$A$7:$N$106,5,FALSE),0)+
IFERROR(VLOOKUP(A103,'Centre WP1'!$A$7:$N$107,5,FALSE),0)+
IFERROR(VLOOKUP(A103,'Centre WR1'!$A$7:$N$106,5,FALSE),0)+
IFERROR(VLOOKUP(A103,'Centre WV1'!$A$7:$N$109,5,FALSE),0)</f>
        <v>0.1</v>
      </c>
      <c r="F103" s="10">
        <f>IFERROR(VLOOKUP(A103,'Centre DW1'!$A$7:$N$106,6,FALSE),0)+
IFERROR(VLOOKUP(A103,'Centre WP1'!$A$7:$N$107,6,FALSE),0)+
IFERROR(VLOOKUP(A103,'Centre WR1'!$A$7:$N$106,6,FALSE),0)+
IFERROR(VLOOKUP(A103,'Centre WV1'!$A$7:$N$109,6,FALSE),0)</f>
        <v>0.1</v>
      </c>
      <c r="G103" s="10">
        <f>IFERROR(VLOOKUP(A103,'Centre DW1'!$A$7:$N$106,7,FALSE),0)+
IFERROR(VLOOKUP(A103,'Centre WP1'!$A$7:$N$107,7,FALSE),0)+
IFERROR(VLOOKUP(A103,'Centre WR1'!$A$7:$N$106,7,FALSE),0)+
IFERROR(VLOOKUP(A103,'Centre WV1'!$A$7:$N$109,7,FALSE),0)</f>
        <v>0</v>
      </c>
      <c r="H103" s="10">
        <f>IFERROR(VLOOKUP(A103,'Centre DW1'!$A$7:$N$106,8,FALSE),0)+
IFERROR(VLOOKUP(A103,'Centre WP1'!$A$7:$N$107,8,FALSE),0)+
IFERROR(VLOOKUP(A103,'Centre WR1'!$A$7:$N$106,8,FALSE),0)+
IFERROR(VLOOKUP(A103,'Centre WV1'!$A$7:$N$109,8,FALSE),0)</f>
        <v>0.1</v>
      </c>
      <c r="I103" s="10">
        <f>IFERROR(VLOOKUP(A103,'Centre DW1'!$A$7:$N$106,9,FALSE),0)+
IFERROR(VLOOKUP(A103,'Centre WP1'!$A$7:$N$107,9,FALSE),0)+
IFERROR(VLOOKUP(A103,'Centre WR1'!$A$7:$N$106,9,FALSE),0)+
IFERROR(VLOOKUP(A103,'Centre WV1'!$A$7:$N$109,9,FALSE),0)</f>
        <v>0.1</v>
      </c>
      <c r="J103" s="32">
        <f>IFERROR(VLOOKUP(A103,'Centre DW1'!$A$7:$N$106,10,FALSE),0)+
IFERROR(VLOOKUP(A103,'Centre WP1'!$A$7:$N$107,10,FALSE),0)+
IFERROR(VLOOKUP(A103,'Centre WR1'!$A$7:$N$106,10,FALSE),0)+
IFERROR(VLOOKUP(A103,'Centre WV1'!$A$7:$N$109,10,FALSE),0)</f>
        <v>0.1</v>
      </c>
      <c r="K103" s="32">
        <f>IFERROR(VLOOKUP(A103,'Centre DW1'!$A$7:$N$106,11,FALSE),0)+
IFERROR(VLOOKUP(A103,'Centre WP1'!$A$7:$N$107,11,FALSE),0)+
IFERROR(VLOOKUP(A103,'Centre WR1'!$A$7:$N$106,11,FALSE),0)+
IFERROR(VLOOKUP(A103,'Centre WV1'!$A$7:$N$109,11,FALSE),0)</f>
        <v>0.1</v>
      </c>
      <c r="L103" s="32">
        <f>IFERROR(VLOOKUP(A103,'Centre DW1'!$A$7:$N$106,12,FALSE),0)+
IFERROR(VLOOKUP(A103,'Centre WP1'!$A$7:$N$107,12,FALSE),0)+
IFERROR(VLOOKUP(A103,'Centre WR1'!$A$7:$N$106,12,FALSE),0)+
IFERROR(VLOOKUP(A103,'Centre WV1'!$A$7:$N$109,12,FALSE),0)</f>
        <v>0</v>
      </c>
      <c r="M103" s="32">
        <f>IFERROR(VLOOKUP(A103,'Centre DW1'!$A$7:$N$106,13,FALSE),0)+
IFERROR(VLOOKUP(A103,'Centre WP1'!$A$7:$N$107,13,FALSE),0)+
IFERROR(VLOOKUP(A103,'Centre WR1'!$A$7:$N$106,13,FALSE),0)+
IFERROR(VLOOKUP(A103,'Centre WV1'!$A$7:$N$109,13,FALSE),0)</f>
        <v>0.1</v>
      </c>
      <c r="N103" s="32">
        <f>IFERROR(VLOOKUP(A103,'Centre DW1'!$A$7:$N$106,14,FALSE),0)+
IFERROR(VLOOKUP(A103,'Centre WP1'!$A$7:$N$107,14,FALSE),0)+
IFERROR(VLOOKUP(A103,'Centre WR1'!$A$7:$N$106,14,FALSE),0)+
IFERROR(VLOOKUP(A103,'Centre WV1'!$A$7:$N$109,14,FALSE),0)</f>
        <v>0.1</v>
      </c>
    </row>
    <row r="104" spans="1:14" outlineLevel="1" x14ac:dyDescent="0.2">
      <c r="A104" s="9" t="s">
        <v>208</v>
      </c>
      <c r="B104" s="1" t="s">
        <v>209</v>
      </c>
      <c r="C104" s="10">
        <f>IFERROR(VLOOKUP(A104,'Centre DW1'!$A$7:$N$106,3,FALSE),0)+
IFERROR(VLOOKUP(A104,'Centre WP1'!$A$7:$N$107,3,FALSE),0)+
IFERROR(VLOOKUP(A104,'Centre WR1'!$A$7:$N$106,3,FALSE),0)+
IFERROR(VLOOKUP(A104,'Centre WV1'!$A$7:$N$109,3,FALSE),0)</f>
        <v>0</v>
      </c>
      <c r="D104" s="10">
        <f>IFERROR(VLOOKUP(A104,'Centre DW1'!$A$7:$N$106,4,FALSE),0)+
IFERROR(VLOOKUP(A104,'Centre WP1'!$A$7:$N$107,4,FALSE),0)+
IFERROR(VLOOKUP(A104,'Centre WR1'!$A$7:$N$106,4,FALSE),0)+
IFERROR(VLOOKUP(A104,'Centre WV1'!$A$7:$N$109,4,FALSE),0)</f>
        <v>0</v>
      </c>
      <c r="E104" s="10">
        <f>IFERROR(VLOOKUP(A104,'Centre DW1'!$A$7:$N$106,5,FALSE),0)+
IFERROR(VLOOKUP(A104,'Centre WP1'!$A$7:$N$107,5,FALSE),0)+
IFERROR(VLOOKUP(A104,'Centre WR1'!$A$7:$N$106,5,FALSE),0)+
IFERROR(VLOOKUP(A104,'Centre WV1'!$A$7:$N$109,5,FALSE),0)</f>
        <v>0</v>
      </c>
      <c r="F104" s="10">
        <f>IFERROR(VLOOKUP(A104,'Centre DW1'!$A$7:$N$106,6,FALSE),0)+
IFERROR(VLOOKUP(A104,'Centre WP1'!$A$7:$N$107,6,FALSE),0)+
IFERROR(VLOOKUP(A104,'Centre WR1'!$A$7:$N$106,6,FALSE),0)+
IFERROR(VLOOKUP(A104,'Centre WV1'!$A$7:$N$109,6,FALSE),0)</f>
        <v>0</v>
      </c>
      <c r="G104" s="10">
        <f>IFERROR(VLOOKUP(A104,'Centre DW1'!$A$7:$N$106,7,FALSE),0)+
IFERROR(VLOOKUP(A104,'Centre WP1'!$A$7:$N$107,7,FALSE),0)+
IFERROR(VLOOKUP(A104,'Centre WR1'!$A$7:$N$106,7,FALSE),0)+
IFERROR(VLOOKUP(A104,'Centre WV1'!$A$7:$N$109,7,FALSE),0)</f>
        <v>0</v>
      </c>
      <c r="H104" s="10">
        <f>IFERROR(VLOOKUP(A104,'Centre DW1'!$A$7:$N$106,8,FALSE),0)+
IFERROR(VLOOKUP(A104,'Centre WP1'!$A$7:$N$107,8,FALSE),0)+
IFERROR(VLOOKUP(A104,'Centre WR1'!$A$7:$N$106,8,FALSE),0)+
IFERROR(VLOOKUP(A104,'Centre WV1'!$A$7:$N$109,8,FALSE),0)</f>
        <v>0</v>
      </c>
      <c r="I104" s="10">
        <f>IFERROR(VLOOKUP(A104,'Centre DW1'!$A$7:$N$106,9,FALSE),0)+
IFERROR(VLOOKUP(A104,'Centre WP1'!$A$7:$N$107,9,FALSE),0)+
IFERROR(VLOOKUP(A104,'Centre WR1'!$A$7:$N$106,9,FALSE),0)+
IFERROR(VLOOKUP(A104,'Centre WV1'!$A$7:$N$109,9,FALSE),0)</f>
        <v>0</v>
      </c>
      <c r="J104" s="32">
        <f>IFERROR(VLOOKUP(A104,'Centre DW1'!$A$7:$N$106,10,FALSE),0)+
IFERROR(VLOOKUP(A104,'Centre WP1'!$A$7:$N$107,10,FALSE),0)+
IFERROR(VLOOKUP(A104,'Centre WR1'!$A$7:$N$106,10,FALSE),0)+
IFERROR(VLOOKUP(A104,'Centre WV1'!$A$7:$N$109,10,FALSE),0)</f>
        <v>0</v>
      </c>
      <c r="K104" s="32">
        <f>IFERROR(VLOOKUP(A104,'Centre DW1'!$A$7:$N$106,11,FALSE),0)+
IFERROR(VLOOKUP(A104,'Centre WP1'!$A$7:$N$107,11,FALSE),0)+
IFERROR(VLOOKUP(A104,'Centre WR1'!$A$7:$N$106,11,FALSE),0)+
IFERROR(VLOOKUP(A104,'Centre WV1'!$A$7:$N$109,11,FALSE),0)</f>
        <v>0</v>
      </c>
      <c r="L104" s="32">
        <f>IFERROR(VLOOKUP(A104,'Centre DW1'!$A$7:$N$106,12,FALSE),0)+
IFERROR(VLOOKUP(A104,'Centre WP1'!$A$7:$N$107,12,FALSE),0)+
IFERROR(VLOOKUP(A104,'Centre WR1'!$A$7:$N$106,12,FALSE),0)+
IFERROR(VLOOKUP(A104,'Centre WV1'!$A$7:$N$109,12,FALSE),0)</f>
        <v>0</v>
      </c>
      <c r="M104" s="32">
        <f>IFERROR(VLOOKUP(A104,'Centre DW1'!$A$7:$N$106,13,FALSE),0)+
IFERROR(VLOOKUP(A104,'Centre WP1'!$A$7:$N$107,13,FALSE),0)+
IFERROR(VLOOKUP(A104,'Centre WR1'!$A$7:$N$106,13,FALSE),0)+
IFERROR(VLOOKUP(A104,'Centre WV1'!$A$7:$N$109,13,FALSE),0)</f>
        <v>0</v>
      </c>
      <c r="N104" s="32">
        <f>IFERROR(VLOOKUP(A104,'Centre DW1'!$A$7:$N$106,14,FALSE),0)+
IFERROR(VLOOKUP(A104,'Centre WP1'!$A$7:$N$107,14,FALSE),0)+
IFERROR(VLOOKUP(A104,'Centre WR1'!$A$7:$N$106,14,FALSE),0)+
IFERROR(VLOOKUP(A104,'Centre WV1'!$A$7:$N$109,14,FALSE),0)</f>
        <v>0</v>
      </c>
    </row>
    <row r="105" spans="1:14" outlineLevel="1" x14ac:dyDescent="0.2">
      <c r="A105" s="9" t="s">
        <v>210</v>
      </c>
      <c r="B105" s="1" t="s">
        <v>211</v>
      </c>
      <c r="C105" s="10">
        <f>IFERROR(VLOOKUP(A105,'Centre DW1'!$A$7:$N$106,3,FALSE),0)+
IFERROR(VLOOKUP(A105,'Centre WP1'!$A$7:$N$107,3,FALSE),0)+
IFERROR(VLOOKUP(A105,'Centre WR1'!$A$7:$N$106,3,FALSE),0)+
IFERROR(VLOOKUP(A105,'Centre WV1'!$A$7:$N$109,3,FALSE),0)</f>
        <v>0.1</v>
      </c>
      <c r="D105" s="10">
        <f>IFERROR(VLOOKUP(A105,'Centre DW1'!$A$7:$N$106,4,FALSE),0)+
IFERROR(VLOOKUP(A105,'Centre WP1'!$A$7:$N$107,4,FALSE),0)+
IFERROR(VLOOKUP(A105,'Centre WR1'!$A$7:$N$106,4,FALSE),0)+
IFERROR(VLOOKUP(A105,'Centre WV1'!$A$7:$N$109,4,FALSE),0)</f>
        <v>0.2</v>
      </c>
      <c r="E105" s="10">
        <f>IFERROR(VLOOKUP(A105,'Centre DW1'!$A$7:$N$106,5,FALSE),0)+
IFERROR(VLOOKUP(A105,'Centre WP1'!$A$7:$N$107,5,FALSE),0)+
IFERROR(VLOOKUP(A105,'Centre WR1'!$A$7:$N$106,5,FALSE),0)+
IFERROR(VLOOKUP(A105,'Centre WV1'!$A$7:$N$109,5,FALSE),0)</f>
        <v>0.2</v>
      </c>
      <c r="F105" s="10">
        <f>IFERROR(VLOOKUP(A105,'Centre DW1'!$A$7:$N$106,6,FALSE),0)+
IFERROR(VLOOKUP(A105,'Centre WP1'!$A$7:$N$107,6,FALSE),0)+
IFERROR(VLOOKUP(A105,'Centre WR1'!$A$7:$N$106,6,FALSE),0)+
IFERROR(VLOOKUP(A105,'Centre WV1'!$A$7:$N$109,6,FALSE),0)</f>
        <v>0.1</v>
      </c>
      <c r="G105" s="10">
        <f>IFERROR(VLOOKUP(A105,'Centre DW1'!$A$7:$N$106,7,FALSE),0)+
IFERROR(VLOOKUP(A105,'Centre WP1'!$A$7:$N$107,7,FALSE),0)+
IFERROR(VLOOKUP(A105,'Centre WR1'!$A$7:$N$106,7,FALSE),0)+
IFERROR(VLOOKUP(A105,'Centre WV1'!$A$7:$N$109,7,FALSE),0)</f>
        <v>0.1</v>
      </c>
      <c r="H105" s="10">
        <f>IFERROR(VLOOKUP(A105,'Centre DW1'!$A$7:$N$106,8,FALSE),0)+
IFERROR(VLOOKUP(A105,'Centre WP1'!$A$7:$N$107,8,FALSE),0)+
IFERROR(VLOOKUP(A105,'Centre WR1'!$A$7:$N$106,8,FALSE),0)+
IFERROR(VLOOKUP(A105,'Centre WV1'!$A$7:$N$109,8,FALSE),0)</f>
        <v>0.1</v>
      </c>
      <c r="I105" s="10">
        <f>IFERROR(VLOOKUP(A105,'Centre DW1'!$A$7:$N$106,9,FALSE),0)+
IFERROR(VLOOKUP(A105,'Centre WP1'!$A$7:$N$107,9,FALSE),0)+
IFERROR(VLOOKUP(A105,'Centre WR1'!$A$7:$N$106,9,FALSE),0)+
IFERROR(VLOOKUP(A105,'Centre WV1'!$A$7:$N$109,9,FALSE),0)</f>
        <v>0.2</v>
      </c>
      <c r="J105" s="32">
        <f>IFERROR(VLOOKUP(A105,'Centre DW1'!$A$7:$N$106,10,FALSE),0)+
IFERROR(VLOOKUP(A105,'Centre WP1'!$A$7:$N$107,10,FALSE),0)+
IFERROR(VLOOKUP(A105,'Centre WR1'!$A$7:$N$106,10,FALSE),0)+
IFERROR(VLOOKUP(A105,'Centre WV1'!$A$7:$N$109,10,FALSE),0)</f>
        <v>0.2</v>
      </c>
      <c r="K105" s="32">
        <f>IFERROR(VLOOKUP(A105,'Centre DW1'!$A$7:$N$106,11,FALSE),0)+
IFERROR(VLOOKUP(A105,'Centre WP1'!$A$7:$N$107,11,FALSE),0)+
IFERROR(VLOOKUP(A105,'Centre WR1'!$A$7:$N$106,11,FALSE),0)+
IFERROR(VLOOKUP(A105,'Centre WV1'!$A$7:$N$109,11,FALSE),0)</f>
        <v>0.1</v>
      </c>
      <c r="L105" s="32">
        <f>IFERROR(VLOOKUP(A105,'Centre DW1'!$A$7:$N$106,12,FALSE),0)+
IFERROR(VLOOKUP(A105,'Centre WP1'!$A$7:$N$107,12,FALSE),0)+
IFERROR(VLOOKUP(A105,'Centre WR1'!$A$7:$N$106,12,FALSE),0)+
IFERROR(VLOOKUP(A105,'Centre WV1'!$A$7:$N$109,12,FALSE),0)</f>
        <v>0.1</v>
      </c>
      <c r="M105" s="32">
        <f>IFERROR(VLOOKUP(A105,'Centre DW1'!$A$7:$N$106,13,FALSE),0)+
IFERROR(VLOOKUP(A105,'Centre WP1'!$A$7:$N$107,13,FALSE),0)+
IFERROR(VLOOKUP(A105,'Centre WR1'!$A$7:$N$106,13,FALSE),0)+
IFERROR(VLOOKUP(A105,'Centre WV1'!$A$7:$N$109,13,FALSE),0)</f>
        <v>0.1</v>
      </c>
      <c r="N105" s="32">
        <f>IFERROR(VLOOKUP(A105,'Centre DW1'!$A$7:$N$106,14,FALSE),0)+
IFERROR(VLOOKUP(A105,'Centre WP1'!$A$7:$N$107,14,FALSE),0)+
IFERROR(VLOOKUP(A105,'Centre WR1'!$A$7:$N$106,14,FALSE),0)+
IFERROR(VLOOKUP(A105,'Centre WV1'!$A$7:$N$109,14,FALSE),0)</f>
        <v>0.1</v>
      </c>
    </row>
    <row r="106" spans="1:14" outlineLevel="1" x14ac:dyDescent="0.2">
      <c r="A106" s="9" t="s">
        <v>212</v>
      </c>
      <c r="B106" s="1" t="s">
        <v>213</v>
      </c>
      <c r="C106" s="10">
        <f>IFERROR(VLOOKUP(A106,'Centre DW1'!$A$7:$N$106,3,FALSE),0)+
IFERROR(VLOOKUP(A106,'Centre WP1'!$A$7:$N$107,3,FALSE),0)+
IFERROR(VLOOKUP(A106,'Centre WR1'!$A$7:$N$106,3,FALSE),0)+
IFERROR(VLOOKUP(A106,'Centre WV1'!$A$7:$N$109,3,FALSE),0)</f>
        <v>0</v>
      </c>
      <c r="D106" s="10">
        <f>IFERROR(VLOOKUP(A106,'Centre DW1'!$A$7:$N$106,4,FALSE),0)+
IFERROR(VLOOKUP(A106,'Centre WP1'!$A$7:$N$107,4,FALSE),0)+
IFERROR(VLOOKUP(A106,'Centre WR1'!$A$7:$N$106,4,FALSE),0)+
IFERROR(VLOOKUP(A106,'Centre WV1'!$A$7:$N$109,4,FALSE),0)</f>
        <v>0</v>
      </c>
      <c r="E106" s="10">
        <f>IFERROR(VLOOKUP(A106,'Centre DW1'!$A$7:$N$106,5,FALSE),0)+
IFERROR(VLOOKUP(A106,'Centre WP1'!$A$7:$N$107,5,FALSE),0)+
IFERROR(VLOOKUP(A106,'Centre WR1'!$A$7:$N$106,5,FALSE),0)+
IFERROR(VLOOKUP(A106,'Centre WV1'!$A$7:$N$109,5,FALSE),0)</f>
        <v>0</v>
      </c>
      <c r="F106" s="10">
        <f>IFERROR(VLOOKUP(A106,'Centre DW1'!$A$7:$N$106,6,FALSE),0)+
IFERROR(VLOOKUP(A106,'Centre WP1'!$A$7:$N$107,6,FALSE),0)+
IFERROR(VLOOKUP(A106,'Centre WR1'!$A$7:$N$106,6,FALSE),0)+
IFERROR(VLOOKUP(A106,'Centre WV1'!$A$7:$N$109,6,FALSE),0)</f>
        <v>0</v>
      </c>
      <c r="G106" s="10">
        <f>IFERROR(VLOOKUP(A106,'Centre DW1'!$A$7:$N$106,7,FALSE),0)+
IFERROR(VLOOKUP(A106,'Centre WP1'!$A$7:$N$107,7,FALSE),0)+
IFERROR(VLOOKUP(A106,'Centre WR1'!$A$7:$N$106,7,FALSE),0)+
IFERROR(VLOOKUP(A106,'Centre WV1'!$A$7:$N$109,7,FALSE),0)</f>
        <v>0</v>
      </c>
      <c r="H106" s="10">
        <f>IFERROR(VLOOKUP(A106,'Centre DW1'!$A$7:$N$106,8,FALSE),0)+
IFERROR(VLOOKUP(A106,'Centre WP1'!$A$7:$N$107,8,FALSE),0)+
IFERROR(VLOOKUP(A106,'Centre WR1'!$A$7:$N$106,8,FALSE),0)+
IFERROR(VLOOKUP(A106,'Centre WV1'!$A$7:$N$109,8,FALSE),0)</f>
        <v>0</v>
      </c>
      <c r="I106" s="10">
        <f>IFERROR(VLOOKUP(A106,'Centre DW1'!$A$7:$N$106,9,FALSE),0)+
IFERROR(VLOOKUP(A106,'Centre WP1'!$A$7:$N$107,9,FALSE),0)+
IFERROR(VLOOKUP(A106,'Centre WR1'!$A$7:$N$106,9,FALSE),0)+
IFERROR(VLOOKUP(A106,'Centre WV1'!$A$7:$N$109,9,FALSE),0)</f>
        <v>0</v>
      </c>
      <c r="J106" s="32">
        <f>IFERROR(VLOOKUP(A106,'Centre DW1'!$A$7:$N$106,10,FALSE),0)+
IFERROR(VLOOKUP(A106,'Centre WP1'!$A$7:$N$107,10,FALSE),0)+
IFERROR(VLOOKUP(A106,'Centre WR1'!$A$7:$N$106,10,FALSE),0)+
IFERROR(VLOOKUP(A106,'Centre WV1'!$A$7:$N$109,10,FALSE),0)</f>
        <v>0</v>
      </c>
      <c r="K106" s="32">
        <f>IFERROR(VLOOKUP(A106,'Centre DW1'!$A$7:$N$106,11,FALSE),0)+
IFERROR(VLOOKUP(A106,'Centre WP1'!$A$7:$N$107,11,FALSE),0)+
IFERROR(VLOOKUP(A106,'Centre WR1'!$A$7:$N$106,11,FALSE),0)+
IFERROR(VLOOKUP(A106,'Centre WV1'!$A$7:$N$109,11,FALSE),0)</f>
        <v>0</v>
      </c>
      <c r="L106" s="32">
        <f>IFERROR(VLOOKUP(A106,'Centre DW1'!$A$7:$N$106,12,FALSE),0)+
IFERROR(VLOOKUP(A106,'Centre WP1'!$A$7:$N$107,12,FALSE),0)+
IFERROR(VLOOKUP(A106,'Centre WR1'!$A$7:$N$106,12,FALSE),0)+
IFERROR(VLOOKUP(A106,'Centre WV1'!$A$7:$N$109,12,FALSE),0)</f>
        <v>0</v>
      </c>
      <c r="M106" s="32">
        <f>IFERROR(VLOOKUP(A106,'Centre DW1'!$A$7:$N$106,13,FALSE),0)+
IFERROR(VLOOKUP(A106,'Centre WP1'!$A$7:$N$107,13,FALSE),0)+
IFERROR(VLOOKUP(A106,'Centre WR1'!$A$7:$N$106,13,FALSE),0)+
IFERROR(VLOOKUP(A106,'Centre WV1'!$A$7:$N$109,13,FALSE),0)</f>
        <v>0</v>
      </c>
      <c r="N106" s="32">
        <f>IFERROR(VLOOKUP(A106,'Centre DW1'!$A$7:$N$106,14,FALSE),0)+
IFERROR(VLOOKUP(A106,'Centre WP1'!$A$7:$N$107,14,FALSE),0)+
IFERROR(VLOOKUP(A106,'Centre WR1'!$A$7:$N$106,14,FALSE),0)+
IFERROR(VLOOKUP(A106,'Centre WV1'!$A$7:$N$109,14,FALSE),0)</f>
        <v>0</v>
      </c>
    </row>
    <row r="107" spans="1:14" outlineLevel="1" x14ac:dyDescent="0.2">
      <c r="A107" s="9" t="s">
        <v>214</v>
      </c>
      <c r="B107" s="1" t="s">
        <v>215</v>
      </c>
      <c r="C107" s="10">
        <f>IFERROR(VLOOKUP(A107,'Centre DW1'!$A$7:$N$106,3,FALSE),0)+
IFERROR(VLOOKUP(A107,'Centre WP1'!$A$7:$N$107,3,FALSE),0)+
IFERROR(VLOOKUP(A107,'Centre WR1'!$A$7:$N$106,3,FALSE),0)+
IFERROR(VLOOKUP(A107,'Centre WV1'!$A$7:$N$109,3,FALSE),0)</f>
        <v>0</v>
      </c>
      <c r="D107" s="10">
        <f>IFERROR(VLOOKUP(A107,'Centre DW1'!$A$7:$N$106,4,FALSE),0)+
IFERROR(VLOOKUP(A107,'Centre WP1'!$A$7:$N$107,4,FALSE),0)+
IFERROR(VLOOKUP(A107,'Centre WR1'!$A$7:$N$106,4,FALSE),0)+
IFERROR(VLOOKUP(A107,'Centre WV1'!$A$7:$N$109,4,FALSE),0)</f>
        <v>0</v>
      </c>
      <c r="E107" s="10">
        <f>IFERROR(VLOOKUP(A107,'Centre DW1'!$A$7:$N$106,5,FALSE),0)+
IFERROR(VLOOKUP(A107,'Centre WP1'!$A$7:$N$107,5,FALSE),0)+
IFERROR(VLOOKUP(A107,'Centre WR1'!$A$7:$N$106,5,FALSE),0)+
IFERROR(VLOOKUP(A107,'Centre WV1'!$A$7:$N$109,5,FALSE),0)</f>
        <v>0</v>
      </c>
      <c r="F107" s="10">
        <f>IFERROR(VLOOKUP(A107,'Centre DW1'!$A$7:$N$106,6,FALSE),0)+
IFERROR(VLOOKUP(A107,'Centre WP1'!$A$7:$N$107,6,FALSE),0)+
IFERROR(VLOOKUP(A107,'Centre WR1'!$A$7:$N$106,6,FALSE),0)+
IFERROR(VLOOKUP(A107,'Centre WV1'!$A$7:$N$109,6,FALSE),0)</f>
        <v>0</v>
      </c>
      <c r="G107" s="10">
        <f>IFERROR(VLOOKUP(A107,'Centre DW1'!$A$7:$N$106,7,FALSE),0)+
IFERROR(VLOOKUP(A107,'Centre WP1'!$A$7:$N$107,7,FALSE),0)+
IFERROR(VLOOKUP(A107,'Centre WR1'!$A$7:$N$106,7,FALSE),0)+
IFERROR(VLOOKUP(A107,'Centre WV1'!$A$7:$N$109,7,FALSE),0)</f>
        <v>0</v>
      </c>
      <c r="H107" s="10">
        <f>IFERROR(VLOOKUP(A107,'Centre DW1'!$A$7:$N$106,8,FALSE),0)+
IFERROR(VLOOKUP(A107,'Centre WP1'!$A$7:$N$107,8,FALSE),0)+
IFERROR(VLOOKUP(A107,'Centre WR1'!$A$7:$N$106,8,FALSE),0)+
IFERROR(VLOOKUP(A107,'Centre WV1'!$A$7:$N$109,8,FALSE),0)</f>
        <v>0</v>
      </c>
      <c r="I107" s="10">
        <f>IFERROR(VLOOKUP(A107,'Centre DW1'!$A$7:$N$106,9,FALSE),0)+
IFERROR(VLOOKUP(A107,'Centre WP1'!$A$7:$N$107,9,FALSE),0)+
IFERROR(VLOOKUP(A107,'Centre WR1'!$A$7:$N$106,9,FALSE),0)+
IFERROR(VLOOKUP(A107,'Centre WV1'!$A$7:$N$109,9,FALSE),0)</f>
        <v>0</v>
      </c>
      <c r="J107" s="32">
        <f>IFERROR(VLOOKUP(A107,'Centre DW1'!$A$7:$N$106,10,FALSE),0)+
IFERROR(VLOOKUP(A107,'Centre WP1'!$A$7:$N$107,10,FALSE),0)+
IFERROR(VLOOKUP(A107,'Centre WR1'!$A$7:$N$106,10,FALSE),0)+
IFERROR(VLOOKUP(A107,'Centre WV1'!$A$7:$N$109,10,FALSE),0)</f>
        <v>0</v>
      </c>
      <c r="K107" s="32">
        <f>IFERROR(VLOOKUP(A107,'Centre DW1'!$A$7:$N$106,11,FALSE),0)+
IFERROR(VLOOKUP(A107,'Centre WP1'!$A$7:$N$107,11,FALSE),0)+
IFERROR(VLOOKUP(A107,'Centre WR1'!$A$7:$N$106,11,FALSE),0)+
IFERROR(VLOOKUP(A107,'Centre WV1'!$A$7:$N$109,11,FALSE),0)</f>
        <v>0</v>
      </c>
      <c r="L107" s="32">
        <f>IFERROR(VLOOKUP(A107,'Centre DW1'!$A$7:$N$106,12,FALSE),0)+
IFERROR(VLOOKUP(A107,'Centre WP1'!$A$7:$N$107,12,FALSE),0)+
IFERROR(VLOOKUP(A107,'Centre WR1'!$A$7:$N$106,12,FALSE),0)+
IFERROR(VLOOKUP(A107,'Centre WV1'!$A$7:$N$109,12,FALSE),0)</f>
        <v>0</v>
      </c>
      <c r="M107" s="32">
        <f>IFERROR(VLOOKUP(A107,'Centre DW1'!$A$7:$N$106,13,FALSE),0)+
IFERROR(VLOOKUP(A107,'Centre WP1'!$A$7:$N$107,13,FALSE),0)+
IFERROR(VLOOKUP(A107,'Centre WR1'!$A$7:$N$106,13,FALSE),0)+
IFERROR(VLOOKUP(A107,'Centre WV1'!$A$7:$N$109,13,FALSE),0)</f>
        <v>0</v>
      </c>
      <c r="N107" s="32">
        <f>IFERROR(VLOOKUP(A107,'Centre DW1'!$A$7:$N$106,14,FALSE),0)+
IFERROR(VLOOKUP(A107,'Centre WP1'!$A$7:$N$107,14,FALSE),0)+
IFERROR(VLOOKUP(A107,'Centre WR1'!$A$7:$N$106,14,FALSE),0)+
IFERROR(VLOOKUP(A107,'Centre WV1'!$A$7:$N$109,14,FALSE),0)</f>
        <v>0</v>
      </c>
    </row>
    <row r="108" spans="1:14" outlineLevel="1" x14ac:dyDescent="0.2">
      <c r="A108" s="9" t="s">
        <v>216</v>
      </c>
      <c r="B108" s="1" t="s">
        <v>217</v>
      </c>
      <c r="C108" s="10">
        <f>IFERROR(VLOOKUP(A108,'Centre DW1'!$A$7:$N$106,3,FALSE),0)+
IFERROR(VLOOKUP(A108,'Centre WP1'!$A$7:$N$107,3,FALSE),0)+
IFERROR(VLOOKUP(A108,'Centre WR1'!$A$7:$N$106,3,FALSE),0)+
IFERROR(VLOOKUP(A108,'Centre WV1'!$A$7:$N$109,3,FALSE),0)</f>
        <v>0.4</v>
      </c>
      <c r="D108" s="10">
        <f>IFERROR(VLOOKUP(A108,'Centre DW1'!$A$7:$N$106,4,FALSE),0)+
IFERROR(VLOOKUP(A108,'Centre WP1'!$A$7:$N$107,4,FALSE),0)+
IFERROR(VLOOKUP(A108,'Centre WR1'!$A$7:$N$106,4,FALSE),0)+
IFERROR(VLOOKUP(A108,'Centre WV1'!$A$7:$N$109,4,FALSE),0)</f>
        <v>0.2</v>
      </c>
      <c r="E108" s="10">
        <f>IFERROR(VLOOKUP(A108,'Centre DW1'!$A$7:$N$106,5,FALSE),0)+
IFERROR(VLOOKUP(A108,'Centre WP1'!$A$7:$N$107,5,FALSE),0)+
IFERROR(VLOOKUP(A108,'Centre WR1'!$A$7:$N$106,5,FALSE),0)+
IFERROR(VLOOKUP(A108,'Centre WV1'!$A$7:$N$109,5,FALSE),0)</f>
        <v>0.5</v>
      </c>
      <c r="F108" s="10">
        <f>IFERROR(VLOOKUP(A108,'Centre DW1'!$A$7:$N$106,6,FALSE),0)+
IFERROR(VLOOKUP(A108,'Centre WP1'!$A$7:$N$107,6,FALSE),0)+
IFERROR(VLOOKUP(A108,'Centre WR1'!$A$7:$N$106,6,FALSE),0)+
IFERROR(VLOOKUP(A108,'Centre WV1'!$A$7:$N$109,6,FALSE),0)</f>
        <v>0.5</v>
      </c>
      <c r="G108" s="10">
        <f>IFERROR(VLOOKUP(A108,'Centre DW1'!$A$7:$N$106,7,FALSE),0)+
IFERROR(VLOOKUP(A108,'Centre WP1'!$A$7:$N$107,7,FALSE),0)+
IFERROR(VLOOKUP(A108,'Centre WR1'!$A$7:$N$106,7,FALSE),0)+
IFERROR(VLOOKUP(A108,'Centre WV1'!$A$7:$N$109,7,FALSE),0)</f>
        <v>0.4</v>
      </c>
      <c r="H108" s="10">
        <f>IFERROR(VLOOKUP(A108,'Centre DW1'!$A$7:$N$106,8,FALSE),0)+
IFERROR(VLOOKUP(A108,'Centre WP1'!$A$7:$N$107,8,FALSE),0)+
IFERROR(VLOOKUP(A108,'Centre WR1'!$A$7:$N$106,8,FALSE),0)+
IFERROR(VLOOKUP(A108,'Centre WV1'!$A$7:$N$109,8,FALSE),0)</f>
        <v>0.3</v>
      </c>
      <c r="I108" s="10">
        <f>IFERROR(VLOOKUP(A108,'Centre DW1'!$A$7:$N$106,9,FALSE),0)+
IFERROR(VLOOKUP(A108,'Centre WP1'!$A$7:$N$107,9,FALSE),0)+
IFERROR(VLOOKUP(A108,'Centre WR1'!$A$7:$N$106,9,FALSE),0)+
IFERROR(VLOOKUP(A108,'Centre WV1'!$A$7:$N$109,9,FALSE),0)</f>
        <v>0.2</v>
      </c>
      <c r="J108" s="32">
        <f>IFERROR(VLOOKUP(A108,'Centre DW1'!$A$7:$N$106,10,FALSE),0)+
IFERROR(VLOOKUP(A108,'Centre WP1'!$A$7:$N$107,10,FALSE),0)+
IFERROR(VLOOKUP(A108,'Centre WR1'!$A$7:$N$106,10,FALSE),0)+
IFERROR(VLOOKUP(A108,'Centre WV1'!$A$7:$N$109,10,FALSE),0)</f>
        <v>0.5</v>
      </c>
      <c r="K108" s="32">
        <f>IFERROR(VLOOKUP(A108,'Centre DW1'!$A$7:$N$106,11,FALSE),0)+
IFERROR(VLOOKUP(A108,'Centre WP1'!$A$7:$N$107,11,FALSE),0)+
IFERROR(VLOOKUP(A108,'Centre WR1'!$A$7:$N$106,11,FALSE),0)+
IFERROR(VLOOKUP(A108,'Centre WV1'!$A$7:$N$109,11,FALSE),0)</f>
        <v>0.5</v>
      </c>
      <c r="L108" s="32">
        <f>IFERROR(VLOOKUP(A108,'Centre DW1'!$A$7:$N$106,12,FALSE),0)+
IFERROR(VLOOKUP(A108,'Centre WP1'!$A$7:$N$107,12,FALSE),0)+
IFERROR(VLOOKUP(A108,'Centre WR1'!$A$7:$N$106,12,FALSE),0)+
IFERROR(VLOOKUP(A108,'Centre WV1'!$A$7:$N$109,12,FALSE),0)</f>
        <v>0.4</v>
      </c>
      <c r="M108" s="32">
        <f>IFERROR(VLOOKUP(A108,'Centre DW1'!$A$7:$N$106,13,FALSE),0)+
IFERROR(VLOOKUP(A108,'Centre WP1'!$A$7:$N$107,13,FALSE),0)+
IFERROR(VLOOKUP(A108,'Centre WR1'!$A$7:$N$106,13,FALSE),0)+
IFERROR(VLOOKUP(A108,'Centre WV1'!$A$7:$N$109,13,FALSE),0)</f>
        <v>0.3</v>
      </c>
      <c r="N108" s="32">
        <f>IFERROR(VLOOKUP(A108,'Centre DW1'!$A$7:$N$106,14,FALSE),0)+
IFERROR(VLOOKUP(A108,'Centre WP1'!$A$7:$N$107,14,FALSE),0)+
IFERROR(VLOOKUP(A108,'Centre WR1'!$A$7:$N$106,14,FALSE),0)+
IFERROR(VLOOKUP(A108,'Centre WV1'!$A$7:$N$109,14,FALSE),0)</f>
        <v>0.3</v>
      </c>
    </row>
    <row r="109" spans="1:14" outlineLevel="1" x14ac:dyDescent="0.2">
      <c r="A109" s="9" t="s">
        <v>218</v>
      </c>
      <c r="B109" s="1" t="s">
        <v>219</v>
      </c>
      <c r="C109" s="10">
        <f>IFERROR(VLOOKUP(A109,'Centre DW1'!$A$7:$N$106,3,FALSE),0)+
IFERROR(VLOOKUP(A109,'Centre WP1'!$A$7:$N$107,3,FALSE),0)+
IFERROR(VLOOKUP(A109,'Centre WR1'!$A$7:$N$106,3,FALSE),0)+
IFERROR(VLOOKUP(A109,'Centre WV1'!$A$7:$N$109,3,FALSE),0)</f>
        <v>0.7</v>
      </c>
      <c r="D109" s="10">
        <f>IFERROR(VLOOKUP(A109,'Centre DW1'!$A$7:$N$106,4,FALSE),0)+
IFERROR(VLOOKUP(A109,'Centre WP1'!$A$7:$N$107,4,FALSE),0)+
IFERROR(VLOOKUP(A109,'Centre WR1'!$A$7:$N$106,4,FALSE),0)+
IFERROR(VLOOKUP(A109,'Centre WV1'!$A$7:$N$109,4,FALSE),0)</f>
        <v>0.7</v>
      </c>
      <c r="E109" s="10">
        <f>IFERROR(VLOOKUP(A109,'Centre DW1'!$A$7:$N$106,5,FALSE),0)+
IFERROR(VLOOKUP(A109,'Centre WP1'!$A$7:$N$107,5,FALSE),0)+
IFERROR(VLOOKUP(A109,'Centre WR1'!$A$7:$N$106,5,FALSE),0)+
IFERROR(VLOOKUP(A109,'Centre WV1'!$A$7:$N$109,5,FALSE),0)</f>
        <v>0.7</v>
      </c>
      <c r="F109" s="10">
        <f>IFERROR(VLOOKUP(A109,'Centre DW1'!$A$7:$N$106,6,FALSE),0)+
IFERROR(VLOOKUP(A109,'Centre WP1'!$A$7:$N$107,6,FALSE),0)+
IFERROR(VLOOKUP(A109,'Centre WR1'!$A$7:$N$106,6,FALSE),0)+
IFERROR(VLOOKUP(A109,'Centre WV1'!$A$7:$N$109,6,FALSE),0)</f>
        <v>0.8</v>
      </c>
      <c r="G109" s="10">
        <f>IFERROR(VLOOKUP(A109,'Centre DW1'!$A$7:$N$106,7,FALSE),0)+
IFERROR(VLOOKUP(A109,'Centre WP1'!$A$7:$N$107,7,FALSE),0)+
IFERROR(VLOOKUP(A109,'Centre WR1'!$A$7:$N$106,7,FALSE),0)+
IFERROR(VLOOKUP(A109,'Centre WV1'!$A$7:$N$109,7,FALSE),0)</f>
        <v>0</v>
      </c>
      <c r="H109" s="10">
        <f>IFERROR(VLOOKUP(A109,'Centre DW1'!$A$7:$N$106,8,FALSE),0)+
IFERROR(VLOOKUP(A109,'Centre WP1'!$A$7:$N$107,8,FALSE),0)+
IFERROR(VLOOKUP(A109,'Centre WR1'!$A$7:$N$106,8,FALSE),0)+
IFERROR(VLOOKUP(A109,'Centre WV1'!$A$7:$N$109,8,FALSE),0)</f>
        <v>0</v>
      </c>
      <c r="I109" s="10">
        <f>IFERROR(VLOOKUP(A109,'Centre DW1'!$A$7:$N$106,9,FALSE),0)+
IFERROR(VLOOKUP(A109,'Centre WP1'!$A$7:$N$107,9,FALSE),0)+
IFERROR(VLOOKUP(A109,'Centre WR1'!$A$7:$N$106,9,FALSE),0)+
IFERROR(VLOOKUP(A109,'Centre WV1'!$A$7:$N$109,9,FALSE),0)</f>
        <v>0.7</v>
      </c>
      <c r="J109" s="32">
        <f>IFERROR(VLOOKUP(A109,'Centre DW1'!$A$7:$N$106,10,FALSE),0)+
IFERROR(VLOOKUP(A109,'Centre WP1'!$A$7:$N$107,10,FALSE),0)+
IFERROR(VLOOKUP(A109,'Centre WR1'!$A$7:$N$106,10,FALSE),0)+
IFERROR(VLOOKUP(A109,'Centre WV1'!$A$7:$N$109,10,FALSE),0)</f>
        <v>0.7</v>
      </c>
      <c r="K109" s="32">
        <f>IFERROR(VLOOKUP(A109,'Centre DW1'!$A$7:$N$106,11,FALSE),0)+
IFERROR(VLOOKUP(A109,'Centre WP1'!$A$7:$N$107,11,FALSE),0)+
IFERROR(VLOOKUP(A109,'Centre WR1'!$A$7:$N$106,11,FALSE),0)+
IFERROR(VLOOKUP(A109,'Centre WV1'!$A$7:$N$109,11,FALSE),0)</f>
        <v>0.8</v>
      </c>
      <c r="L109" s="32">
        <f>IFERROR(VLOOKUP(A109,'Centre DW1'!$A$7:$N$106,12,FALSE),0)+
IFERROR(VLOOKUP(A109,'Centre WP1'!$A$7:$N$107,12,FALSE),0)+
IFERROR(VLOOKUP(A109,'Centre WR1'!$A$7:$N$106,12,FALSE),0)+
IFERROR(VLOOKUP(A109,'Centre WV1'!$A$7:$N$109,12,FALSE),0)</f>
        <v>0</v>
      </c>
      <c r="M109" s="32">
        <f>IFERROR(VLOOKUP(A109,'Centre DW1'!$A$7:$N$106,13,FALSE),0)+
IFERROR(VLOOKUP(A109,'Centre WP1'!$A$7:$N$107,13,FALSE),0)+
IFERROR(VLOOKUP(A109,'Centre WR1'!$A$7:$N$106,13,FALSE),0)+
IFERROR(VLOOKUP(A109,'Centre WV1'!$A$7:$N$109,13,FALSE),0)</f>
        <v>0</v>
      </c>
      <c r="N109" s="32">
        <f>IFERROR(VLOOKUP(A109,'Centre DW1'!$A$7:$N$106,14,FALSE),0)+
IFERROR(VLOOKUP(A109,'Centre WP1'!$A$7:$N$107,14,FALSE),0)+
IFERROR(VLOOKUP(A109,'Centre WR1'!$A$7:$N$106,14,FALSE),0)+
IFERROR(VLOOKUP(A109,'Centre WV1'!$A$7:$N$109,14,FALSE),0)</f>
        <v>0</v>
      </c>
    </row>
    <row r="110" spans="1:14" outlineLevel="1" x14ac:dyDescent="0.2">
      <c r="A110" s="9" t="s">
        <v>220</v>
      </c>
      <c r="B110" s="1" t="s">
        <v>221</v>
      </c>
      <c r="C110" s="10">
        <f>IFERROR(VLOOKUP(A110,'Centre DW1'!$A$7:$N$106,3,FALSE),0)+
IFERROR(VLOOKUP(A110,'Centre WP1'!$A$7:$N$107,3,FALSE),0)+
IFERROR(VLOOKUP(A110,'Centre WR1'!$A$7:$N$106,3,FALSE),0)+
IFERROR(VLOOKUP(A110,'Centre WV1'!$A$7:$N$109,3,FALSE),0)</f>
        <v>0</v>
      </c>
      <c r="D110" s="10">
        <f>IFERROR(VLOOKUP(A110,'Centre DW1'!$A$7:$N$106,4,FALSE),0)+
IFERROR(VLOOKUP(A110,'Centre WP1'!$A$7:$N$107,4,FALSE),0)+
IFERROR(VLOOKUP(A110,'Centre WR1'!$A$7:$N$106,4,FALSE),0)+
IFERROR(VLOOKUP(A110,'Centre WV1'!$A$7:$N$109,4,FALSE),0)</f>
        <v>0</v>
      </c>
      <c r="E110" s="10">
        <f>IFERROR(VLOOKUP(A110,'Centre DW1'!$A$7:$N$106,5,FALSE),0)+
IFERROR(VLOOKUP(A110,'Centre WP1'!$A$7:$N$107,5,FALSE),0)+
IFERROR(VLOOKUP(A110,'Centre WR1'!$A$7:$N$106,5,FALSE),0)+
IFERROR(VLOOKUP(A110,'Centre WV1'!$A$7:$N$109,5,FALSE),0)</f>
        <v>0</v>
      </c>
      <c r="F110" s="10">
        <f>IFERROR(VLOOKUP(A110,'Centre DW1'!$A$7:$N$106,6,FALSE),0)+
IFERROR(VLOOKUP(A110,'Centre WP1'!$A$7:$N$107,6,FALSE),0)+
IFERROR(VLOOKUP(A110,'Centre WR1'!$A$7:$N$106,6,FALSE),0)+
IFERROR(VLOOKUP(A110,'Centre WV1'!$A$7:$N$109,6,FALSE),0)</f>
        <v>0</v>
      </c>
      <c r="G110" s="10">
        <f>IFERROR(VLOOKUP(A110,'Centre DW1'!$A$7:$N$106,7,FALSE),0)+
IFERROR(VLOOKUP(A110,'Centre WP1'!$A$7:$N$107,7,FALSE),0)+
IFERROR(VLOOKUP(A110,'Centre WR1'!$A$7:$N$106,7,FALSE),0)+
IFERROR(VLOOKUP(A110,'Centre WV1'!$A$7:$N$109,7,FALSE),0)</f>
        <v>0</v>
      </c>
      <c r="H110" s="10">
        <f>IFERROR(VLOOKUP(A110,'Centre DW1'!$A$7:$N$106,8,FALSE),0)+
IFERROR(VLOOKUP(A110,'Centre WP1'!$A$7:$N$107,8,FALSE),0)+
IFERROR(VLOOKUP(A110,'Centre WR1'!$A$7:$N$106,8,FALSE),0)+
IFERROR(VLOOKUP(A110,'Centre WV1'!$A$7:$N$109,8,FALSE),0)</f>
        <v>0</v>
      </c>
      <c r="I110" s="10">
        <f>IFERROR(VLOOKUP(A110,'Centre DW1'!$A$7:$N$106,9,FALSE),0)+
IFERROR(VLOOKUP(A110,'Centre WP1'!$A$7:$N$107,9,FALSE),0)+
IFERROR(VLOOKUP(A110,'Centre WR1'!$A$7:$N$106,9,FALSE),0)+
IFERROR(VLOOKUP(A110,'Centre WV1'!$A$7:$N$109,9,FALSE),0)</f>
        <v>0</v>
      </c>
      <c r="J110" s="32">
        <f>IFERROR(VLOOKUP(A110,'Centre DW1'!$A$7:$N$106,10,FALSE),0)+
IFERROR(VLOOKUP(A110,'Centre WP1'!$A$7:$N$107,10,FALSE),0)+
IFERROR(VLOOKUP(A110,'Centre WR1'!$A$7:$N$106,10,FALSE),0)+
IFERROR(VLOOKUP(A110,'Centre WV1'!$A$7:$N$109,10,FALSE),0)</f>
        <v>0</v>
      </c>
      <c r="K110" s="32">
        <f>IFERROR(VLOOKUP(A110,'Centre DW1'!$A$7:$N$106,11,FALSE),0)+
IFERROR(VLOOKUP(A110,'Centre WP1'!$A$7:$N$107,11,FALSE),0)+
IFERROR(VLOOKUP(A110,'Centre WR1'!$A$7:$N$106,11,FALSE),0)+
IFERROR(VLOOKUP(A110,'Centre WV1'!$A$7:$N$109,11,FALSE),0)</f>
        <v>0</v>
      </c>
      <c r="L110" s="32">
        <f>IFERROR(VLOOKUP(A110,'Centre DW1'!$A$7:$N$106,12,FALSE),0)+
IFERROR(VLOOKUP(A110,'Centre WP1'!$A$7:$N$107,12,FALSE),0)+
IFERROR(VLOOKUP(A110,'Centre WR1'!$A$7:$N$106,12,FALSE),0)+
IFERROR(VLOOKUP(A110,'Centre WV1'!$A$7:$N$109,12,FALSE),0)</f>
        <v>0</v>
      </c>
      <c r="M110" s="32">
        <f>IFERROR(VLOOKUP(A110,'Centre DW1'!$A$7:$N$106,13,FALSE),0)+
IFERROR(VLOOKUP(A110,'Centre WP1'!$A$7:$N$107,13,FALSE),0)+
IFERROR(VLOOKUP(A110,'Centre WR1'!$A$7:$N$106,13,FALSE),0)+
IFERROR(VLOOKUP(A110,'Centre WV1'!$A$7:$N$109,13,FALSE),0)</f>
        <v>0</v>
      </c>
      <c r="N110" s="32">
        <f>IFERROR(VLOOKUP(A110,'Centre DW1'!$A$7:$N$106,14,FALSE),0)+
IFERROR(VLOOKUP(A110,'Centre WP1'!$A$7:$N$107,14,FALSE),0)+
IFERROR(VLOOKUP(A110,'Centre WR1'!$A$7:$N$106,14,FALSE),0)+
IFERROR(VLOOKUP(A110,'Centre WV1'!$A$7:$N$109,14,FALSE),0)</f>
        <v>0</v>
      </c>
    </row>
    <row r="111" spans="1:14" outlineLevel="1" x14ac:dyDescent="0.2">
      <c r="A111" s="9" t="s">
        <v>222</v>
      </c>
      <c r="B111" s="1" t="s">
        <v>223</v>
      </c>
      <c r="C111" s="10">
        <f>IFERROR(VLOOKUP(A111,'Centre DW1'!$A$7:$N$106,3,FALSE),0)+
IFERROR(VLOOKUP(A111,'Centre WP1'!$A$7:$N$107,3,FALSE),0)+
IFERROR(VLOOKUP(A111,'Centre WR1'!$A$7:$N$106,3,FALSE),0)+
IFERROR(VLOOKUP(A111,'Centre WV1'!$A$7:$N$109,3,FALSE),0)</f>
        <v>0</v>
      </c>
      <c r="D111" s="10">
        <f>IFERROR(VLOOKUP(A111,'Centre DW1'!$A$7:$N$106,4,FALSE),0)+
IFERROR(VLOOKUP(A111,'Centre WP1'!$A$7:$N$107,4,FALSE),0)+
IFERROR(VLOOKUP(A111,'Centre WR1'!$A$7:$N$106,4,FALSE),0)+
IFERROR(VLOOKUP(A111,'Centre WV1'!$A$7:$N$109,4,FALSE),0)</f>
        <v>0</v>
      </c>
      <c r="E111" s="10">
        <f>IFERROR(VLOOKUP(A111,'Centre DW1'!$A$7:$N$106,5,FALSE),0)+
IFERROR(VLOOKUP(A111,'Centre WP1'!$A$7:$N$107,5,FALSE),0)+
IFERROR(VLOOKUP(A111,'Centre WR1'!$A$7:$N$106,5,FALSE),0)+
IFERROR(VLOOKUP(A111,'Centre WV1'!$A$7:$N$109,5,FALSE),0)</f>
        <v>0</v>
      </c>
      <c r="F111" s="10">
        <f>IFERROR(VLOOKUP(A111,'Centre DW1'!$A$7:$N$106,6,FALSE),0)+
IFERROR(VLOOKUP(A111,'Centre WP1'!$A$7:$N$107,6,FALSE),0)+
IFERROR(VLOOKUP(A111,'Centre WR1'!$A$7:$N$106,6,FALSE),0)+
IFERROR(VLOOKUP(A111,'Centre WV1'!$A$7:$N$109,6,FALSE),0)</f>
        <v>0</v>
      </c>
      <c r="G111" s="10">
        <f>IFERROR(VLOOKUP(A111,'Centre DW1'!$A$7:$N$106,7,FALSE),0)+
IFERROR(VLOOKUP(A111,'Centre WP1'!$A$7:$N$107,7,FALSE),0)+
IFERROR(VLOOKUP(A111,'Centre WR1'!$A$7:$N$106,7,FALSE),0)+
IFERROR(VLOOKUP(A111,'Centre WV1'!$A$7:$N$109,7,FALSE),0)</f>
        <v>0</v>
      </c>
      <c r="H111" s="10">
        <f>IFERROR(VLOOKUP(A111,'Centre DW1'!$A$7:$N$106,8,FALSE),0)+
IFERROR(VLOOKUP(A111,'Centre WP1'!$A$7:$N$107,8,FALSE),0)+
IFERROR(VLOOKUP(A111,'Centre WR1'!$A$7:$N$106,8,FALSE),0)+
IFERROR(VLOOKUP(A111,'Centre WV1'!$A$7:$N$109,8,FALSE),0)</f>
        <v>2.2000000000000002</v>
      </c>
      <c r="I111" s="10">
        <f>IFERROR(VLOOKUP(A111,'Centre DW1'!$A$7:$N$106,9,FALSE),0)+
IFERROR(VLOOKUP(A111,'Centre WP1'!$A$7:$N$107,9,FALSE),0)+
IFERROR(VLOOKUP(A111,'Centre WR1'!$A$7:$N$106,9,FALSE),0)+
IFERROR(VLOOKUP(A111,'Centre WV1'!$A$7:$N$109,9,FALSE),0)</f>
        <v>4.9000000000000004</v>
      </c>
      <c r="J111" s="32">
        <f>IFERROR(VLOOKUP(A111,'Centre DW1'!$A$7:$N$106,10,FALSE),0)+
IFERROR(VLOOKUP(A111,'Centre WP1'!$A$7:$N$107,10,FALSE),0)+
IFERROR(VLOOKUP(A111,'Centre WR1'!$A$7:$N$106,10,FALSE),0)+
IFERROR(VLOOKUP(A111,'Centre WV1'!$A$7:$N$109,10,FALSE),0)</f>
        <v>0</v>
      </c>
      <c r="K111" s="32">
        <f>IFERROR(VLOOKUP(A111,'Centre DW1'!$A$7:$N$106,11,FALSE),0)+
IFERROR(VLOOKUP(A111,'Centre WP1'!$A$7:$N$107,11,FALSE),0)+
IFERROR(VLOOKUP(A111,'Centre WR1'!$A$7:$N$106,11,FALSE),0)+
IFERROR(VLOOKUP(A111,'Centre WV1'!$A$7:$N$109,11,FALSE),0)</f>
        <v>0</v>
      </c>
      <c r="L111" s="32">
        <f>IFERROR(VLOOKUP(A111,'Centre DW1'!$A$7:$N$106,12,FALSE),0)+
IFERROR(VLOOKUP(A111,'Centre WP1'!$A$7:$N$107,12,FALSE),0)+
IFERROR(VLOOKUP(A111,'Centre WR1'!$A$7:$N$106,12,FALSE),0)+
IFERROR(VLOOKUP(A111,'Centre WV1'!$A$7:$N$109,12,FALSE),0)</f>
        <v>1.2</v>
      </c>
      <c r="M111" s="32">
        <f>IFERROR(VLOOKUP(A111,'Centre DW1'!$A$7:$N$106,13,FALSE),0)+
IFERROR(VLOOKUP(A111,'Centre WP1'!$A$7:$N$107,13,FALSE),0)+
IFERROR(VLOOKUP(A111,'Centre WR1'!$A$7:$N$106,13,FALSE),0)+
IFERROR(VLOOKUP(A111,'Centre WV1'!$A$7:$N$109,13,FALSE),0)</f>
        <v>0</v>
      </c>
      <c r="N111" s="32">
        <f>IFERROR(VLOOKUP(A111,'Centre DW1'!$A$7:$N$106,14,FALSE),0)+
IFERROR(VLOOKUP(A111,'Centre WP1'!$A$7:$N$107,14,FALSE),0)+
IFERROR(VLOOKUP(A111,'Centre WR1'!$A$7:$N$106,14,FALSE),0)+
IFERROR(VLOOKUP(A111,'Centre WV1'!$A$7:$N$109,14,FALSE),0)</f>
        <v>2.2000000000000002</v>
      </c>
    </row>
    <row r="112" spans="1:14" outlineLevel="1" x14ac:dyDescent="0.2">
      <c r="A112" s="9" t="s">
        <v>224</v>
      </c>
      <c r="B112" s="1" t="s">
        <v>225</v>
      </c>
      <c r="C112" s="10">
        <f>IFERROR(VLOOKUP(A112,'Centre DW1'!$A$7:$N$106,3,FALSE),0)+
IFERROR(VLOOKUP(A112,'Centre WP1'!$A$7:$N$107,3,FALSE),0)+
IFERROR(VLOOKUP(A112,'Centre WR1'!$A$7:$N$106,3,FALSE),0)+
IFERROR(VLOOKUP(A112,'Centre WV1'!$A$7:$N$109,3,FALSE),0)</f>
        <v>0.1</v>
      </c>
      <c r="D112" s="10">
        <f>IFERROR(VLOOKUP(A112,'Centre DW1'!$A$7:$N$106,4,FALSE),0)+
IFERROR(VLOOKUP(A112,'Centre WP1'!$A$7:$N$107,4,FALSE),0)+
IFERROR(VLOOKUP(A112,'Centre WR1'!$A$7:$N$106,4,FALSE),0)+
IFERROR(VLOOKUP(A112,'Centre WV1'!$A$7:$N$109,4,FALSE),0)</f>
        <v>0</v>
      </c>
      <c r="E112" s="10">
        <f>IFERROR(VLOOKUP(A112,'Centre DW1'!$A$7:$N$106,5,FALSE),0)+
IFERROR(VLOOKUP(A112,'Centre WP1'!$A$7:$N$107,5,FALSE),0)+
IFERROR(VLOOKUP(A112,'Centre WR1'!$A$7:$N$106,5,FALSE),0)+
IFERROR(VLOOKUP(A112,'Centre WV1'!$A$7:$N$109,5,FALSE),0)</f>
        <v>0.1</v>
      </c>
      <c r="F112" s="10">
        <f>IFERROR(VLOOKUP(A112,'Centre DW1'!$A$7:$N$106,6,FALSE),0)+
IFERROR(VLOOKUP(A112,'Centre WP1'!$A$7:$N$107,6,FALSE),0)+
IFERROR(VLOOKUP(A112,'Centre WR1'!$A$7:$N$106,6,FALSE),0)+
IFERROR(VLOOKUP(A112,'Centre WV1'!$A$7:$N$109,6,FALSE),0)</f>
        <v>0.1</v>
      </c>
      <c r="G112" s="10">
        <f>IFERROR(VLOOKUP(A112,'Centre DW1'!$A$7:$N$106,7,FALSE),0)+
IFERROR(VLOOKUP(A112,'Centre WP1'!$A$7:$N$107,7,FALSE),0)+
IFERROR(VLOOKUP(A112,'Centre WR1'!$A$7:$N$106,7,FALSE),0)+
IFERROR(VLOOKUP(A112,'Centre WV1'!$A$7:$N$109,7,FALSE),0)</f>
        <v>0</v>
      </c>
      <c r="H112" s="10">
        <f>IFERROR(VLOOKUP(A112,'Centre DW1'!$A$7:$N$106,8,FALSE),0)+
IFERROR(VLOOKUP(A112,'Centre WP1'!$A$7:$N$107,8,FALSE),0)+
IFERROR(VLOOKUP(A112,'Centre WR1'!$A$7:$N$106,8,FALSE),0)+
IFERROR(VLOOKUP(A112,'Centre WV1'!$A$7:$N$109,8,FALSE),0)</f>
        <v>0.3</v>
      </c>
      <c r="I112" s="10">
        <f>IFERROR(VLOOKUP(A112,'Centre DW1'!$A$7:$N$106,9,FALSE),0)+
IFERROR(VLOOKUP(A112,'Centre WP1'!$A$7:$N$107,9,FALSE),0)+
IFERROR(VLOOKUP(A112,'Centre WR1'!$A$7:$N$106,9,FALSE),0)+
IFERROR(VLOOKUP(A112,'Centre WV1'!$A$7:$N$109,9,FALSE),0)</f>
        <v>0</v>
      </c>
      <c r="J112" s="32">
        <f>IFERROR(VLOOKUP(A112,'Centre DW1'!$A$7:$N$106,10,FALSE),0)+
IFERROR(VLOOKUP(A112,'Centre WP1'!$A$7:$N$107,10,FALSE),0)+
IFERROR(VLOOKUP(A112,'Centre WR1'!$A$7:$N$106,10,FALSE),0)+
IFERROR(VLOOKUP(A112,'Centre WV1'!$A$7:$N$109,10,FALSE),0)</f>
        <v>0.1</v>
      </c>
      <c r="K112" s="32">
        <f>IFERROR(VLOOKUP(A112,'Centre DW1'!$A$7:$N$106,11,FALSE),0)+
IFERROR(VLOOKUP(A112,'Centre WP1'!$A$7:$N$107,11,FALSE),0)+
IFERROR(VLOOKUP(A112,'Centre WR1'!$A$7:$N$106,11,FALSE),0)+
IFERROR(VLOOKUP(A112,'Centre WV1'!$A$7:$N$109,11,FALSE),0)</f>
        <v>0.1</v>
      </c>
      <c r="L112" s="32">
        <f>IFERROR(VLOOKUP(A112,'Centre DW1'!$A$7:$N$106,12,FALSE),0)+
IFERROR(VLOOKUP(A112,'Centre WP1'!$A$7:$N$107,12,FALSE),0)+
IFERROR(VLOOKUP(A112,'Centre WR1'!$A$7:$N$106,12,FALSE),0)+
IFERROR(VLOOKUP(A112,'Centre WV1'!$A$7:$N$109,12,FALSE),0)</f>
        <v>0</v>
      </c>
      <c r="M112" s="32">
        <f>IFERROR(VLOOKUP(A112,'Centre DW1'!$A$7:$N$106,13,FALSE),0)+
IFERROR(VLOOKUP(A112,'Centre WP1'!$A$7:$N$107,13,FALSE),0)+
IFERROR(VLOOKUP(A112,'Centre WR1'!$A$7:$N$106,13,FALSE),0)+
IFERROR(VLOOKUP(A112,'Centre WV1'!$A$7:$N$109,13,FALSE),0)</f>
        <v>0.3</v>
      </c>
      <c r="N112" s="32">
        <f>IFERROR(VLOOKUP(A112,'Centre DW1'!$A$7:$N$106,14,FALSE),0)+
IFERROR(VLOOKUP(A112,'Centre WP1'!$A$7:$N$107,14,FALSE),0)+
IFERROR(VLOOKUP(A112,'Centre WR1'!$A$7:$N$106,14,FALSE),0)+
IFERROR(VLOOKUP(A112,'Centre WV1'!$A$7:$N$109,14,FALSE),0)</f>
        <v>0.3</v>
      </c>
    </row>
    <row r="113" spans="1:14" x14ac:dyDescent="0.2">
      <c r="A113" s="33" t="s">
        <v>226</v>
      </c>
      <c r="B113" s="34" t="s">
        <v>227</v>
      </c>
      <c r="C113" s="37">
        <f>IFERROR(VLOOKUP(A113,'Centre DW1'!$A$7:$N$106,3,FALSE),0)+
IFERROR(VLOOKUP(A113,'Centre WP1'!$A$7:$N$107,3,FALSE),0)+
IFERROR(VLOOKUP(A113,'Centre WR1'!$A$7:$N$106,3,FALSE),0)+
IFERROR(VLOOKUP(A113,'Centre WV1'!$A$7:$N$109,3,FALSE),0)</f>
        <v>0</v>
      </c>
      <c r="D113" s="37">
        <f>IFERROR(VLOOKUP(A113,'Centre DW1'!$A$7:$N$106,4,FALSE),0)+
IFERROR(VLOOKUP(A113,'Centre WP1'!$A$7:$N$107,4,FALSE),0)+
IFERROR(VLOOKUP(A113,'Centre WR1'!$A$7:$N$106,4,FALSE),0)+
IFERROR(VLOOKUP(A113,'Centre WV1'!$A$7:$N$109,4,FALSE),0)</f>
        <v>0</v>
      </c>
      <c r="E113" s="37">
        <f>IFERROR(VLOOKUP(A113,'Centre DW1'!$A$7:$N$106,5,FALSE),0)+
IFERROR(VLOOKUP(A113,'Centre WP1'!$A$7:$N$107,5,FALSE),0)+
IFERROR(VLOOKUP(A113,'Centre WR1'!$A$7:$N$106,5,FALSE),0)+
IFERROR(VLOOKUP(A113,'Centre WV1'!$A$7:$N$109,5,FALSE),0)</f>
        <v>0</v>
      </c>
      <c r="F113" s="37">
        <f>IFERROR(VLOOKUP(A113,'Centre DW1'!$A$7:$N$106,6,FALSE),0)+
IFERROR(VLOOKUP(A113,'Centre WP1'!$A$7:$N$107,6,FALSE),0)+
IFERROR(VLOOKUP(A113,'Centre WR1'!$A$7:$N$106,6,FALSE),0)+
IFERROR(VLOOKUP(A113,'Centre WV1'!$A$7:$N$109,6,FALSE),0)</f>
        <v>0</v>
      </c>
      <c r="G113" s="37">
        <f>IFERROR(VLOOKUP(A113,'Centre DW1'!$A$7:$N$106,7,FALSE),0)+
IFERROR(VLOOKUP(A113,'Centre WP1'!$A$7:$N$107,7,FALSE),0)+
IFERROR(VLOOKUP(A113,'Centre WR1'!$A$7:$N$106,7,FALSE),0)+
IFERROR(VLOOKUP(A113,'Centre WV1'!$A$7:$N$109,7,FALSE),0)</f>
        <v>0</v>
      </c>
      <c r="H113" s="37">
        <f>IFERROR(VLOOKUP(A113,'Centre DW1'!$A$7:$N$106,8,FALSE),0)+
IFERROR(VLOOKUP(A113,'Centre WP1'!$A$7:$N$107,8,FALSE),0)+
IFERROR(VLOOKUP(A113,'Centre WR1'!$A$7:$N$106,8,FALSE),0)+
IFERROR(VLOOKUP(A113,'Centre WV1'!$A$7:$N$109,8,FALSE),0)</f>
        <v>0</v>
      </c>
      <c r="I113" s="37">
        <f>IFERROR(VLOOKUP(A113,'Centre DW1'!$A$7:$N$106,9,FALSE),0)+
IFERROR(VLOOKUP(A113,'Centre WP1'!$A$7:$N$107,9,FALSE),0)+
IFERROR(VLOOKUP(A113,'Centre WR1'!$A$7:$N$106,9,FALSE),0)+
IFERROR(VLOOKUP(A113,'Centre WV1'!$A$7:$N$109,9,FALSE),0)</f>
        <v>0</v>
      </c>
      <c r="J113" s="38">
        <f>IFERROR(VLOOKUP(A113,'Centre DW1'!$A$7:$N$106,10,FALSE),0)+
IFERROR(VLOOKUP(A113,'Centre WP1'!$A$7:$N$107,10,FALSE),0)+
IFERROR(VLOOKUP(A113,'Centre WR1'!$A$7:$N$106,10,FALSE),0)+
IFERROR(VLOOKUP(A113,'Centre WV1'!$A$7:$N$109,10,FALSE),0)</f>
        <v>0</v>
      </c>
      <c r="K113" s="38">
        <f>IFERROR(VLOOKUP(A113,'Centre DW1'!$A$7:$N$106,11,FALSE),0)+
IFERROR(VLOOKUP(A113,'Centre WP1'!$A$7:$N$107,11,FALSE),0)+
IFERROR(VLOOKUP(A113,'Centre WR1'!$A$7:$N$106,11,FALSE),0)+
IFERROR(VLOOKUP(A113,'Centre WV1'!$A$7:$N$109,11,FALSE),0)</f>
        <v>0</v>
      </c>
      <c r="L113" s="38">
        <f>IFERROR(VLOOKUP(A113,'Centre DW1'!$A$7:$N$106,12,FALSE),0)+
IFERROR(VLOOKUP(A113,'Centre WP1'!$A$7:$N$107,12,FALSE),0)+
IFERROR(VLOOKUP(A113,'Centre WR1'!$A$7:$N$106,12,FALSE),0)+
IFERROR(VLOOKUP(A113,'Centre WV1'!$A$7:$N$109,12,FALSE),0)</f>
        <v>0</v>
      </c>
      <c r="M113" s="38">
        <f>IFERROR(VLOOKUP(A113,'Centre DW1'!$A$7:$N$106,13,FALSE),0)+
IFERROR(VLOOKUP(A113,'Centre WP1'!$A$7:$N$107,13,FALSE),0)+
IFERROR(VLOOKUP(A113,'Centre WR1'!$A$7:$N$106,13,FALSE),0)+
IFERROR(VLOOKUP(A113,'Centre WV1'!$A$7:$N$109,13,FALSE),0)</f>
        <v>0</v>
      </c>
      <c r="N113" s="38">
        <f>IFERROR(VLOOKUP(A113,'Centre DW1'!$A$7:$N$106,14,FALSE),0)+
IFERROR(VLOOKUP(A113,'Centre WP1'!$A$7:$N$107,14,FALSE),0)+
IFERROR(VLOOKUP(A113,'Centre WR1'!$A$7:$N$106,14,FALSE),0)+
IFERROR(VLOOKUP(A113,'Centre WV1'!$A$7:$N$109,14,FALSE),0)</f>
        <v>0</v>
      </c>
    </row>
    <row r="114" spans="1:14" x14ac:dyDescent="0.2">
      <c r="A114" s="33" t="s">
        <v>228</v>
      </c>
      <c r="B114" s="34" t="s">
        <v>229</v>
      </c>
      <c r="C114" s="37">
        <f>IFERROR(VLOOKUP(A114,'Centre DW1'!$A$7:$N$106,3,FALSE),0)+
IFERROR(VLOOKUP(A114,'Centre WP1'!$A$7:$N$107,3,FALSE),0)+
IFERROR(VLOOKUP(A114,'Centre WR1'!$A$7:$N$106,3,FALSE),0)+
IFERROR(VLOOKUP(A114,'Centre WV1'!$A$7:$N$109,3,FALSE),0)</f>
        <v>0</v>
      </c>
      <c r="D114" s="37">
        <f>IFERROR(VLOOKUP(A114,'Centre DW1'!$A$7:$N$106,4,FALSE),0)+
IFERROR(VLOOKUP(A114,'Centre WP1'!$A$7:$N$107,4,FALSE),0)+
IFERROR(VLOOKUP(A114,'Centre WR1'!$A$7:$N$106,4,FALSE),0)+
IFERROR(VLOOKUP(A114,'Centre WV1'!$A$7:$N$109,4,FALSE),0)</f>
        <v>0</v>
      </c>
      <c r="E114" s="37">
        <f>IFERROR(VLOOKUP(A114,'Centre DW1'!$A$7:$N$106,5,FALSE),0)+
IFERROR(VLOOKUP(A114,'Centre WP1'!$A$7:$N$107,5,FALSE),0)+
IFERROR(VLOOKUP(A114,'Centre WR1'!$A$7:$N$106,5,FALSE),0)+
IFERROR(VLOOKUP(A114,'Centre WV1'!$A$7:$N$109,5,FALSE),0)</f>
        <v>0</v>
      </c>
      <c r="F114" s="37">
        <f>IFERROR(VLOOKUP(A114,'Centre DW1'!$A$7:$N$106,6,FALSE),0)+
IFERROR(VLOOKUP(A114,'Centre WP1'!$A$7:$N$107,6,FALSE),0)+
IFERROR(VLOOKUP(A114,'Centre WR1'!$A$7:$N$106,6,FALSE),0)+
IFERROR(VLOOKUP(A114,'Centre WV1'!$A$7:$N$109,6,FALSE),0)</f>
        <v>0</v>
      </c>
      <c r="G114" s="37">
        <f>IFERROR(VLOOKUP(A114,'Centre DW1'!$A$7:$N$106,7,FALSE),0)+
IFERROR(VLOOKUP(A114,'Centre WP1'!$A$7:$N$107,7,FALSE),0)+
IFERROR(VLOOKUP(A114,'Centre WR1'!$A$7:$N$106,7,FALSE),0)+
IFERROR(VLOOKUP(A114,'Centre WV1'!$A$7:$N$109,7,FALSE),0)</f>
        <v>0</v>
      </c>
      <c r="H114" s="37">
        <f>IFERROR(VLOOKUP(A114,'Centre DW1'!$A$7:$N$106,8,FALSE),0)+
IFERROR(VLOOKUP(A114,'Centre WP1'!$A$7:$N$107,8,FALSE),0)+
IFERROR(VLOOKUP(A114,'Centre WR1'!$A$7:$N$106,8,FALSE),0)+
IFERROR(VLOOKUP(A114,'Centre WV1'!$A$7:$N$109,8,FALSE),0)</f>
        <v>0</v>
      </c>
      <c r="I114" s="37">
        <f>IFERROR(VLOOKUP(A114,'Centre DW1'!$A$7:$N$106,9,FALSE),0)+
IFERROR(VLOOKUP(A114,'Centre WP1'!$A$7:$N$107,9,FALSE),0)+
IFERROR(VLOOKUP(A114,'Centre WR1'!$A$7:$N$106,9,FALSE),0)+
IFERROR(VLOOKUP(A114,'Centre WV1'!$A$7:$N$109,9,FALSE),0)</f>
        <v>0</v>
      </c>
      <c r="J114" s="38">
        <f>IFERROR(VLOOKUP(A114,'Centre DW1'!$A$7:$N$106,10,FALSE),0)+
IFERROR(VLOOKUP(A114,'Centre WP1'!$A$7:$N$107,10,FALSE),0)+
IFERROR(VLOOKUP(A114,'Centre WR1'!$A$7:$N$106,10,FALSE),0)+
IFERROR(VLOOKUP(A114,'Centre WV1'!$A$7:$N$109,10,FALSE),0)</f>
        <v>0</v>
      </c>
      <c r="K114" s="38">
        <f>IFERROR(VLOOKUP(A114,'Centre DW1'!$A$7:$N$106,11,FALSE),0)+
IFERROR(VLOOKUP(A114,'Centre WP1'!$A$7:$N$107,11,FALSE),0)+
IFERROR(VLOOKUP(A114,'Centre WR1'!$A$7:$N$106,11,FALSE),0)+
IFERROR(VLOOKUP(A114,'Centre WV1'!$A$7:$N$109,11,FALSE),0)</f>
        <v>0</v>
      </c>
      <c r="L114" s="38">
        <f>IFERROR(VLOOKUP(A114,'Centre DW1'!$A$7:$N$106,12,FALSE),0)+
IFERROR(VLOOKUP(A114,'Centre WP1'!$A$7:$N$107,12,FALSE),0)+
IFERROR(VLOOKUP(A114,'Centre WR1'!$A$7:$N$106,12,FALSE),0)+
IFERROR(VLOOKUP(A114,'Centre WV1'!$A$7:$N$109,12,FALSE),0)</f>
        <v>0</v>
      </c>
      <c r="M114" s="38">
        <f>IFERROR(VLOOKUP(A114,'Centre DW1'!$A$7:$N$106,13,FALSE),0)+
IFERROR(VLOOKUP(A114,'Centre WP1'!$A$7:$N$107,13,FALSE),0)+
IFERROR(VLOOKUP(A114,'Centre WR1'!$A$7:$N$106,13,FALSE),0)+
IFERROR(VLOOKUP(A114,'Centre WV1'!$A$7:$N$109,13,FALSE),0)</f>
        <v>0</v>
      </c>
      <c r="N114" s="38">
        <f>IFERROR(VLOOKUP(A114,'Centre DW1'!$A$7:$N$106,14,FALSE),0)+
IFERROR(VLOOKUP(A114,'Centre WP1'!$A$7:$N$107,14,FALSE),0)+
IFERROR(VLOOKUP(A114,'Centre WR1'!$A$7:$N$106,14,FALSE),0)+
IFERROR(VLOOKUP(A114,'Centre WV1'!$A$7:$N$109,14,FALSE),0)</f>
        <v>0</v>
      </c>
    </row>
    <row r="115" spans="1:14" x14ac:dyDescent="0.2">
      <c r="A115" s="33" t="s">
        <v>230</v>
      </c>
      <c r="B115" s="34" t="s">
        <v>231</v>
      </c>
      <c r="C115" s="37">
        <f>SUM(C116:C117)</f>
        <v>3.5</v>
      </c>
      <c r="D115" s="37">
        <f t="shared" ref="D115:N115" si="18">SUM(D116:D117)</f>
        <v>3.5</v>
      </c>
      <c r="E115" s="37">
        <f t="shared" si="18"/>
        <v>1.2</v>
      </c>
      <c r="F115" s="37">
        <f t="shared" si="18"/>
        <v>3.9</v>
      </c>
      <c r="G115" s="37">
        <f t="shared" si="18"/>
        <v>0</v>
      </c>
      <c r="H115" s="37">
        <f t="shared" si="18"/>
        <v>0</v>
      </c>
      <c r="I115" s="37">
        <f t="shared" si="18"/>
        <v>3.5</v>
      </c>
      <c r="J115" s="37">
        <f t="shared" si="18"/>
        <v>3</v>
      </c>
      <c r="K115" s="37">
        <f t="shared" si="18"/>
        <v>3</v>
      </c>
      <c r="L115" s="37">
        <f t="shared" si="18"/>
        <v>3</v>
      </c>
      <c r="M115" s="37">
        <f t="shared" si="18"/>
        <v>2</v>
      </c>
      <c r="N115" s="37">
        <f t="shared" si="18"/>
        <v>2</v>
      </c>
    </row>
    <row r="116" spans="1:14" outlineLevel="1" x14ac:dyDescent="0.2">
      <c r="A116" s="9" t="s">
        <v>232</v>
      </c>
      <c r="B116" s="1" t="s">
        <v>233</v>
      </c>
      <c r="C116" s="10">
        <f>IFERROR(VLOOKUP(A116,'Centre DW1'!$A$7:$N$106,3,FALSE),0)+
IFERROR(VLOOKUP(A116,'Centre WP1'!$A$7:$N$107,3,FALSE),0)+
IFERROR(VLOOKUP(A116,'Centre WR1'!$A$7:$N$106,3,FALSE),0)+
IFERROR(VLOOKUP(A116,'Centre WV1'!$A$7:$N$109,3,FALSE),0)</f>
        <v>3.5</v>
      </c>
      <c r="D116" s="10">
        <f>IFERROR(VLOOKUP(A116,'Centre DW1'!$A$7:$N$106,4,FALSE),0)+
IFERROR(VLOOKUP(A116,'Centre WP1'!$A$7:$N$107,4,FALSE),0)+
IFERROR(VLOOKUP(A116,'Centre WR1'!$A$7:$N$106,4,FALSE),0)+
IFERROR(VLOOKUP(A116,'Centre WV1'!$A$7:$N$109,4,FALSE),0)</f>
        <v>3.5</v>
      </c>
      <c r="E116" s="10">
        <f>IFERROR(VLOOKUP(A116,'Centre DW1'!$A$7:$N$106,5,FALSE),0)+
IFERROR(VLOOKUP(A116,'Centre WP1'!$A$7:$N$107,5,FALSE),0)+
IFERROR(VLOOKUP(A116,'Centre WR1'!$A$7:$N$106,5,FALSE),0)+
IFERROR(VLOOKUP(A116,'Centre WV1'!$A$7:$N$109,5,FALSE),0)</f>
        <v>1.2</v>
      </c>
      <c r="F116" s="10">
        <f>IFERROR(VLOOKUP(A116,'Centre DW1'!$A$7:$N$106,6,FALSE),0)+
IFERROR(VLOOKUP(A116,'Centre WP1'!$A$7:$N$107,6,FALSE),0)+
IFERROR(VLOOKUP(A116,'Centre WR1'!$A$7:$N$106,6,FALSE),0)+
IFERROR(VLOOKUP(A116,'Centre WV1'!$A$7:$N$109,6,FALSE),0)</f>
        <v>3.9</v>
      </c>
      <c r="G116" s="10">
        <f>IFERROR(VLOOKUP(A116,'Centre DW1'!$A$7:$N$106,7,FALSE),0)+
IFERROR(VLOOKUP(A116,'Centre WP1'!$A$7:$N$107,7,FALSE),0)+
IFERROR(VLOOKUP(A116,'Centre WR1'!$A$7:$N$106,7,FALSE),0)+
IFERROR(VLOOKUP(A116,'Centre WV1'!$A$7:$N$109,7,FALSE),0)</f>
        <v>0</v>
      </c>
      <c r="H116" s="10">
        <f>IFERROR(VLOOKUP(A116,'Centre DW1'!$A$7:$N$106,8,FALSE),0)+
IFERROR(VLOOKUP(A116,'Centre WP1'!$A$7:$N$107,8,FALSE),0)+
IFERROR(VLOOKUP(A116,'Centre WR1'!$A$7:$N$106,8,FALSE),0)+
IFERROR(VLOOKUP(A116,'Centre WV1'!$A$7:$N$109,8,FALSE),0)</f>
        <v>0</v>
      </c>
      <c r="I116" s="10">
        <f>IFERROR(VLOOKUP(A116,'Centre DW1'!$A$7:$N$106,9,FALSE),0)+
IFERROR(VLOOKUP(A116,'Centre WP1'!$A$7:$N$107,9,FALSE),0)+
IFERROR(VLOOKUP(A116,'Centre WR1'!$A$7:$N$106,9,FALSE),0)+
IFERROR(VLOOKUP(A116,'Centre WV1'!$A$7:$N$109,9,FALSE),0)</f>
        <v>3.5</v>
      </c>
      <c r="J116" s="32">
        <f>IFERROR(VLOOKUP(A116,'Centre DW1'!$A$7:$N$106,10,FALSE),0)+
IFERROR(VLOOKUP(A116,'Centre WP1'!$A$7:$N$107,10,FALSE),0)+
IFERROR(VLOOKUP(A116,'Centre WR1'!$A$7:$N$106,10,FALSE),0)+
IFERROR(VLOOKUP(A116,'Centre WV1'!$A$7:$N$109,10,FALSE),0)</f>
        <v>3</v>
      </c>
      <c r="K116" s="32">
        <f>IFERROR(VLOOKUP(A116,'Centre DW1'!$A$7:$N$106,11,FALSE),0)+
IFERROR(VLOOKUP(A116,'Centre WP1'!$A$7:$N$107,11,FALSE),0)+
IFERROR(VLOOKUP(A116,'Centre WR1'!$A$7:$N$106,11,FALSE),0)+
IFERROR(VLOOKUP(A116,'Centre WV1'!$A$7:$N$109,11,FALSE),0)</f>
        <v>3</v>
      </c>
      <c r="L116" s="32">
        <f>IFERROR(VLOOKUP(A116,'Centre DW1'!$A$7:$N$106,12,FALSE),0)+
IFERROR(VLOOKUP(A116,'Centre WP1'!$A$7:$N$107,12,FALSE),0)+
IFERROR(VLOOKUP(A116,'Centre WR1'!$A$7:$N$106,12,FALSE),0)+
IFERROR(VLOOKUP(A116,'Centre WV1'!$A$7:$N$109,12,FALSE),0)</f>
        <v>3</v>
      </c>
      <c r="M116" s="32">
        <f>IFERROR(VLOOKUP(A116,'Centre DW1'!$A$7:$N$106,13,FALSE),0)+
IFERROR(VLOOKUP(A116,'Centre WP1'!$A$7:$N$107,13,FALSE),0)+
IFERROR(VLOOKUP(A116,'Centre WR1'!$A$7:$N$106,13,FALSE),0)+
IFERROR(VLOOKUP(A116,'Centre WV1'!$A$7:$N$109,13,FALSE),0)</f>
        <v>2</v>
      </c>
      <c r="N116" s="32">
        <f>IFERROR(VLOOKUP(A116,'Centre DW1'!$A$7:$N$106,14,FALSE),0)+
IFERROR(VLOOKUP(A116,'Centre WP1'!$A$7:$N$107,14,FALSE),0)+
IFERROR(VLOOKUP(A116,'Centre WR1'!$A$7:$N$106,14,FALSE),0)+
IFERROR(VLOOKUP(A116,'Centre WV1'!$A$7:$N$109,14,FALSE),0)</f>
        <v>2</v>
      </c>
    </row>
    <row r="117" spans="1:14" outlineLevel="1" x14ac:dyDescent="0.2">
      <c r="A117" s="9" t="s">
        <v>234</v>
      </c>
      <c r="B117" s="1" t="s">
        <v>235</v>
      </c>
      <c r="C117" s="10">
        <f>IFERROR(VLOOKUP(A117,'Centre DW1'!$A$7:$N$106,3,FALSE),0)+
IFERROR(VLOOKUP(A117,'Centre WP1'!$A$7:$N$107,3,FALSE),0)+
IFERROR(VLOOKUP(A117,'Centre WR1'!$A$7:$N$106,3,FALSE),0)+
IFERROR(VLOOKUP(A117,'Centre WV1'!$A$7:$N$109,3,FALSE),0)</f>
        <v>0</v>
      </c>
      <c r="D117" s="10">
        <f>IFERROR(VLOOKUP(A117,'Centre DW1'!$A$7:$N$106,4,FALSE),0)+
IFERROR(VLOOKUP(A117,'Centre WP1'!$A$7:$N$107,4,FALSE),0)+
IFERROR(VLOOKUP(A117,'Centre WR1'!$A$7:$N$106,4,FALSE),0)+
IFERROR(VLOOKUP(A117,'Centre WV1'!$A$7:$N$109,4,FALSE),0)</f>
        <v>0</v>
      </c>
      <c r="E117" s="10">
        <f>IFERROR(VLOOKUP(A117,'Centre DW1'!$A$7:$N$106,5,FALSE),0)+
IFERROR(VLOOKUP(A117,'Centre WP1'!$A$7:$N$107,5,FALSE),0)+
IFERROR(VLOOKUP(A117,'Centre WR1'!$A$7:$N$106,5,FALSE),0)+
IFERROR(VLOOKUP(A117,'Centre WV1'!$A$7:$N$109,5,FALSE),0)</f>
        <v>0</v>
      </c>
      <c r="F117" s="10">
        <f>IFERROR(VLOOKUP(A117,'Centre DW1'!$A$7:$N$106,6,FALSE),0)+
IFERROR(VLOOKUP(A117,'Centre WP1'!$A$7:$N$107,6,FALSE),0)+
IFERROR(VLOOKUP(A117,'Centre WR1'!$A$7:$N$106,6,FALSE),0)+
IFERROR(VLOOKUP(A117,'Centre WV1'!$A$7:$N$109,6,FALSE),0)</f>
        <v>0</v>
      </c>
      <c r="G117" s="10">
        <f>IFERROR(VLOOKUP(A117,'Centre DW1'!$A$7:$N$106,7,FALSE),0)+
IFERROR(VLOOKUP(A117,'Centre WP1'!$A$7:$N$107,7,FALSE),0)+
IFERROR(VLOOKUP(A117,'Centre WR1'!$A$7:$N$106,7,FALSE),0)+
IFERROR(VLOOKUP(A117,'Centre WV1'!$A$7:$N$109,7,FALSE),0)</f>
        <v>0</v>
      </c>
      <c r="H117" s="10">
        <f>IFERROR(VLOOKUP(A117,'Centre DW1'!$A$7:$N$106,8,FALSE),0)+
IFERROR(VLOOKUP(A117,'Centre WP1'!$A$7:$N$107,8,FALSE),0)+
IFERROR(VLOOKUP(A117,'Centre WR1'!$A$7:$N$106,8,FALSE),0)+
IFERROR(VLOOKUP(A117,'Centre WV1'!$A$7:$N$109,8,FALSE),0)</f>
        <v>0</v>
      </c>
      <c r="I117" s="10">
        <f>IFERROR(VLOOKUP(A117,'Centre DW1'!$A$7:$N$106,9,FALSE),0)+
IFERROR(VLOOKUP(A117,'Centre WP1'!$A$7:$N$107,9,FALSE),0)+
IFERROR(VLOOKUP(A117,'Centre WR1'!$A$7:$N$106,9,FALSE),0)+
IFERROR(VLOOKUP(A117,'Centre WV1'!$A$7:$N$109,9,FALSE),0)</f>
        <v>0</v>
      </c>
      <c r="J117" s="32">
        <f>IFERROR(VLOOKUP(A117,'Centre DW1'!$A$7:$N$106,10,FALSE),0)+
IFERROR(VLOOKUP(A117,'Centre WP1'!$A$7:$N$107,10,FALSE),0)+
IFERROR(VLOOKUP(A117,'Centre WR1'!$A$7:$N$106,10,FALSE),0)+
IFERROR(VLOOKUP(A117,'Centre WV1'!$A$7:$N$109,10,FALSE),0)</f>
        <v>0</v>
      </c>
      <c r="K117" s="32">
        <f>IFERROR(VLOOKUP(A117,'Centre DW1'!$A$7:$N$106,11,FALSE),0)+
IFERROR(VLOOKUP(A117,'Centre WP1'!$A$7:$N$107,11,FALSE),0)+
IFERROR(VLOOKUP(A117,'Centre WR1'!$A$7:$N$106,11,FALSE),0)+
IFERROR(VLOOKUP(A117,'Centre WV1'!$A$7:$N$109,11,FALSE),0)</f>
        <v>0</v>
      </c>
      <c r="L117" s="32">
        <f>IFERROR(VLOOKUP(A117,'Centre DW1'!$A$7:$N$106,12,FALSE),0)+
IFERROR(VLOOKUP(A117,'Centre WP1'!$A$7:$N$107,12,FALSE),0)+
IFERROR(VLOOKUP(A117,'Centre WR1'!$A$7:$N$106,12,FALSE),0)+
IFERROR(VLOOKUP(A117,'Centre WV1'!$A$7:$N$109,12,FALSE),0)</f>
        <v>0</v>
      </c>
      <c r="M117" s="32">
        <f>IFERROR(VLOOKUP(A117,'Centre DW1'!$A$7:$N$106,13,FALSE),0)+
IFERROR(VLOOKUP(A117,'Centre WP1'!$A$7:$N$107,13,FALSE),0)+
IFERROR(VLOOKUP(A117,'Centre WR1'!$A$7:$N$106,13,FALSE),0)+
IFERROR(VLOOKUP(A117,'Centre WV1'!$A$7:$N$109,13,FALSE),0)</f>
        <v>0</v>
      </c>
      <c r="N117" s="32">
        <f>IFERROR(VLOOKUP(A117,'Centre DW1'!$A$7:$N$106,14,FALSE),0)+
IFERROR(VLOOKUP(A117,'Centre WP1'!$A$7:$N$107,14,FALSE),0)+
IFERROR(VLOOKUP(A117,'Centre WR1'!$A$7:$N$106,14,FALSE),0)+
IFERROR(VLOOKUP(A117,'Centre WV1'!$A$7:$N$109,14,FALSE),0)</f>
        <v>0</v>
      </c>
    </row>
    <row r="118" spans="1:14" x14ac:dyDescent="0.2">
      <c r="A118" s="41"/>
      <c r="B118" s="41" t="s">
        <v>236</v>
      </c>
      <c r="C118" s="42">
        <f t="shared" ref="C118:N118" si="19">+C83+C100+C113+C114+C115</f>
        <v>23.400000000000002</v>
      </c>
      <c r="D118" s="42">
        <f t="shared" si="19"/>
        <v>19.100000000000001</v>
      </c>
      <c r="E118" s="42">
        <f t="shared" si="19"/>
        <v>17.700000000000003</v>
      </c>
      <c r="F118" s="42">
        <f t="shared" si="19"/>
        <v>28.9</v>
      </c>
      <c r="G118" s="42">
        <f t="shared" si="19"/>
        <v>6.6</v>
      </c>
      <c r="H118" s="42">
        <f t="shared" si="19"/>
        <v>9.9</v>
      </c>
      <c r="I118" s="42">
        <f t="shared" si="19"/>
        <v>24</v>
      </c>
      <c r="J118" s="42">
        <f t="shared" si="19"/>
        <v>20.900000000000002</v>
      </c>
      <c r="K118" s="42">
        <f t="shared" si="19"/>
        <v>26.2</v>
      </c>
      <c r="L118" s="42">
        <f t="shared" si="19"/>
        <v>15.799999999999999</v>
      </c>
      <c r="M118" s="42">
        <f t="shared" si="19"/>
        <v>17.3</v>
      </c>
      <c r="N118" s="42">
        <f t="shared" si="19"/>
        <v>18.899999999999999</v>
      </c>
    </row>
    <row r="119" spans="1:14" x14ac:dyDescent="0.2">
      <c r="A119" s="39"/>
      <c r="B119" s="39" t="s">
        <v>237</v>
      </c>
      <c r="C119" s="40">
        <f t="shared" ref="C119:I119" si="20">+C82-C118</f>
        <v>23.299999999999994</v>
      </c>
      <c r="D119" s="40">
        <f t="shared" si="20"/>
        <v>70.5548</v>
      </c>
      <c r="E119" s="40">
        <f t="shared" si="20"/>
        <v>42.745563839999988</v>
      </c>
      <c r="F119" s="40">
        <f t="shared" si="20"/>
        <v>29.185936675071993</v>
      </c>
      <c r="G119" s="40">
        <f t="shared" si="20"/>
        <v>43.190933091919241</v>
      </c>
      <c r="H119" s="40">
        <f t="shared" si="20"/>
        <v>80.077074547584729</v>
      </c>
      <c r="I119" s="40">
        <f t="shared" si="20"/>
        <v>56.162540601981263</v>
      </c>
      <c r="J119" s="40">
        <f ca="1">+J82-J118</f>
        <v>50.56733532866096</v>
      </c>
      <c r="K119" s="40">
        <f t="shared" ref="K119:N119" ca="1" si="21">+K82-K118</f>
        <v>26.613470427190013</v>
      </c>
      <c r="L119" s="40">
        <f t="shared" ca="1" si="21"/>
        <v>47.325166713390757</v>
      </c>
      <c r="M119" s="40">
        <f t="shared" ca="1" si="21"/>
        <v>89.729075831954546</v>
      </c>
      <c r="N119" s="40">
        <f t="shared" ca="1" si="21"/>
        <v>64.854524221054959</v>
      </c>
    </row>
    <row r="120" spans="1:14" x14ac:dyDescent="0.2">
      <c r="A120" s="33" t="s">
        <v>238</v>
      </c>
      <c r="B120" s="34" t="s">
        <v>239</v>
      </c>
      <c r="C120" s="37">
        <f ca="1">SUM(C121:C122)</f>
        <v>1.2</v>
      </c>
      <c r="D120" s="37">
        <f t="shared" ref="D120:N120" ca="1" si="22">SUM(D121:D122)</f>
        <v>1.2</v>
      </c>
      <c r="E120" s="37">
        <f t="shared" ca="1" si="22"/>
        <v>1.2</v>
      </c>
      <c r="F120" s="37">
        <f t="shared" ca="1" si="22"/>
        <v>1.2</v>
      </c>
      <c r="G120" s="37">
        <f t="shared" ca="1" si="22"/>
        <v>1.2</v>
      </c>
      <c r="H120" s="37">
        <f t="shared" ca="1" si="22"/>
        <v>1.2</v>
      </c>
      <c r="I120" s="37">
        <f t="shared" ca="1" si="22"/>
        <v>1.2</v>
      </c>
      <c r="J120" s="37">
        <f t="shared" ca="1" si="22"/>
        <v>1.2</v>
      </c>
      <c r="K120" s="37">
        <f t="shared" ca="1" si="22"/>
        <v>1.2</v>
      </c>
      <c r="L120" s="37">
        <f t="shared" ca="1" si="22"/>
        <v>1.2</v>
      </c>
      <c r="M120" s="37">
        <f t="shared" ca="1" si="22"/>
        <v>1.1000000000000001</v>
      </c>
      <c r="N120" s="37">
        <f t="shared" ca="1" si="22"/>
        <v>1.2</v>
      </c>
    </row>
    <row r="121" spans="1:14" outlineLevel="1" x14ac:dyDescent="0.2">
      <c r="A121" s="9" t="s">
        <v>240</v>
      </c>
      <c r="B121" s="1" t="s">
        <v>241</v>
      </c>
      <c r="C121" s="10">
        <f ca="1">IFERROR(VLOOKUP(A121,'Centre DW1'!$A$7:$N$106,3,FALSE),0)+
IFERROR(VLOOKUP(A121,'Centre WP1'!$A$7:$N$107,3,FALSE),0)+
IFERROR(VLOOKUP(A121,'Centre WR1'!$A$7:$N$106,3,FALSE),0)+
IFERROR(VLOOKUP(A121,'Centre WV1'!$A$7:$N$109,3,FALSE),0)</f>
        <v>1.2</v>
      </c>
      <c r="D121" s="10">
        <f ca="1">IFERROR(VLOOKUP(A121,'Centre DW1'!$A$7:$N$106,4,FALSE),0)+
IFERROR(VLOOKUP(A121,'Centre WP1'!$A$7:$N$107,4,FALSE),0)+
IFERROR(VLOOKUP(A121,'Centre WR1'!$A$7:$N$106,4,FALSE),0)+
IFERROR(VLOOKUP(A121,'Centre WV1'!$A$7:$N$109,4,FALSE),0)</f>
        <v>1.2</v>
      </c>
      <c r="E121" s="10">
        <f ca="1">IFERROR(VLOOKUP(A121,'Centre DW1'!$A$7:$N$106,5,FALSE),0)+
IFERROR(VLOOKUP(A121,'Centre WP1'!$A$7:$N$107,5,FALSE),0)+
IFERROR(VLOOKUP(A121,'Centre WR1'!$A$7:$N$106,5,FALSE),0)+
IFERROR(VLOOKUP(A121,'Centre WV1'!$A$7:$N$109,5,FALSE),0)</f>
        <v>1.2</v>
      </c>
      <c r="F121" s="10">
        <f ca="1">IFERROR(VLOOKUP(A121,'Centre DW1'!$A$7:$N$106,6,FALSE),0)+
IFERROR(VLOOKUP(A121,'Centre WP1'!$A$7:$N$107,6,FALSE),0)+
IFERROR(VLOOKUP(A121,'Centre WR1'!$A$7:$N$106,6,FALSE),0)+
IFERROR(VLOOKUP(A121,'Centre WV1'!$A$7:$N$109,6,FALSE),0)</f>
        <v>1.2</v>
      </c>
      <c r="G121" s="10">
        <f ca="1">IFERROR(VLOOKUP(A121,'Centre DW1'!$A$7:$N$106,7,FALSE),0)+
IFERROR(VLOOKUP(A121,'Centre WP1'!$A$7:$N$107,7,FALSE),0)+
IFERROR(VLOOKUP(A121,'Centre WR1'!$A$7:$N$106,7,FALSE),0)+
IFERROR(VLOOKUP(A121,'Centre WV1'!$A$7:$N$109,7,FALSE),0)</f>
        <v>1.2</v>
      </c>
      <c r="H121" s="10">
        <f ca="1">IFERROR(VLOOKUP(A121,'Centre DW1'!$A$7:$N$106,8,FALSE),0)+
IFERROR(VLOOKUP(A121,'Centre WP1'!$A$7:$N$107,8,FALSE),0)+
IFERROR(VLOOKUP(A121,'Centre WR1'!$A$7:$N$106,8,FALSE),0)+
IFERROR(VLOOKUP(A121,'Centre WV1'!$A$7:$N$109,8,FALSE),0)</f>
        <v>1.2</v>
      </c>
      <c r="I121" s="10">
        <f ca="1">IFERROR(VLOOKUP(A121,'Centre DW1'!$A$7:$N$106,9,FALSE),0)+
IFERROR(VLOOKUP(A121,'Centre WP1'!$A$7:$N$107,9,FALSE),0)+
IFERROR(VLOOKUP(A121,'Centre WR1'!$A$7:$N$106,9,FALSE),0)+
IFERROR(VLOOKUP(A121,'Centre WV1'!$A$7:$N$109,9,FALSE),0)</f>
        <v>1.2</v>
      </c>
      <c r="J121" s="32">
        <f ca="1">IFERROR(VLOOKUP(A121,'Centre DW1'!$A$7:$N$106,10,FALSE),0)+
IFERROR(VLOOKUP(A121,'Centre WP1'!$A$7:$N$107,10,FALSE),0)+
IFERROR(VLOOKUP(A121,'Centre WR1'!$A$7:$N$106,10,FALSE),0)+
IFERROR(VLOOKUP(A121,'Centre WV1'!$A$7:$N$109,10,FALSE),0)</f>
        <v>1.2</v>
      </c>
      <c r="K121" s="32">
        <f ca="1">IFERROR(VLOOKUP(A121,'Centre DW1'!$A$7:$N$106,11,FALSE),0)+
IFERROR(VLOOKUP(A121,'Centre WP1'!$A$7:$N$107,11,FALSE),0)+
IFERROR(VLOOKUP(A121,'Centre WR1'!$A$7:$N$106,11,FALSE),0)+
IFERROR(VLOOKUP(A121,'Centre WV1'!$A$7:$N$109,11,FALSE),0)</f>
        <v>1.2</v>
      </c>
      <c r="L121" s="32">
        <f ca="1">IFERROR(VLOOKUP(A121,'Centre DW1'!$A$7:$N$106,12,FALSE),0)+
IFERROR(VLOOKUP(A121,'Centre WP1'!$A$7:$N$107,12,FALSE),0)+
IFERROR(VLOOKUP(A121,'Centre WR1'!$A$7:$N$106,12,FALSE),0)+
IFERROR(VLOOKUP(A121,'Centre WV1'!$A$7:$N$109,12,FALSE),0)</f>
        <v>1.2</v>
      </c>
      <c r="M121" s="32">
        <f ca="1">IFERROR(VLOOKUP(A121,'Centre DW1'!$A$7:$N$106,13,FALSE),0)+
IFERROR(VLOOKUP(A121,'Centre WP1'!$A$7:$N$107,13,FALSE),0)+
IFERROR(VLOOKUP(A121,'Centre WR1'!$A$7:$N$106,13,FALSE),0)+
IFERROR(VLOOKUP(A121,'Centre WV1'!$A$7:$N$109,13,FALSE),0)</f>
        <v>1.1000000000000001</v>
      </c>
      <c r="N121" s="32">
        <f ca="1">IFERROR(VLOOKUP(A121,'Centre DW1'!$A$7:$N$106,14,FALSE),0)+
IFERROR(VLOOKUP(A121,'Centre WP1'!$A$7:$N$107,14,FALSE),0)+
IFERROR(VLOOKUP(A121,'Centre WR1'!$A$7:$N$106,14,FALSE),0)+
IFERROR(VLOOKUP(A121,'Centre WV1'!$A$7:$N$109,14,FALSE),0)</f>
        <v>1.2</v>
      </c>
    </row>
    <row r="122" spans="1:14" outlineLevel="1" x14ac:dyDescent="0.2">
      <c r="A122" s="9" t="s">
        <v>242</v>
      </c>
      <c r="B122" s="1" t="s">
        <v>243</v>
      </c>
      <c r="C122" s="10">
        <f>IFERROR(VLOOKUP(A122,'Centre DW1'!$A$7:$N$106,3,FALSE),0)+
IFERROR(VLOOKUP(A122,'Centre WP1'!$A$7:$N$107,3,FALSE),0)+
IFERROR(VLOOKUP(A122,'Centre WR1'!$A$7:$N$106,3,FALSE),0)+
IFERROR(VLOOKUP(A122,'Centre WV1'!$A$7:$N$109,3,FALSE),0)</f>
        <v>0</v>
      </c>
      <c r="D122" s="10">
        <f>IFERROR(VLOOKUP(A122,'Centre DW1'!$A$7:$N$106,4,FALSE),0)+
IFERROR(VLOOKUP(A122,'Centre WP1'!$A$7:$N$107,4,FALSE),0)+
IFERROR(VLOOKUP(A122,'Centre WR1'!$A$7:$N$106,4,FALSE),0)+
IFERROR(VLOOKUP(A122,'Centre WV1'!$A$7:$N$109,4,FALSE),0)</f>
        <v>0</v>
      </c>
      <c r="E122" s="10">
        <f>IFERROR(VLOOKUP(A122,'Centre DW1'!$A$7:$N$106,5,FALSE),0)+
IFERROR(VLOOKUP(A122,'Centre WP1'!$A$7:$N$107,5,FALSE),0)+
IFERROR(VLOOKUP(A122,'Centre WR1'!$A$7:$N$106,5,FALSE),0)+
IFERROR(VLOOKUP(A122,'Centre WV1'!$A$7:$N$109,5,FALSE),0)</f>
        <v>0</v>
      </c>
      <c r="F122" s="10">
        <f>IFERROR(VLOOKUP(A122,'Centre DW1'!$A$7:$N$106,6,FALSE),0)+
IFERROR(VLOOKUP(A122,'Centre WP1'!$A$7:$N$107,6,FALSE),0)+
IFERROR(VLOOKUP(A122,'Centre WR1'!$A$7:$N$106,6,FALSE),0)+
IFERROR(VLOOKUP(A122,'Centre WV1'!$A$7:$N$109,6,FALSE),0)</f>
        <v>0</v>
      </c>
      <c r="G122" s="10">
        <f>IFERROR(VLOOKUP(A122,'Centre DW1'!$A$7:$N$106,7,FALSE),0)+
IFERROR(VLOOKUP(A122,'Centre WP1'!$A$7:$N$107,7,FALSE),0)+
IFERROR(VLOOKUP(A122,'Centre WR1'!$A$7:$N$106,7,FALSE),0)+
IFERROR(VLOOKUP(A122,'Centre WV1'!$A$7:$N$109,7,FALSE),0)</f>
        <v>0</v>
      </c>
      <c r="H122" s="10">
        <f>IFERROR(VLOOKUP(A122,'Centre DW1'!$A$7:$N$106,8,FALSE),0)+
IFERROR(VLOOKUP(A122,'Centre WP1'!$A$7:$N$107,8,FALSE),0)+
IFERROR(VLOOKUP(A122,'Centre WR1'!$A$7:$N$106,8,FALSE),0)+
IFERROR(VLOOKUP(A122,'Centre WV1'!$A$7:$N$109,8,FALSE),0)</f>
        <v>0</v>
      </c>
      <c r="I122" s="10">
        <f>IFERROR(VLOOKUP(A122,'Centre DW1'!$A$7:$N$106,9,FALSE),0)+
IFERROR(VLOOKUP(A122,'Centre WP1'!$A$7:$N$107,9,FALSE),0)+
IFERROR(VLOOKUP(A122,'Centre WR1'!$A$7:$N$106,9,FALSE),0)+
IFERROR(VLOOKUP(A122,'Centre WV1'!$A$7:$N$109,9,FALSE),0)</f>
        <v>0</v>
      </c>
      <c r="J122" s="32">
        <f>IFERROR(VLOOKUP(A122,'Centre DW1'!$A$7:$N$106,10,FALSE),0)+
IFERROR(VLOOKUP(A122,'Centre WP1'!$A$7:$N$107,10,FALSE),0)+
IFERROR(VLOOKUP(A122,'Centre WR1'!$A$7:$N$106,10,FALSE),0)+
IFERROR(VLOOKUP(A122,'Centre WV1'!$A$7:$N$109,10,FALSE),0)</f>
        <v>0</v>
      </c>
      <c r="K122" s="32">
        <f>IFERROR(VLOOKUP(A122,'Centre DW1'!$A$7:$N$106,11,FALSE),0)+
IFERROR(VLOOKUP(A122,'Centre WP1'!$A$7:$N$107,11,FALSE),0)+
IFERROR(VLOOKUP(A122,'Centre WR1'!$A$7:$N$106,11,FALSE),0)+
IFERROR(VLOOKUP(A122,'Centre WV1'!$A$7:$N$109,11,FALSE),0)</f>
        <v>0</v>
      </c>
      <c r="L122" s="32">
        <f>IFERROR(VLOOKUP(A122,'Centre DW1'!$A$7:$N$106,12,FALSE),0)+
IFERROR(VLOOKUP(A122,'Centre WP1'!$A$7:$N$107,12,FALSE),0)+
IFERROR(VLOOKUP(A122,'Centre WR1'!$A$7:$N$106,12,FALSE),0)+
IFERROR(VLOOKUP(A122,'Centre WV1'!$A$7:$N$109,12,FALSE),0)</f>
        <v>0</v>
      </c>
      <c r="M122" s="32">
        <f>IFERROR(VLOOKUP(A122,'Centre DW1'!$A$7:$N$106,13,FALSE),0)+
IFERROR(VLOOKUP(A122,'Centre WP1'!$A$7:$N$107,13,FALSE),0)+
IFERROR(VLOOKUP(A122,'Centre WR1'!$A$7:$N$106,13,FALSE),0)+
IFERROR(VLOOKUP(A122,'Centre WV1'!$A$7:$N$109,13,FALSE),0)</f>
        <v>0</v>
      </c>
      <c r="N122" s="32">
        <f>IFERROR(VLOOKUP(A122,'Centre DW1'!$A$7:$N$106,14,FALSE),0)+
IFERROR(VLOOKUP(A122,'Centre WP1'!$A$7:$N$107,14,FALSE),0)+
IFERROR(VLOOKUP(A122,'Centre WR1'!$A$7:$N$106,14,FALSE),0)+
IFERROR(VLOOKUP(A122,'Centre WV1'!$A$7:$N$109,14,FALSE),0)</f>
        <v>0</v>
      </c>
    </row>
    <row r="123" spans="1:14" x14ac:dyDescent="0.2">
      <c r="A123" s="33" t="s">
        <v>244</v>
      </c>
      <c r="B123" s="34" t="s">
        <v>245</v>
      </c>
      <c r="C123" s="37">
        <f>IFERROR(VLOOKUP(A123,'Centre DW1'!$A$7:$N$106,3,FALSE),0)+
IFERROR(VLOOKUP(A123,'Centre WP1'!$A$7:$N$107,3,FALSE),0)+
IFERROR(VLOOKUP(A123,'Centre WR1'!$A$7:$N$106,3,FALSE),0)+
IFERROR(VLOOKUP(A123,'Centre WV1'!$A$7:$N$109,3,FALSE),0)</f>
        <v>0</v>
      </c>
      <c r="D123" s="37">
        <f>IFERROR(VLOOKUP(A123,'Centre DW1'!$A$7:$N$106,4,FALSE),0)+
IFERROR(VLOOKUP(A123,'Centre WP1'!$A$7:$N$107,4,FALSE),0)+
IFERROR(VLOOKUP(A123,'Centre WR1'!$A$7:$N$106,4,FALSE),0)+
IFERROR(VLOOKUP(A123,'Centre WV1'!$A$7:$N$109,4,FALSE),0)</f>
        <v>0</v>
      </c>
      <c r="E123" s="37">
        <f>IFERROR(VLOOKUP(A123,'Centre DW1'!$A$7:$N$106,5,FALSE),0)+
IFERROR(VLOOKUP(A123,'Centre WP1'!$A$7:$N$107,5,FALSE),0)+
IFERROR(VLOOKUP(A123,'Centre WR1'!$A$7:$N$106,5,FALSE),0)+
IFERROR(VLOOKUP(A123,'Centre WV1'!$A$7:$N$109,5,FALSE),0)</f>
        <v>0</v>
      </c>
      <c r="F123" s="37">
        <f>IFERROR(VLOOKUP(A123,'Centre DW1'!$A$7:$N$106,6,FALSE),0)+
IFERROR(VLOOKUP(A123,'Centre WP1'!$A$7:$N$107,6,FALSE),0)+
IFERROR(VLOOKUP(A123,'Centre WR1'!$A$7:$N$106,6,FALSE),0)+
IFERROR(VLOOKUP(A123,'Centre WV1'!$A$7:$N$109,6,FALSE),0)</f>
        <v>0</v>
      </c>
      <c r="G123" s="37">
        <f>IFERROR(VLOOKUP(A123,'Centre DW1'!$A$7:$N$106,7,FALSE),0)+
IFERROR(VLOOKUP(A123,'Centre WP1'!$A$7:$N$107,7,FALSE),0)+
IFERROR(VLOOKUP(A123,'Centre WR1'!$A$7:$N$106,7,FALSE),0)+
IFERROR(VLOOKUP(A123,'Centre WV1'!$A$7:$N$109,7,FALSE),0)</f>
        <v>0</v>
      </c>
      <c r="H123" s="37">
        <f>IFERROR(VLOOKUP(A123,'Centre DW1'!$A$7:$N$106,8,FALSE),0)+
IFERROR(VLOOKUP(A123,'Centre WP1'!$A$7:$N$107,8,FALSE),0)+
IFERROR(VLOOKUP(A123,'Centre WR1'!$A$7:$N$106,8,FALSE),0)+
IFERROR(VLOOKUP(A123,'Centre WV1'!$A$7:$N$109,8,FALSE),0)</f>
        <v>0</v>
      </c>
      <c r="I123" s="37">
        <f>IFERROR(VLOOKUP(A123,'Centre DW1'!$A$7:$N$106,9,FALSE),0)+
IFERROR(VLOOKUP(A123,'Centre WP1'!$A$7:$N$107,9,FALSE),0)+
IFERROR(VLOOKUP(A123,'Centre WR1'!$A$7:$N$106,9,FALSE),0)+
IFERROR(VLOOKUP(A123,'Centre WV1'!$A$7:$N$109,9,FALSE),0)</f>
        <v>0</v>
      </c>
      <c r="J123" s="38">
        <f>IFERROR(VLOOKUP(A123,'Centre DW1'!$A$7:$N$106,10,FALSE),0)+
IFERROR(VLOOKUP(A123,'Centre WP1'!$A$7:$N$107,10,FALSE),0)+
IFERROR(VLOOKUP(A123,'Centre WR1'!$A$7:$N$106,10,FALSE),0)+
IFERROR(VLOOKUP(A123,'Centre WV1'!$A$7:$N$109,10,FALSE),0)</f>
        <v>0</v>
      </c>
      <c r="K123" s="38">
        <f>IFERROR(VLOOKUP(A123,'Centre DW1'!$A$7:$N$106,11,FALSE),0)+
IFERROR(VLOOKUP(A123,'Centre WP1'!$A$7:$N$107,11,FALSE),0)+
IFERROR(VLOOKUP(A123,'Centre WR1'!$A$7:$N$106,11,FALSE),0)+
IFERROR(VLOOKUP(A123,'Centre WV1'!$A$7:$N$109,11,FALSE),0)</f>
        <v>0</v>
      </c>
      <c r="L123" s="38">
        <f>IFERROR(VLOOKUP(A123,'Centre DW1'!$A$7:$N$106,12,FALSE),0)+
IFERROR(VLOOKUP(A123,'Centre WP1'!$A$7:$N$107,12,FALSE),0)+
IFERROR(VLOOKUP(A123,'Centre WR1'!$A$7:$N$106,12,FALSE),0)+
IFERROR(VLOOKUP(A123,'Centre WV1'!$A$7:$N$109,12,FALSE),0)</f>
        <v>0</v>
      </c>
      <c r="M123" s="38">
        <f>IFERROR(VLOOKUP(A123,'Centre DW1'!$A$7:$N$106,13,FALSE),0)+
IFERROR(VLOOKUP(A123,'Centre WP1'!$A$7:$N$107,13,FALSE),0)+
IFERROR(VLOOKUP(A123,'Centre WR1'!$A$7:$N$106,13,FALSE),0)+
IFERROR(VLOOKUP(A123,'Centre WV1'!$A$7:$N$109,13,FALSE),0)</f>
        <v>0</v>
      </c>
      <c r="N123" s="38">
        <f>IFERROR(VLOOKUP(A123,'Centre DW1'!$A$7:$N$106,14,FALSE),0)+
IFERROR(VLOOKUP(A123,'Centre WP1'!$A$7:$N$107,14,FALSE),0)+
IFERROR(VLOOKUP(A123,'Centre WR1'!$A$7:$N$106,14,FALSE),0)+
IFERROR(VLOOKUP(A123,'Centre WV1'!$A$7:$N$109,14,FALSE),0)</f>
        <v>0</v>
      </c>
    </row>
    <row r="124" spans="1:14" x14ac:dyDescent="0.2">
      <c r="A124" s="39"/>
      <c r="B124" s="39" t="s">
        <v>246</v>
      </c>
      <c r="C124" s="40">
        <f ca="1">+C119-(C120+C123)</f>
        <v>22.099999999999994</v>
      </c>
      <c r="D124" s="40">
        <f t="shared" ref="D124:N124" ca="1" si="23">+D119-(D120+D123)</f>
        <v>69.354799999999997</v>
      </c>
      <c r="E124" s="40">
        <f t="shared" ca="1" si="23"/>
        <v>41.545563839999986</v>
      </c>
      <c r="F124" s="40">
        <f t="shared" ca="1" si="23"/>
        <v>27.985936675071994</v>
      </c>
      <c r="G124" s="40">
        <f t="shared" ca="1" si="23"/>
        <v>41.990933091919239</v>
      </c>
      <c r="H124" s="40">
        <f t="shared" ca="1" si="23"/>
        <v>78.877074547584726</v>
      </c>
      <c r="I124" s="40">
        <f t="shared" ca="1" si="23"/>
        <v>54.96254060198126</v>
      </c>
      <c r="J124" s="40">
        <f t="shared" ca="1" si="23"/>
        <v>49.367335328660957</v>
      </c>
      <c r="K124" s="40">
        <f t="shared" ca="1" si="23"/>
        <v>25.413470427190013</v>
      </c>
      <c r="L124" s="40">
        <f t="shared" ca="1" si="23"/>
        <v>46.125166713390755</v>
      </c>
      <c r="M124" s="40">
        <f t="shared" ca="1" si="23"/>
        <v>88.629075831954552</v>
      </c>
      <c r="N124" s="40">
        <f t="shared" ca="1" si="23"/>
        <v>63.654524221054956</v>
      </c>
    </row>
    <row r="125" spans="1:14" x14ac:dyDescent="0.2">
      <c r="A125" s="9" t="s">
        <v>74</v>
      </c>
      <c r="B125" s="1" t="s">
        <v>74</v>
      </c>
      <c r="C125" s="13" t="s">
        <v>74</v>
      </c>
      <c r="D125" s="13" t="s">
        <v>74</v>
      </c>
      <c r="E125" s="13" t="s">
        <v>74</v>
      </c>
      <c r="F125" s="13" t="s">
        <v>74</v>
      </c>
      <c r="G125" s="13" t="s">
        <v>74</v>
      </c>
      <c r="H125" s="13" t="s">
        <v>74</v>
      </c>
      <c r="I125" s="13" t="s">
        <v>74</v>
      </c>
      <c r="J125" s="13" t="s">
        <v>74</v>
      </c>
      <c r="K125" s="13" t="s">
        <v>74</v>
      </c>
      <c r="L125" s="13" t="s">
        <v>74</v>
      </c>
      <c r="M125" s="13" t="s">
        <v>74</v>
      </c>
      <c r="N125" s="13" t="s">
        <v>74</v>
      </c>
    </row>
    <row r="126" spans="1:14" x14ac:dyDescent="0.2">
      <c r="A126" s="12"/>
      <c r="B126" s="12" t="s">
        <v>247</v>
      </c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</row>
    <row r="127" spans="1:14" x14ac:dyDescent="0.2">
      <c r="A127" s="9" t="s">
        <v>248</v>
      </c>
      <c r="B127" s="1" t="s">
        <v>249</v>
      </c>
      <c r="C127" s="13">
        <v>0</v>
      </c>
      <c r="D127" s="13">
        <v>0</v>
      </c>
      <c r="E127" s="13">
        <v>0</v>
      </c>
      <c r="F127" s="13">
        <v>1</v>
      </c>
      <c r="G127" s="13">
        <v>3</v>
      </c>
      <c r="H127" s="13">
        <v>3</v>
      </c>
      <c r="I127" s="13">
        <v>3</v>
      </c>
      <c r="J127" s="13">
        <v>3</v>
      </c>
      <c r="K127" s="13">
        <v>3</v>
      </c>
      <c r="L127" s="13">
        <v>3</v>
      </c>
      <c r="M127" s="13">
        <v>3</v>
      </c>
      <c r="N127" s="13">
        <v>3</v>
      </c>
    </row>
    <row r="128" spans="1:14" outlineLevel="1" x14ac:dyDescent="0.2">
      <c r="A128" s="9" t="s">
        <v>250</v>
      </c>
      <c r="B128" s="1" t="s">
        <v>251</v>
      </c>
      <c r="C128" s="13">
        <v>0</v>
      </c>
      <c r="D128" s="13">
        <v>0</v>
      </c>
      <c r="E128" s="13">
        <v>0</v>
      </c>
      <c r="F128" s="13">
        <v>1</v>
      </c>
      <c r="G128" s="13">
        <v>3</v>
      </c>
      <c r="H128" s="13">
        <v>3</v>
      </c>
      <c r="I128" s="13">
        <v>3</v>
      </c>
      <c r="J128" s="13">
        <v>3</v>
      </c>
      <c r="K128" s="13">
        <v>3</v>
      </c>
      <c r="L128" s="13">
        <v>3</v>
      </c>
      <c r="M128" s="13">
        <v>3</v>
      </c>
      <c r="N128" s="13">
        <v>3</v>
      </c>
    </row>
    <row r="129" spans="1:14" x14ac:dyDescent="0.2">
      <c r="A129" s="9" t="s">
        <v>252</v>
      </c>
      <c r="B129" s="1" t="s">
        <v>253</v>
      </c>
      <c r="C129" s="13">
        <v>2.4</v>
      </c>
      <c r="D129" s="13">
        <v>0.8</v>
      </c>
      <c r="E129" s="13">
        <v>0.4</v>
      </c>
      <c r="F129" s="13">
        <v>1.4</v>
      </c>
      <c r="G129" s="13">
        <v>3</v>
      </c>
      <c r="H129" s="13">
        <v>3</v>
      </c>
      <c r="I129" s="13">
        <v>3</v>
      </c>
      <c r="J129" s="13">
        <v>3</v>
      </c>
      <c r="K129" s="13">
        <v>3</v>
      </c>
      <c r="L129" s="13">
        <v>3</v>
      </c>
      <c r="M129" s="13">
        <v>3</v>
      </c>
      <c r="N129" s="13">
        <v>3</v>
      </c>
    </row>
    <row r="130" spans="1:14" outlineLevel="1" x14ac:dyDescent="0.2">
      <c r="A130" s="9" t="s">
        <v>254</v>
      </c>
      <c r="B130" s="1" t="s">
        <v>255</v>
      </c>
      <c r="C130" s="13">
        <v>2.4</v>
      </c>
      <c r="D130" s="13">
        <v>0.8</v>
      </c>
      <c r="E130" s="13">
        <v>0.4</v>
      </c>
      <c r="F130" s="13">
        <v>1.4</v>
      </c>
      <c r="G130" s="13">
        <v>3</v>
      </c>
      <c r="H130" s="13">
        <v>3</v>
      </c>
      <c r="I130" s="13">
        <v>3</v>
      </c>
      <c r="J130" s="13">
        <v>3</v>
      </c>
      <c r="K130" s="13">
        <v>3</v>
      </c>
      <c r="L130" s="13">
        <v>3</v>
      </c>
      <c r="M130" s="13">
        <v>3</v>
      </c>
      <c r="N130" s="13">
        <v>3</v>
      </c>
    </row>
    <row r="131" spans="1:14" x14ac:dyDescent="0.2">
      <c r="A131" s="9" t="s">
        <v>256</v>
      </c>
      <c r="B131" s="1" t="s">
        <v>257</v>
      </c>
      <c r="C131" s="13">
        <v>0.4</v>
      </c>
      <c r="D131" s="13">
        <v>0.4</v>
      </c>
      <c r="E131" s="13">
        <v>0.4</v>
      </c>
      <c r="F131" s="13">
        <v>0.4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outlineLevel="1" x14ac:dyDescent="0.2">
      <c r="A132" s="9" t="s">
        <v>258</v>
      </c>
      <c r="B132" s="1" t="s">
        <v>259</v>
      </c>
      <c r="C132" s="13">
        <v>0.4</v>
      </c>
      <c r="D132" s="13">
        <v>0.4</v>
      </c>
      <c r="E132" s="13">
        <v>0.4</v>
      </c>
      <c r="F132" s="13">
        <v>0.4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2">
      <c r="A133" s="9" t="s">
        <v>260</v>
      </c>
      <c r="B133" s="1" t="s">
        <v>261</v>
      </c>
      <c r="C133" s="13">
        <v>0.4</v>
      </c>
      <c r="D133" s="13">
        <v>0.4</v>
      </c>
      <c r="E133" s="13">
        <v>0</v>
      </c>
      <c r="F133" s="13">
        <v>1</v>
      </c>
      <c r="G133" s="13">
        <v>3</v>
      </c>
      <c r="H133" s="13">
        <v>3</v>
      </c>
      <c r="I133" s="13">
        <v>3</v>
      </c>
      <c r="J133" s="13">
        <v>3</v>
      </c>
      <c r="K133" s="13">
        <v>3</v>
      </c>
      <c r="L133" s="13">
        <v>3</v>
      </c>
      <c r="M133" s="13">
        <v>3</v>
      </c>
      <c r="N133" s="13">
        <v>3</v>
      </c>
    </row>
    <row r="134" spans="1:14" outlineLevel="1" x14ac:dyDescent="0.2">
      <c r="A134" s="9" t="s">
        <v>262</v>
      </c>
      <c r="B134" s="1" t="s">
        <v>263</v>
      </c>
      <c r="C134" s="13">
        <v>0.4</v>
      </c>
      <c r="D134" s="13">
        <v>0.4</v>
      </c>
      <c r="E134" s="13">
        <v>0</v>
      </c>
      <c r="F134" s="13">
        <v>1</v>
      </c>
      <c r="G134" s="13">
        <v>3</v>
      </c>
      <c r="H134" s="13">
        <v>3</v>
      </c>
      <c r="I134" s="13">
        <v>3</v>
      </c>
      <c r="J134" s="13">
        <v>3</v>
      </c>
      <c r="K134" s="13">
        <v>3</v>
      </c>
      <c r="L134" s="13">
        <v>3</v>
      </c>
      <c r="M134" s="13">
        <v>3</v>
      </c>
      <c r="N134" s="13">
        <v>3</v>
      </c>
    </row>
    <row r="135" spans="1:14" x14ac:dyDescent="0.2">
      <c r="A135" s="9" t="s">
        <v>264</v>
      </c>
      <c r="B135" s="1" t="s">
        <v>265</v>
      </c>
      <c r="C135" s="13">
        <v>1.6</v>
      </c>
      <c r="D135" s="13">
        <v>0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outlineLevel="1" x14ac:dyDescent="0.2">
      <c r="A136" s="9" t="s">
        <v>266</v>
      </c>
      <c r="B136" s="1" t="s">
        <v>267</v>
      </c>
      <c r="C136" s="13">
        <v>1.6</v>
      </c>
      <c r="D136" s="13">
        <v>0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2">
      <c r="A137" s="9" t="s">
        <v>268</v>
      </c>
      <c r="B137" s="1" t="s">
        <v>269</v>
      </c>
      <c r="C137" s="13">
        <v>0</v>
      </c>
      <c r="D137" s="13">
        <v>0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2">
      <c r="A138" s="9" t="s">
        <v>270</v>
      </c>
      <c r="B138" s="1" t="s">
        <v>271</v>
      </c>
      <c r="C138" s="13">
        <v>0</v>
      </c>
      <c r="D138" s="13">
        <v>0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2">
      <c r="A139" s="9" t="s">
        <v>272</v>
      </c>
      <c r="B139" s="1" t="s">
        <v>273</v>
      </c>
      <c r="C139" s="13">
        <v>0</v>
      </c>
      <c r="D139" s="13">
        <v>0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2">
      <c r="A140" s="9" t="s">
        <v>274</v>
      </c>
      <c r="B140" s="1" t="s">
        <v>275</v>
      </c>
      <c r="C140" s="13">
        <v>0</v>
      </c>
      <c r="D140" s="13">
        <v>0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2">
      <c r="A141" s="9" t="s">
        <v>276</v>
      </c>
      <c r="B141" s="1" t="s">
        <v>277</v>
      </c>
      <c r="C141" s="13">
        <v>45</v>
      </c>
      <c r="D141" s="13">
        <v>45</v>
      </c>
      <c r="E141" s="13">
        <v>45</v>
      </c>
      <c r="F141" s="13">
        <v>45</v>
      </c>
      <c r="G141" s="13">
        <v>45</v>
      </c>
      <c r="H141" s="13">
        <v>45</v>
      </c>
      <c r="I141" s="13">
        <v>45</v>
      </c>
      <c r="J141" s="13">
        <v>45</v>
      </c>
      <c r="K141" s="13">
        <v>45</v>
      </c>
      <c r="L141" s="13">
        <v>45</v>
      </c>
      <c r="M141" s="13">
        <v>45</v>
      </c>
      <c r="N141" s="13">
        <v>45</v>
      </c>
    </row>
    <row r="142" spans="1:14" outlineLevel="1" x14ac:dyDescent="0.2">
      <c r="A142" s="9" t="s">
        <v>278</v>
      </c>
      <c r="B142" s="1" t="s">
        <v>279</v>
      </c>
      <c r="C142" s="13">
        <v>45</v>
      </c>
      <c r="D142" s="13">
        <v>45</v>
      </c>
      <c r="E142" s="13">
        <v>45</v>
      </c>
      <c r="F142" s="13">
        <v>45</v>
      </c>
      <c r="G142" s="13">
        <v>45</v>
      </c>
      <c r="H142" s="13">
        <v>45</v>
      </c>
      <c r="I142" s="13">
        <v>45</v>
      </c>
      <c r="J142" s="13">
        <v>45</v>
      </c>
      <c r="K142" s="13">
        <v>45</v>
      </c>
      <c r="L142" s="13">
        <v>45</v>
      </c>
      <c r="M142" s="13">
        <v>45</v>
      </c>
      <c r="N142" s="13">
        <v>45</v>
      </c>
    </row>
    <row r="143" spans="1:14" x14ac:dyDescent="0.2">
      <c r="A143" s="9" t="s">
        <v>280</v>
      </c>
      <c r="B143" s="1" t="s">
        <v>281</v>
      </c>
      <c r="C143" s="13">
        <v>45</v>
      </c>
      <c r="D143" s="13">
        <v>45</v>
      </c>
      <c r="E143" s="13">
        <v>45</v>
      </c>
      <c r="F143" s="13">
        <v>45</v>
      </c>
      <c r="G143" s="13">
        <v>45</v>
      </c>
      <c r="H143" s="13">
        <v>45</v>
      </c>
      <c r="I143" s="13">
        <v>45</v>
      </c>
      <c r="J143" s="13">
        <v>45</v>
      </c>
      <c r="K143" s="13">
        <v>45</v>
      </c>
      <c r="L143" s="13">
        <v>45</v>
      </c>
      <c r="M143" s="13">
        <v>45</v>
      </c>
      <c r="N143" s="13">
        <v>45</v>
      </c>
    </row>
    <row r="144" spans="1:14" outlineLevel="1" x14ac:dyDescent="0.2">
      <c r="A144" s="9" t="s">
        <v>282</v>
      </c>
      <c r="B144" s="1" t="s">
        <v>283</v>
      </c>
      <c r="C144" s="13">
        <v>45</v>
      </c>
      <c r="D144" s="13">
        <v>45</v>
      </c>
      <c r="E144" s="13">
        <v>45</v>
      </c>
      <c r="F144" s="13">
        <v>45</v>
      </c>
      <c r="G144" s="13">
        <v>45</v>
      </c>
      <c r="H144" s="13">
        <v>45</v>
      </c>
      <c r="I144" s="13">
        <v>45</v>
      </c>
      <c r="J144" s="13">
        <v>45</v>
      </c>
      <c r="K144" s="13">
        <v>45</v>
      </c>
      <c r="L144" s="13">
        <v>45</v>
      </c>
      <c r="M144" s="13">
        <v>45</v>
      </c>
      <c r="N144" s="13">
        <v>45</v>
      </c>
    </row>
    <row r="145" spans="1:14" x14ac:dyDescent="0.2">
      <c r="A145" s="9" t="s">
        <v>284</v>
      </c>
      <c r="B145" s="1" t="s">
        <v>285</v>
      </c>
      <c r="C145" s="13">
        <v>0</v>
      </c>
      <c r="D145" s="13">
        <v>0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outlineLevel="1" x14ac:dyDescent="0.2">
      <c r="A146" s="9" t="s">
        <v>286</v>
      </c>
      <c r="B146" s="1" t="s">
        <v>287</v>
      </c>
      <c r="C146" s="13">
        <v>0</v>
      </c>
      <c r="D146" s="13">
        <v>0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2">
      <c r="A147" s="9" t="s">
        <v>288</v>
      </c>
      <c r="B147" s="1" t="s">
        <v>289</v>
      </c>
      <c r="C147" s="13">
        <v>0</v>
      </c>
      <c r="D147" s="13">
        <v>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2">
      <c r="A148" s="3"/>
      <c r="B148" s="3" t="s">
        <v>290</v>
      </c>
      <c r="C148" s="15">
        <v>26.9</v>
      </c>
      <c r="D148" s="15">
        <v>59.5</v>
      </c>
      <c r="E148" s="15">
        <v>94.6</v>
      </c>
      <c r="F148" s="15">
        <v>27.4</v>
      </c>
      <c r="G148" s="15">
        <v>9.5</v>
      </c>
      <c r="H148" s="15">
        <v>14</v>
      </c>
      <c r="I148" s="15">
        <v>10.4</v>
      </c>
      <c r="J148" s="15">
        <v>10.4</v>
      </c>
      <c r="K148" s="15">
        <v>10.4</v>
      </c>
      <c r="L148" s="15">
        <v>10.4</v>
      </c>
      <c r="M148" s="15">
        <v>10.4</v>
      </c>
      <c r="N148" s="15">
        <v>10.4</v>
      </c>
    </row>
    <row r="149" spans="1:14" x14ac:dyDescent="0.2">
      <c r="A149" s="3"/>
      <c r="B149" s="3" t="s">
        <v>291</v>
      </c>
      <c r="C149" s="15" t="s">
        <v>292</v>
      </c>
      <c r="D149" s="15" t="s">
        <v>292</v>
      </c>
      <c r="E149" s="15" t="s">
        <v>292</v>
      </c>
      <c r="F149" s="15" t="s">
        <v>292</v>
      </c>
      <c r="G149" s="15" t="s">
        <v>292</v>
      </c>
      <c r="H149" s="15" t="s">
        <v>292</v>
      </c>
      <c r="I149" s="15" t="s">
        <v>292</v>
      </c>
      <c r="J149" s="15" t="s">
        <v>292</v>
      </c>
      <c r="K149" s="15" t="s">
        <v>292</v>
      </c>
      <c r="L149" s="15" t="s">
        <v>292</v>
      </c>
      <c r="M149" s="15" t="s">
        <v>292</v>
      </c>
      <c r="N149" s="15" t="s">
        <v>292</v>
      </c>
    </row>
    <row r="150" spans="1:14" x14ac:dyDescent="0.2">
      <c r="A150" s="3"/>
      <c r="B150" s="3" t="s">
        <v>293</v>
      </c>
      <c r="C150" s="15" t="s">
        <v>292</v>
      </c>
      <c r="D150" s="15" t="s">
        <v>292</v>
      </c>
      <c r="E150" s="15" t="s">
        <v>292</v>
      </c>
      <c r="F150" s="15" t="s">
        <v>292</v>
      </c>
      <c r="G150" s="15" t="s">
        <v>292</v>
      </c>
      <c r="H150" s="15" t="s">
        <v>292</v>
      </c>
      <c r="I150" s="15" t="s">
        <v>292</v>
      </c>
      <c r="J150" s="15" t="s">
        <v>292</v>
      </c>
      <c r="K150" s="15" t="s">
        <v>292</v>
      </c>
      <c r="L150" s="15" t="s">
        <v>292</v>
      </c>
      <c r="M150" s="15" t="s">
        <v>292</v>
      </c>
      <c r="N150" s="15" t="s">
        <v>292</v>
      </c>
    </row>
    <row r="151" spans="1:14" x14ac:dyDescent="0.2">
      <c r="A151" s="3"/>
      <c r="B151" s="3" t="s">
        <v>294</v>
      </c>
      <c r="C151" s="15">
        <v>0</v>
      </c>
      <c r="D151" s="15">
        <v>0</v>
      </c>
      <c r="E151" s="15">
        <v>0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</v>
      </c>
      <c r="N151" s="15">
        <v>0</v>
      </c>
    </row>
    <row r="152" spans="1:14" x14ac:dyDescent="0.2">
      <c r="A152" s="12"/>
      <c r="B152" s="12" t="s">
        <v>295</v>
      </c>
      <c r="C152" s="14" t="s">
        <v>292</v>
      </c>
      <c r="D152" s="14" t="s">
        <v>292</v>
      </c>
      <c r="E152" s="14" t="s">
        <v>292</v>
      </c>
      <c r="F152" s="14" t="s">
        <v>292</v>
      </c>
      <c r="G152" s="14" t="s">
        <v>292</v>
      </c>
      <c r="H152" s="14" t="s">
        <v>292</v>
      </c>
      <c r="I152" s="14" t="s">
        <v>292</v>
      </c>
      <c r="J152" s="14" t="s">
        <v>292</v>
      </c>
      <c r="K152" s="14" t="s">
        <v>292</v>
      </c>
      <c r="L152" s="14" t="s">
        <v>292</v>
      </c>
      <c r="M152" s="14" t="s">
        <v>292</v>
      </c>
      <c r="N152" s="14" t="s">
        <v>292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20044-4638-4405-BF6E-3A2C287C6273}">
  <sheetPr codeName="Hoja35">
    <tabColor rgb="FFFFFF00"/>
  </sheetPr>
  <dimension ref="A1:N133"/>
  <sheetViews>
    <sheetView zoomScale="85" zoomScaleNormal="85" workbookViewId="0">
      <pane ySplit="6" topLeftCell="A88" activePane="bottomLeft" state="frozen"/>
      <selection activeCell="I54" sqref="I54"/>
      <selection pane="bottomLeft" activeCell="B53" sqref="B53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2.2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296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33" t="s">
        <v>23</v>
      </c>
      <c r="B7" s="34" t="s">
        <v>24</v>
      </c>
      <c r="C7" s="37">
        <f>SUM(C8:C13)</f>
        <v>79</v>
      </c>
      <c r="D7" s="37">
        <f t="shared" ref="D7:N7" si="0">SUM(D8:D13)</f>
        <v>76.599999999999994</v>
      </c>
      <c r="E7" s="37">
        <f t="shared" si="0"/>
        <v>72</v>
      </c>
      <c r="F7" s="37">
        <f t="shared" si="0"/>
        <v>66</v>
      </c>
      <c r="G7" s="37">
        <f t="shared" si="0"/>
        <v>63</v>
      </c>
      <c r="H7" s="37">
        <f t="shared" si="0"/>
        <v>87</v>
      </c>
      <c r="I7" s="37">
        <f t="shared" si="0"/>
        <v>61</v>
      </c>
      <c r="J7" s="37">
        <f t="shared" si="0"/>
        <v>62</v>
      </c>
      <c r="K7" s="37">
        <f t="shared" si="0"/>
        <v>75</v>
      </c>
      <c r="L7" s="37">
        <f t="shared" si="0"/>
        <v>67</v>
      </c>
      <c r="M7" s="37">
        <f t="shared" si="0"/>
        <v>92</v>
      </c>
      <c r="N7" s="37">
        <f t="shared" si="0"/>
        <v>82</v>
      </c>
    </row>
    <row r="8" spans="1:14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outlineLevel="1" x14ac:dyDescent="0.2">
      <c r="A9" s="9" t="s">
        <v>27</v>
      </c>
      <c r="B9" s="1" t="s">
        <v>28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outlineLevel="1" x14ac:dyDescent="0.2">
      <c r="A10" s="9" t="s">
        <v>29</v>
      </c>
      <c r="B10" s="1" t="s">
        <v>30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outlineLevel="1" x14ac:dyDescent="0.2">
      <c r="A11" s="9" t="s">
        <v>31</v>
      </c>
      <c r="B11" s="1" t="s">
        <v>32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</row>
    <row r="12" spans="1:14" outlineLevel="1" x14ac:dyDescent="0.2">
      <c r="A12" s="9" t="s">
        <v>33</v>
      </c>
      <c r="B12" s="1" t="s">
        <v>34</v>
      </c>
      <c r="C12" s="28">
        <v>79</v>
      </c>
      <c r="D12" s="28">
        <v>79</v>
      </c>
      <c r="E12" s="28">
        <v>72</v>
      </c>
      <c r="F12" s="28">
        <v>66</v>
      </c>
      <c r="G12" s="28">
        <v>63</v>
      </c>
      <c r="H12" s="28">
        <v>87</v>
      </c>
      <c r="I12" s="28">
        <v>61</v>
      </c>
      <c r="J12" s="28">
        <v>62</v>
      </c>
      <c r="K12" s="28">
        <v>75</v>
      </c>
      <c r="L12" s="28">
        <v>67</v>
      </c>
      <c r="M12" s="28">
        <v>92</v>
      </c>
      <c r="N12" s="28">
        <v>82</v>
      </c>
    </row>
    <row r="13" spans="1:14" outlineLevel="1" x14ac:dyDescent="0.2">
      <c r="A13" s="9" t="s">
        <v>35</v>
      </c>
      <c r="B13" s="1" t="s">
        <v>36</v>
      </c>
      <c r="C13" s="10">
        <v>0</v>
      </c>
      <c r="D13" s="10">
        <v>-2.4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x14ac:dyDescent="0.2">
      <c r="A14" s="33" t="s">
        <v>37</v>
      </c>
      <c r="B14" s="34" t="s">
        <v>38</v>
      </c>
      <c r="C14" s="37">
        <v>0</v>
      </c>
      <c r="D14" s="37">
        <v>0</v>
      </c>
      <c r="E14" s="37">
        <v>0</v>
      </c>
      <c r="F14" s="37">
        <v>0</v>
      </c>
      <c r="G14" s="37">
        <v>0</v>
      </c>
      <c r="H14" s="37">
        <v>0</v>
      </c>
      <c r="I14" s="37">
        <v>0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</row>
    <row r="15" spans="1:14" x14ac:dyDescent="0.2">
      <c r="A15" s="33" t="s">
        <v>39</v>
      </c>
      <c r="B15" s="34" t="s">
        <v>40</v>
      </c>
      <c r="C15" s="37">
        <v>0</v>
      </c>
      <c r="D15" s="37">
        <v>0</v>
      </c>
      <c r="E15" s="37">
        <v>0</v>
      </c>
      <c r="F15" s="37">
        <v>0</v>
      </c>
      <c r="G15" s="37">
        <v>0</v>
      </c>
      <c r="H15" s="37">
        <v>0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</row>
    <row r="16" spans="1:14" x14ac:dyDescent="0.2">
      <c r="A16" s="33" t="s">
        <v>41</v>
      </c>
      <c r="B16" s="34" t="s">
        <v>42</v>
      </c>
      <c r="C16" s="37">
        <f t="shared" ref="C16:N16" si="1">+C17</f>
        <v>0</v>
      </c>
      <c r="D16" s="37">
        <f t="shared" si="1"/>
        <v>0</v>
      </c>
      <c r="E16" s="37">
        <f t="shared" si="1"/>
        <v>0</v>
      </c>
      <c r="F16" s="37">
        <f t="shared" si="1"/>
        <v>0</v>
      </c>
      <c r="G16" s="37">
        <f t="shared" si="1"/>
        <v>0</v>
      </c>
      <c r="H16" s="37">
        <f t="shared" si="1"/>
        <v>0</v>
      </c>
      <c r="I16" s="37">
        <f t="shared" si="1"/>
        <v>0</v>
      </c>
      <c r="J16" s="37">
        <f t="shared" si="1"/>
        <v>0</v>
      </c>
      <c r="K16" s="37">
        <f t="shared" si="1"/>
        <v>0</v>
      </c>
      <c r="L16" s="37">
        <f t="shared" si="1"/>
        <v>0</v>
      </c>
      <c r="M16" s="37">
        <f t="shared" si="1"/>
        <v>0</v>
      </c>
      <c r="N16" s="37">
        <f t="shared" si="1"/>
        <v>0</v>
      </c>
    </row>
    <row r="17" spans="1:14" outlineLevel="1" x14ac:dyDescent="0.2">
      <c r="A17" s="9" t="s">
        <v>43</v>
      </c>
      <c r="B17" s="1" t="s">
        <v>44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33" t="s">
        <v>45</v>
      </c>
      <c r="B18" s="34" t="s">
        <v>46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  <c r="I18" s="37">
        <v>0</v>
      </c>
      <c r="J18" s="37">
        <v>0</v>
      </c>
      <c r="K18" s="37">
        <v>0</v>
      </c>
      <c r="L18" s="37">
        <v>0</v>
      </c>
      <c r="M18" s="37">
        <v>0</v>
      </c>
      <c r="N18" s="37">
        <v>0</v>
      </c>
    </row>
    <row r="19" spans="1:14" x14ac:dyDescent="0.2">
      <c r="A19" s="35"/>
      <c r="B19" s="35" t="s">
        <v>47</v>
      </c>
      <c r="C19" s="44">
        <f t="shared" ref="C19" si="2">C7+C14+C15+C16+C18</f>
        <v>79</v>
      </c>
      <c r="D19" s="44">
        <f t="shared" ref="D19" si="3">D7+D14+D15+D16+D18</f>
        <v>76.599999999999994</v>
      </c>
      <c r="E19" s="44">
        <f t="shared" ref="E19" si="4">E7+E14+E15+E16+E18</f>
        <v>72</v>
      </c>
      <c r="F19" s="44">
        <f t="shared" ref="F19" si="5">F7+F14+F15+F16+F18</f>
        <v>66</v>
      </c>
      <c r="G19" s="44">
        <f t="shared" ref="G19" si="6">G7+G14+G15+G16+G18</f>
        <v>63</v>
      </c>
      <c r="H19" s="44">
        <f t="shared" ref="H19" si="7">H7+H14+H15+H16+H18</f>
        <v>87</v>
      </c>
      <c r="I19" s="44">
        <f t="shared" ref="I19" si="8">I7+I14+I15+I16+I18</f>
        <v>61</v>
      </c>
      <c r="J19" s="44">
        <f t="shared" ref="J19" si="9">J7+J14+J15+J16+J18</f>
        <v>62</v>
      </c>
      <c r="K19" s="44">
        <f t="shared" ref="K19" si="10">K7+K14+K15+K16+K18</f>
        <v>75</v>
      </c>
      <c r="L19" s="44">
        <f t="shared" ref="L19" si="11">L7+L14+L15+L16+L18</f>
        <v>67</v>
      </c>
      <c r="M19" s="44">
        <f t="shared" ref="M19" si="12">M7+M14+M15+M16+M18</f>
        <v>92</v>
      </c>
      <c r="N19" s="44">
        <f t="shared" ref="N19" si="13">N7+N14+N15+N16+N18</f>
        <v>82</v>
      </c>
    </row>
    <row r="20" spans="1:14" x14ac:dyDescent="0.2">
      <c r="A20" s="33" t="s">
        <v>48</v>
      </c>
      <c r="B20" s="34" t="s">
        <v>49</v>
      </c>
      <c r="C20" s="37">
        <f t="shared" ref="C20:N20" si="14">SUM(C21:C26)</f>
        <v>33.700000000000003</v>
      </c>
      <c r="D20" s="37">
        <f t="shared" si="14"/>
        <v>25.7</v>
      </c>
      <c r="E20" s="37">
        <f t="shared" si="14"/>
        <v>25.3</v>
      </c>
      <c r="F20" s="37">
        <f t="shared" si="14"/>
        <v>14.799999999999999</v>
      </c>
      <c r="G20" s="37">
        <f t="shared" si="14"/>
        <v>36.300000000000004</v>
      </c>
      <c r="H20" s="37">
        <f t="shared" si="14"/>
        <v>17.5</v>
      </c>
      <c r="I20" s="37">
        <f t="shared" si="14"/>
        <v>25.7</v>
      </c>
      <c r="J20" s="37">
        <f t="shared" si="14"/>
        <v>20.3</v>
      </c>
      <c r="K20" s="37">
        <f t="shared" si="14"/>
        <v>22.1</v>
      </c>
      <c r="L20" s="37">
        <f>SUM(L21:L26)</f>
        <v>33.1</v>
      </c>
      <c r="M20" s="37">
        <f t="shared" si="14"/>
        <v>19.100000000000001</v>
      </c>
      <c r="N20" s="37">
        <f t="shared" si="14"/>
        <v>37.1</v>
      </c>
    </row>
    <row r="21" spans="1:14" outlineLevel="1" x14ac:dyDescent="0.2">
      <c r="A21" s="9" t="s">
        <v>50</v>
      </c>
      <c r="B21" s="1" t="s">
        <v>51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outlineLevel="1" x14ac:dyDescent="0.2">
      <c r="A22" s="9" t="s">
        <v>52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outlineLevel="1" x14ac:dyDescent="0.2">
      <c r="A23" s="9" t="s">
        <v>54</v>
      </c>
      <c r="B23" s="1" t="s">
        <v>55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17.5</v>
      </c>
      <c r="I23" s="10">
        <v>0</v>
      </c>
      <c r="J23" s="10">
        <v>0</v>
      </c>
      <c r="K23" s="10">
        <v>0</v>
      </c>
      <c r="L23" s="10">
        <v>0</v>
      </c>
      <c r="M23" s="10">
        <v>19</v>
      </c>
      <c r="N23" s="10">
        <v>37</v>
      </c>
    </row>
    <row r="24" spans="1:14" outlineLevel="1" x14ac:dyDescent="0.2">
      <c r="A24" s="9" t="s">
        <v>56</v>
      </c>
      <c r="B24" s="1" t="s">
        <v>51</v>
      </c>
      <c r="C24" s="10">
        <v>33.200000000000003</v>
      </c>
      <c r="D24" s="10">
        <v>28.3</v>
      </c>
      <c r="E24" s="10">
        <v>25</v>
      </c>
      <c r="F24" s="10">
        <v>14.7</v>
      </c>
      <c r="G24" s="10">
        <v>36.200000000000003</v>
      </c>
      <c r="H24" s="10">
        <v>0</v>
      </c>
      <c r="I24" s="10">
        <v>28.3</v>
      </c>
      <c r="J24" s="10">
        <v>20</v>
      </c>
      <c r="K24" s="10">
        <v>22</v>
      </c>
      <c r="L24" s="10">
        <v>33</v>
      </c>
      <c r="M24" s="10">
        <v>0</v>
      </c>
      <c r="N24" s="10">
        <v>0</v>
      </c>
    </row>
    <row r="25" spans="1:14" outlineLevel="1" x14ac:dyDescent="0.2">
      <c r="A25" s="9" t="s">
        <v>57</v>
      </c>
      <c r="B25" s="1" t="s">
        <v>58</v>
      </c>
      <c r="C25" s="10">
        <v>0.5</v>
      </c>
      <c r="D25" s="10">
        <v>0</v>
      </c>
      <c r="E25" s="10">
        <v>0.3</v>
      </c>
      <c r="F25" s="10">
        <v>0.1</v>
      </c>
      <c r="G25" s="10">
        <v>0.1</v>
      </c>
      <c r="H25" s="10">
        <v>0</v>
      </c>
      <c r="I25" s="10">
        <v>0</v>
      </c>
      <c r="J25" s="10">
        <v>0.3</v>
      </c>
      <c r="K25" s="10">
        <v>0.1</v>
      </c>
      <c r="L25" s="10">
        <v>0.1</v>
      </c>
      <c r="M25" s="10">
        <v>0.1</v>
      </c>
      <c r="N25" s="10">
        <v>0.1</v>
      </c>
    </row>
    <row r="26" spans="1:14" outlineLevel="1" x14ac:dyDescent="0.2">
      <c r="A26" s="9" t="s">
        <v>59</v>
      </c>
      <c r="B26" s="1" t="s">
        <v>53</v>
      </c>
      <c r="C26" s="10">
        <v>0</v>
      </c>
      <c r="D26" s="10">
        <v>-2.6</v>
      </c>
      <c r="E26" s="10">
        <v>0</v>
      </c>
      <c r="F26" s="10">
        <v>0</v>
      </c>
      <c r="G26" s="10">
        <v>0</v>
      </c>
      <c r="H26" s="10">
        <v>0</v>
      </c>
      <c r="I26" s="10">
        <v>-2.6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x14ac:dyDescent="0.2">
      <c r="A27" s="33" t="s">
        <v>60</v>
      </c>
      <c r="B27" s="34" t="s">
        <v>61</v>
      </c>
      <c r="C27" s="37"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7">
        <v>0</v>
      </c>
      <c r="K27" s="37">
        <v>0</v>
      </c>
      <c r="L27" s="37">
        <v>0</v>
      </c>
      <c r="M27" s="37">
        <v>0</v>
      </c>
      <c r="N27" s="37">
        <v>0</v>
      </c>
    </row>
    <row r="28" spans="1:14" x14ac:dyDescent="0.2">
      <c r="A28" s="33" t="s">
        <v>62</v>
      </c>
      <c r="B28" s="34" t="s">
        <v>63</v>
      </c>
      <c r="C28" s="37">
        <v>0</v>
      </c>
      <c r="D28" s="37">
        <v>0</v>
      </c>
      <c r="E28" s="37">
        <v>0</v>
      </c>
      <c r="F28" s="37">
        <v>0</v>
      </c>
      <c r="G28" s="37">
        <v>0</v>
      </c>
      <c r="H28" s="37">
        <v>0</v>
      </c>
      <c r="I28" s="37">
        <v>0</v>
      </c>
      <c r="J28" s="37">
        <v>0</v>
      </c>
      <c r="K28" s="37">
        <v>0</v>
      </c>
      <c r="L28" s="37">
        <v>0</v>
      </c>
      <c r="M28" s="37">
        <v>0</v>
      </c>
      <c r="N28" s="37">
        <v>0</v>
      </c>
    </row>
    <row r="29" spans="1:14" x14ac:dyDescent="0.2">
      <c r="A29" s="33" t="s">
        <v>64</v>
      </c>
      <c r="B29" s="34" t="s">
        <v>65</v>
      </c>
      <c r="C29" s="37">
        <f t="shared" ref="C29:N29" si="15">C30</f>
        <v>6.4</v>
      </c>
      <c r="D29" s="37">
        <f t="shared" si="15"/>
        <v>-26.3</v>
      </c>
      <c r="E29" s="37">
        <f t="shared" si="15"/>
        <v>-8.4</v>
      </c>
      <c r="F29" s="37">
        <f t="shared" si="15"/>
        <v>1.1000000000000001</v>
      </c>
      <c r="G29" s="37">
        <f t="shared" si="15"/>
        <v>-6.3</v>
      </c>
      <c r="H29" s="37">
        <f t="shared" si="15"/>
        <v>-0.6</v>
      </c>
      <c r="I29" s="37">
        <f t="shared" si="15"/>
        <v>-26.3</v>
      </c>
      <c r="J29" s="37">
        <f t="shared" si="15"/>
        <v>-8.4</v>
      </c>
      <c r="K29" s="37">
        <f t="shared" si="15"/>
        <v>1.1000000000000001</v>
      </c>
      <c r="L29" s="37">
        <f t="shared" si="15"/>
        <v>-6.3</v>
      </c>
      <c r="M29" s="37">
        <f t="shared" si="15"/>
        <v>-0.6</v>
      </c>
      <c r="N29" s="37">
        <f t="shared" si="15"/>
        <v>-0.6</v>
      </c>
    </row>
    <row r="30" spans="1:14" outlineLevel="1" x14ac:dyDescent="0.2">
      <c r="A30" s="9" t="s">
        <v>66</v>
      </c>
      <c r="B30" s="1" t="s">
        <v>67</v>
      </c>
      <c r="C30" s="10">
        <v>6.4</v>
      </c>
      <c r="D30" s="10">
        <v>-26.3</v>
      </c>
      <c r="E30" s="10">
        <v>-8.4</v>
      </c>
      <c r="F30" s="10">
        <v>1.1000000000000001</v>
      </c>
      <c r="G30" s="10">
        <v>-6.3</v>
      </c>
      <c r="H30" s="10">
        <v>-0.6</v>
      </c>
      <c r="I30" s="10">
        <v>-26.3</v>
      </c>
      <c r="J30" s="10">
        <v>-8.4</v>
      </c>
      <c r="K30" s="10">
        <v>1.1000000000000001</v>
      </c>
      <c r="L30" s="10">
        <v>-6.3</v>
      </c>
      <c r="M30" s="10">
        <v>-0.6</v>
      </c>
      <c r="N30" s="10">
        <v>-0.6</v>
      </c>
    </row>
    <row r="31" spans="1:14" x14ac:dyDescent="0.2">
      <c r="A31" s="33" t="s">
        <v>68</v>
      </c>
      <c r="B31" s="34" t="s">
        <v>69</v>
      </c>
      <c r="C31" s="37">
        <f t="shared" ref="C31:N31" si="16">C32</f>
        <v>0</v>
      </c>
      <c r="D31" s="37">
        <f t="shared" si="16"/>
        <v>0</v>
      </c>
      <c r="E31" s="37">
        <f t="shared" si="16"/>
        <v>0</v>
      </c>
      <c r="F31" s="37">
        <f t="shared" si="16"/>
        <v>0</v>
      </c>
      <c r="G31" s="37">
        <f t="shared" si="16"/>
        <v>0</v>
      </c>
      <c r="H31" s="37">
        <f t="shared" si="16"/>
        <v>0</v>
      </c>
      <c r="I31" s="37">
        <f t="shared" si="16"/>
        <v>0</v>
      </c>
      <c r="J31" s="37">
        <f t="shared" si="16"/>
        <v>0</v>
      </c>
      <c r="K31" s="37">
        <f t="shared" si="16"/>
        <v>0</v>
      </c>
      <c r="L31" s="37">
        <f t="shared" si="16"/>
        <v>0</v>
      </c>
      <c r="M31" s="37">
        <f t="shared" si="16"/>
        <v>0</v>
      </c>
      <c r="N31" s="37">
        <f t="shared" si="16"/>
        <v>0</v>
      </c>
    </row>
    <row r="32" spans="1:14" outlineLevel="1" x14ac:dyDescent="0.2">
      <c r="A32" s="9" t="s">
        <v>70</v>
      </c>
      <c r="B32" s="1" t="s">
        <v>71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</row>
    <row r="33" spans="1:14" x14ac:dyDescent="0.2">
      <c r="A33" s="36"/>
      <c r="B33" s="36" t="s">
        <v>72</v>
      </c>
      <c r="C33" s="43">
        <f t="shared" ref="C33:N33" si="17">+C20+C27+C28+C29+C31</f>
        <v>40.1</v>
      </c>
      <c r="D33" s="43">
        <f t="shared" si="17"/>
        <v>-0.60000000000000142</v>
      </c>
      <c r="E33" s="43">
        <f t="shared" si="17"/>
        <v>16.899999999999999</v>
      </c>
      <c r="F33" s="43">
        <f t="shared" si="17"/>
        <v>15.899999999999999</v>
      </c>
      <c r="G33" s="43">
        <f t="shared" si="17"/>
        <v>30.000000000000004</v>
      </c>
      <c r="H33" s="43">
        <f t="shared" si="17"/>
        <v>16.899999999999999</v>
      </c>
      <c r="I33" s="43">
        <f t="shared" si="17"/>
        <v>-0.60000000000000142</v>
      </c>
      <c r="J33" s="43">
        <f t="shared" si="17"/>
        <v>11.9</v>
      </c>
      <c r="K33" s="43">
        <f t="shared" si="17"/>
        <v>23.200000000000003</v>
      </c>
      <c r="L33" s="43">
        <f>+L20+L27+L28+L29+L31</f>
        <v>26.8</v>
      </c>
      <c r="M33" s="43">
        <f t="shared" si="17"/>
        <v>18.5</v>
      </c>
      <c r="N33" s="43">
        <f t="shared" si="17"/>
        <v>36.5</v>
      </c>
    </row>
    <row r="34" spans="1:14" x14ac:dyDescent="0.2">
      <c r="A34" s="35"/>
      <c r="B34" s="35" t="s">
        <v>73</v>
      </c>
      <c r="C34" s="44">
        <f t="shared" ref="C34:N34" si="18">+C19-C33</f>
        <v>38.9</v>
      </c>
      <c r="D34" s="44">
        <f t="shared" si="18"/>
        <v>77.199999999999989</v>
      </c>
      <c r="E34" s="44">
        <f t="shared" si="18"/>
        <v>55.1</v>
      </c>
      <c r="F34" s="44">
        <f t="shared" si="18"/>
        <v>50.1</v>
      </c>
      <c r="G34" s="44">
        <f t="shared" si="18"/>
        <v>33</v>
      </c>
      <c r="H34" s="44">
        <f t="shared" si="18"/>
        <v>70.099999999999994</v>
      </c>
      <c r="I34" s="44">
        <f t="shared" si="18"/>
        <v>61.6</v>
      </c>
      <c r="J34" s="44">
        <f t="shared" si="18"/>
        <v>50.1</v>
      </c>
      <c r="K34" s="44">
        <f t="shared" si="18"/>
        <v>51.8</v>
      </c>
      <c r="L34" s="44">
        <f t="shared" si="18"/>
        <v>40.200000000000003</v>
      </c>
      <c r="M34" s="44">
        <f t="shared" si="18"/>
        <v>73.5</v>
      </c>
      <c r="N34" s="44">
        <f t="shared" si="18"/>
        <v>45.5</v>
      </c>
    </row>
    <row r="35" spans="1:14" x14ac:dyDescent="0.2">
      <c r="A35" s="33" t="s">
        <v>74</v>
      </c>
      <c r="B35" s="46" t="s">
        <v>74</v>
      </c>
      <c r="C35" s="47" t="s">
        <v>74</v>
      </c>
      <c r="D35" s="47" t="s">
        <v>74</v>
      </c>
      <c r="E35" s="47" t="s">
        <v>74</v>
      </c>
      <c r="F35" s="47" t="s">
        <v>74</v>
      </c>
      <c r="G35" s="47" t="s">
        <v>74</v>
      </c>
      <c r="H35" s="47" t="s">
        <v>74</v>
      </c>
      <c r="I35" s="47" t="s">
        <v>74</v>
      </c>
      <c r="J35" s="47" t="s">
        <v>74</v>
      </c>
      <c r="K35" s="47" t="s">
        <v>74</v>
      </c>
      <c r="L35" s="47" t="s">
        <v>74</v>
      </c>
      <c r="M35" s="47" t="s">
        <v>74</v>
      </c>
      <c r="N35" s="47" t="s">
        <v>74</v>
      </c>
    </row>
    <row r="36" spans="1:14" x14ac:dyDescent="0.2">
      <c r="A36" s="33" t="s">
        <v>75</v>
      </c>
      <c r="B36" s="34" t="s">
        <v>76</v>
      </c>
      <c r="C36" s="37">
        <f>SUM(C37:C49)</f>
        <v>5.4000000000000012</v>
      </c>
      <c r="D36" s="37">
        <f t="shared" ref="D36:N36" si="19">SUM(D37:D49)</f>
        <v>5.9</v>
      </c>
      <c r="E36" s="37">
        <f t="shared" si="19"/>
        <v>4.8999999999999995</v>
      </c>
      <c r="F36" s="37">
        <f t="shared" si="19"/>
        <v>18.700000000000003</v>
      </c>
      <c r="G36" s="37">
        <f t="shared" si="19"/>
        <v>2.2000000000000002</v>
      </c>
      <c r="H36" s="37">
        <f t="shared" si="19"/>
        <v>0.40000000000000013</v>
      </c>
      <c r="I36" s="37">
        <f t="shared" si="19"/>
        <v>5.9</v>
      </c>
      <c r="J36" s="37">
        <f t="shared" si="19"/>
        <v>5</v>
      </c>
      <c r="K36" s="37">
        <f t="shared" si="19"/>
        <v>20.700000000000003</v>
      </c>
      <c r="L36" s="37">
        <f t="shared" si="19"/>
        <v>4.5999999999999988</v>
      </c>
      <c r="M36" s="37">
        <f t="shared" si="19"/>
        <v>1.9000000000000004</v>
      </c>
      <c r="N36" s="37">
        <f t="shared" si="19"/>
        <v>2.9000000000000004</v>
      </c>
    </row>
    <row r="37" spans="1:14" outlineLevel="1" x14ac:dyDescent="0.2">
      <c r="A37" s="9" t="s">
        <v>77</v>
      </c>
      <c r="B37" s="1" t="s">
        <v>78</v>
      </c>
      <c r="C37" s="10">
        <v>2.7</v>
      </c>
      <c r="D37" s="10">
        <v>3.3</v>
      </c>
      <c r="E37" s="10">
        <v>2.9</v>
      </c>
      <c r="F37" s="10">
        <v>2</v>
      </c>
      <c r="G37" s="10">
        <v>1.6</v>
      </c>
      <c r="H37" s="10">
        <v>1.5</v>
      </c>
      <c r="I37" s="10">
        <v>3.3</v>
      </c>
      <c r="J37" s="10">
        <v>3</v>
      </c>
      <c r="K37" s="10">
        <v>4</v>
      </c>
      <c r="L37" s="10">
        <v>4</v>
      </c>
      <c r="M37" s="10">
        <v>3</v>
      </c>
      <c r="N37" s="10">
        <v>4</v>
      </c>
    </row>
    <row r="38" spans="1:14" outlineLevel="1" x14ac:dyDescent="0.2">
      <c r="A38" s="9" t="s">
        <v>79</v>
      </c>
      <c r="B38" s="1" t="s">
        <v>80</v>
      </c>
      <c r="C38" s="10">
        <v>0.4</v>
      </c>
      <c r="D38" s="10">
        <v>0.4</v>
      </c>
      <c r="E38" s="10">
        <v>0.4</v>
      </c>
      <c r="F38" s="10">
        <v>0.2</v>
      </c>
      <c r="G38" s="10">
        <v>0</v>
      </c>
      <c r="H38" s="10">
        <v>0</v>
      </c>
      <c r="I38" s="10">
        <v>0.4</v>
      </c>
      <c r="J38" s="10">
        <v>0.4</v>
      </c>
      <c r="K38" s="10">
        <v>0.2</v>
      </c>
      <c r="L38" s="10">
        <v>0</v>
      </c>
      <c r="M38" s="10">
        <v>0</v>
      </c>
      <c r="N38" s="10">
        <v>0</v>
      </c>
    </row>
    <row r="39" spans="1:14" outlineLevel="1" x14ac:dyDescent="0.2">
      <c r="A39" s="9" t="s">
        <v>81</v>
      </c>
      <c r="B39" s="1" t="s">
        <v>82</v>
      </c>
      <c r="C39" s="10">
        <v>0.8</v>
      </c>
      <c r="D39" s="10">
        <v>0.8</v>
      </c>
      <c r="E39" s="10">
        <v>0.6</v>
      </c>
      <c r="F39" s="10">
        <v>1.8</v>
      </c>
      <c r="G39" s="10">
        <v>0.3</v>
      </c>
      <c r="H39" s="10">
        <v>-1.4</v>
      </c>
      <c r="I39" s="10">
        <v>0.8</v>
      </c>
      <c r="J39" s="10">
        <v>0.6</v>
      </c>
      <c r="K39" s="10">
        <v>1.8</v>
      </c>
      <c r="L39" s="10">
        <v>0.3</v>
      </c>
      <c r="M39" s="10">
        <v>-1.4</v>
      </c>
      <c r="N39" s="10">
        <v>-1.4</v>
      </c>
    </row>
    <row r="40" spans="1:14" outlineLevel="1" x14ac:dyDescent="0.2">
      <c r="A40" s="9" t="s">
        <v>83</v>
      </c>
      <c r="B40" s="1" t="s">
        <v>84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outlineLevel="1" x14ac:dyDescent="0.2">
      <c r="A41" s="9" t="s">
        <v>87</v>
      </c>
      <c r="B41" s="1" t="s">
        <v>88</v>
      </c>
      <c r="C41" s="10">
        <v>0.4</v>
      </c>
      <c r="D41" s="10">
        <v>0.3</v>
      </c>
      <c r="E41" s="10">
        <v>0.2</v>
      </c>
      <c r="F41" s="10">
        <v>0.2</v>
      </c>
      <c r="G41" s="10">
        <v>0.1</v>
      </c>
      <c r="H41" s="10">
        <v>0.1</v>
      </c>
      <c r="I41" s="10">
        <v>0.3</v>
      </c>
      <c r="J41" s="10">
        <v>0.2</v>
      </c>
      <c r="K41" s="10">
        <v>0.2</v>
      </c>
      <c r="L41" s="10">
        <v>0.1</v>
      </c>
      <c r="M41" s="10">
        <v>0.1</v>
      </c>
      <c r="N41" s="10">
        <v>0.1</v>
      </c>
    </row>
    <row r="42" spans="1:14" outlineLevel="1" x14ac:dyDescent="0.2">
      <c r="A42" s="9" t="s">
        <v>89</v>
      </c>
      <c r="B42" s="1" t="s">
        <v>90</v>
      </c>
      <c r="C42" s="10">
        <v>0.4</v>
      </c>
      <c r="D42" s="10">
        <v>0.4</v>
      </c>
      <c r="E42" s="10">
        <v>0.3</v>
      </c>
      <c r="F42" s="10">
        <v>0.7</v>
      </c>
      <c r="G42" s="10">
        <v>0.1</v>
      </c>
      <c r="H42" s="10">
        <v>0.1</v>
      </c>
      <c r="I42" s="10">
        <v>0.4</v>
      </c>
      <c r="J42" s="10">
        <v>0.3</v>
      </c>
      <c r="K42" s="10">
        <v>0.7</v>
      </c>
      <c r="L42" s="10">
        <v>0.1</v>
      </c>
      <c r="M42" s="10">
        <v>0.1</v>
      </c>
      <c r="N42" s="10">
        <v>0.1</v>
      </c>
    </row>
    <row r="43" spans="1:14" outlineLevel="1" x14ac:dyDescent="0.2">
      <c r="A43" s="9" t="s">
        <v>91</v>
      </c>
      <c r="B43" s="1" t="s">
        <v>92</v>
      </c>
      <c r="C43" s="10">
        <v>0</v>
      </c>
      <c r="D43" s="10">
        <v>0</v>
      </c>
      <c r="E43" s="10">
        <v>0</v>
      </c>
      <c r="F43" s="10">
        <v>11.7</v>
      </c>
      <c r="G43" s="10">
        <v>0</v>
      </c>
      <c r="H43" s="10">
        <v>0</v>
      </c>
      <c r="I43" s="10">
        <v>0</v>
      </c>
      <c r="J43" s="10">
        <v>0</v>
      </c>
      <c r="K43" s="10">
        <v>11.7</v>
      </c>
      <c r="L43" s="10">
        <v>0</v>
      </c>
      <c r="M43" s="10">
        <v>0</v>
      </c>
      <c r="N43" s="10">
        <v>0</v>
      </c>
    </row>
    <row r="44" spans="1:14" outlineLevel="1" x14ac:dyDescent="0.2">
      <c r="A44" s="9" t="s">
        <v>93</v>
      </c>
      <c r="B44" s="1" t="s">
        <v>94</v>
      </c>
      <c r="C44" s="10">
        <v>0.4</v>
      </c>
      <c r="D44" s="10">
        <v>0.4</v>
      </c>
      <c r="E44" s="10">
        <v>0.3</v>
      </c>
      <c r="F44" s="10">
        <v>2</v>
      </c>
      <c r="G44" s="10">
        <v>0.1</v>
      </c>
      <c r="H44" s="10">
        <v>0.1</v>
      </c>
      <c r="I44" s="10">
        <v>0.4</v>
      </c>
      <c r="J44" s="10">
        <v>0.3</v>
      </c>
      <c r="K44" s="10">
        <v>2</v>
      </c>
      <c r="L44" s="10">
        <v>0.1</v>
      </c>
      <c r="M44" s="10">
        <v>0.1</v>
      </c>
      <c r="N44" s="10">
        <v>0.1</v>
      </c>
    </row>
    <row r="45" spans="1:14" outlineLevel="1" x14ac:dyDescent="0.2">
      <c r="A45" s="9" t="s">
        <v>95</v>
      </c>
      <c r="B45" s="1" t="s">
        <v>96</v>
      </c>
      <c r="C45" s="10">
        <v>0.3</v>
      </c>
      <c r="D45" s="10">
        <v>0.3</v>
      </c>
      <c r="E45" s="10">
        <v>0.2</v>
      </c>
      <c r="F45" s="10">
        <v>0.1</v>
      </c>
      <c r="G45" s="10">
        <v>0</v>
      </c>
      <c r="H45" s="10">
        <v>0</v>
      </c>
      <c r="I45" s="10">
        <v>0.3</v>
      </c>
      <c r="J45" s="10">
        <v>0.2</v>
      </c>
      <c r="K45" s="10">
        <v>0.1</v>
      </c>
      <c r="L45" s="10">
        <v>0</v>
      </c>
      <c r="M45" s="10">
        <v>0</v>
      </c>
      <c r="N45" s="10">
        <v>0</v>
      </c>
    </row>
    <row r="46" spans="1:14" outlineLevel="1" x14ac:dyDescent="0.2">
      <c r="A46" s="9" t="s">
        <v>97</v>
      </c>
      <c r="B46" s="1" t="s">
        <v>98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outlineLevel="1" x14ac:dyDescent="0.2">
      <c r="A47" s="9" t="s">
        <v>99</v>
      </c>
      <c r="B47" s="1" t="s">
        <v>100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outlineLevel="1" x14ac:dyDescent="0.2">
      <c r="A48" s="9" t="s">
        <v>101</v>
      </c>
      <c r="B48" s="1" t="s">
        <v>102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outlineLevel="1" x14ac:dyDescent="0.2">
      <c r="A49" s="9" t="s">
        <v>103</v>
      </c>
      <c r="B49" s="1" t="s">
        <v>104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x14ac:dyDescent="0.2">
      <c r="A50" s="33" t="s">
        <v>111</v>
      </c>
      <c r="B50" s="34" t="s">
        <v>112</v>
      </c>
      <c r="C50" s="37">
        <v>0</v>
      </c>
      <c r="D50" s="37">
        <v>0</v>
      </c>
      <c r="E50" s="37">
        <v>0</v>
      </c>
      <c r="F50" s="37">
        <v>0</v>
      </c>
      <c r="G50" s="37">
        <v>0</v>
      </c>
      <c r="H50" s="37">
        <v>0</v>
      </c>
      <c r="I50" s="37">
        <v>0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</row>
    <row r="51" spans="1:14" x14ac:dyDescent="0.2">
      <c r="A51" s="33" t="s">
        <v>119</v>
      </c>
      <c r="B51" s="34" t="s">
        <v>120</v>
      </c>
      <c r="C51" s="37">
        <f t="shared" ref="C51:N51" si="20">SUM(C52:C53)</f>
        <v>0</v>
      </c>
      <c r="D51" s="37">
        <f t="shared" si="20"/>
        <v>0</v>
      </c>
      <c r="E51" s="37">
        <f t="shared" si="20"/>
        <v>0</v>
      </c>
      <c r="F51" s="37">
        <f t="shared" si="20"/>
        <v>0</v>
      </c>
      <c r="G51" s="37">
        <f t="shared" si="20"/>
        <v>0</v>
      </c>
      <c r="H51" s="37">
        <f t="shared" si="20"/>
        <v>0.1</v>
      </c>
      <c r="I51" s="37">
        <f t="shared" si="20"/>
        <v>0</v>
      </c>
      <c r="J51" s="37">
        <f t="shared" ca="1" si="20"/>
        <v>1</v>
      </c>
      <c r="K51" s="37">
        <f t="shared" ca="1" si="20"/>
        <v>1</v>
      </c>
      <c r="L51" s="37">
        <f t="shared" ca="1" si="20"/>
        <v>1</v>
      </c>
      <c r="M51" s="37">
        <f t="shared" ca="1" si="20"/>
        <v>1</v>
      </c>
      <c r="N51" s="37">
        <f t="shared" ca="1" si="20"/>
        <v>1</v>
      </c>
    </row>
    <row r="52" spans="1:14" outlineLevel="1" x14ac:dyDescent="0.2">
      <c r="A52" s="9" t="s">
        <v>121</v>
      </c>
      <c r="B52" s="1" t="s">
        <v>122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outlineLevel="1" x14ac:dyDescent="0.2">
      <c r="A53" s="9" t="s">
        <v>123</v>
      </c>
      <c r="B53" s="1" t="s">
        <v>124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0.1</v>
      </c>
      <c r="I53" s="10">
        <v>0</v>
      </c>
      <c r="J53" s="10">
        <f ca="1">RANDBETWEEN(0.55,0.807)</f>
        <v>1</v>
      </c>
      <c r="K53" s="10">
        <f t="shared" ref="K53:N53" ca="1" si="21">RANDBETWEEN(0.55,0.807)</f>
        <v>1</v>
      </c>
      <c r="L53" s="10">
        <f t="shared" ca="1" si="21"/>
        <v>1</v>
      </c>
      <c r="M53" s="10">
        <f t="shared" ca="1" si="21"/>
        <v>1</v>
      </c>
      <c r="N53" s="10">
        <f t="shared" ca="1" si="21"/>
        <v>1</v>
      </c>
    </row>
    <row r="54" spans="1:14" x14ac:dyDescent="0.2">
      <c r="A54" s="33" t="s">
        <v>127</v>
      </c>
      <c r="B54" s="34" t="s">
        <v>128</v>
      </c>
      <c r="C54" s="37">
        <f t="shared" ref="C54:N54" si="22">SUM(C55)</f>
        <v>0</v>
      </c>
      <c r="D54" s="37">
        <f t="shared" si="22"/>
        <v>0</v>
      </c>
      <c r="E54" s="37">
        <f t="shared" si="22"/>
        <v>0</v>
      </c>
      <c r="F54" s="37">
        <f t="shared" si="22"/>
        <v>0</v>
      </c>
      <c r="G54" s="37">
        <f t="shared" si="22"/>
        <v>0</v>
      </c>
      <c r="H54" s="37">
        <f t="shared" si="22"/>
        <v>0</v>
      </c>
      <c r="I54" s="37">
        <f t="shared" si="22"/>
        <v>0</v>
      </c>
      <c r="J54" s="37">
        <f t="shared" si="22"/>
        <v>0</v>
      </c>
      <c r="K54" s="37">
        <f t="shared" si="22"/>
        <v>0</v>
      </c>
      <c r="L54" s="37">
        <f t="shared" si="22"/>
        <v>0</v>
      </c>
      <c r="M54" s="37">
        <f t="shared" si="22"/>
        <v>0</v>
      </c>
      <c r="N54" s="37">
        <f t="shared" si="22"/>
        <v>0</v>
      </c>
    </row>
    <row r="55" spans="1:14" outlineLevel="1" x14ac:dyDescent="0.2">
      <c r="A55" s="9" t="s">
        <v>131</v>
      </c>
      <c r="B55" s="1" t="s">
        <v>132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x14ac:dyDescent="0.2">
      <c r="A56" s="33" t="s">
        <v>133</v>
      </c>
      <c r="B56" s="34" t="s">
        <v>134</v>
      </c>
      <c r="C56" s="37">
        <f t="shared" ref="C56:N56" si="23">SUM(C57)</f>
        <v>0</v>
      </c>
      <c r="D56" s="37">
        <f t="shared" si="23"/>
        <v>0</v>
      </c>
      <c r="E56" s="37">
        <f t="shared" si="23"/>
        <v>0</v>
      </c>
      <c r="F56" s="37">
        <f t="shared" si="23"/>
        <v>0</v>
      </c>
      <c r="G56" s="37">
        <f t="shared" si="23"/>
        <v>0</v>
      </c>
      <c r="H56" s="37">
        <f t="shared" si="23"/>
        <v>0</v>
      </c>
      <c r="I56" s="37">
        <f t="shared" si="23"/>
        <v>0</v>
      </c>
      <c r="J56" s="37">
        <f t="shared" si="23"/>
        <v>0</v>
      </c>
      <c r="K56" s="37">
        <f t="shared" si="23"/>
        <v>0</v>
      </c>
      <c r="L56" s="37">
        <f t="shared" si="23"/>
        <v>0</v>
      </c>
      <c r="M56" s="37">
        <f t="shared" si="23"/>
        <v>0</v>
      </c>
      <c r="N56" s="37">
        <f t="shared" si="23"/>
        <v>0</v>
      </c>
    </row>
    <row r="57" spans="1:14" outlineLevel="1" x14ac:dyDescent="0.2">
      <c r="A57" s="9" t="s">
        <v>135</v>
      </c>
      <c r="B57" s="1" t="s">
        <v>136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x14ac:dyDescent="0.2">
      <c r="A58" s="33" t="s">
        <v>137</v>
      </c>
      <c r="B58" s="34" t="s">
        <v>138</v>
      </c>
      <c r="C58" s="37">
        <v>0</v>
      </c>
      <c r="D58" s="37">
        <v>0</v>
      </c>
      <c r="E58" s="37">
        <v>0</v>
      </c>
      <c r="F58" s="37">
        <v>0</v>
      </c>
      <c r="G58" s="37">
        <v>0</v>
      </c>
      <c r="H58" s="37">
        <v>0</v>
      </c>
      <c r="I58" s="37">
        <v>0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</row>
    <row r="59" spans="1:14" x14ac:dyDescent="0.2">
      <c r="A59" s="33" t="s">
        <v>139</v>
      </c>
      <c r="B59" s="34" t="s">
        <v>140</v>
      </c>
      <c r="C59" s="37">
        <v>0</v>
      </c>
      <c r="D59" s="37">
        <v>0</v>
      </c>
      <c r="E59" s="37">
        <v>0</v>
      </c>
      <c r="F59" s="37">
        <v>0</v>
      </c>
      <c r="G59" s="37">
        <v>0</v>
      </c>
      <c r="H59" s="37">
        <v>0</v>
      </c>
      <c r="I59" s="37">
        <v>0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</row>
    <row r="60" spans="1:14" x14ac:dyDescent="0.2">
      <c r="A60" s="33" t="s">
        <v>141</v>
      </c>
      <c r="B60" s="34" t="s">
        <v>142</v>
      </c>
      <c r="C60" s="37">
        <v>0</v>
      </c>
      <c r="D60" s="37">
        <v>0</v>
      </c>
      <c r="E60" s="37">
        <v>0</v>
      </c>
      <c r="F60" s="37">
        <v>0</v>
      </c>
      <c r="G60" s="37">
        <v>0</v>
      </c>
      <c r="H60" s="37">
        <v>0</v>
      </c>
      <c r="I60" s="37">
        <v>0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</row>
    <row r="61" spans="1:14" x14ac:dyDescent="0.2">
      <c r="A61" s="33" t="s">
        <v>143</v>
      </c>
      <c r="B61" s="34" t="s">
        <v>144</v>
      </c>
      <c r="C61" s="37">
        <v>0</v>
      </c>
      <c r="D61" s="37">
        <v>0</v>
      </c>
      <c r="E61" s="37">
        <v>0</v>
      </c>
      <c r="F61" s="37">
        <v>0</v>
      </c>
      <c r="G61" s="37">
        <v>0</v>
      </c>
      <c r="H61" s="37">
        <v>0</v>
      </c>
      <c r="I61" s="37">
        <v>0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</row>
    <row r="62" spans="1:14" x14ac:dyDescent="0.2">
      <c r="A62" s="33" t="s">
        <v>157</v>
      </c>
      <c r="B62" s="34" t="s">
        <v>158</v>
      </c>
      <c r="C62" s="37">
        <f t="shared" ref="C62:N62" si="24">SUM(C63:C64)</f>
        <v>2.2999999999999998</v>
      </c>
      <c r="D62" s="37">
        <f t="shared" si="24"/>
        <v>-0.5</v>
      </c>
      <c r="E62" s="37">
        <f t="shared" si="24"/>
        <v>5.5</v>
      </c>
      <c r="F62" s="37">
        <f t="shared" si="24"/>
        <v>-7.4</v>
      </c>
      <c r="G62" s="37">
        <f t="shared" si="24"/>
        <v>-0.4</v>
      </c>
      <c r="H62" s="37">
        <f t="shared" si="24"/>
        <v>1.2</v>
      </c>
      <c r="I62" s="37">
        <f t="shared" si="24"/>
        <v>-0.5</v>
      </c>
      <c r="J62" s="37">
        <f t="shared" si="24"/>
        <v>1</v>
      </c>
      <c r="K62" s="37">
        <f t="shared" si="24"/>
        <v>3</v>
      </c>
      <c r="L62" s="37">
        <f t="shared" si="24"/>
        <v>1</v>
      </c>
      <c r="M62" s="37">
        <f t="shared" si="24"/>
        <v>-5</v>
      </c>
      <c r="N62" s="37">
        <f t="shared" si="24"/>
        <v>-4</v>
      </c>
    </row>
    <row r="63" spans="1:14" outlineLevel="1" x14ac:dyDescent="0.2">
      <c r="A63" s="9" t="s">
        <v>159</v>
      </c>
      <c r="B63" s="1" t="s">
        <v>160</v>
      </c>
      <c r="C63" s="10">
        <v>2.2999999999999998</v>
      </c>
      <c r="D63" s="10">
        <v>-0.5</v>
      </c>
      <c r="E63" s="10">
        <v>5.5</v>
      </c>
      <c r="F63" s="10">
        <v>-7.4</v>
      </c>
      <c r="G63" s="10">
        <v>-0.4</v>
      </c>
      <c r="H63" s="10">
        <v>1.2</v>
      </c>
      <c r="I63" s="10">
        <v>-0.5</v>
      </c>
      <c r="J63" s="10">
        <v>1</v>
      </c>
      <c r="K63" s="10">
        <v>3</v>
      </c>
      <c r="L63" s="10">
        <v>1</v>
      </c>
      <c r="M63" s="10">
        <v>-5</v>
      </c>
      <c r="N63" s="10">
        <v>-4</v>
      </c>
    </row>
    <row r="64" spans="1:14" outlineLevel="1" x14ac:dyDescent="0.2">
      <c r="A64" s="9" t="s">
        <v>161</v>
      </c>
      <c r="B64" s="1" t="s">
        <v>162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</row>
    <row r="65" spans="1:14" x14ac:dyDescent="0.2">
      <c r="A65" s="36"/>
      <c r="B65" s="36" t="s">
        <v>165</v>
      </c>
      <c r="C65" s="43">
        <f>+C36+C50+C51+C54+C56+C58+C59+C60+C61+C62</f>
        <v>7.7000000000000011</v>
      </c>
      <c r="D65" s="43">
        <f t="shared" ref="D65:N65" si="25">+D36+D50+D51+D54+D56+D58+D59+D60+D61+D62</f>
        <v>5.4</v>
      </c>
      <c r="E65" s="43">
        <f t="shared" si="25"/>
        <v>10.399999999999999</v>
      </c>
      <c r="F65" s="43">
        <f t="shared" si="25"/>
        <v>11.300000000000002</v>
      </c>
      <c r="G65" s="43">
        <f t="shared" si="25"/>
        <v>1.8000000000000003</v>
      </c>
      <c r="H65" s="43">
        <f t="shared" si="25"/>
        <v>1.7000000000000002</v>
      </c>
      <c r="I65" s="43">
        <f t="shared" si="25"/>
        <v>5.4</v>
      </c>
      <c r="J65" s="43">
        <f t="shared" ca="1" si="25"/>
        <v>7</v>
      </c>
      <c r="K65" s="43">
        <f t="shared" ca="1" si="25"/>
        <v>24.700000000000003</v>
      </c>
      <c r="L65" s="43">
        <f t="shared" ca="1" si="25"/>
        <v>6.5999999999999988</v>
      </c>
      <c r="M65" s="43">
        <f t="shared" ca="1" si="25"/>
        <v>-2.0999999999999996</v>
      </c>
      <c r="N65" s="43">
        <f t="shared" ca="1" si="25"/>
        <v>-9.9999999999999645E-2</v>
      </c>
    </row>
    <row r="66" spans="1:14" x14ac:dyDescent="0.2">
      <c r="A66" s="35"/>
      <c r="B66" s="35" t="s">
        <v>166</v>
      </c>
      <c r="C66" s="44">
        <f t="shared" ref="C66:N66" si="26">+C34-C65</f>
        <v>31.199999999999996</v>
      </c>
      <c r="D66" s="44">
        <f t="shared" si="26"/>
        <v>71.799999999999983</v>
      </c>
      <c r="E66" s="44">
        <f t="shared" si="26"/>
        <v>44.7</v>
      </c>
      <c r="F66" s="44">
        <f t="shared" si="26"/>
        <v>38.799999999999997</v>
      </c>
      <c r="G66" s="44">
        <f t="shared" si="26"/>
        <v>31.2</v>
      </c>
      <c r="H66" s="44">
        <f t="shared" si="26"/>
        <v>68.399999999999991</v>
      </c>
      <c r="I66" s="44">
        <f t="shared" si="26"/>
        <v>56.2</v>
      </c>
      <c r="J66" s="44">
        <f t="shared" ca="1" si="26"/>
        <v>43.1</v>
      </c>
      <c r="K66" s="44">
        <f t="shared" ca="1" si="26"/>
        <v>27.099999999999994</v>
      </c>
      <c r="L66" s="44">
        <f t="shared" ca="1" si="26"/>
        <v>33.6</v>
      </c>
      <c r="M66" s="44">
        <f t="shared" ca="1" si="26"/>
        <v>75.599999999999994</v>
      </c>
      <c r="N66" s="44">
        <f t="shared" ca="1" si="26"/>
        <v>45.6</v>
      </c>
    </row>
    <row r="67" spans="1:14" x14ac:dyDescent="0.2">
      <c r="A67" s="33" t="s">
        <v>167</v>
      </c>
      <c r="B67" s="34" t="s">
        <v>168</v>
      </c>
      <c r="C67" s="37">
        <f t="shared" ref="C67:N67" si="27">SUM(C68:C82)</f>
        <v>17.600000000000001</v>
      </c>
      <c r="D67" s="37">
        <f t="shared" si="27"/>
        <v>13.4</v>
      </c>
      <c r="E67" s="37">
        <f t="shared" si="27"/>
        <v>13.900000000000002</v>
      </c>
      <c r="F67" s="37">
        <f t="shared" si="27"/>
        <v>22.4</v>
      </c>
      <c r="G67" s="37">
        <f t="shared" si="27"/>
        <v>5.1000000000000005</v>
      </c>
      <c r="H67" s="37">
        <f t="shared" si="27"/>
        <v>4.9000000000000004</v>
      </c>
      <c r="I67" s="37">
        <f t="shared" si="27"/>
        <v>13.4</v>
      </c>
      <c r="J67" s="37">
        <f t="shared" si="27"/>
        <v>14.300000000000002</v>
      </c>
      <c r="K67" s="37">
        <f t="shared" si="27"/>
        <v>19.599999999999998</v>
      </c>
      <c r="L67" s="37">
        <f t="shared" si="27"/>
        <v>10.1</v>
      </c>
      <c r="M67" s="37">
        <f t="shared" si="27"/>
        <v>13.5</v>
      </c>
      <c r="N67" s="37">
        <f t="shared" si="27"/>
        <v>11.9</v>
      </c>
    </row>
    <row r="68" spans="1:14" outlineLevel="1" x14ac:dyDescent="0.2">
      <c r="A68" s="9" t="s">
        <v>171</v>
      </c>
      <c r="B68" s="1" t="s">
        <v>172</v>
      </c>
      <c r="C68" s="10">
        <v>2.9</v>
      </c>
      <c r="D68" s="10">
        <v>2</v>
      </c>
      <c r="E68" s="10">
        <v>1.6</v>
      </c>
      <c r="F68" s="10">
        <v>5.8</v>
      </c>
      <c r="G68" s="10">
        <v>0</v>
      </c>
      <c r="H68" s="10">
        <v>0</v>
      </c>
      <c r="I68" s="10">
        <v>2</v>
      </c>
      <c r="J68" s="10">
        <v>1.6</v>
      </c>
      <c r="K68" s="10">
        <v>5.8</v>
      </c>
      <c r="L68" s="10">
        <v>0</v>
      </c>
      <c r="M68" s="10">
        <v>0</v>
      </c>
      <c r="N68" s="10">
        <v>0</v>
      </c>
    </row>
    <row r="69" spans="1:14" outlineLevel="1" x14ac:dyDescent="0.2">
      <c r="A69" s="9" t="s">
        <v>173</v>
      </c>
      <c r="B69" s="1" t="s">
        <v>174</v>
      </c>
      <c r="C69" s="10">
        <v>5.9</v>
      </c>
      <c r="D69" s="10">
        <v>0.2</v>
      </c>
      <c r="E69" s="10">
        <v>1.8</v>
      </c>
      <c r="F69" s="10">
        <v>3.4</v>
      </c>
      <c r="G69" s="10">
        <v>0</v>
      </c>
      <c r="H69" s="10">
        <v>0</v>
      </c>
      <c r="I69" s="10">
        <v>0.2</v>
      </c>
      <c r="J69" s="10">
        <v>1.8</v>
      </c>
      <c r="K69" s="10">
        <v>3.4</v>
      </c>
      <c r="L69" s="10">
        <v>0</v>
      </c>
      <c r="M69" s="10">
        <v>0</v>
      </c>
      <c r="N69" s="10">
        <v>0</v>
      </c>
    </row>
    <row r="70" spans="1:14" outlineLevel="1" x14ac:dyDescent="0.2">
      <c r="A70" s="9" t="s">
        <v>175</v>
      </c>
      <c r="B70" s="1" t="s">
        <v>176</v>
      </c>
      <c r="C70" s="10">
        <v>4.0999999999999996</v>
      </c>
      <c r="D70" s="10">
        <v>5.2</v>
      </c>
      <c r="E70" s="10">
        <v>5.6</v>
      </c>
      <c r="F70" s="10">
        <v>7.8</v>
      </c>
      <c r="G70" s="10">
        <v>0</v>
      </c>
      <c r="H70" s="10">
        <v>0</v>
      </c>
      <c r="I70" s="10">
        <v>5.2</v>
      </c>
      <c r="J70" s="10">
        <v>6</v>
      </c>
      <c r="K70" s="10">
        <v>5</v>
      </c>
      <c r="L70" s="10">
        <v>5</v>
      </c>
      <c r="M70" s="10">
        <v>8</v>
      </c>
      <c r="N70" s="10">
        <v>7</v>
      </c>
    </row>
    <row r="71" spans="1:14" outlineLevel="1" x14ac:dyDescent="0.2">
      <c r="A71" s="9" t="s">
        <v>177</v>
      </c>
      <c r="B71" s="1" t="s">
        <v>178</v>
      </c>
      <c r="C71" s="10">
        <v>0.5</v>
      </c>
      <c r="D71" s="10">
        <v>0.5</v>
      </c>
      <c r="E71" s="10">
        <v>0.5</v>
      </c>
      <c r="F71" s="10">
        <v>0.6</v>
      </c>
      <c r="G71" s="10">
        <v>0</v>
      </c>
      <c r="H71" s="10">
        <v>0</v>
      </c>
      <c r="I71" s="10">
        <v>0.5</v>
      </c>
      <c r="J71" s="10">
        <v>0.5</v>
      </c>
      <c r="K71" s="10">
        <v>0.6</v>
      </c>
      <c r="L71" s="10">
        <v>0</v>
      </c>
      <c r="M71" s="10">
        <v>0.6</v>
      </c>
      <c r="N71" s="10">
        <v>0</v>
      </c>
    </row>
    <row r="72" spans="1:14" outlineLevel="1" x14ac:dyDescent="0.2">
      <c r="A72" s="9" t="s">
        <v>179</v>
      </c>
      <c r="B72" s="1" t="s">
        <v>180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outlineLevel="1" x14ac:dyDescent="0.2">
      <c r="A73" s="9" t="s">
        <v>181</v>
      </c>
      <c r="B73" s="1" t="s">
        <v>182</v>
      </c>
      <c r="C73" s="10">
        <v>2.4</v>
      </c>
      <c r="D73" s="10">
        <v>2.9</v>
      </c>
      <c r="E73" s="10">
        <v>1.8</v>
      </c>
      <c r="F73" s="10">
        <v>1.4</v>
      </c>
      <c r="G73" s="10">
        <v>1.7</v>
      </c>
      <c r="H73" s="10">
        <v>1.6</v>
      </c>
      <c r="I73" s="10">
        <v>2.9</v>
      </c>
      <c r="J73" s="10">
        <v>1.8</v>
      </c>
      <c r="K73" s="10">
        <v>1.4</v>
      </c>
      <c r="L73" s="10">
        <v>1.7</v>
      </c>
      <c r="M73" s="10">
        <v>1.6</v>
      </c>
      <c r="N73" s="10">
        <v>1.6</v>
      </c>
    </row>
    <row r="74" spans="1:14" outlineLevel="1" x14ac:dyDescent="0.2">
      <c r="A74" s="9" t="s">
        <v>183</v>
      </c>
      <c r="B74" s="1" t="s">
        <v>184</v>
      </c>
      <c r="C74" s="10">
        <v>0</v>
      </c>
      <c r="D74" s="10">
        <v>0.1</v>
      </c>
      <c r="E74" s="10">
        <v>0.6</v>
      </c>
      <c r="F74" s="10">
        <v>1.2</v>
      </c>
      <c r="G74" s="10">
        <v>1.5</v>
      </c>
      <c r="H74" s="10">
        <v>0.8</v>
      </c>
      <c r="I74" s="10">
        <v>0.1</v>
      </c>
      <c r="J74" s="10">
        <v>0.6</v>
      </c>
      <c r="K74" s="10">
        <v>1.2</v>
      </c>
      <c r="L74" s="10">
        <v>1.5</v>
      </c>
      <c r="M74" s="10">
        <v>0.8</v>
      </c>
      <c r="N74" s="10">
        <v>0.8</v>
      </c>
    </row>
    <row r="75" spans="1:14" outlineLevel="1" x14ac:dyDescent="0.2">
      <c r="A75" s="9" t="s">
        <v>185</v>
      </c>
      <c r="B75" s="1" t="s">
        <v>186</v>
      </c>
      <c r="C75" s="10">
        <v>0.3</v>
      </c>
      <c r="D75" s="10">
        <v>0.3</v>
      </c>
      <c r="E75" s="10">
        <v>0.4</v>
      </c>
      <c r="F75" s="10">
        <v>0.4</v>
      </c>
      <c r="G75" s="10">
        <v>0.5</v>
      </c>
      <c r="H75" s="10">
        <v>0.4</v>
      </c>
      <c r="I75" s="10">
        <v>0.3</v>
      </c>
      <c r="J75" s="10">
        <v>0.4</v>
      </c>
      <c r="K75" s="10">
        <v>0.4</v>
      </c>
      <c r="L75" s="10">
        <v>0.5</v>
      </c>
      <c r="M75" s="10">
        <v>0.4</v>
      </c>
      <c r="N75" s="10">
        <v>0.4</v>
      </c>
    </row>
    <row r="76" spans="1:14" outlineLevel="1" x14ac:dyDescent="0.2">
      <c r="A76" s="9" t="s">
        <v>187</v>
      </c>
      <c r="B76" s="1" t="s">
        <v>184</v>
      </c>
      <c r="C76" s="10">
        <v>0.1</v>
      </c>
      <c r="D76" s="10">
        <v>0.1</v>
      </c>
      <c r="E76" s="10">
        <v>0</v>
      </c>
      <c r="F76" s="10">
        <v>0.1</v>
      </c>
      <c r="G76" s="10">
        <v>0.1</v>
      </c>
      <c r="H76" s="10">
        <v>0.1</v>
      </c>
      <c r="I76" s="10">
        <v>0.1</v>
      </c>
      <c r="J76" s="10">
        <v>0</v>
      </c>
      <c r="K76" s="10">
        <v>0.1</v>
      </c>
      <c r="L76" s="10">
        <v>0.1</v>
      </c>
      <c r="M76" s="10">
        <v>0.1</v>
      </c>
      <c r="N76" s="10">
        <v>0.1</v>
      </c>
    </row>
    <row r="77" spans="1:14" outlineLevel="1" x14ac:dyDescent="0.2">
      <c r="A77" s="9" t="s">
        <v>188</v>
      </c>
      <c r="B77" s="1" t="s">
        <v>189</v>
      </c>
      <c r="C77" s="10">
        <v>0.4</v>
      </c>
      <c r="D77" s="10">
        <v>0.5</v>
      </c>
      <c r="E77" s="10">
        <v>0.6</v>
      </c>
      <c r="F77" s="10">
        <v>0.6</v>
      </c>
      <c r="G77" s="10">
        <v>0.3</v>
      </c>
      <c r="H77" s="10">
        <v>0.7</v>
      </c>
      <c r="I77" s="10">
        <v>0.5</v>
      </c>
      <c r="J77" s="10">
        <v>0.6</v>
      </c>
      <c r="K77" s="10">
        <v>0.6</v>
      </c>
      <c r="L77" s="10">
        <v>0.3</v>
      </c>
      <c r="M77" s="10">
        <v>0.7</v>
      </c>
      <c r="N77" s="10">
        <v>0.7</v>
      </c>
    </row>
    <row r="78" spans="1:14" outlineLevel="1" x14ac:dyDescent="0.2">
      <c r="A78" s="9" t="s">
        <v>190</v>
      </c>
      <c r="B78" s="1" t="s">
        <v>191</v>
      </c>
      <c r="C78" s="10">
        <v>0.2</v>
      </c>
      <c r="D78" s="10">
        <v>0.2</v>
      </c>
      <c r="E78" s="10">
        <v>0.3</v>
      </c>
      <c r="F78" s="10">
        <v>0.3</v>
      </c>
      <c r="G78" s="10">
        <v>0.1</v>
      </c>
      <c r="H78" s="10">
        <v>0.5</v>
      </c>
      <c r="I78" s="10">
        <v>0.2</v>
      </c>
      <c r="J78" s="10">
        <v>0.3</v>
      </c>
      <c r="K78" s="10">
        <v>0.3</v>
      </c>
      <c r="L78" s="10">
        <v>0.1</v>
      </c>
      <c r="M78" s="10">
        <v>0.5</v>
      </c>
      <c r="N78" s="10">
        <v>0.5</v>
      </c>
    </row>
    <row r="79" spans="1:14" outlineLevel="1" x14ac:dyDescent="0.2">
      <c r="A79" s="9" t="s">
        <v>192</v>
      </c>
      <c r="B79" s="1" t="s">
        <v>193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</row>
    <row r="80" spans="1:14" outlineLevel="1" x14ac:dyDescent="0.2">
      <c r="A80" s="9" t="s">
        <v>194</v>
      </c>
      <c r="B80" s="1" t="s">
        <v>195</v>
      </c>
      <c r="C80" s="10">
        <v>0.5</v>
      </c>
      <c r="D80" s="10">
        <v>1.1000000000000001</v>
      </c>
      <c r="E80" s="10">
        <v>0.4</v>
      </c>
      <c r="F80" s="10">
        <v>0.4</v>
      </c>
      <c r="G80" s="10">
        <v>0.5</v>
      </c>
      <c r="H80" s="10">
        <v>0.5</v>
      </c>
      <c r="I80" s="10">
        <v>1.1000000000000001</v>
      </c>
      <c r="J80" s="10">
        <v>0.4</v>
      </c>
      <c r="K80" s="10">
        <v>0.4</v>
      </c>
      <c r="L80" s="10">
        <v>0.5</v>
      </c>
      <c r="M80" s="10">
        <v>0.5</v>
      </c>
      <c r="N80" s="10">
        <v>0.5</v>
      </c>
    </row>
    <row r="81" spans="1:14" outlineLevel="1" x14ac:dyDescent="0.2">
      <c r="A81" s="9" t="s">
        <v>196</v>
      </c>
      <c r="B81" s="1" t="s">
        <v>197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outlineLevel="1" x14ac:dyDescent="0.2">
      <c r="A82" s="9" t="s">
        <v>198</v>
      </c>
      <c r="B82" s="1" t="s">
        <v>199</v>
      </c>
      <c r="C82" s="10">
        <v>0.3</v>
      </c>
      <c r="D82" s="10">
        <v>0.3</v>
      </c>
      <c r="E82" s="10">
        <v>0.3</v>
      </c>
      <c r="F82" s="10">
        <v>0.4</v>
      </c>
      <c r="G82" s="10">
        <v>0.4</v>
      </c>
      <c r="H82" s="10">
        <v>0.3</v>
      </c>
      <c r="I82" s="10">
        <v>0.3</v>
      </c>
      <c r="J82" s="10">
        <v>0.3</v>
      </c>
      <c r="K82" s="10">
        <v>0.4</v>
      </c>
      <c r="L82" s="10">
        <v>0.4</v>
      </c>
      <c r="M82" s="10">
        <v>0.3</v>
      </c>
      <c r="N82" s="10">
        <v>0.3</v>
      </c>
    </row>
    <row r="83" spans="1:14" x14ac:dyDescent="0.2">
      <c r="A83" s="33" t="s">
        <v>200</v>
      </c>
      <c r="B83" s="34" t="s">
        <v>201</v>
      </c>
      <c r="C83" s="37">
        <f t="shared" ref="C83:N83" si="28">SUM(C84:C94)</f>
        <v>1.3</v>
      </c>
      <c r="D83" s="37">
        <f t="shared" si="28"/>
        <v>1.2</v>
      </c>
      <c r="E83" s="37">
        <f t="shared" si="28"/>
        <v>1.6</v>
      </c>
      <c r="F83" s="37">
        <f t="shared" si="28"/>
        <v>1.6</v>
      </c>
      <c r="G83" s="37">
        <f t="shared" si="28"/>
        <v>0.5</v>
      </c>
      <c r="H83" s="37">
        <f t="shared" si="28"/>
        <v>0.8</v>
      </c>
      <c r="I83" s="37">
        <f t="shared" si="28"/>
        <v>1.2</v>
      </c>
      <c r="J83" s="37">
        <f t="shared" si="28"/>
        <v>1.6</v>
      </c>
      <c r="K83" s="37">
        <f t="shared" si="28"/>
        <v>1.6</v>
      </c>
      <c r="L83" s="37">
        <f t="shared" si="28"/>
        <v>0.5</v>
      </c>
      <c r="M83" s="37">
        <f t="shared" si="28"/>
        <v>0.8</v>
      </c>
      <c r="N83" s="37">
        <f t="shared" si="28"/>
        <v>0.8</v>
      </c>
    </row>
    <row r="84" spans="1:14" outlineLevel="1" x14ac:dyDescent="0.2">
      <c r="A84" s="9" t="s">
        <v>202</v>
      </c>
      <c r="B84" s="1" t="s">
        <v>203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</row>
    <row r="85" spans="1:14" outlineLevel="1" x14ac:dyDescent="0.2">
      <c r="A85" s="9" t="s">
        <v>204</v>
      </c>
      <c r="B85" s="1" t="s">
        <v>205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outlineLevel="1" x14ac:dyDescent="0.2">
      <c r="A86" s="9" t="s">
        <v>206</v>
      </c>
      <c r="B86" s="1" t="s">
        <v>207</v>
      </c>
      <c r="C86" s="10">
        <v>0</v>
      </c>
      <c r="D86" s="10">
        <v>0.1</v>
      </c>
      <c r="E86" s="10">
        <v>0.1</v>
      </c>
      <c r="F86" s="10">
        <v>0.1</v>
      </c>
      <c r="G86" s="10">
        <v>0</v>
      </c>
      <c r="H86" s="10">
        <v>0.1</v>
      </c>
      <c r="I86" s="10">
        <v>0.1</v>
      </c>
      <c r="J86" s="10">
        <v>0.1</v>
      </c>
      <c r="K86" s="10">
        <v>0.1</v>
      </c>
      <c r="L86" s="10">
        <v>0</v>
      </c>
      <c r="M86" s="10">
        <v>0.1</v>
      </c>
      <c r="N86" s="10">
        <v>0.1</v>
      </c>
    </row>
    <row r="87" spans="1:14" outlineLevel="1" x14ac:dyDescent="0.2">
      <c r="A87" s="9" t="s">
        <v>208</v>
      </c>
      <c r="B87" s="1" t="s">
        <v>209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outlineLevel="1" x14ac:dyDescent="0.2">
      <c r="A88" s="9" t="s">
        <v>210</v>
      </c>
      <c r="B88" s="1" t="s">
        <v>211</v>
      </c>
      <c r="C88" s="10">
        <v>0.1</v>
      </c>
      <c r="D88" s="10">
        <v>0.2</v>
      </c>
      <c r="E88" s="10">
        <v>0.2</v>
      </c>
      <c r="F88" s="10">
        <v>0.1</v>
      </c>
      <c r="G88" s="10">
        <v>0.1</v>
      </c>
      <c r="H88" s="10">
        <v>0.1</v>
      </c>
      <c r="I88" s="10">
        <v>0.2</v>
      </c>
      <c r="J88" s="10">
        <v>0.2</v>
      </c>
      <c r="K88" s="10">
        <v>0.1</v>
      </c>
      <c r="L88" s="10">
        <v>0.1</v>
      </c>
      <c r="M88" s="10">
        <v>0.1</v>
      </c>
      <c r="N88" s="10">
        <v>0.1</v>
      </c>
    </row>
    <row r="89" spans="1:14" outlineLevel="1" x14ac:dyDescent="0.2">
      <c r="A89" s="9" t="s">
        <v>212</v>
      </c>
      <c r="B89" s="1" t="s">
        <v>213</v>
      </c>
      <c r="C89" s="10">
        <v>0</v>
      </c>
      <c r="D89" s="10">
        <v>0</v>
      </c>
      <c r="E89" s="10">
        <v>0</v>
      </c>
      <c r="F89" s="10">
        <v>0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  <c r="M89" s="10">
        <v>0</v>
      </c>
      <c r="N89" s="10">
        <v>0</v>
      </c>
    </row>
    <row r="90" spans="1:14" outlineLevel="1" x14ac:dyDescent="0.2">
      <c r="A90" s="9" t="s">
        <v>214</v>
      </c>
      <c r="B90" s="1" t="s">
        <v>215</v>
      </c>
      <c r="C90" s="10">
        <v>0</v>
      </c>
      <c r="D90" s="10">
        <v>0</v>
      </c>
      <c r="E90" s="10">
        <v>0</v>
      </c>
      <c r="F90" s="10">
        <v>0</v>
      </c>
      <c r="G90" s="10">
        <v>0</v>
      </c>
      <c r="H90" s="10">
        <v>0</v>
      </c>
      <c r="I90" s="10">
        <v>0</v>
      </c>
      <c r="J90" s="10">
        <v>0</v>
      </c>
      <c r="K90" s="10">
        <v>0</v>
      </c>
      <c r="L90" s="10">
        <v>0</v>
      </c>
      <c r="M90" s="10">
        <v>0</v>
      </c>
      <c r="N90" s="10">
        <v>0</v>
      </c>
    </row>
    <row r="91" spans="1:14" outlineLevel="1" x14ac:dyDescent="0.2">
      <c r="A91" s="9" t="s">
        <v>216</v>
      </c>
      <c r="B91" s="1" t="s">
        <v>217</v>
      </c>
      <c r="C91" s="10">
        <v>0.4</v>
      </c>
      <c r="D91" s="10">
        <v>0.2</v>
      </c>
      <c r="E91" s="10">
        <v>0.5</v>
      </c>
      <c r="F91" s="10">
        <v>0.5</v>
      </c>
      <c r="G91" s="10">
        <v>0.4</v>
      </c>
      <c r="H91" s="10">
        <v>0.3</v>
      </c>
      <c r="I91" s="10">
        <v>0.2</v>
      </c>
      <c r="J91" s="10">
        <v>0.5</v>
      </c>
      <c r="K91" s="10">
        <v>0.5</v>
      </c>
      <c r="L91" s="10">
        <v>0.4</v>
      </c>
      <c r="M91" s="10">
        <v>0.3</v>
      </c>
      <c r="N91" s="10">
        <v>0.3</v>
      </c>
    </row>
    <row r="92" spans="1:14" outlineLevel="1" x14ac:dyDescent="0.2">
      <c r="A92" s="9" t="s">
        <v>218</v>
      </c>
      <c r="B92" s="1" t="s">
        <v>219</v>
      </c>
      <c r="C92" s="10">
        <v>0.7</v>
      </c>
      <c r="D92" s="10">
        <v>0.7</v>
      </c>
      <c r="E92" s="10">
        <v>0.7</v>
      </c>
      <c r="F92" s="10">
        <v>0.8</v>
      </c>
      <c r="G92" s="10">
        <v>0</v>
      </c>
      <c r="H92" s="10">
        <v>0</v>
      </c>
      <c r="I92" s="10">
        <v>0.7</v>
      </c>
      <c r="J92" s="10">
        <v>0.7</v>
      </c>
      <c r="K92" s="10">
        <v>0.8</v>
      </c>
      <c r="L92" s="10">
        <v>0</v>
      </c>
      <c r="M92" s="10">
        <v>0</v>
      </c>
      <c r="N92" s="10">
        <v>0</v>
      </c>
    </row>
    <row r="93" spans="1:14" outlineLevel="1" x14ac:dyDescent="0.2">
      <c r="A93" s="9" t="s">
        <v>220</v>
      </c>
      <c r="B93" s="1" t="s">
        <v>221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0</v>
      </c>
      <c r="I93" s="10">
        <v>0</v>
      </c>
      <c r="J93" s="10">
        <v>0</v>
      </c>
      <c r="K93" s="10">
        <v>0</v>
      </c>
      <c r="L93" s="10">
        <v>0</v>
      </c>
      <c r="M93" s="10">
        <v>0</v>
      </c>
      <c r="N93" s="10">
        <v>0</v>
      </c>
    </row>
    <row r="94" spans="1:14" outlineLevel="1" x14ac:dyDescent="0.2">
      <c r="A94" s="9" t="s">
        <v>224</v>
      </c>
      <c r="B94" s="1" t="s">
        <v>225</v>
      </c>
      <c r="C94" s="10">
        <v>0.1</v>
      </c>
      <c r="D94" s="10">
        <v>0</v>
      </c>
      <c r="E94" s="10">
        <v>0.1</v>
      </c>
      <c r="F94" s="10">
        <v>0.1</v>
      </c>
      <c r="G94" s="10">
        <v>0</v>
      </c>
      <c r="H94" s="10">
        <v>0.3</v>
      </c>
      <c r="I94" s="10">
        <v>0</v>
      </c>
      <c r="J94" s="10">
        <v>0.1</v>
      </c>
      <c r="K94" s="10">
        <v>0.1</v>
      </c>
      <c r="L94" s="10">
        <v>0</v>
      </c>
      <c r="M94" s="10">
        <v>0.3</v>
      </c>
      <c r="N94" s="10">
        <v>0.3</v>
      </c>
    </row>
    <row r="95" spans="1:14" x14ac:dyDescent="0.2">
      <c r="A95" s="33" t="s">
        <v>226</v>
      </c>
      <c r="B95" s="34" t="s">
        <v>227</v>
      </c>
      <c r="C95" s="37">
        <v>0</v>
      </c>
      <c r="D95" s="37">
        <v>0</v>
      </c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</row>
    <row r="96" spans="1:14" x14ac:dyDescent="0.2">
      <c r="A96" s="33" t="s">
        <v>228</v>
      </c>
      <c r="B96" s="34" t="s">
        <v>229</v>
      </c>
      <c r="C96" s="37">
        <v>0</v>
      </c>
      <c r="D96" s="37">
        <v>0</v>
      </c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</row>
    <row r="97" spans="1:14" x14ac:dyDescent="0.2">
      <c r="A97" s="33" t="s">
        <v>230</v>
      </c>
      <c r="B97" s="34" t="s">
        <v>231</v>
      </c>
      <c r="C97" s="37">
        <f>SUM(C98:C99)</f>
        <v>3.5</v>
      </c>
      <c r="D97" s="37">
        <f t="shared" ref="D97:N97" si="29">SUM(D98:D99)</f>
        <v>3.5</v>
      </c>
      <c r="E97" s="37">
        <f t="shared" si="29"/>
        <v>1.2</v>
      </c>
      <c r="F97" s="37">
        <f t="shared" si="29"/>
        <v>3.9</v>
      </c>
      <c r="G97" s="37">
        <f t="shared" si="29"/>
        <v>0</v>
      </c>
      <c r="H97" s="37">
        <f t="shared" si="29"/>
        <v>0</v>
      </c>
      <c r="I97" s="37">
        <f t="shared" si="29"/>
        <v>3.5</v>
      </c>
      <c r="J97" s="37">
        <f t="shared" si="29"/>
        <v>3</v>
      </c>
      <c r="K97" s="37">
        <f t="shared" si="29"/>
        <v>3</v>
      </c>
      <c r="L97" s="37">
        <f t="shared" si="29"/>
        <v>3</v>
      </c>
      <c r="M97" s="37">
        <f t="shared" si="29"/>
        <v>2</v>
      </c>
      <c r="N97" s="37">
        <f t="shared" si="29"/>
        <v>2</v>
      </c>
    </row>
    <row r="98" spans="1:14" outlineLevel="1" x14ac:dyDescent="0.2">
      <c r="A98" s="9" t="s">
        <v>232</v>
      </c>
      <c r="B98" s="1" t="s">
        <v>233</v>
      </c>
      <c r="C98" s="10">
        <v>3.5</v>
      </c>
      <c r="D98" s="10">
        <v>3.5</v>
      </c>
      <c r="E98" s="10">
        <v>1.2</v>
      </c>
      <c r="F98" s="10">
        <v>3.9</v>
      </c>
      <c r="G98" s="10">
        <v>0</v>
      </c>
      <c r="H98" s="10">
        <v>0</v>
      </c>
      <c r="I98" s="10">
        <v>3.5</v>
      </c>
      <c r="J98" s="10">
        <v>3</v>
      </c>
      <c r="K98" s="10">
        <v>3</v>
      </c>
      <c r="L98" s="10">
        <v>3</v>
      </c>
      <c r="M98" s="10">
        <v>2</v>
      </c>
      <c r="N98" s="10">
        <v>2</v>
      </c>
    </row>
    <row r="99" spans="1:14" outlineLevel="1" x14ac:dyDescent="0.2">
      <c r="A99" s="9" t="s">
        <v>234</v>
      </c>
      <c r="B99" s="1" t="s">
        <v>235</v>
      </c>
      <c r="C99" s="10">
        <v>0</v>
      </c>
      <c r="D99" s="10">
        <v>0</v>
      </c>
      <c r="E99" s="10">
        <v>0</v>
      </c>
      <c r="F99" s="10">
        <v>0</v>
      </c>
      <c r="G99" s="10">
        <v>0</v>
      </c>
      <c r="H99" s="10">
        <v>0</v>
      </c>
      <c r="I99" s="10">
        <v>0</v>
      </c>
      <c r="J99" s="10">
        <v>0</v>
      </c>
      <c r="K99" s="10">
        <v>0</v>
      </c>
      <c r="L99" s="10">
        <v>0</v>
      </c>
      <c r="M99" s="10">
        <v>0</v>
      </c>
      <c r="N99" s="10">
        <v>0</v>
      </c>
    </row>
    <row r="100" spans="1:14" x14ac:dyDescent="0.2">
      <c r="A100" s="36"/>
      <c r="B100" s="36" t="s">
        <v>236</v>
      </c>
      <c r="C100" s="43">
        <f>+C97+C96+C95+C83+C67</f>
        <v>22.400000000000002</v>
      </c>
      <c r="D100" s="43">
        <f t="shared" ref="D100:N100" si="30">+D97+D96+D95+D83+D67</f>
        <v>18.100000000000001</v>
      </c>
      <c r="E100" s="43">
        <f t="shared" si="30"/>
        <v>16.700000000000003</v>
      </c>
      <c r="F100" s="43">
        <f t="shared" si="30"/>
        <v>27.9</v>
      </c>
      <c r="G100" s="43">
        <f t="shared" si="30"/>
        <v>5.6000000000000005</v>
      </c>
      <c r="H100" s="43">
        <f t="shared" si="30"/>
        <v>5.7</v>
      </c>
      <c r="I100" s="43">
        <f t="shared" si="30"/>
        <v>18.100000000000001</v>
      </c>
      <c r="J100" s="43">
        <f t="shared" si="30"/>
        <v>18.900000000000002</v>
      </c>
      <c r="K100" s="43">
        <f t="shared" si="30"/>
        <v>24.199999999999996</v>
      </c>
      <c r="L100" s="43">
        <f t="shared" si="30"/>
        <v>13.6</v>
      </c>
      <c r="M100" s="43">
        <f t="shared" si="30"/>
        <v>16.3</v>
      </c>
      <c r="N100" s="43">
        <f t="shared" si="30"/>
        <v>14.7</v>
      </c>
    </row>
    <row r="101" spans="1:14" x14ac:dyDescent="0.2">
      <c r="A101" s="35"/>
      <c r="B101" s="35" t="s">
        <v>237</v>
      </c>
      <c r="C101" s="44">
        <f>+C66-C100</f>
        <v>8.7999999999999936</v>
      </c>
      <c r="D101" s="44">
        <f t="shared" ref="D101:N101" si="31">+D66-D100</f>
        <v>53.699999999999982</v>
      </c>
      <c r="E101" s="44">
        <f t="shared" si="31"/>
        <v>28</v>
      </c>
      <c r="F101" s="44">
        <f t="shared" si="31"/>
        <v>10.899999999999999</v>
      </c>
      <c r="G101" s="44">
        <f t="shared" si="31"/>
        <v>25.599999999999998</v>
      </c>
      <c r="H101" s="44">
        <f t="shared" si="31"/>
        <v>62.699999999999989</v>
      </c>
      <c r="I101" s="44">
        <f t="shared" si="31"/>
        <v>38.1</v>
      </c>
      <c r="J101" s="44">
        <f t="shared" ca="1" si="31"/>
        <v>24.2</v>
      </c>
      <c r="K101" s="44">
        <f t="shared" ca="1" si="31"/>
        <v>2.8999999999999986</v>
      </c>
      <c r="L101" s="44">
        <f t="shared" ca="1" si="31"/>
        <v>20</v>
      </c>
      <c r="M101" s="44">
        <f t="shared" ca="1" si="31"/>
        <v>59.3</v>
      </c>
      <c r="N101" s="44">
        <f t="shared" ca="1" si="31"/>
        <v>30.900000000000002</v>
      </c>
    </row>
    <row r="102" spans="1:14" x14ac:dyDescent="0.2">
      <c r="A102" s="33" t="s">
        <v>238</v>
      </c>
      <c r="B102" s="34" t="s">
        <v>239</v>
      </c>
      <c r="C102" s="37">
        <f t="shared" ref="C102:N102" ca="1" si="32">SUM(C103:C104)</f>
        <v>1</v>
      </c>
      <c r="D102" s="37">
        <f t="shared" ca="1" si="32"/>
        <v>1</v>
      </c>
      <c r="E102" s="37">
        <f t="shared" ca="1" si="32"/>
        <v>1</v>
      </c>
      <c r="F102" s="37">
        <f t="shared" ca="1" si="32"/>
        <v>1</v>
      </c>
      <c r="G102" s="37">
        <f t="shared" ca="1" si="32"/>
        <v>1</v>
      </c>
      <c r="H102" s="37">
        <f t="shared" ca="1" si="32"/>
        <v>1</v>
      </c>
      <c r="I102" s="37">
        <f t="shared" ca="1" si="32"/>
        <v>1</v>
      </c>
      <c r="J102" s="37">
        <f t="shared" ca="1" si="32"/>
        <v>1</v>
      </c>
      <c r="K102" s="37">
        <f t="shared" ca="1" si="32"/>
        <v>1</v>
      </c>
      <c r="L102" s="37">
        <f t="shared" ca="1" si="32"/>
        <v>1</v>
      </c>
      <c r="M102" s="37">
        <f t="shared" ca="1" si="32"/>
        <v>1</v>
      </c>
      <c r="N102" s="37">
        <f t="shared" ca="1" si="32"/>
        <v>1</v>
      </c>
    </row>
    <row r="103" spans="1:14" outlineLevel="1" x14ac:dyDescent="0.2">
      <c r="A103" s="9" t="s">
        <v>240</v>
      </c>
      <c r="B103" s="1" t="s">
        <v>241</v>
      </c>
      <c r="C103" s="10">
        <f t="shared" ref="C103:I103" ca="1" si="33">RANDBETWEEN(0.1,1.2)</f>
        <v>1</v>
      </c>
      <c r="D103" s="10">
        <f t="shared" ca="1" si="33"/>
        <v>1</v>
      </c>
      <c r="E103" s="10">
        <f t="shared" ca="1" si="33"/>
        <v>1</v>
      </c>
      <c r="F103" s="10">
        <f t="shared" ca="1" si="33"/>
        <v>1</v>
      </c>
      <c r="G103" s="10">
        <f t="shared" ca="1" si="33"/>
        <v>1</v>
      </c>
      <c r="H103" s="10">
        <f t="shared" ca="1" si="33"/>
        <v>1</v>
      </c>
      <c r="I103" s="10">
        <f t="shared" ca="1" si="33"/>
        <v>1</v>
      </c>
      <c r="J103" s="10">
        <f ca="1">RANDBETWEEN(0.1,1.2)</f>
        <v>1</v>
      </c>
      <c r="K103" s="10">
        <f t="shared" ref="K103:N103" ca="1" si="34">RANDBETWEEN(0.1,1.2)</f>
        <v>1</v>
      </c>
      <c r="L103" s="10">
        <f t="shared" ca="1" si="34"/>
        <v>1</v>
      </c>
      <c r="M103" s="10">
        <f t="shared" ca="1" si="34"/>
        <v>1</v>
      </c>
      <c r="N103" s="10">
        <f t="shared" ca="1" si="34"/>
        <v>1</v>
      </c>
    </row>
    <row r="104" spans="1:14" outlineLevel="1" x14ac:dyDescent="0.2">
      <c r="A104" s="9" t="s">
        <v>242</v>
      </c>
      <c r="B104" s="1" t="s">
        <v>243</v>
      </c>
      <c r="C104" s="10">
        <v>0</v>
      </c>
      <c r="D104" s="10">
        <v>0</v>
      </c>
      <c r="E104" s="10">
        <v>0</v>
      </c>
      <c r="F104" s="10">
        <v>0</v>
      </c>
      <c r="G104" s="10">
        <v>0</v>
      </c>
      <c r="H104" s="10">
        <v>0</v>
      </c>
      <c r="I104" s="10">
        <v>0</v>
      </c>
      <c r="J104" s="10">
        <v>0</v>
      </c>
      <c r="K104" s="10">
        <v>0</v>
      </c>
      <c r="L104" s="10">
        <v>0</v>
      </c>
      <c r="M104" s="10">
        <v>0</v>
      </c>
      <c r="N104" s="10">
        <v>0</v>
      </c>
    </row>
    <row r="105" spans="1:14" x14ac:dyDescent="0.2">
      <c r="A105" s="9" t="s">
        <v>244</v>
      </c>
      <c r="B105" s="1" t="s">
        <v>245</v>
      </c>
      <c r="C105" s="37">
        <v>0</v>
      </c>
      <c r="D105" s="37">
        <v>0</v>
      </c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</row>
    <row r="106" spans="1:14" x14ac:dyDescent="0.2">
      <c r="A106" s="12"/>
      <c r="B106" s="12" t="s">
        <v>246</v>
      </c>
      <c r="C106" s="44">
        <f t="shared" ref="C106:N106" ca="1" si="35">+C101-(C102+C105)</f>
        <v>7.7999999999999936</v>
      </c>
      <c r="D106" s="44">
        <f t="shared" ca="1" si="35"/>
        <v>52.699999999999982</v>
      </c>
      <c r="E106" s="44">
        <f t="shared" ca="1" si="35"/>
        <v>27</v>
      </c>
      <c r="F106" s="44">
        <f t="shared" ca="1" si="35"/>
        <v>9.8999999999999986</v>
      </c>
      <c r="G106" s="44">
        <f t="shared" ca="1" si="35"/>
        <v>24.599999999999998</v>
      </c>
      <c r="H106" s="44">
        <f t="shared" ca="1" si="35"/>
        <v>61.699999999999989</v>
      </c>
      <c r="I106" s="44">
        <f t="shared" ca="1" si="35"/>
        <v>37.1</v>
      </c>
      <c r="J106" s="44">
        <f t="shared" ca="1" si="35"/>
        <v>23.2</v>
      </c>
      <c r="K106" s="44">
        <f t="shared" ca="1" si="35"/>
        <v>1.8999999999999986</v>
      </c>
      <c r="L106" s="44">
        <f t="shared" ca="1" si="35"/>
        <v>19</v>
      </c>
      <c r="M106" s="44">
        <f t="shared" ca="1" si="35"/>
        <v>58.3</v>
      </c>
      <c r="N106" s="44">
        <f t="shared" ca="1" si="35"/>
        <v>29.900000000000002</v>
      </c>
    </row>
    <row r="107" spans="1:14" x14ac:dyDescent="0.2">
      <c r="A107" s="2"/>
      <c r="B107" s="2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</row>
    <row r="108" spans="1:14" x14ac:dyDescent="0.2">
      <c r="A108" s="2"/>
      <c r="B108" s="2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</row>
    <row r="109" spans="1:14" x14ac:dyDescent="0.2">
      <c r="A109" s="9" t="s">
        <v>74</v>
      </c>
      <c r="B109" s="1" t="s">
        <v>74</v>
      </c>
      <c r="C109" s="13" t="s">
        <v>74</v>
      </c>
      <c r="D109" s="13" t="s">
        <v>74</v>
      </c>
      <c r="E109" s="13" t="s">
        <v>74</v>
      </c>
      <c r="F109" s="13" t="s">
        <v>74</v>
      </c>
      <c r="G109" s="13" t="s">
        <v>74</v>
      </c>
      <c r="H109" s="13" t="s">
        <v>74</v>
      </c>
      <c r="I109" s="13" t="s">
        <v>74</v>
      </c>
      <c r="J109" s="13" t="s">
        <v>74</v>
      </c>
      <c r="K109" s="13" t="s">
        <v>74</v>
      </c>
      <c r="L109" s="13" t="s">
        <v>74</v>
      </c>
      <c r="M109" s="13" t="s">
        <v>74</v>
      </c>
      <c r="N109" s="13" t="s">
        <v>74</v>
      </c>
    </row>
    <row r="110" spans="1:14" x14ac:dyDescent="0.2">
      <c r="A110" s="12"/>
      <c r="B110" s="12" t="s">
        <v>247</v>
      </c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</row>
    <row r="111" spans="1:14" x14ac:dyDescent="0.2">
      <c r="A111" s="9" t="s">
        <v>248</v>
      </c>
      <c r="B111" s="1" t="s">
        <v>249</v>
      </c>
      <c r="C111" s="13">
        <v>0</v>
      </c>
      <c r="D111" s="13">
        <v>0</v>
      </c>
      <c r="E111" s="13">
        <v>0</v>
      </c>
      <c r="F111" s="13">
        <v>0</v>
      </c>
      <c r="G111" s="13">
        <v>1</v>
      </c>
      <c r="H111" s="13">
        <v>1</v>
      </c>
      <c r="I111" s="13">
        <v>0</v>
      </c>
      <c r="J111" s="13">
        <v>0</v>
      </c>
      <c r="K111" s="13">
        <v>0</v>
      </c>
      <c r="L111" s="13">
        <v>1</v>
      </c>
      <c r="M111" s="13">
        <v>1</v>
      </c>
      <c r="N111" s="13">
        <v>1</v>
      </c>
    </row>
    <row r="112" spans="1:14" outlineLevel="1" x14ac:dyDescent="0.2">
      <c r="A112" s="9" t="s">
        <v>250</v>
      </c>
      <c r="B112" s="1" t="s">
        <v>251</v>
      </c>
      <c r="C112" s="13">
        <v>0</v>
      </c>
      <c r="D112" s="13">
        <v>0</v>
      </c>
      <c r="E112" s="13">
        <v>0</v>
      </c>
      <c r="F112" s="13">
        <v>0</v>
      </c>
      <c r="G112" s="13">
        <v>1</v>
      </c>
      <c r="H112" s="13">
        <v>1</v>
      </c>
      <c r="I112" s="13">
        <v>0</v>
      </c>
      <c r="J112" s="13">
        <v>0</v>
      </c>
      <c r="K112" s="13">
        <v>0</v>
      </c>
      <c r="L112" s="13">
        <v>1</v>
      </c>
      <c r="M112" s="13">
        <v>1</v>
      </c>
      <c r="N112" s="13">
        <v>1</v>
      </c>
    </row>
    <row r="113" spans="1:14" x14ac:dyDescent="0.2">
      <c r="A113" s="9" t="s">
        <v>252</v>
      </c>
      <c r="B113" s="1" t="s">
        <v>253</v>
      </c>
      <c r="C113" s="13">
        <v>2.4</v>
      </c>
      <c r="D113" s="13">
        <v>0.8</v>
      </c>
      <c r="E113" s="13">
        <v>0.4</v>
      </c>
      <c r="F113" s="13">
        <v>0.4</v>
      </c>
      <c r="G113" s="13">
        <v>1</v>
      </c>
      <c r="H113" s="13">
        <v>1</v>
      </c>
      <c r="I113" s="13">
        <v>0.8</v>
      </c>
      <c r="J113" s="13">
        <v>0.4</v>
      </c>
      <c r="K113" s="13">
        <v>0.4</v>
      </c>
      <c r="L113" s="13">
        <v>1</v>
      </c>
      <c r="M113" s="13">
        <v>1</v>
      </c>
      <c r="N113" s="13">
        <v>1</v>
      </c>
    </row>
    <row r="114" spans="1:14" outlineLevel="1" x14ac:dyDescent="0.2">
      <c r="A114" s="9" t="s">
        <v>254</v>
      </c>
      <c r="B114" s="1" t="s">
        <v>255</v>
      </c>
      <c r="C114" s="13">
        <v>2.4</v>
      </c>
      <c r="D114" s="13">
        <v>0.8</v>
      </c>
      <c r="E114" s="13">
        <v>0.4</v>
      </c>
      <c r="F114" s="13">
        <v>0.4</v>
      </c>
      <c r="G114" s="13">
        <v>1</v>
      </c>
      <c r="H114" s="13">
        <v>1</v>
      </c>
      <c r="I114" s="13">
        <v>0.8</v>
      </c>
      <c r="J114" s="13">
        <v>0.4</v>
      </c>
      <c r="K114" s="13">
        <v>0.4</v>
      </c>
      <c r="L114" s="13">
        <v>1</v>
      </c>
      <c r="M114" s="13">
        <v>1</v>
      </c>
      <c r="N114" s="13">
        <v>1</v>
      </c>
    </row>
    <row r="115" spans="1:14" x14ac:dyDescent="0.2">
      <c r="A115" s="9" t="s">
        <v>256</v>
      </c>
      <c r="B115" s="1" t="s">
        <v>257</v>
      </c>
      <c r="C115" s="13">
        <v>0.4</v>
      </c>
      <c r="D115" s="13">
        <v>0.4</v>
      </c>
      <c r="E115" s="13">
        <v>0.4</v>
      </c>
      <c r="F115" s="13">
        <v>0.4</v>
      </c>
      <c r="G115" s="13">
        <v>0</v>
      </c>
      <c r="H115" s="13">
        <v>0</v>
      </c>
      <c r="I115" s="13">
        <v>0.4</v>
      </c>
      <c r="J115" s="13">
        <v>0.4</v>
      </c>
      <c r="K115" s="13">
        <v>0.4</v>
      </c>
      <c r="L115" s="13">
        <v>0</v>
      </c>
      <c r="M115" s="13">
        <v>0</v>
      </c>
      <c r="N115" s="13">
        <v>0</v>
      </c>
    </row>
    <row r="116" spans="1:14" outlineLevel="1" x14ac:dyDescent="0.2">
      <c r="A116" s="9" t="s">
        <v>258</v>
      </c>
      <c r="B116" s="1" t="s">
        <v>259</v>
      </c>
      <c r="C116" s="13">
        <v>0.4</v>
      </c>
      <c r="D116" s="13">
        <v>0.4</v>
      </c>
      <c r="E116" s="13">
        <v>0.4</v>
      </c>
      <c r="F116" s="13">
        <v>0.4</v>
      </c>
      <c r="G116" s="13">
        <v>0</v>
      </c>
      <c r="H116" s="13">
        <v>0</v>
      </c>
      <c r="I116" s="13">
        <v>0.4</v>
      </c>
      <c r="J116" s="13">
        <v>0.4</v>
      </c>
      <c r="K116" s="13">
        <v>0.4</v>
      </c>
      <c r="L116" s="13">
        <v>0</v>
      </c>
      <c r="M116" s="13">
        <v>0</v>
      </c>
      <c r="N116" s="13">
        <v>0</v>
      </c>
    </row>
    <row r="117" spans="1:14" x14ac:dyDescent="0.2">
      <c r="A117" s="9" t="s">
        <v>260</v>
      </c>
      <c r="B117" s="1" t="s">
        <v>261</v>
      </c>
      <c r="C117" s="13">
        <v>0.4</v>
      </c>
      <c r="D117" s="13">
        <v>0.4</v>
      </c>
      <c r="E117" s="13">
        <v>0</v>
      </c>
      <c r="F117" s="13">
        <v>0</v>
      </c>
      <c r="G117" s="13">
        <v>1</v>
      </c>
      <c r="H117" s="13">
        <v>1</v>
      </c>
      <c r="I117" s="13">
        <v>0.4</v>
      </c>
      <c r="J117" s="13">
        <v>0</v>
      </c>
      <c r="K117" s="13">
        <v>0</v>
      </c>
      <c r="L117" s="13">
        <v>1</v>
      </c>
      <c r="M117" s="13">
        <v>1</v>
      </c>
      <c r="N117" s="13">
        <v>1</v>
      </c>
    </row>
    <row r="118" spans="1:14" outlineLevel="1" x14ac:dyDescent="0.2">
      <c r="A118" s="9" t="s">
        <v>262</v>
      </c>
      <c r="B118" s="1" t="s">
        <v>263</v>
      </c>
      <c r="C118" s="13">
        <v>0.4</v>
      </c>
      <c r="D118" s="13">
        <v>0.4</v>
      </c>
      <c r="E118" s="13">
        <v>0</v>
      </c>
      <c r="F118" s="13">
        <v>0</v>
      </c>
      <c r="G118" s="13">
        <v>1</v>
      </c>
      <c r="H118" s="13">
        <v>1</v>
      </c>
      <c r="I118" s="13">
        <v>0.4</v>
      </c>
      <c r="J118" s="13">
        <v>0</v>
      </c>
      <c r="K118" s="13">
        <v>0</v>
      </c>
      <c r="L118" s="13">
        <v>1</v>
      </c>
      <c r="M118" s="13">
        <v>1</v>
      </c>
      <c r="N118" s="13">
        <v>1</v>
      </c>
    </row>
    <row r="119" spans="1:14" x14ac:dyDescent="0.2">
      <c r="A119" s="9" t="s">
        <v>264</v>
      </c>
      <c r="B119" s="1" t="s">
        <v>265</v>
      </c>
      <c r="C119" s="13">
        <v>1.6</v>
      </c>
      <c r="D119" s="13">
        <v>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outlineLevel="1" x14ac:dyDescent="0.2">
      <c r="A120" s="9" t="s">
        <v>266</v>
      </c>
      <c r="B120" s="1" t="s">
        <v>267</v>
      </c>
      <c r="C120" s="13">
        <v>1.6</v>
      </c>
      <c r="D120" s="13">
        <v>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2">
      <c r="A121" s="9" t="s">
        <v>268</v>
      </c>
      <c r="B121" s="1" t="s">
        <v>269</v>
      </c>
      <c r="C121" s="13">
        <v>0</v>
      </c>
      <c r="D121" s="13">
        <v>0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2">
      <c r="A122" s="9" t="s">
        <v>270</v>
      </c>
      <c r="B122" s="1" t="s">
        <v>271</v>
      </c>
      <c r="C122" s="13">
        <v>0</v>
      </c>
      <c r="D122" s="13">
        <v>0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2">
      <c r="A123" s="9" t="s">
        <v>272</v>
      </c>
      <c r="B123" s="1" t="s">
        <v>273</v>
      </c>
      <c r="C123" s="13">
        <v>0</v>
      </c>
      <c r="D123" s="13">
        <v>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2">
      <c r="A124" s="9" t="s">
        <v>274</v>
      </c>
      <c r="B124" s="1" t="s">
        <v>275</v>
      </c>
      <c r="C124" s="13">
        <v>0</v>
      </c>
      <c r="D124" s="13">
        <v>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2">
      <c r="A125" s="9" t="s">
        <v>276</v>
      </c>
      <c r="B125" s="1" t="s">
        <v>277</v>
      </c>
      <c r="C125" s="13">
        <v>0</v>
      </c>
      <c r="D125" s="13">
        <v>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2">
      <c r="A126" s="9" t="s">
        <v>280</v>
      </c>
      <c r="B126" s="1" t="s">
        <v>281</v>
      </c>
      <c r="C126" s="13">
        <v>0</v>
      </c>
      <c r="D126" s="13">
        <v>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2">
      <c r="A127" s="9" t="s">
        <v>284</v>
      </c>
      <c r="B127" s="1" t="s">
        <v>285</v>
      </c>
      <c r="C127" s="13">
        <v>0</v>
      </c>
      <c r="D127" s="13">
        <v>0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2">
      <c r="A128" s="9" t="s">
        <v>288</v>
      </c>
      <c r="B128" s="1" t="s">
        <v>289</v>
      </c>
      <c r="C128" s="13">
        <v>0</v>
      </c>
      <c r="D128" s="13">
        <v>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2">
      <c r="A129" s="3"/>
      <c r="B129" s="3" t="s">
        <v>290</v>
      </c>
      <c r="C129" s="15">
        <v>23.8</v>
      </c>
      <c r="D129" s="15">
        <v>49.9</v>
      </c>
      <c r="E129" s="15">
        <v>75.400000000000006</v>
      </c>
      <c r="F129" s="15">
        <v>76.7</v>
      </c>
      <c r="G129" s="15">
        <v>20</v>
      </c>
      <c r="H129" s="15">
        <v>38.4</v>
      </c>
      <c r="I129" s="15">
        <v>49.9</v>
      </c>
      <c r="J129" s="15">
        <v>75.400000000000006</v>
      </c>
      <c r="K129" s="15">
        <v>76.7</v>
      </c>
      <c r="L129" s="15">
        <v>20</v>
      </c>
      <c r="M129" s="15">
        <v>38.4</v>
      </c>
      <c r="N129" s="15">
        <v>38.4</v>
      </c>
    </row>
    <row r="130" spans="1:14" x14ac:dyDescent="0.2">
      <c r="A130" s="3"/>
      <c r="B130" s="3" t="s">
        <v>291</v>
      </c>
      <c r="C130" s="15" t="s">
        <v>292</v>
      </c>
      <c r="D130" s="15" t="s">
        <v>292</v>
      </c>
      <c r="E130" s="15" t="s">
        <v>292</v>
      </c>
      <c r="F130" s="15" t="s">
        <v>292</v>
      </c>
      <c r="G130" s="15" t="s">
        <v>292</v>
      </c>
      <c r="H130" s="15" t="s">
        <v>292</v>
      </c>
      <c r="I130" s="15" t="s">
        <v>292</v>
      </c>
      <c r="J130" s="15" t="s">
        <v>292</v>
      </c>
      <c r="K130" s="15" t="s">
        <v>292</v>
      </c>
      <c r="L130" s="15" t="s">
        <v>292</v>
      </c>
      <c r="M130" s="15" t="s">
        <v>292</v>
      </c>
      <c r="N130" s="15" t="s">
        <v>292</v>
      </c>
    </row>
    <row r="131" spans="1:14" x14ac:dyDescent="0.2">
      <c r="A131" s="3"/>
      <c r="B131" s="3" t="s">
        <v>293</v>
      </c>
      <c r="C131" s="15" t="s">
        <v>292</v>
      </c>
      <c r="D131" s="15" t="s">
        <v>292</v>
      </c>
      <c r="E131" s="15" t="s">
        <v>292</v>
      </c>
      <c r="F131" s="15" t="s">
        <v>292</v>
      </c>
      <c r="G131" s="15" t="s">
        <v>292</v>
      </c>
      <c r="H131" s="15" t="s">
        <v>292</v>
      </c>
      <c r="I131" s="15" t="s">
        <v>292</v>
      </c>
      <c r="J131" s="15" t="s">
        <v>292</v>
      </c>
      <c r="K131" s="15" t="s">
        <v>292</v>
      </c>
      <c r="L131" s="15" t="s">
        <v>292</v>
      </c>
      <c r="M131" s="15" t="s">
        <v>292</v>
      </c>
      <c r="N131" s="15" t="s">
        <v>292</v>
      </c>
    </row>
    <row r="132" spans="1:14" x14ac:dyDescent="0.2">
      <c r="A132" s="3"/>
      <c r="B132" s="3" t="s">
        <v>294</v>
      </c>
      <c r="C132" s="15">
        <v>0</v>
      </c>
      <c r="D132" s="15">
        <v>0</v>
      </c>
      <c r="E132" s="15">
        <v>0</v>
      </c>
      <c r="F132" s="15">
        <v>0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</row>
    <row r="133" spans="1:14" x14ac:dyDescent="0.2">
      <c r="A133" s="12"/>
      <c r="B133" s="12" t="s">
        <v>295</v>
      </c>
      <c r="C133" s="14" t="s">
        <v>292</v>
      </c>
      <c r="D133" s="14" t="s">
        <v>292</v>
      </c>
      <c r="E133" s="14" t="s">
        <v>292</v>
      </c>
      <c r="F133" s="14" t="s">
        <v>292</v>
      </c>
      <c r="G133" s="14" t="s">
        <v>292</v>
      </c>
      <c r="H133" s="14" t="s">
        <v>292</v>
      </c>
      <c r="I133" s="14" t="s">
        <v>292</v>
      </c>
      <c r="J133" s="14" t="s">
        <v>292</v>
      </c>
      <c r="K133" s="14" t="s">
        <v>292</v>
      </c>
      <c r="L133" s="14" t="s">
        <v>292</v>
      </c>
      <c r="M133" s="14" t="s">
        <v>292</v>
      </c>
      <c r="N133" s="14" t="s">
        <v>292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4CA9-1D2D-47C8-919C-19F793915662}">
  <sheetPr codeName="Hoja36">
    <tabColor rgb="FFFFFF00"/>
  </sheetPr>
  <dimension ref="A1:N100"/>
  <sheetViews>
    <sheetView zoomScale="85" zoomScaleNormal="85" workbookViewId="0">
      <pane ySplit="6" topLeftCell="A28" activePane="bottomLeft" state="frozen"/>
      <selection activeCell="I54" sqref="I54"/>
      <selection pane="bottomLeft" activeCell="B9" sqref="A9:B10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297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>+C8</f>
        <v>6</v>
      </c>
      <c r="D7" s="10">
        <f t="shared" ref="D7:N7" si="0">+D8</f>
        <v>6.6048</v>
      </c>
      <c r="E7" s="10">
        <f t="shared" si="0"/>
        <v>7.2705638400000003</v>
      </c>
      <c r="F7" s="10">
        <f t="shared" si="0"/>
        <v>8.0034366750720007</v>
      </c>
      <c r="G7" s="10">
        <f t="shared" si="0"/>
        <v>8.8101830919192583</v>
      </c>
      <c r="H7" s="10">
        <f t="shared" si="0"/>
        <v>9.6982495475847195</v>
      </c>
      <c r="I7" s="10">
        <f t="shared" si="0"/>
        <v>10.67583310198126</v>
      </c>
      <c r="J7" s="10">
        <f t="shared" si="0"/>
        <v>11.75195707866097</v>
      </c>
      <c r="K7" s="10">
        <f t="shared" si="0"/>
        <v>12.936554352189995</v>
      </c>
      <c r="L7" s="10">
        <f t="shared" si="0"/>
        <v>14.240559030890747</v>
      </c>
      <c r="M7" s="10">
        <f t="shared" si="0"/>
        <v>15.676007381204535</v>
      </c>
      <c r="N7" s="10">
        <f t="shared" si="0"/>
        <v>17.256148925229951</v>
      </c>
    </row>
    <row r="8" spans="1:14" x14ac:dyDescent="0.2">
      <c r="A8" s="9" t="s">
        <v>25</v>
      </c>
      <c r="B8" s="1" t="s">
        <v>26</v>
      </c>
      <c r="C8" s="10">
        <v>6</v>
      </c>
      <c r="D8" s="10">
        <f>+C8*1.1008</f>
        <v>6.6048</v>
      </c>
      <c r="E8" s="10">
        <f t="shared" ref="E8" si="1">+D8*1.1008</f>
        <v>7.2705638400000003</v>
      </c>
      <c r="F8" s="10">
        <f t="shared" ref="F8" si="2">+E8*1.1008</f>
        <v>8.0034366750720007</v>
      </c>
      <c r="G8" s="10">
        <f t="shared" ref="G8" si="3">+F8*1.1008</f>
        <v>8.8101830919192583</v>
      </c>
      <c r="H8" s="10">
        <f t="shared" ref="H8" si="4">+G8*1.1008</f>
        <v>9.6982495475847195</v>
      </c>
      <c r="I8" s="10">
        <f t="shared" ref="I8" si="5">+H8*1.1008</f>
        <v>10.67583310198126</v>
      </c>
      <c r="J8" s="10">
        <f t="shared" ref="J8" si="6">+I8*1.1008</f>
        <v>11.75195707866097</v>
      </c>
      <c r="K8" s="10">
        <f t="shared" ref="K8" si="7">+J8*1.1008</f>
        <v>12.936554352189995</v>
      </c>
      <c r="L8" s="10">
        <f t="shared" ref="L8" si="8">+K8*1.1008</f>
        <v>14.240559030890747</v>
      </c>
      <c r="M8" s="10">
        <f t="shared" ref="M8" si="9">+L8*1.1008</f>
        <v>15.676007381204535</v>
      </c>
      <c r="N8" s="10">
        <f t="shared" ref="N8" si="10">+M8*1.1008</f>
        <v>17.256148925229951</v>
      </c>
    </row>
    <row r="9" spans="1:14" x14ac:dyDescent="0.2">
      <c r="A9" s="9" t="s">
        <v>37</v>
      </c>
      <c r="B9" s="1" t="s">
        <v>38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9" t="s">
        <v>39</v>
      </c>
      <c r="B10" s="1" t="s">
        <v>40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9" t="s">
        <v>41</v>
      </c>
      <c r="B11" s="1" t="s">
        <v>42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9" t="s">
        <v>45</v>
      </c>
      <c r="B12" s="1" t="s">
        <v>46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x14ac:dyDescent="0.2">
      <c r="A13" s="12"/>
      <c r="B13" s="12" t="s">
        <v>47</v>
      </c>
      <c r="C13" s="21">
        <f>+C7+C9+C10+C11+C12</f>
        <v>6</v>
      </c>
      <c r="D13" s="21">
        <f t="shared" ref="D13:N13" si="11">+D7+D9+D10+D11+D12</f>
        <v>6.6048</v>
      </c>
      <c r="E13" s="21">
        <f t="shared" si="11"/>
        <v>7.2705638400000003</v>
      </c>
      <c r="F13" s="21">
        <f t="shared" si="11"/>
        <v>8.0034366750720007</v>
      </c>
      <c r="G13" s="21">
        <f t="shared" si="11"/>
        <v>8.8101830919192583</v>
      </c>
      <c r="H13" s="21">
        <f t="shared" si="11"/>
        <v>9.6982495475847195</v>
      </c>
      <c r="I13" s="21">
        <f t="shared" si="11"/>
        <v>10.67583310198126</v>
      </c>
      <c r="J13" s="21">
        <f t="shared" si="11"/>
        <v>11.75195707866097</v>
      </c>
      <c r="K13" s="21">
        <f t="shared" si="11"/>
        <v>12.936554352189995</v>
      </c>
      <c r="L13" s="21">
        <f t="shared" si="11"/>
        <v>14.240559030890747</v>
      </c>
      <c r="M13" s="21">
        <f t="shared" si="11"/>
        <v>15.676007381204535</v>
      </c>
      <c r="N13" s="21">
        <f t="shared" si="11"/>
        <v>17.256148925229951</v>
      </c>
    </row>
    <row r="14" spans="1:14" x14ac:dyDescent="0.2">
      <c r="A14" s="9" t="s">
        <v>48</v>
      </c>
      <c r="B14" s="1" t="s">
        <v>49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x14ac:dyDescent="0.2">
      <c r="A15" s="9" t="s">
        <v>60</v>
      </c>
      <c r="B15" s="1" t="s">
        <v>61</v>
      </c>
      <c r="C15" s="10">
        <v>0.1</v>
      </c>
      <c r="D15" s="10">
        <v>0.1</v>
      </c>
      <c r="E15" s="10">
        <v>0.1</v>
      </c>
      <c r="F15" s="10">
        <v>0.1</v>
      </c>
      <c r="G15" s="10">
        <v>0.1</v>
      </c>
      <c r="H15" s="10">
        <v>0.1</v>
      </c>
      <c r="I15" s="10">
        <v>0.1</v>
      </c>
      <c r="J15" s="10">
        <v>0.1</v>
      </c>
      <c r="K15" s="10">
        <v>0.1</v>
      </c>
      <c r="L15" s="10">
        <v>0.1</v>
      </c>
      <c r="M15" s="10">
        <v>0.1</v>
      </c>
      <c r="N15" s="10">
        <v>0.1</v>
      </c>
    </row>
    <row r="16" spans="1:14" x14ac:dyDescent="0.2">
      <c r="A16" s="9" t="s">
        <v>62</v>
      </c>
      <c r="B16" s="1" t="s">
        <v>63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9" t="s">
        <v>64</v>
      </c>
      <c r="B17" s="1" t="s">
        <v>65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9" t="s">
        <v>68</v>
      </c>
      <c r="B18" s="1" t="s">
        <v>69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3"/>
      <c r="B19" s="3" t="s">
        <v>72</v>
      </c>
      <c r="C19" s="18">
        <f>+C14+C15+C16+C17+C18</f>
        <v>0.1</v>
      </c>
      <c r="D19" s="18">
        <f t="shared" ref="D19:N19" si="12">+D14+D15+D16+D17+D18</f>
        <v>0.1</v>
      </c>
      <c r="E19" s="18">
        <f t="shared" si="12"/>
        <v>0.1</v>
      </c>
      <c r="F19" s="18">
        <f t="shared" si="12"/>
        <v>0.1</v>
      </c>
      <c r="G19" s="18">
        <f t="shared" si="12"/>
        <v>0.1</v>
      </c>
      <c r="H19" s="18">
        <f t="shared" si="12"/>
        <v>0.1</v>
      </c>
      <c r="I19" s="18">
        <f t="shared" si="12"/>
        <v>0.1</v>
      </c>
      <c r="J19" s="18">
        <f t="shared" si="12"/>
        <v>0.1</v>
      </c>
      <c r="K19" s="18">
        <f t="shared" si="12"/>
        <v>0.1</v>
      </c>
      <c r="L19" s="18">
        <f t="shared" si="12"/>
        <v>0.1</v>
      </c>
      <c r="M19" s="18">
        <f t="shared" si="12"/>
        <v>0.1</v>
      </c>
      <c r="N19" s="18">
        <f t="shared" si="12"/>
        <v>0.1</v>
      </c>
    </row>
    <row r="20" spans="1:14" x14ac:dyDescent="0.2">
      <c r="A20" s="12"/>
      <c r="B20" s="12" t="s">
        <v>73</v>
      </c>
      <c r="C20" s="21">
        <f t="shared" ref="C20:N20" si="13">+C13-C19</f>
        <v>5.9</v>
      </c>
      <c r="D20" s="21">
        <f t="shared" si="13"/>
        <v>6.5048000000000004</v>
      </c>
      <c r="E20" s="21">
        <f t="shared" si="13"/>
        <v>7.1705638400000007</v>
      </c>
      <c r="F20" s="21">
        <f t="shared" si="13"/>
        <v>7.9034366750720011</v>
      </c>
      <c r="G20" s="21">
        <f t="shared" si="13"/>
        <v>8.7101830919192587</v>
      </c>
      <c r="H20" s="21">
        <f t="shared" si="13"/>
        <v>9.5982495475847198</v>
      </c>
      <c r="I20" s="21">
        <f t="shared" si="13"/>
        <v>10.57583310198126</v>
      </c>
      <c r="J20" s="21">
        <f t="shared" si="13"/>
        <v>11.651957078660971</v>
      </c>
      <c r="K20" s="21">
        <f t="shared" si="13"/>
        <v>12.836554352189996</v>
      </c>
      <c r="L20" s="21">
        <f t="shared" si="13"/>
        <v>14.140559030890747</v>
      </c>
      <c r="M20" s="21">
        <f t="shared" si="13"/>
        <v>15.576007381204535</v>
      </c>
      <c r="N20" s="21">
        <f t="shared" si="13"/>
        <v>17.156148925229949</v>
      </c>
    </row>
    <row r="21" spans="1:14" x14ac:dyDescent="0.2">
      <c r="A21" s="9" t="s">
        <v>74</v>
      </c>
      <c r="B21" s="1" t="s">
        <v>74</v>
      </c>
      <c r="C21" s="10" t="s">
        <v>74</v>
      </c>
      <c r="D21" s="10" t="s">
        <v>74</v>
      </c>
      <c r="E21" s="10" t="s">
        <v>74</v>
      </c>
      <c r="F21" s="10" t="s">
        <v>74</v>
      </c>
      <c r="G21" s="10" t="s">
        <v>74</v>
      </c>
      <c r="H21" s="10" t="s">
        <v>74</v>
      </c>
      <c r="I21" s="10" t="s">
        <v>74</v>
      </c>
      <c r="J21" s="10" t="s">
        <v>74</v>
      </c>
      <c r="K21" s="10" t="s">
        <v>74</v>
      </c>
      <c r="L21" s="10" t="s">
        <v>74</v>
      </c>
      <c r="M21" s="10" t="s">
        <v>74</v>
      </c>
      <c r="N21" s="10" t="s">
        <v>74</v>
      </c>
    </row>
    <row r="22" spans="1:14" x14ac:dyDescent="0.2">
      <c r="A22" s="9" t="s">
        <v>75</v>
      </c>
      <c r="B22" s="1" t="s">
        <v>76</v>
      </c>
      <c r="C22" s="18">
        <f t="shared" ref="C22:N22" si="14">SUM(C23:C36)</f>
        <v>1</v>
      </c>
      <c r="D22" s="18">
        <f t="shared" si="14"/>
        <v>1</v>
      </c>
      <c r="E22" s="18">
        <f t="shared" si="14"/>
        <v>1</v>
      </c>
      <c r="F22" s="18">
        <f t="shared" si="14"/>
        <v>2.7</v>
      </c>
      <c r="G22" s="18">
        <f t="shared" si="14"/>
        <v>4.4000000000000004</v>
      </c>
      <c r="H22" s="18">
        <f t="shared" si="14"/>
        <v>4.4000000000000004</v>
      </c>
      <c r="I22" s="18">
        <f t="shared" si="14"/>
        <v>4.6000000000000005</v>
      </c>
      <c r="J22" s="18">
        <f t="shared" si="14"/>
        <v>2</v>
      </c>
      <c r="K22" s="18">
        <f t="shared" si="14"/>
        <v>3.7000000000000006</v>
      </c>
      <c r="L22" s="18">
        <f t="shared" si="14"/>
        <v>4.2000000000000011</v>
      </c>
      <c r="M22" s="18">
        <f t="shared" si="14"/>
        <v>4.3000000000000007</v>
      </c>
      <c r="N22" s="18">
        <f t="shared" si="14"/>
        <v>4.5000000000000009</v>
      </c>
    </row>
    <row r="23" spans="1:14" outlineLevel="1" x14ac:dyDescent="0.2">
      <c r="A23" s="9" t="s">
        <v>77</v>
      </c>
      <c r="B23" s="1" t="s">
        <v>78</v>
      </c>
      <c r="C23" s="10">
        <v>0</v>
      </c>
      <c r="D23" s="10">
        <v>0</v>
      </c>
      <c r="E23" s="10">
        <v>0</v>
      </c>
      <c r="F23" s="10">
        <v>1</v>
      </c>
      <c r="G23" s="10">
        <v>2.2000000000000002</v>
      </c>
      <c r="H23" s="10">
        <v>2.1</v>
      </c>
      <c r="I23" s="10">
        <v>2.1</v>
      </c>
      <c r="J23" s="10">
        <v>1</v>
      </c>
      <c r="K23" s="10">
        <v>2</v>
      </c>
      <c r="L23" s="10">
        <v>2</v>
      </c>
      <c r="M23" s="10">
        <v>2</v>
      </c>
      <c r="N23" s="10">
        <v>2</v>
      </c>
    </row>
    <row r="24" spans="1:14" outlineLevel="1" x14ac:dyDescent="0.2">
      <c r="A24" s="9" t="s">
        <v>81</v>
      </c>
      <c r="B24" s="1" t="s">
        <v>82</v>
      </c>
      <c r="C24" s="10">
        <v>0</v>
      </c>
      <c r="D24" s="10">
        <v>0</v>
      </c>
      <c r="E24" s="10">
        <v>0</v>
      </c>
      <c r="F24" s="10">
        <v>0.2</v>
      </c>
      <c r="G24" s="10">
        <v>0.4</v>
      </c>
      <c r="H24" s="10">
        <v>0.4</v>
      </c>
      <c r="I24" s="10">
        <v>0.4</v>
      </c>
      <c r="J24" s="10">
        <v>0</v>
      </c>
      <c r="K24" s="10">
        <v>0.2</v>
      </c>
      <c r="L24" s="10">
        <v>0.4</v>
      </c>
      <c r="M24" s="10">
        <v>0.4</v>
      </c>
      <c r="N24" s="10">
        <v>0.4</v>
      </c>
    </row>
    <row r="25" spans="1:14" outlineLevel="1" x14ac:dyDescent="0.2">
      <c r="A25" s="9" t="s">
        <v>83</v>
      </c>
      <c r="B25" s="1" t="s">
        <v>84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outlineLevel="1" x14ac:dyDescent="0.2">
      <c r="A26" s="9" t="s">
        <v>85</v>
      </c>
      <c r="B26" s="1" t="s">
        <v>86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0.1</v>
      </c>
      <c r="I26" s="10">
        <v>0</v>
      </c>
      <c r="J26" s="10">
        <v>0</v>
      </c>
      <c r="K26" s="10">
        <v>0</v>
      </c>
      <c r="L26" s="10">
        <v>0</v>
      </c>
      <c r="M26" s="10">
        <v>0.1</v>
      </c>
      <c r="N26" s="10">
        <v>0</v>
      </c>
    </row>
    <row r="27" spans="1:14" outlineLevel="1" x14ac:dyDescent="0.2">
      <c r="A27" s="9" t="s">
        <v>87</v>
      </c>
      <c r="B27" s="1" t="s">
        <v>88</v>
      </c>
      <c r="C27" s="10">
        <v>0</v>
      </c>
      <c r="D27" s="10">
        <v>0</v>
      </c>
      <c r="E27" s="10">
        <v>0</v>
      </c>
      <c r="F27" s="10">
        <v>0.1</v>
      </c>
      <c r="G27" s="10">
        <v>0.2</v>
      </c>
      <c r="H27" s="10">
        <v>0.2</v>
      </c>
      <c r="I27" s="10">
        <v>0.2</v>
      </c>
      <c r="J27" s="10">
        <v>0</v>
      </c>
      <c r="K27" s="10">
        <v>0.1</v>
      </c>
      <c r="L27" s="10">
        <v>0.2</v>
      </c>
      <c r="M27" s="10">
        <v>0.2</v>
      </c>
      <c r="N27" s="10">
        <v>0.2</v>
      </c>
    </row>
    <row r="28" spans="1:14" outlineLevel="1" x14ac:dyDescent="0.2">
      <c r="A28" s="9" t="s">
        <v>89</v>
      </c>
      <c r="B28" s="1" t="s">
        <v>90</v>
      </c>
      <c r="C28" s="10">
        <v>0</v>
      </c>
      <c r="D28" s="10">
        <v>0</v>
      </c>
      <c r="E28" s="10">
        <v>0</v>
      </c>
      <c r="F28" s="10">
        <v>0.1</v>
      </c>
      <c r="G28" s="10">
        <v>0.2</v>
      </c>
      <c r="H28" s="10">
        <v>0.2</v>
      </c>
      <c r="I28" s="10">
        <v>0.2</v>
      </c>
      <c r="J28" s="10">
        <v>0</v>
      </c>
      <c r="K28" s="10">
        <v>0.1</v>
      </c>
      <c r="L28" s="10">
        <v>0.2</v>
      </c>
      <c r="M28" s="10">
        <v>0.2</v>
      </c>
      <c r="N28" s="10">
        <v>0.2</v>
      </c>
    </row>
    <row r="29" spans="1:14" outlineLevel="1" x14ac:dyDescent="0.2">
      <c r="A29" s="9" t="s">
        <v>93</v>
      </c>
      <c r="B29" s="1" t="s">
        <v>94</v>
      </c>
      <c r="C29" s="10">
        <v>0</v>
      </c>
      <c r="D29" s="10">
        <v>0</v>
      </c>
      <c r="E29" s="10">
        <v>0</v>
      </c>
      <c r="F29" s="10">
        <v>0.1</v>
      </c>
      <c r="G29" s="10">
        <v>0.2</v>
      </c>
      <c r="H29" s="10">
        <v>0.2</v>
      </c>
      <c r="I29" s="10">
        <v>0.3</v>
      </c>
      <c r="J29" s="10">
        <v>0</v>
      </c>
      <c r="K29" s="10">
        <v>0.1</v>
      </c>
      <c r="L29" s="10">
        <v>0.2</v>
      </c>
      <c r="M29" s="10">
        <v>0.2</v>
      </c>
      <c r="N29" s="10">
        <v>0.3</v>
      </c>
    </row>
    <row r="30" spans="1:14" outlineLevel="1" x14ac:dyDescent="0.2">
      <c r="A30" s="9" t="s">
        <v>95</v>
      </c>
      <c r="B30" s="1" t="s">
        <v>96</v>
      </c>
      <c r="C30" s="10">
        <v>0</v>
      </c>
      <c r="D30" s="10">
        <v>0</v>
      </c>
      <c r="E30" s="10">
        <v>0</v>
      </c>
      <c r="F30" s="10">
        <v>0.2</v>
      </c>
      <c r="G30" s="10">
        <v>0.2</v>
      </c>
      <c r="H30" s="10">
        <v>0.2</v>
      </c>
      <c r="I30" s="10">
        <v>0.2</v>
      </c>
      <c r="J30" s="10">
        <v>0</v>
      </c>
      <c r="K30" s="10">
        <v>0.2</v>
      </c>
      <c r="L30" s="10">
        <v>0.2</v>
      </c>
      <c r="M30" s="10">
        <v>0.2</v>
      </c>
      <c r="N30" s="10">
        <v>0.2</v>
      </c>
    </row>
    <row r="31" spans="1:14" outlineLevel="1" x14ac:dyDescent="0.2">
      <c r="A31" s="9" t="s">
        <v>97</v>
      </c>
      <c r="B31" s="1" t="s">
        <v>98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outlineLevel="1" x14ac:dyDescent="0.2">
      <c r="A32" s="9" t="s">
        <v>99</v>
      </c>
      <c r="B32" s="1" t="s">
        <v>100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</row>
    <row r="33" spans="1:14" outlineLevel="1" x14ac:dyDescent="0.2">
      <c r="A33" s="9" t="s">
        <v>101</v>
      </c>
      <c r="B33" s="1" t="s">
        <v>102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</row>
    <row r="34" spans="1:14" outlineLevel="1" x14ac:dyDescent="0.2">
      <c r="A34" s="9" t="s">
        <v>105</v>
      </c>
      <c r="B34" s="1" t="s">
        <v>106</v>
      </c>
      <c r="C34" s="10">
        <v>1</v>
      </c>
      <c r="D34" s="10">
        <v>1</v>
      </c>
      <c r="E34" s="10">
        <v>1</v>
      </c>
      <c r="F34" s="10">
        <v>1</v>
      </c>
      <c r="G34" s="10">
        <v>1</v>
      </c>
      <c r="H34" s="10">
        <v>1</v>
      </c>
      <c r="I34" s="10">
        <v>1</v>
      </c>
      <c r="J34" s="10">
        <v>1</v>
      </c>
      <c r="K34" s="10">
        <v>1</v>
      </c>
      <c r="L34" s="10">
        <v>1</v>
      </c>
      <c r="M34" s="10">
        <v>1</v>
      </c>
      <c r="N34" s="10">
        <v>1</v>
      </c>
    </row>
    <row r="35" spans="1:14" outlineLevel="1" x14ac:dyDescent="0.2">
      <c r="A35" s="9" t="s">
        <v>107</v>
      </c>
      <c r="B35" s="1" t="s">
        <v>108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outlineLevel="1" x14ac:dyDescent="0.2">
      <c r="A36" s="9" t="s">
        <v>109</v>
      </c>
      <c r="B36" s="1" t="s">
        <v>110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0.2</v>
      </c>
      <c r="J36" s="10">
        <v>0</v>
      </c>
      <c r="K36" s="10">
        <v>0</v>
      </c>
      <c r="L36" s="10">
        <v>0</v>
      </c>
      <c r="M36" s="10">
        <v>0</v>
      </c>
      <c r="N36" s="10">
        <v>0.2</v>
      </c>
    </row>
    <row r="37" spans="1:14" x14ac:dyDescent="0.2">
      <c r="A37" s="9" t="s">
        <v>111</v>
      </c>
      <c r="B37" s="1" t="s">
        <v>112</v>
      </c>
      <c r="C37" s="18">
        <f t="shared" ref="C37:N37" si="15">SUM(C38:C39)</f>
        <v>0</v>
      </c>
      <c r="D37" s="18">
        <f t="shared" si="15"/>
        <v>0</v>
      </c>
      <c r="E37" s="18">
        <f t="shared" si="15"/>
        <v>0</v>
      </c>
      <c r="F37" s="18">
        <f t="shared" si="15"/>
        <v>0</v>
      </c>
      <c r="G37" s="18">
        <f t="shared" si="15"/>
        <v>0</v>
      </c>
      <c r="H37" s="18">
        <f t="shared" si="15"/>
        <v>0</v>
      </c>
      <c r="I37" s="18">
        <f t="shared" si="15"/>
        <v>0</v>
      </c>
      <c r="J37" s="18">
        <f t="shared" si="15"/>
        <v>0</v>
      </c>
      <c r="K37" s="18">
        <f t="shared" si="15"/>
        <v>0</v>
      </c>
      <c r="L37" s="18">
        <f t="shared" si="15"/>
        <v>0</v>
      </c>
      <c r="M37" s="18">
        <f t="shared" si="15"/>
        <v>0</v>
      </c>
      <c r="N37" s="18">
        <f t="shared" si="15"/>
        <v>0</v>
      </c>
    </row>
    <row r="38" spans="1:14" outlineLevel="1" x14ac:dyDescent="0.2">
      <c r="A38" s="9" t="s">
        <v>113</v>
      </c>
      <c r="B38" s="1" t="s">
        <v>114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outlineLevel="1" x14ac:dyDescent="0.2">
      <c r="A39" s="9" t="s">
        <v>117</v>
      </c>
      <c r="B39" s="1" t="s">
        <v>118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x14ac:dyDescent="0.2">
      <c r="A40" s="9" t="s">
        <v>119</v>
      </c>
      <c r="B40" s="1" t="s">
        <v>120</v>
      </c>
      <c r="C40" s="18">
        <f>SUM(C41:C42)</f>
        <v>0</v>
      </c>
      <c r="D40" s="18">
        <f t="shared" ref="D40:N40" si="16">SUM(D41:D42)</f>
        <v>0</v>
      </c>
      <c r="E40" s="18">
        <f t="shared" si="16"/>
        <v>0</v>
      </c>
      <c r="F40" s="18">
        <f t="shared" si="16"/>
        <v>0</v>
      </c>
      <c r="G40" s="18">
        <f t="shared" si="16"/>
        <v>0</v>
      </c>
      <c r="H40" s="18">
        <f t="shared" si="16"/>
        <v>0</v>
      </c>
      <c r="I40" s="18">
        <f t="shared" si="16"/>
        <v>0</v>
      </c>
      <c r="J40" s="18">
        <f t="shared" si="16"/>
        <v>0</v>
      </c>
      <c r="K40" s="18">
        <f t="shared" si="16"/>
        <v>0</v>
      </c>
      <c r="L40" s="18">
        <f t="shared" si="16"/>
        <v>0</v>
      </c>
      <c r="M40" s="18">
        <f t="shared" si="16"/>
        <v>0</v>
      </c>
      <c r="N40" s="18">
        <f t="shared" si="16"/>
        <v>0</v>
      </c>
    </row>
    <row r="41" spans="1:14" outlineLevel="1" x14ac:dyDescent="0.2">
      <c r="A41" s="9" t="s">
        <v>123</v>
      </c>
      <c r="B41" s="1" t="s">
        <v>124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outlineLevel="1" x14ac:dyDescent="0.2">
      <c r="A42" s="9" t="s">
        <v>125</v>
      </c>
      <c r="B42" s="1" t="s">
        <v>126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x14ac:dyDescent="0.2">
      <c r="A43" s="9" t="s">
        <v>127</v>
      </c>
      <c r="B43" s="1" t="s">
        <v>128</v>
      </c>
      <c r="C43" s="18">
        <f t="shared" ref="C43:N43" si="17">+C44</f>
        <v>0</v>
      </c>
      <c r="D43" s="18">
        <f t="shared" si="17"/>
        <v>0</v>
      </c>
      <c r="E43" s="18">
        <f t="shared" si="17"/>
        <v>0</v>
      </c>
      <c r="F43" s="18">
        <f t="shared" si="17"/>
        <v>0</v>
      </c>
      <c r="G43" s="18">
        <f t="shared" si="17"/>
        <v>0</v>
      </c>
      <c r="H43" s="18">
        <f t="shared" si="17"/>
        <v>0</v>
      </c>
      <c r="I43" s="18">
        <f t="shared" si="17"/>
        <v>0</v>
      </c>
      <c r="J43" s="18">
        <f t="shared" si="17"/>
        <v>0</v>
      </c>
      <c r="K43" s="18">
        <f t="shared" si="17"/>
        <v>0</v>
      </c>
      <c r="L43" s="18">
        <f t="shared" si="17"/>
        <v>0</v>
      </c>
      <c r="M43" s="18">
        <f t="shared" si="17"/>
        <v>0</v>
      </c>
      <c r="N43" s="18">
        <f t="shared" si="17"/>
        <v>0</v>
      </c>
    </row>
    <row r="44" spans="1:14" outlineLevel="1" x14ac:dyDescent="0.2">
      <c r="A44" s="9" t="s">
        <v>129</v>
      </c>
      <c r="B44" s="1" t="s">
        <v>130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x14ac:dyDescent="0.2">
      <c r="A45" s="9" t="s">
        <v>133</v>
      </c>
      <c r="B45" s="1" t="s">
        <v>134</v>
      </c>
      <c r="C45" s="18">
        <v>0</v>
      </c>
      <c r="D45" s="18">
        <v>0</v>
      </c>
      <c r="E45" s="18">
        <v>0</v>
      </c>
      <c r="F45" s="18">
        <v>0</v>
      </c>
      <c r="G45" s="18">
        <v>0</v>
      </c>
      <c r="H45" s="18">
        <v>0</v>
      </c>
      <c r="I45" s="18">
        <v>0</v>
      </c>
      <c r="J45" s="18">
        <v>0</v>
      </c>
      <c r="K45" s="18">
        <v>0</v>
      </c>
      <c r="L45" s="18">
        <v>0</v>
      </c>
      <c r="M45" s="18">
        <v>0</v>
      </c>
      <c r="N45" s="18">
        <v>0</v>
      </c>
    </row>
    <row r="46" spans="1:14" x14ac:dyDescent="0.2">
      <c r="A46" s="9" t="s">
        <v>137</v>
      </c>
      <c r="B46" s="1" t="s">
        <v>138</v>
      </c>
      <c r="C46" s="18">
        <v>0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0</v>
      </c>
      <c r="J46" s="18">
        <v>0</v>
      </c>
      <c r="K46" s="18">
        <v>0</v>
      </c>
      <c r="L46" s="18">
        <v>0</v>
      </c>
      <c r="M46" s="18">
        <v>0</v>
      </c>
      <c r="N46" s="18">
        <v>0</v>
      </c>
    </row>
    <row r="47" spans="1:14" x14ac:dyDescent="0.2">
      <c r="A47" s="9" t="s">
        <v>139</v>
      </c>
      <c r="B47" s="1" t="s">
        <v>140</v>
      </c>
      <c r="C47" s="18">
        <v>0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</row>
    <row r="48" spans="1:14" x14ac:dyDescent="0.2">
      <c r="A48" s="9" t="s">
        <v>141</v>
      </c>
      <c r="B48" s="1" t="s">
        <v>142</v>
      </c>
      <c r="C48" s="18">
        <v>0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18">
        <v>0</v>
      </c>
      <c r="N48" s="18">
        <v>0</v>
      </c>
    </row>
    <row r="49" spans="1:14" x14ac:dyDescent="0.2">
      <c r="A49" s="9" t="s">
        <v>143</v>
      </c>
      <c r="B49" s="1" t="s">
        <v>144</v>
      </c>
      <c r="C49" s="18">
        <v>0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>
        <v>0</v>
      </c>
      <c r="M49" s="18">
        <v>0</v>
      </c>
      <c r="N49" s="18">
        <v>0</v>
      </c>
    </row>
    <row r="50" spans="1:14" x14ac:dyDescent="0.2">
      <c r="A50" s="9" t="s">
        <v>157</v>
      </c>
      <c r="B50" s="1" t="s">
        <v>158</v>
      </c>
      <c r="C50" s="18">
        <f>+C51</f>
        <v>0</v>
      </c>
      <c r="D50" s="18">
        <f t="shared" ref="D50:N50" si="18">+D51</f>
        <v>0</v>
      </c>
      <c r="E50" s="18">
        <f t="shared" si="18"/>
        <v>0</v>
      </c>
      <c r="F50" s="18">
        <f t="shared" si="18"/>
        <v>0</v>
      </c>
      <c r="G50" s="18">
        <f t="shared" si="18"/>
        <v>0</v>
      </c>
      <c r="H50" s="18">
        <f t="shared" si="18"/>
        <v>0</v>
      </c>
      <c r="I50" s="18">
        <f t="shared" si="18"/>
        <v>0</v>
      </c>
      <c r="J50" s="18">
        <f t="shared" si="18"/>
        <v>0</v>
      </c>
      <c r="K50" s="18">
        <f t="shared" si="18"/>
        <v>0</v>
      </c>
      <c r="L50" s="18">
        <f t="shared" si="18"/>
        <v>0</v>
      </c>
      <c r="M50" s="18">
        <f t="shared" si="18"/>
        <v>0</v>
      </c>
      <c r="N50" s="18">
        <f t="shared" si="18"/>
        <v>0</v>
      </c>
    </row>
    <row r="51" spans="1:14" outlineLevel="1" x14ac:dyDescent="0.2">
      <c r="A51" s="9" t="s">
        <v>163</v>
      </c>
      <c r="B51" s="1" t="s">
        <v>164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x14ac:dyDescent="0.2">
      <c r="A52" s="3"/>
      <c r="B52" s="3" t="s">
        <v>165</v>
      </c>
      <c r="C52" s="21">
        <f t="shared" ref="C52:N52" si="19">+C22+C37+C40+C43+C45+C46+C47+C48+C49+C50</f>
        <v>1</v>
      </c>
      <c r="D52" s="21">
        <f t="shared" si="19"/>
        <v>1</v>
      </c>
      <c r="E52" s="21">
        <f t="shared" si="19"/>
        <v>1</v>
      </c>
      <c r="F52" s="21">
        <f t="shared" si="19"/>
        <v>2.7</v>
      </c>
      <c r="G52" s="21">
        <f t="shared" si="19"/>
        <v>4.4000000000000004</v>
      </c>
      <c r="H52" s="21">
        <f t="shared" si="19"/>
        <v>4.4000000000000004</v>
      </c>
      <c r="I52" s="21">
        <f t="shared" si="19"/>
        <v>4.6000000000000005</v>
      </c>
      <c r="J52" s="21">
        <f t="shared" si="19"/>
        <v>2</v>
      </c>
      <c r="K52" s="21">
        <f t="shared" si="19"/>
        <v>3.7000000000000006</v>
      </c>
      <c r="L52" s="21">
        <f t="shared" si="19"/>
        <v>4.2000000000000011</v>
      </c>
      <c r="M52" s="21">
        <f t="shared" si="19"/>
        <v>4.3000000000000007</v>
      </c>
      <c r="N52" s="21">
        <f t="shared" si="19"/>
        <v>4.5000000000000009</v>
      </c>
    </row>
    <row r="53" spans="1:14" x14ac:dyDescent="0.2">
      <c r="A53" s="12"/>
      <c r="B53" s="12" t="s">
        <v>166</v>
      </c>
      <c r="C53" s="21">
        <f t="shared" ref="C53:M53" si="20">+C20-C52</f>
        <v>4.9000000000000004</v>
      </c>
      <c r="D53" s="21">
        <f t="shared" si="20"/>
        <v>5.5048000000000004</v>
      </c>
      <c r="E53" s="21">
        <f t="shared" si="20"/>
        <v>6.1705638400000007</v>
      </c>
      <c r="F53" s="21">
        <f t="shared" si="20"/>
        <v>5.2034366750720009</v>
      </c>
      <c r="G53" s="21">
        <f t="shared" si="20"/>
        <v>4.3101830919192583</v>
      </c>
      <c r="H53" s="21">
        <f t="shared" si="20"/>
        <v>5.1982495475847195</v>
      </c>
      <c r="I53" s="21">
        <f t="shared" si="20"/>
        <v>5.9758331019812596</v>
      </c>
      <c r="J53" s="21">
        <f t="shared" si="20"/>
        <v>9.6519570786609705</v>
      </c>
      <c r="K53" s="21">
        <f t="shared" si="20"/>
        <v>9.1365543521899948</v>
      </c>
      <c r="L53" s="21">
        <f t="shared" si="20"/>
        <v>9.9405590308907463</v>
      </c>
      <c r="M53" s="21">
        <f t="shared" si="20"/>
        <v>11.276007381204534</v>
      </c>
      <c r="N53" s="21">
        <f t="shared" ref="N53" si="21">+N20-N52</f>
        <v>12.656148925229949</v>
      </c>
    </row>
    <row r="54" spans="1:14" x14ac:dyDescent="0.2">
      <c r="A54" s="9" t="s">
        <v>167</v>
      </c>
      <c r="B54" s="1" t="s">
        <v>168</v>
      </c>
      <c r="C54" s="18">
        <f t="shared" ref="C54:N54" si="22">SUM(C55:C58)</f>
        <v>0</v>
      </c>
      <c r="D54" s="18">
        <f t="shared" si="22"/>
        <v>0</v>
      </c>
      <c r="E54" s="18">
        <f t="shared" si="22"/>
        <v>0</v>
      </c>
      <c r="F54" s="18">
        <f t="shared" si="22"/>
        <v>0</v>
      </c>
      <c r="G54" s="18">
        <f t="shared" si="22"/>
        <v>0</v>
      </c>
      <c r="H54" s="18">
        <f t="shared" si="22"/>
        <v>0</v>
      </c>
      <c r="I54" s="18">
        <f t="shared" si="22"/>
        <v>0</v>
      </c>
      <c r="J54" s="18">
        <f t="shared" si="22"/>
        <v>0</v>
      </c>
      <c r="K54" s="18">
        <f t="shared" si="22"/>
        <v>0</v>
      </c>
      <c r="L54" s="18">
        <f t="shared" si="22"/>
        <v>0</v>
      </c>
      <c r="M54" s="18">
        <f t="shared" si="22"/>
        <v>0</v>
      </c>
      <c r="N54" s="18">
        <f t="shared" si="22"/>
        <v>0</v>
      </c>
    </row>
    <row r="55" spans="1:14" outlineLevel="1" x14ac:dyDescent="0.2">
      <c r="A55" s="9" t="s">
        <v>169</v>
      </c>
      <c r="B55" s="1" t="s">
        <v>170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outlineLevel="1" x14ac:dyDescent="0.2">
      <c r="A56" s="9" t="s">
        <v>171</v>
      </c>
      <c r="B56" s="1" t="s">
        <v>172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outlineLevel="1" x14ac:dyDescent="0.2">
      <c r="A57" s="9" t="s">
        <v>175</v>
      </c>
      <c r="B57" s="1" t="s">
        <v>176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outlineLevel="1" x14ac:dyDescent="0.2">
      <c r="A58" s="9" t="s">
        <v>177</v>
      </c>
      <c r="B58" s="1" t="s">
        <v>178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</row>
    <row r="59" spans="1:14" x14ac:dyDescent="0.2">
      <c r="A59" s="9" t="s">
        <v>200</v>
      </c>
      <c r="B59" s="1" t="s">
        <v>201</v>
      </c>
      <c r="C59" s="18">
        <f t="shared" ref="C59:N59" si="23">SUM(C60:C63)</f>
        <v>0</v>
      </c>
      <c r="D59" s="18">
        <f t="shared" si="23"/>
        <v>0</v>
      </c>
      <c r="E59" s="18">
        <f t="shared" si="23"/>
        <v>0</v>
      </c>
      <c r="F59" s="18">
        <f t="shared" si="23"/>
        <v>0</v>
      </c>
      <c r="G59" s="18">
        <f t="shared" si="23"/>
        <v>0</v>
      </c>
      <c r="H59" s="18">
        <f t="shared" si="23"/>
        <v>0</v>
      </c>
      <c r="I59" s="18">
        <f t="shared" si="23"/>
        <v>0</v>
      </c>
      <c r="J59" s="18">
        <f t="shared" si="23"/>
        <v>0</v>
      </c>
      <c r="K59" s="18">
        <f t="shared" si="23"/>
        <v>0</v>
      </c>
      <c r="L59" s="18">
        <f t="shared" si="23"/>
        <v>0</v>
      </c>
      <c r="M59" s="18">
        <f t="shared" si="23"/>
        <v>0</v>
      </c>
      <c r="N59" s="18">
        <f t="shared" si="23"/>
        <v>0</v>
      </c>
    </row>
    <row r="60" spans="1:14" outlineLevel="1" x14ac:dyDescent="0.2">
      <c r="A60" s="9" t="s">
        <v>212</v>
      </c>
      <c r="B60" s="1" t="s">
        <v>213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</row>
    <row r="61" spans="1:14" outlineLevel="1" x14ac:dyDescent="0.2">
      <c r="A61" s="9" t="s">
        <v>214</v>
      </c>
      <c r="B61" s="1" t="s">
        <v>215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</row>
    <row r="62" spans="1:14" outlineLevel="1" x14ac:dyDescent="0.2">
      <c r="A62" s="9" t="s">
        <v>218</v>
      </c>
      <c r="B62" s="1" t="s">
        <v>219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</row>
    <row r="63" spans="1:14" outlineLevel="1" x14ac:dyDescent="0.2">
      <c r="A63" s="9" t="s">
        <v>220</v>
      </c>
      <c r="B63" s="1" t="s">
        <v>221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</row>
    <row r="64" spans="1:14" x14ac:dyDescent="0.2">
      <c r="A64" s="9" t="s">
        <v>226</v>
      </c>
      <c r="B64" s="1" t="s">
        <v>227</v>
      </c>
      <c r="C64" s="18">
        <v>0</v>
      </c>
      <c r="D64" s="18">
        <v>0</v>
      </c>
      <c r="E64" s="18">
        <v>0</v>
      </c>
      <c r="F64" s="18">
        <v>0</v>
      </c>
      <c r="G64" s="18">
        <v>0</v>
      </c>
      <c r="H64" s="18">
        <v>0</v>
      </c>
      <c r="I64" s="18">
        <v>0</v>
      </c>
      <c r="J64" s="18">
        <v>0</v>
      </c>
      <c r="K64" s="18">
        <v>0</v>
      </c>
      <c r="L64" s="18">
        <v>0</v>
      </c>
      <c r="M64" s="18">
        <v>0</v>
      </c>
      <c r="N64" s="18">
        <v>0</v>
      </c>
    </row>
    <row r="65" spans="1:14" x14ac:dyDescent="0.2">
      <c r="A65" s="9" t="s">
        <v>228</v>
      </c>
      <c r="B65" s="1" t="s">
        <v>229</v>
      </c>
      <c r="C65" s="18">
        <v>0</v>
      </c>
      <c r="D65" s="18">
        <v>0</v>
      </c>
      <c r="E65" s="18">
        <v>0</v>
      </c>
      <c r="F65" s="18">
        <v>0</v>
      </c>
      <c r="G65" s="18">
        <v>0</v>
      </c>
      <c r="H65" s="18">
        <v>0</v>
      </c>
      <c r="I65" s="18">
        <v>0</v>
      </c>
      <c r="J65" s="18">
        <v>0</v>
      </c>
      <c r="K65" s="18">
        <v>0</v>
      </c>
      <c r="L65" s="18">
        <v>0</v>
      </c>
      <c r="M65" s="18">
        <v>0</v>
      </c>
      <c r="N65" s="18">
        <v>0</v>
      </c>
    </row>
    <row r="66" spans="1:14" x14ac:dyDescent="0.2">
      <c r="A66" s="9" t="s">
        <v>230</v>
      </c>
      <c r="B66" s="1" t="s">
        <v>231</v>
      </c>
      <c r="C66" s="18">
        <f>SUM(C67:C68)</f>
        <v>0</v>
      </c>
      <c r="D66" s="18">
        <f t="shared" ref="D66:N66" si="24">SUM(D67:D68)</f>
        <v>0</v>
      </c>
      <c r="E66" s="18">
        <f t="shared" si="24"/>
        <v>0</v>
      </c>
      <c r="F66" s="18">
        <f t="shared" si="24"/>
        <v>0</v>
      </c>
      <c r="G66" s="18">
        <f t="shared" si="24"/>
        <v>0</v>
      </c>
      <c r="H66" s="18">
        <f t="shared" si="24"/>
        <v>0</v>
      </c>
      <c r="I66" s="18">
        <f t="shared" si="24"/>
        <v>0</v>
      </c>
      <c r="J66" s="18">
        <f t="shared" si="24"/>
        <v>0</v>
      </c>
      <c r="K66" s="18">
        <f t="shared" si="24"/>
        <v>0</v>
      </c>
      <c r="L66" s="18">
        <f t="shared" si="24"/>
        <v>0</v>
      </c>
      <c r="M66" s="18">
        <f t="shared" si="24"/>
        <v>0</v>
      </c>
      <c r="N66" s="18">
        <f t="shared" si="24"/>
        <v>0</v>
      </c>
    </row>
    <row r="67" spans="1:14" outlineLevel="1" x14ac:dyDescent="0.2">
      <c r="A67" s="9" t="s">
        <v>232</v>
      </c>
      <c r="B67" s="1" t="s">
        <v>233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</row>
    <row r="68" spans="1:14" outlineLevel="1" x14ac:dyDescent="0.2">
      <c r="A68" s="9" t="s">
        <v>234</v>
      </c>
      <c r="B68" s="1" t="s">
        <v>235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</row>
    <row r="69" spans="1:14" x14ac:dyDescent="0.2">
      <c r="A69" s="3"/>
      <c r="B69" s="3" t="s">
        <v>236</v>
      </c>
      <c r="C69" s="20">
        <f t="shared" ref="C69:N69" si="25">+C66+C65+C64+C59+C54</f>
        <v>0</v>
      </c>
      <c r="D69" s="20">
        <f t="shared" si="25"/>
        <v>0</v>
      </c>
      <c r="E69" s="20">
        <f t="shared" si="25"/>
        <v>0</v>
      </c>
      <c r="F69" s="20">
        <f t="shared" si="25"/>
        <v>0</v>
      </c>
      <c r="G69" s="20">
        <f t="shared" si="25"/>
        <v>0</v>
      </c>
      <c r="H69" s="20">
        <f t="shared" si="25"/>
        <v>0</v>
      </c>
      <c r="I69" s="20">
        <f t="shared" si="25"/>
        <v>0</v>
      </c>
      <c r="J69" s="20">
        <f t="shared" si="25"/>
        <v>0</v>
      </c>
      <c r="K69" s="20">
        <f t="shared" si="25"/>
        <v>0</v>
      </c>
      <c r="L69" s="20">
        <f t="shared" si="25"/>
        <v>0</v>
      </c>
      <c r="M69" s="20">
        <f t="shared" si="25"/>
        <v>0</v>
      </c>
      <c r="N69" s="20">
        <f t="shared" si="25"/>
        <v>0</v>
      </c>
    </row>
    <row r="70" spans="1:14" x14ac:dyDescent="0.2">
      <c r="A70" s="12"/>
      <c r="B70" s="12" t="s">
        <v>237</v>
      </c>
      <c r="C70" s="21">
        <f>+C53-C69</f>
        <v>4.9000000000000004</v>
      </c>
      <c r="D70" s="21">
        <f t="shared" ref="D70:N70" si="26">+D53-D69</f>
        <v>5.5048000000000004</v>
      </c>
      <c r="E70" s="21">
        <f t="shared" si="26"/>
        <v>6.1705638400000007</v>
      </c>
      <c r="F70" s="21">
        <f t="shared" si="26"/>
        <v>5.2034366750720009</v>
      </c>
      <c r="G70" s="21">
        <f t="shared" si="26"/>
        <v>4.3101830919192583</v>
      </c>
      <c r="H70" s="21">
        <f t="shared" si="26"/>
        <v>5.1982495475847195</v>
      </c>
      <c r="I70" s="21">
        <f t="shared" si="26"/>
        <v>5.9758331019812596</v>
      </c>
      <c r="J70" s="21">
        <f t="shared" si="26"/>
        <v>9.6519570786609705</v>
      </c>
      <c r="K70" s="21">
        <f t="shared" si="26"/>
        <v>9.1365543521899948</v>
      </c>
      <c r="L70" s="21">
        <f t="shared" si="26"/>
        <v>9.9405590308907463</v>
      </c>
      <c r="M70" s="21">
        <f t="shared" si="26"/>
        <v>11.276007381204534</v>
      </c>
      <c r="N70" s="21">
        <f t="shared" si="26"/>
        <v>12.656148925229949</v>
      </c>
    </row>
    <row r="71" spans="1:14" x14ac:dyDescent="0.2">
      <c r="A71" s="9" t="s">
        <v>238</v>
      </c>
      <c r="B71" s="1" t="s">
        <v>239</v>
      </c>
      <c r="C71" s="18">
        <f>+C72</f>
        <v>0</v>
      </c>
      <c r="D71" s="18">
        <f t="shared" ref="D71:N71" si="27">+D72</f>
        <v>0</v>
      </c>
      <c r="E71" s="18">
        <f t="shared" si="27"/>
        <v>0</v>
      </c>
      <c r="F71" s="18">
        <f t="shared" si="27"/>
        <v>0</v>
      </c>
      <c r="G71" s="18">
        <f t="shared" si="27"/>
        <v>0</v>
      </c>
      <c r="H71" s="18">
        <f t="shared" si="27"/>
        <v>0</v>
      </c>
      <c r="I71" s="18">
        <f t="shared" si="27"/>
        <v>0</v>
      </c>
      <c r="J71" s="18">
        <f t="shared" si="27"/>
        <v>0</v>
      </c>
      <c r="K71" s="18">
        <f t="shared" si="27"/>
        <v>0</v>
      </c>
      <c r="L71" s="18">
        <f t="shared" si="27"/>
        <v>0</v>
      </c>
      <c r="M71" s="18">
        <f t="shared" si="27"/>
        <v>0</v>
      </c>
      <c r="N71" s="18">
        <f t="shared" si="27"/>
        <v>0</v>
      </c>
    </row>
    <row r="72" spans="1:14" outlineLevel="1" x14ac:dyDescent="0.2">
      <c r="A72" s="9" t="s">
        <v>242</v>
      </c>
      <c r="B72" s="1" t="s">
        <v>243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x14ac:dyDescent="0.2">
      <c r="A73" s="9" t="s">
        <v>244</v>
      </c>
      <c r="B73" s="1" t="s">
        <v>245</v>
      </c>
      <c r="C73" s="18">
        <v>0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18">
        <v>0</v>
      </c>
      <c r="N73" s="18">
        <v>0</v>
      </c>
    </row>
    <row r="74" spans="1:14" x14ac:dyDescent="0.2">
      <c r="A74" s="12"/>
      <c r="B74" s="12" t="s">
        <v>246</v>
      </c>
      <c r="C74" s="44">
        <f>+C70-(C71+C73)</f>
        <v>4.9000000000000004</v>
      </c>
      <c r="D74" s="44">
        <f t="shared" ref="D74:N74" si="28">+D70-(D71+D73)</f>
        <v>5.5048000000000004</v>
      </c>
      <c r="E74" s="44">
        <f t="shared" si="28"/>
        <v>6.1705638400000007</v>
      </c>
      <c r="F74" s="44">
        <f t="shared" si="28"/>
        <v>5.2034366750720009</v>
      </c>
      <c r="G74" s="44">
        <f t="shared" si="28"/>
        <v>4.3101830919192583</v>
      </c>
      <c r="H74" s="44">
        <f t="shared" si="28"/>
        <v>5.1982495475847195</v>
      </c>
      <c r="I74" s="44">
        <f t="shared" si="28"/>
        <v>5.9758331019812596</v>
      </c>
      <c r="J74" s="44">
        <f t="shared" si="28"/>
        <v>9.6519570786609705</v>
      </c>
      <c r="K74" s="44">
        <f t="shared" si="28"/>
        <v>9.1365543521899948</v>
      </c>
      <c r="L74" s="44">
        <f t="shared" si="28"/>
        <v>9.9405590308907463</v>
      </c>
      <c r="M74" s="44">
        <f t="shared" si="28"/>
        <v>11.276007381204534</v>
      </c>
      <c r="N74" s="44">
        <f t="shared" si="28"/>
        <v>12.656148925229949</v>
      </c>
    </row>
    <row r="75" spans="1:14" x14ac:dyDescent="0.2">
      <c r="A75" s="2"/>
      <c r="B75" s="2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 x14ac:dyDescent="0.2">
      <c r="A76" s="2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 x14ac:dyDescent="0.2">
      <c r="A77" s="2"/>
      <c r="B77" s="2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</row>
    <row r="78" spans="1:14" x14ac:dyDescent="0.2">
      <c r="A78" s="9" t="s">
        <v>74</v>
      </c>
      <c r="B78" s="1" t="s">
        <v>74</v>
      </c>
      <c r="C78" s="13" t="s">
        <v>74</v>
      </c>
      <c r="D78" s="13" t="s">
        <v>74</v>
      </c>
      <c r="E78" s="13" t="s">
        <v>74</v>
      </c>
      <c r="F78" s="13" t="s">
        <v>74</v>
      </c>
      <c r="G78" s="13" t="s">
        <v>74</v>
      </c>
      <c r="H78" s="13" t="s">
        <v>74</v>
      </c>
      <c r="I78" s="13" t="s">
        <v>74</v>
      </c>
      <c r="J78" s="13" t="s">
        <v>74</v>
      </c>
      <c r="K78" s="13" t="s">
        <v>74</v>
      </c>
      <c r="L78" s="13" t="s">
        <v>74</v>
      </c>
      <c r="M78" s="13" t="s">
        <v>74</v>
      </c>
      <c r="N78" s="13" t="s">
        <v>74</v>
      </c>
    </row>
    <row r="79" spans="1:14" x14ac:dyDescent="0.2">
      <c r="A79" s="12"/>
      <c r="B79" s="12" t="s">
        <v>247</v>
      </c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</row>
    <row r="80" spans="1:14" x14ac:dyDescent="0.2">
      <c r="A80" s="9" t="s">
        <v>248</v>
      </c>
      <c r="B80" s="1" t="s">
        <v>249</v>
      </c>
      <c r="C80" s="13">
        <v>0</v>
      </c>
      <c r="D80" s="13">
        <v>0</v>
      </c>
      <c r="E80" s="13">
        <v>0</v>
      </c>
      <c r="F80" s="13">
        <v>1</v>
      </c>
      <c r="G80" s="13">
        <v>2</v>
      </c>
      <c r="H80" s="13">
        <v>2</v>
      </c>
      <c r="I80" s="13">
        <v>2</v>
      </c>
      <c r="J80" s="13">
        <v>0</v>
      </c>
      <c r="K80" s="13">
        <v>1</v>
      </c>
      <c r="L80" s="13">
        <v>2</v>
      </c>
      <c r="M80" s="13">
        <v>2</v>
      </c>
      <c r="N80" s="13">
        <v>2</v>
      </c>
    </row>
    <row r="81" spans="1:14" outlineLevel="1" x14ac:dyDescent="0.2">
      <c r="A81" s="9" t="s">
        <v>250</v>
      </c>
      <c r="B81" s="1" t="s">
        <v>251</v>
      </c>
      <c r="C81" s="13">
        <v>0</v>
      </c>
      <c r="D81" s="13">
        <v>0</v>
      </c>
      <c r="E81" s="13">
        <v>0</v>
      </c>
      <c r="F81" s="13">
        <v>1</v>
      </c>
      <c r="G81" s="13">
        <v>2</v>
      </c>
      <c r="H81" s="13">
        <v>2</v>
      </c>
      <c r="I81" s="13">
        <v>2</v>
      </c>
      <c r="J81" s="13">
        <v>0</v>
      </c>
      <c r="K81" s="13">
        <v>1</v>
      </c>
      <c r="L81" s="13">
        <v>2</v>
      </c>
      <c r="M81" s="13">
        <v>2</v>
      </c>
      <c r="N81" s="13">
        <v>2</v>
      </c>
    </row>
    <row r="82" spans="1:14" x14ac:dyDescent="0.2">
      <c r="A82" s="9" t="s">
        <v>252</v>
      </c>
      <c r="B82" s="1" t="s">
        <v>253</v>
      </c>
      <c r="C82" s="13">
        <v>0</v>
      </c>
      <c r="D82" s="13">
        <v>0</v>
      </c>
      <c r="E82" s="13">
        <v>0</v>
      </c>
      <c r="F82" s="13">
        <v>1</v>
      </c>
      <c r="G82" s="13">
        <v>2</v>
      </c>
      <c r="H82" s="13">
        <v>2</v>
      </c>
      <c r="I82" s="13">
        <v>2</v>
      </c>
      <c r="J82" s="13">
        <v>0</v>
      </c>
      <c r="K82" s="13">
        <v>1</v>
      </c>
      <c r="L82" s="13">
        <v>2</v>
      </c>
      <c r="M82" s="13">
        <v>2</v>
      </c>
      <c r="N82" s="13">
        <v>2</v>
      </c>
    </row>
    <row r="83" spans="1:14" outlineLevel="1" x14ac:dyDescent="0.2">
      <c r="A83" s="9" t="s">
        <v>254</v>
      </c>
      <c r="B83" s="1" t="s">
        <v>255</v>
      </c>
      <c r="C83" s="13">
        <v>0</v>
      </c>
      <c r="D83" s="13">
        <v>0</v>
      </c>
      <c r="E83" s="13">
        <v>0</v>
      </c>
      <c r="F83" s="13">
        <v>1</v>
      </c>
      <c r="G83" s="13">
        <v>2</v>
      </c>
      <c r="H83" s="13">
        <v>2</v>
      </c>
      <c r="I83" s="13">
        <v>2</v>
      </c>
      <c r="J83" s="13">
        <v>0</v>
      </c>
      <c r="K83" s="13">
        <v>1</v>
      </c>
      <c r="L83" s="13">
        <v>2</v>
      </c>
      <c r="M83" s="13">
        <v>2</v>
      </c>
      <c r="N83" s="13">
        <v>2</v>
      </c>
    </row>
    <row r="84" spans="1:14" x14ac:dyDescent="0.2">
      <c r="A84" s="9" t="s">
        <v>256</v>
      </c>
      <c r="B84" s="1" t="s">
        <v>257</v>
      </c>
      <c r="C84" s="13">
        <v>0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2">
      <c r="A85" s="9" t="s">
        <v>260</v>
      </c>
      <c r="B85" s="1" t="s">
        <v>261</v>
      </c>
      <c r="C85" s="13">
        <v>0</v>
      </c>
      <c r="D85" s="13">
        <v>0</v>
      </c>
      <c r="E85" s="13">
        <v>0</v>
      </c>
      <c r="F85" s="13">
        <v>1</v>
      </c>
      <c r="G85" s="13">
        <v>2</v>
      </c>
      <c r="H85" s="13">
        <v>2</v>
      </c>
      <c r="I85" s="13">
        <v>2</v>
      </c>
      <c r="J85" s="13">
        <v>0</v>
      </c>
      <c r="K85" s="13">
        <v>1</v>
      </c>
      <c r="L85" s="13">
        <v>2</v>
      </c>
      <c r="M85" s="13">
        <v>2</v>
      </c>
      <c r="N85" s="13">
        <v>2</v>
      </c>
    </row>
    <row r="86" spans="1:14" outlineLevel="1" x14ac:dyDescent="0.2">
      <c r="A86" s="9" t="s">
        <v>262</v>
      </c>
      <c r="B86" s="1" t="s">
        <v>263</v>
      </c>
      <c r="C86" s="13">
        <v>0</v>
      </c>
      <c r="D86" s="13">
        <v>0</v>
      </c>
      <c r="E86" s="13">
        <v>0</v>
      </c>
      <c r="F86" s="13">
        <v>1</v>
      </c>
      <c r="G86" s="13">
        <v>2</v>
      </c>
      <c r="H86" s="13">
        <v>2</v>
      </c>
      <c r="I86" s="13">
        <v>2</v>
      </c>
      <c r="J86" s="13">
        <v>0</v>
      </c>
      <c r="K86" s="13">
        <v>1</v>
      </c>
      <c r="L86" s="13">
        <v>2</v>
      </c>
      <c r="M86" s="13">
        <v>2</v>
      </c>
      <c r="N86" s="13">
        <v>2</v>
      </c>
    </row>
    <row r="87" spans="1:14" x14ac:dyDescent="0.2">
      <c r="A87" s="9" t="s">
        <v>264</v>
      </c>
      <c r="B87" s="1" t="s">
        <v>265</v>
      </c>
      <c r="C87" s="13">
        <v>0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2">
      <c r="A88" s="9" t="s">
        <v>268</v>
      </c>
      <c r="B88" s="1" t="s">
        <v>269</v>
      </c>
      <c r="C88" s="13">
        <v>0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2">
      <c r="A89" s="9" t="s">
        <v>270</v>
      </c>
      <c r="B89" s="1" t="s">
        <v>271</v>
      </c>
      <c r="C89" s="13">
        <v>0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2">
      <c r="A90" s="9" t="s">
        <v>272</v>
      </c>
      <c r="B90" s="1" t="s">
        <v>273</v>
      </c>
      <c r="C90" s="13">
        <v>0</v>
      </c>
      <c r="D90" s="13">
        <v>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2">
      <c r="A91" s="9" t="s">
        <v>274</v>
      </c>
      <c r="B91" s="1" t="s">
        <v>275</v>
      </c>
      <c r="C91" s="13">
        <v>0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2">
      <c r="A92" s="9" t="s">
        <v>276</v>
      </c>
      <c r="B92" s="1" t="s">
        <v>277</v>
      </c>
      <c r="C92" s="13">
        <v>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2">
      <c r="A93" s="9" t="s">
        <v>280</v>
      </c>
      <c r="B93" s="1" t="s">
        <v>281</v>
      </c>
      <c r="C93" s="13">
        <v>0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2">
      <c r="A94" s="9" t="s">
        <v>284</v>
      </c>
      <c r="B94" s="1" t="s">
        <v>285</v>
      </c>
      <c r="C94" s="13">
        <v>0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2">
      <c r="A95" s="9" t="s">
        <v>288</v>
      </c>
      <c r="B95" s="1" t="s">
        <v>289</v>
      </c>
      <c r="C95" s="13">
        <v>0</v>
      </c>
      <c r="D95" s="13">
        <v>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2">
      <c r="A96" s="3"/>
      <c r="B96" s="3" t="s">
        <v>290</v>
      </c>
      <c r="C96" s="15" t="s">
        <v>292</v>
      </c>
      <c r="D96" s="15" t="s">
        <v>292</v>
      </c>
      <c r="E96" s="15" t="s">
        <v>292</v>
      </c>
      <c r="F96" s="15">
        <v>0</v>
      </c>
      <c r="G96" s="15">
        <v>0</v>
      </c>
      <c r="H96" s="15">
        <v>0</v>
      </c>
      <c r="I96" s="15">
        <v>0</v>
      </c>
      <c r="J96" s="15" t="s">
        <v>292</v>
      </c>
      <c r="K96" s="15">
        <v>0</v>
      </c>
      <c r="L96" s="15">
        <v>0</v>
      </c>
      <c r="M96" s="15">
        <v>0</v>
      </c>
      <c r="N96" s="15">
        <v>0</v>
      </c>
    </row>
    <row r="97" spans="1:14" x14ac:dyDescent="0.2">
      <c r="A97" s="3"/>
      <c r="B97" s="3" t="s">
        <v>291</v>
      </c>
      <c r="C97" s="15" t="s">
        <v>292</v>
      </c>
      <c r="D97" s="15" t="s">
        <v>292</v>
      </c>
      <c r="E97" s="15" t="s">
        <v>292</v>
      </c>
      <c r="F97" s="15" t="s">
        <v>292</v>
      </c>
      <c r="G97" s="15" t="s">
        <v>292</v>
      </c>
      <c r="H97" s="15" t="s">
        <v>292</v>
      </c>
      <c r="I97" s="15" t="s">
        <v>292</v>
      </c>
      <c r="J97" s="15" t="s">
        <v>292</v>
      </c>
      <c r="K97" s="15" t="s">
        <v>292</v>
      </c>
      <c r="L97" s="15" t="s">
        <v>292</v>
      </c>
      <c r="M97" s="15" t="s">
        <v>292</v>
      </c>
      <c r="N97" s="15" t="s">
        <v>292</v>
      </c>
    </row>
    <row r="98" spans="1:14" x14ac:dyDescent="0.2">
      <c r="A98" s="3"/>
      <c r="B98" s="3" t="s">
        <v>293</v>
      </c>
      <c r="C98" s="15" t="s">
        <v>292</v>
      </c>
      <c r="D98" s="15" t="s">
        <v>292</v>
      </c>
      <c r="E98" s="15" t="s">
        <v>292</v>
      </c>
      <c r="F98" s="15" t="s">
        <v>292</v>
      </c>
      <c r="G98" s="15" t="s">
        <v>292</v>
      </c>
      <c r="H98" s="15" t="s">
        <v>292</v>
      </c>
      <c r="I98" s="15" t="s">
        <v>292</v>
      </c>
      <c r="J98" s="15" t="s">
        <v>292</v>
      </c>
      <c r="K98" s="15" t="s">
        <v>292</v>
      </c>
      <c r="L98" s="15" t="s">
        <v>292</v>
      </c>
      <c r="M98" s="15" t="s">
        <v>292</v>
      </c>
      <c r="N98" s="15" t="s">
        <v>292</v>
      </c>
    </row>
    <row r="99" spans="1:14" x14ac:dyDescent="0.2">
      <c r="A99" s="3"/>
      <c r="B99" s="3" t="s">
        <v>294</v>
      </c>
      <c r="C99" s="15" t="s">
        <v>292</v>
      </c>
      <c r="D99" s="15" t="s">
        <v>292</v>
      </c>
      <c r="E99" s="15" t="s">
        <v>292</v>
      </c>
      <c r="F99" s="15">
        <v>0</v>
      </c>
      <c r="G99" s="15">
        <v>0</v>
      </c>
      <c r="H99" s="15">
        <v>0</v>
      </c>
      <c r="I99" s="15">
        <v>0</v>
      </c>
      <c r="J99" s="15" t="s">
        <v>292</v>
      </c>
      <c r="K99" s="15">
        <v>0</v>
      </c>
      <c r="L99" s="15">
        <v>0</v>
      </c>
      <c r="M99" s="15">
        <v>0</v>
      </c>
      <c r="N99" s="15">
        <v>0</v>
      </c>
    </row>
    <row r="100" spans="1:14" x14ac:dyDescent="0.2">
      <c r="A100" s="12"/>
      <c r="B100" s="12" t="s">
        <v>295</v>
      </c>
      <c r="C100" s="14" t="s">
        <v>292</v>
      </c>
      <c r="D100" s="14" t="s">
        <v>292</v>
      </c>
      <c r="E100" s="14" t="s">
        <v>292</v>
      </c>
      <c r="F100" s="14" t="s">
        <v>292</v>
      </c>
      <c r="G100" s="14" t="s">
        <v>292</v>
      </c>
      <c r="H100" s="14" t="s">
        <v>292</v>
      </c>
      <c r="I100" s="14" t="s">
        <v>292</v>
      </c>
      <c r="J100" s="14" t="s">
        <v>292</v>
      </c>
      <c r="K100" s="14" t="s">
        <v>292</v>
      </c>
      <c r="L100" s="14" t="s">
        <v>292</v>
      </c>
      <c r="M100" s="14" t="s">
        <v>292</v>
      </c>
      <c r="N100" s="14" t="s">
        <v>292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34257-1848-41DE-A90B-38EBD53049E6}">
  <sheetPr codeName="Hoja37">
    <tabColor rgb="FFFFFF00"/>
  </sheetPr>
  <dimension ref="A1:Q83"/>
  <sheetViews>
    <sheetView zoomScale="85" zoomScaleNormal="85" workbookViewId="0">
      <pane ySplit="6" topLeftCell="A32" activePane="bottomLeft" state="frozen"/>
      <selection activeCell="I54" sqref="I54"/>
      <selection pane="bottomLeft" activeCell="B45" sqref="B45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298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8">
        <f t="shared" ref="C7:N7" si="0">SUM(C8:C11)</f>
        <v>7.5</v>
      </c>
      <c r="D7" s="18">
        <f t="shared" si="0"/>
        <v>8.25</v>
      </c>
      <c r="E7" s="18">
        <f t="shared" si="0"/>
        <v>9.0750000000000011</v>
      </c>
      <c r="F7" s="18">
        <f t="shared" si="0"/>
        <v>9.9825000000000017</v>
      </c>
      <c r="G7" s="18">
        <f t="shared" si="0"/>
        <v>10.980750000000002</v>
      </c>
      <c r="H7" s="18">
        <f t="shared" si="0"/>
        <v>12.078825000000004</v>
      </c>
      <c r="I7" s="18">
        <f t="shared" si="0"/>
        <v>13.286707500000006</v>
      </c>
      <c r="J7" s="18">
        <f t="shared" si="0"/>
        <v>14.615378250000008</v>
      </c>
      <c r="K7" s="18">
        <f t="shared" si="0"/>
        <v>16.07691607500001</v>
      </c>
      <c r="L7" s="18">
        <f t="shared" si="0"/>
        <v>17.684607682500012</v>
      </c>
      <c r="M7" s="18">
        <f t="shared" si="0"/>
        <v>19.453068450750013</v>
      </c>
      <c r="N7" s="18">
        <f t="shared" si="0"/>
        <v>21.398375295825016</v>
      </c>
    </row>
    <row r="8" spans="1:14" hidden="1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10">
        <v>7.5</v>
      </c>
      <c r="D10" s="10">
        <f>C10*1.1</f>
        <v>8.25</v>
      </c>
      <c r="E10" s="10">
        <f t="shared" ref="E10:N10" si="1">D10*1.1</f>
        <v>9.0750000000000011</v>
      </c>
      <c r="F10" s="10">
        <f t="shared" si="1"/>
        <v>9.9825000000000017</v>
      </c>
      <c r="G10" s="10">
        <f t="shared" si="1"/>
        <v>10.980750000000002</v>
      </c>
      <c r="H10" s="10">
        <f t="shared" si="1"/>
        <v>12.078825000000004</v>
      </c>
      <c r="I10" s="10">
        <f t="shared" si="1"/>
        <v>13.286707500000006</v>
      </c>
      <c r="J10" s="10">
        <f t="shared" si="1"/>
        <v>14.615378250000008</v>
      </c>
      <c r="K10" s="10">
        <f t="shared" si="1"/>
        <v>16.07691607500001</v>
      </c>
      <c r="L10" s="10">
        <f t="shared" si="1"/>
        <v>17.684607682500012</v>
      </c>
      <c r="M10" s="10">
        <f t="shared" si="1"/>
        <v>19.453068450750013</v>
      </c>
      <c r="N10" s="10">
        <f t="shared" si="1"/>
        <v>21.398375295825016</v>
      </c>
    </row>
    <row r="11" spans="1:14" hidden="1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collapsed="1" x14ac:dyDescent="0.2">
      <c r="A12" s="9" t="s">
        <v>37</v>
      </c>
      <c r="B12" s="1" t="s">
        <v>38</v>
      </c>
      <c r="C12" s="18">
        <v>0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18">
        <v>0</v>
      </c>
      <c r="N12" s="18">
        <v>0</v>
      </c>
    </row>
    <row r="13" spans="1:14" x14ac:dyDescent="0.2">
      <c r="A13" s="9" t="s">
        <v>39</v>
      </c>
      <c r="B13" s="1" t="s">
        <v>40</v>
      </c>
      <c r="C13" s="18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18">
        <v>0</v>
      </c>
      <c r="N13" s="18">
        <v>0</v>
      </c>
    </row>
    <row r="14" spans="1:14" x14ac:dyDescent="0.2">
      <c r="A14" s="9" t="s">
        <v>41</v>
      </c>
      <c r="B14" s="1" t="s">
        <v>42</v>
      </c>
      <c r="C14" s="18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18">
        <v>0</v>
      </c>
      <c r="N14" s="18">
        <v>0</v>
      </c>
    </row>
    <row r="15" spans="1:14" x14ac:dyDescent="0.2">
      <c r="A15" s="9" t="s">
        <v>45</v>
      </c>
      <c r="B15" s="1" t="s">
        <v>46</v>
      </c>
      <c r="C15" s="18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18">
        <v>0</v>
      </c>
      <c r="N15" s="18">
        <v>0</v>
      </c>
    </row>
    <row r="16" spans="1:14" x14ac:dyDescent="0.2">
      <c r="A16" s="12"/>
      <c r="B16" s="12" t="s">
        <v>47</v>
      </c>
      <c r="C16" s="21">
        <f t="shared" ref="C16:N16" si="2">+C7+C12+C13+C14+C15</f>
        <v>7.5</v>
      </c>
      <c r="D16" s="21">
        <f t="shared" si="2"/>
        <v>8.25</v>
      </c>
      <c r="E16" s="21">
        <f t="shared" si="2"/>
        <v>9.0750000000000011</v>
      </c>
      <c r="F16" s="21">
        <f t="shared" si="2"/>
        <v>9.9825000000000017</v>
      </c>
      <c r="G16" s="21">
        <f t="shared" si="2"/>
        <v>10.980750000000002</v>
      </c>
      <c r="H16" s="21">
        <f t="shared" si="2"/>
        <v>12.078825000000004</v>
      </c>
      <c r="I16" s="21">
        <f t="shared" si="2"/>
        <v>13.286707500000006</v>
      </c>
      <c r="J16" s="21">
        <f t="shared" si="2"/>
        <v>14.615378250000008</v>
      </c>
      <c r="K16" s="21">
        <f t="shared" si="2"/>
        <v>16.07691607500001</v>
      </c>
      <c r="L16" s="21">
        <f t="shared" si="2"/>
        <v>17.684607682500012</v>
      </c>
      <c r="M16" s="21">
        <f t="shared" si="2"/>
        <v>19.453068450750013</v>
      </c>
      <c r="N16" s="21">
        <f t="shared" si="2"/>
        <v>21.398375295825016</v>
      </c>
    </row>
    <row r="17" spans="1:14" x14ac:dyDescent="0.2">
      <c r="A17" s="9" t="s">
        <v>48</v>
      </c>
      <c r="B17" s="1" t="s">
        <v>49</v>
      </c>
      <c r="C17" s="18">
        <f t="shared" ref="C17:N17" si="3">SUM(C18:C19)</f>
        <v>0</v>
      </c>
      <c r="D17" s="18">
        <f t="shared" si="3"/>
        <v>0</v>
      </c>
      <c r="E17" s="18">
        <f t="shared" si="3"/>
        <v>0</v>
      </c>
      <c r="F17" s="18">
        <f t="shared" si="3"/>
        <v>0</v>
      </c>
      <c r="G17" s="18">
        <f t="shared" si="3"/>
        <v>0</v>
      </c>
      <c r="H17" s="18">
        <f t="shared" si="3"/>
        <v>0</v>
      </c>
      <c r="I17" s="18">
        <f t="shared" si="3"/>
        <v>0</v>
      </c>
      <c r="J17" s="18">
        <f t="shared" si="3"/>
        <v>0</v>
      </c>
      <c r="K17" s="18">
        <f t="shared" si="3"/>
        <v>0</v>
      </c>
      <c r="L17" s="18">
        <f t="shared" si="3"/>
        <v>0</v>
      </c>
      <c r="M17" s="18">
        <f t="shared" si="3"/>
        <v>0</v>
      </c>
      <c r="N17" s="18">
        <f t="shared" si="3"/>
        <v>0</v>
      </c>
    </row>
    <row r="18" spans="1:14" hidden="1" outlineLevel="1" x14ac:dyDescent="0.2">
      <c r="A18" s="9" t="s">
        <v>50</v>
      </c>
      <c r="B18" s="1" t="s">
        <v>51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hidden="1" outlineLevel="1" x14ac:dyDescent="0.2">
      <c r="A19" s="9" t="s">
        <v>59</v>
      </c>
      <c r="B19" s="1" t="s">
        <v>53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collapsed="1" x14ac:dyDescent="0.2">
      <c r="A20" s="9" t="s">
        <v>60</v>
      </c>
      <c r="B20" s="1" t="s">
        <v>61</v>
      </c>
      <c r="C20" s="18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18">
        <v>0</v>
      </c>
      <c r="N20" s="18">
        <v>0</v>
      </c>
    </row>
    <row r="21" spans="1:14" x14ac:dyDescent="0.2">
      <c r="A21" s="9" t="s">
        <v>62</v>
      </c>
      <c r="B21" s="1" t="s">
        <v>63</v>
      </c>
      <c r="C21" s="18">
        <v>0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18">
        <v>0</v>
      </c>
      <c r="N21" s="18">
        <v>0</v>
      </c>
    </row>
    <row r="22" spans="1:14" x14ac:dyDescent="0.2">
      <c r="A22" s="9" t="s">
        <v>64</v>
      </c>
      <c r="B22" s="1" t="s">
        <v>65</v>
      </c>
      <c r="C22" s="18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18">
        <v>0</v>
      </c>
      <c r="N22" s="18">
        <v>0</v>
      </c>
    </row>
    <row r="23" spans="1:14" x14ac:dyDescent="0.2">
      <c r="A23" s="9" t="s">
        <v>68</v>
      </c>
      <c r="B23" s="1" t="s">
        <v>69</v>
      </c>
      <c r="C23" s="18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18">
        <v>0</v>
      </c>
      <c r="N23" s="18">
        <v>0</v>
      </c>
    </row>
    <row r="24" spans="1:14" x14ac:dyDescent="0.2">
      <c r="A24" s="3"/>
      <c r="B24" s="3" t="s">
        <v>72</v>
      </c>
      <c r="C24" s="20">
        <f t="shared" ref="C24:I24" si="4">+C17+C20+C21+C22+C23</f>
        <v>0</v>
      </c>
      <c r="D24" s="20">
        <f t="shared" si="4"/>
        <v>0</v>
      </c>
      <c r="E24" s="20">
        <f t="shared" si="4"/>
        <v>0</v>
      </c>
      <c r="F24" s="20">
        <f t="shared" si="4"/>
        <v>0</v>
      </c>
      <c r="G24" s="20">
        <f t="shared" si="4"/>
        <v>0</v>
      </c>
      <c r="H24" s="20">
        <f t="shared" si="4"/>
        <v>0</v>
      </c>
      <c r="I24" s="20">
        <f t="shared" si="4"/>
        <v>0</v>
      </c>
      <c r="J24" s="20">
        <f>+J17+J20+J21+J22+J23</f>
        <v>0</v>
      </c>
      <c r="K24" s="20">
        <f t="shared" ref="K24:N24" si="5">+K17+K20+K21+K22+K23</f>
        <v>0</v>
      </c>
      <c r="L24" s="20">
        <f t="shared" si="5"/>
        <v>0</v>
      </c>
      <c r="M24" s="20">
        <f t="shared" si="5"/>
        <v>0</v>
      </c>
      <c r="N24" s="20">
        <f t="shared" si="5"/>
        <v>0</v>
      </c>
    </row>
    <row r="25" spans="1:14" x14ac:dyDescent="0.2">
      <c r="A25" s="12"/>
      <c r="B25" s="12" t="s">
        <v>73</v>
      </c>
      <c r="C25" s="21">
        <f t="shared" ref="C25:M25" si="6">+C16-C24</f>
        <v>7.5</v>
      </c>
      <c r="D25" s="21">
        <f t="shared" si="6"/>
        <v>8.25</v>
      </c>
      <c r="E25" s="21">
        <f t="shared" si="6"/>
        <v>9.0750000000000011</v>
      </c>
      <c r="F25" s="21">
        <f t="shared" si="6"/>
        <v>9.9825000000000017</v>
      </c>
      <c r="G25" s="21">
        <f t="shared" si="6"/>
        <v>10.980750000000002</v>
      </c>
      <c r="H25" s="21">
        <f t="shared" si="6"/>
        <v>12.078825000000004</v>
      </c>
      <c r="I25" s="21">
        <f t="shared" si="6"/>
        <v>13.286707500000006</v>
      </c>
      <c r="J25" s="21">
        <f t="shared" si="6"/>
        <v>14.615378250000008</v>
      </c>
      <c r="K25" s="21">
        <f t="shared" si="6"/>
        <v>16.07691607500001</v>
      </c>
      <c r="L25" s="21">
        <f t="shared" si="6"/>
        <v>17.684607682500012</v>
      </c>
      <c r="M25" s="21">
        <f t="shared" si="6"/>
        <v>19.453068450750013</v>
      </c>
      <c r="N25" s="21">
        <f t="shared" ref="N25" si="7">+N16-N24</f>
        <v>21.398375295825016</v>
      </c>
    </row>
    <row r="26" spans="1:14" x14ac:dyDescent="0.2">
      <c r="A26" s="9" t="s">
        <v>74</v>
      </c>
      <c r="B26" s="1" t="s">
        <v>74</v>
      </c>
      <c r="C26" s="10" t="s">
        <v>74</v>
      </c>
      <c r="D26" s="10" t="s">
        <v>74</v>
      </c>
      <c r="E26" s="10" t="s">
        <v>74</v>
      </c>
      <c r="F26" s="10" t="s">
        <v>74</v>
      </c>
      <c r="G26" s="10" t="s">
        <v>74</v>
      </c>
      <c r="H26" s="10" t="s">
        <v>74</v>
      </c>
      <c r="I26" s="10" t="s">
        <v>74</v>
      </c>
      <c r="J26" s="10" t="s">
        <v>74</v>
      </c>
      <c r="K26" s="10" t="s">
        <v>74</v>
      </c>
      <c r="L26" s="10" t="s">
        <v>74</v>
      </c>
      <c r="M26" s="10" t="s">
        <v>74</v>
      </c>
      <c r="N26" s="10" t="s">
        <v>74</v>
      </c>
    </row>
    <row r="27" spans="1:14" x14ac:dyDescent="0.2">
      <c r="A27" s="9" t="s">
        <v>75</v>
      </c>
      <c r="B27" s="1" t="s">
        <v>76</v>
      </c>
      <c r="C27" s="18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18">
        <v>0</v>
      </c>
      <c r="N27" s="18">
        <v>0</v>
      </c>
    </row>
    <row r="28" spans="1:14" x14ac:dyDescent="0.2">
      <c r="A28" s="9" t="s">
        <v>111</v>
      </c>
      <c r="B28" s="1" t="s">
        <v>112</v>
      </c>
      <c r="C28" s="18">
        <f t="shared" ref="C28:I28" si="8">+C29</f>
        <v>0</v>
      </c>
      <c r="D28" s="18">
        <f t="shared" si="8"/>
        <v>0</v>
      </c>
      <c r="E28" s="18">
        <f t="shared" si="8"/>
        <v>0</v>
      </c>
      <c r="F28" s="18">
        <f t="shared" si="8"/>
        <v>0</v>
      </c>
      <c r="G28" s="18">
        <f t="shared" si="8"/>
        <v>0</v>
      </c>
      <c r="H28" s="18">
        <f t="shared" si="8"/>
        <v>0</v>
      </c>
      <c r="I28" s="18">
        <f t="shared" si="8"/>
        <v>0</v>
      </c>
      <c r="J28" s="18">
        <f>+J29</f>
        <v>0</v>
      </c>
      <c r="K28" s="18">
        <f t="shared" ref="K28:N28" si="9">+K29</f>
        <v>0</v>
      </c>
      <c r="L28" s="18">
        <f t="shared" si="9"/>
        <v>0</v>
      </c>
      <c r="M28" s="18">
        <f t="shared" si="9"/>
        <v>0</v>
      </c>
      <c r="N28" s="18">
        <f t="shared" si="9"/>
        <v>0</v>
      </c>
    </row>
    <row r="29" spans="1:14" hidden="1" outlineLevel="1" x14ac:dyDescent="0.2">
      <c r="A29" s="9" t="s">
        <v>115</v>
      </c>
      <c r="B29" s="1" t="s">
        <v>116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collapsed="1" x14ac:dyDescent="0.2">
      <c r="A30" s="9" t="s">
        <v>119</v>
      </c>
      <c r="B30" s="1" t="s">
        <v>120</v>
      </c>
      <c r="C30" s="18">
        <v>0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18">
        <v>0</v>
      </c>
      <c r="N30" s="18">
        <v>0</v>
      </c>
    </row>
    <row r="31" spans="1:14" x14ac:dyDescent="0.2">
      <c r="A31" s="9" t="s">
        <v>127</v>
      </c>
      <c r="B31" s="1" t="s">
        <v>128</v>
      </c>
      <c r="C31" s="18">
        <v>0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18">
        <v>0</v>
      </c>
      <c r="N31" s="18">
        <v>0</v>
      </c>
    </row>
    <row r="32" spans="1:14" x14ac:dyDescent="0.2">
      <c r="A32" s="9" t="s">
        <v>133</v>
      </c>
      <c r="B32" s="1" t="s">
        <v>134</v>
      </c>
      <c r="C32" s="18">
        <v>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18">
        <v>0</v>
      </c>
      <c r="N32" s="18">
        <v>0</v>
      </c>
    </row>
    <row r="33" spans="1:17" x14ac:dyDescent="0.2">
      <c r="A33" s="9" t="s">
        <v>137</v>
      </c>
      <c r="B33" s="1" t="s">
        <v>138</v>
      </c>
      <c r="C33" s="18">
        <v>0</v>
      </c>
      <c r="D33" s="18">
        <v>0</v>
      </c>
      <c r="E33" s="18">
        <v>0</v>
      </c>
      <c r="F33" s="18">
        <v>0</v>
      </c>
      <c r="G33" s="18">
        <v>0</v>
      </c>
      <c r="H33" s="18">
        <v>0</v>
      </c>
      <c r="I33" s="18">
        <v>0</v>
      </c>
      <c r="J33" s="18">
        <v>0</v>
      </c>
      <c r="K33" s="18">
        <v>0</v>
      </c>
      <c r="L33" s="18">
        <v>0</v>
      </c>
      <c r="M33" s="18">
        <v>0</v>
      </c>
      <c r="N33" s="18">
        <v>0</v>
      </c>
    </row>
    <row r="34" spans="1:17" x14ac:dyDescent="0.2">
      <c r="A34" s="9" t="s">
        <v>139</v>
      </c>
      <c r="B34" s="1" t="s">
        <v>140</v>
      </c>
      <c r="C34" s="18">
        <v>0</v>
      </c>
      <c r="D34" s="18">
        <v>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18">
        <v>0</v>
      </c>
      <c r="N34" s="18">
        <v>0</v>
      </c>
    </row>
    <row r="35" spans="1:17" x14ac:dyDescent="0.2">
      <c r="A35" s="9" t="s">
        <v>141</v>
      </c>
      <c r="B35" s="1" t="s">
        <v>142</v>
      </c>
      <c r="C35" s="18">
        <v>0</v>
      </c>
      <c r="D35" s="18">
        <v>0</v>
      </c>
      <c r="E35" s="18">
        <v>0</v>
      </c>
      <c r="F35" s="18">
        <v>0</v>
      </c>
      <c r="G35" s="18">
        <v>0</v>
      </c>
      <c r="H35" s="18">
        <v>0</v>
      </c>
      <c r="I35" s="18">
        <v>0</v>
      </c>
      <c r="J35" s="18">
        <v>0</v>
      </c>
      <c r="K35" s="18">
        <v>0</v>
      </c>
      <c r="L35" s="18">
        <v>0</v>
      </c>
      <c r="M35" s="18">
        <v>0</v>
      </c>
      <c r="N35" s="18">
        <v>0</v>
      </c>
      <c r="Q35" s="22">
        <v>1</v>
      </c>
    </row>
    <row r="36" spans="1:17" x14ac:dyDescent="0.2">
      <c r="A36" s="9" t="s">
        <v>143</v>
      </c>
      <c r="B36" s="1" t="s">
        <v>144</v>
      </c>
      <c r="C36" s="18">
        <f t="shared" ref="C36:M36" si="10">SUM(C37:C42)</f>
        <v>1.7</v>
      </c>
      <c r="D36" s="18">
        <f t="shared" si="10"/>
        <v>1</v>
      </c>
      <c r="E36" s="18">
        <f t="shared" si="10"/>
        <v>4.3</v>
      </c>
      <c r="F36" s="18">
        <f t="shared" si="10"/>
        <v>1</v>
      </c>
      <c r="G36" s="18">
        <f t="shared" si="10"/>
        <v>1.8</v>
      </c>
      <c r="H36" s="18">
        <f t="shared" si="10"/>
        <v>0.8</v>
      </c>
      <c r="I36" s="18">
        <f t="shared" si="10"/>
        <v>0.6</v>
      </c>
      <c r="J36" s="18">
        <f t="shared" ca="1" si="10"/>
        <v>1</v>
      </c>
      <c r="K36" s="18">
        <f t="shared" ca="1" si="10"/>
        <v>4.3</v>
      </c>
      <c r="L36" s="18">
        <f t="shared" ca="1" si="10"/>
        <v>3.2</v>
      </c>
      <c r="M36" s="18">
        <f t="shared" ca="1" si="10"/>
        <v>4.4000000000000004</v>
      </c>
      <c r="N36" s="18">
        <f t="shared" ref="N36" ca="1" si="11">SUM(N37:N42)</f>
        <v>1</v>
      </c>
    </row>
    <row r="37" spans="1:17" outlineLevel="1" x14ac:dyDescent="0.2">
      <c r="A37" s="9" t="s">
        <v>145</v>
      </c>
      <c r="B37" s="1" t="s">
        <v>146</v>
      </c>
      <c r="C37" s="10">
        <v>1</v>
      </c>
      <c r="D37" s="10">
        <v>1</v>
      </c>
      <c r="E37" s="10">
        <v>1</v>
      </c>
      <c r="F37" s="10">
        <v>1</v>
      </c>
      <c r="G37" s="10">
        <v>1.8</v>
      </c>
      <c r="H37" s="10">
        <v>0.8</v>
      </c>
      <c r="I37" s="10">
        <v>0.6</v>
      </c>
      <c r="J37" s="10">
        <f t="shared" ref="J37:N37" ca="1" si="12">RANDBETWEEN(0.8,1.9)</f>
        <v>1</v>
      </c>
      <c r="K37" s="10">
        <f t="shared" ca="1" si="12"/>
        <v>1</v>
      </c>
      <c r="L37" s="10">
        <f t="shared" ca="1" si="12"/>
        <v>1</v>
      </c>
      <c r="M37" s="10">
        <f ca="1">RANDBETWEEN(0.8,1.9)</f>
        <v>1</v>
      </c>
      <c r="N37" s="10">
        <f t="shared" ca="1" si="12"/>
        <v>1</v>
      </c>
      <c r="Q37" s="22">
        <v>1</v>
      </c>
    </row>
    <row r="38" spans="1:17" outlineLevel="1" x14ac:dyDescent="0.2">
      <c r="A38" s="9" t="s">
        <v>147</v>
      </c>
      <c r="B38" s="1" t="s">
        <v>148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7" outlineLevel="1" x14ac:dyDescent="0.2">
      <c r="A39" s="9" t="s">
        <v>149</v>
      </c>
      <c r="B39" s="1" t="s">
        <v>150</v>
      </c>
      <c r="C39" s="10">
        <v>0</v>
      </c>
      <c r="D39" s="10">
        <v>0</v>
      </c>
      <c r="E39" s="10">
        <v>3.3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3.3</v>
      </c>
      <c r="L39" s="10">
        <v>2.2000000000000002</v>
      </c>
      <c r="M39" s="10">
        <v>3.4</v>
      </c>
      <c r="N39" s="10">
        <v>0</v>
      </c>
    </row>
    <row r="40" spans="1:17" outlineLevel="1" x14ac:dyDescent="0.2">
      <c r="A40" s="9" t="s">
        <v>151</v>
      </c>
      <c r="B40" s="1" t="s">
        <v>152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7" outlineLevel="1" x14ac:dyDescent="0.2">
      <c r="A41" s="9" t="s">
        <v>153</v>
      </c>
      <c r="B41" s="1" t="s">
        <v>154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7" outlineLevel="1" x14ac:dyDescent="0.2">
      <c r="A42" s="9" t="s">
        <v>155</v>
      </c>
      <c r="B42" s="1" t="s">
        <v>156</v>
      </c>
      <c r="C42" s="10">
        <v>0.7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7" x14ac:dyDescent="0.2">
      <c r="A43" s="9" t="s">
        <v>157</v>
      </c>
      <c r="B43" s="1" t="s">
        <v>158</v>
      </c>
      <c r="C43" s="18">
        <f t="shared" ref="C43:J43" si="13">+C44</f>
        <v>0.2</v>
      </c>
      <c r="D43" s="18">
        <f t="shared" si="13"/>
        <v>-0.1</v>
      </c>
      <c r="E43" s="18">
        <f t="shared" si="13"/>
        <v>0.2</v>
      </c>
      <c r="F43" s="18">
        <f t="shared" si="13"/>
        <v>-0.1</v>
      </c>
      <c r="G43" s="18">
        <f t="shared" si="13"/>
        <v>-0.1</v>
      </c>
      <c r="H43" s="18">
        <f t="shared" si="13"/>
        <v>-0.1</v>
      </c>
      <c r="I43" s="18">
        <f t="shared" si="13"/>
        <v>-0.3</v>
      </c>
      <c r="J43" s="18">
        <f t="shared" si="13"/>
        <v>-0.1</v>
      </c>
      <c r="K43" s="18">
        <f t="shared" ref="K43:N43" si="14">+K44</f>
        <v>0.2</v>
      </c>
      <c r="L43" s="18">
        <f t="shared" si="14"/>
        <v>-0.1</v>
      </c>
      <c r="M43" s="18">
        <f t="shared" si="14"/>
        <v>-0.1</v>
      </c>
      <c r="N43" s="18">
        <f t="shared" si="14"/>
        <v>-0.1</v>
      </c>
    </row>
    <row r="44" spans="1:17" outlineLevel="1" x14ac:dyDescent="0.2">
      <c r="A44" s="9" t="s">
        <v>159</v>
      </c>
      <c r="B44" s="1" t="s">
        <v>160</v>
      </c>
      <c r="C44" s="10">
        <v>0.2</v>
      </c>
      <c r="D44" s="10">
        <v>-0.1</v>
      </c>
      <c r="E44" s="10">
        <v>0.2</v>
      </c>
      <c r="F44" s="10">
        <v>-0.1</v>
      </c>
      <c r="G44" s="10">
        <v>-0.1</v>
      </c>
      <c r="H44" s="10">
        <v>-0.1</v>
      </c>
      <c r="I44" s="10">
        <v>-0.3</v>
      </c>
      <c r="J44" s="10">
        <v>-0.1</v>
      </c>
      <c r="K44" s="10">
        <v>0.2</v>
      </c>
      <c r="L44" s="10">
        <v>-0.1</v>
      </c>
      <c r="M44" s="10">
        <v>-0.1</v>
      </c>
      <c r="N44" s="10">
        <v>-0.1</v>
      </c>
    </row>
    <row r="45" spans="1:17" x14ac:dyDescent="0.2">
      <c r="A45" s="3"/>
      <c r="B45" s="3" t="s">
        <v>165</v>
      </c>
      <c r="C45" s="20">
        <f t="shared" ref="C45:N45" si="15">+C27+C28+C30+C31+C32+C33+C34+C35+C36+C43</f>
        <v>1.9</v>
      </c>
      <c r="D45" s="20">
        <f t="shared" si="15"/>
        <v>0.9</v>
      </c>
      <c r="E45" s="20">
        <f t="shared" si="15"/>
        <v>4.5</v>
      </c>
      <c r="F45" s="20">
        <f t="shared" si="15"/>
        <v>0.9</v>
      </c>
      <c r="G45" s="20">
        <f t="shared" si="15"/>
        <v>1.7</v>
      </c>
      <c r="H45" s="20">
        <f t="shared" si="15"/>
        <v>0.70000000000000007</v>
      </c>
      <c r="I45" s="20">
        <f t="shared" si="15"/>
        <v>0.3</v>
      </c>
      <c r="J45" s="20">
        <f t="shared" ca="1" si="15"/>
        <v>0.9</v>
      </c>
      <c r="K45" s="20">
        <f t="shared" ca="1" si="15"/>
        <v>4.5</v>
      </c>
      <c r="L45" s="20">
        <f t="shared" ca="1" si="15"/>
        <v>3.1</v>
      </c>
      <c r="M45" s="20">
        <f t="shared" ca="1" si="15"/>
        <v>4.3000000000000007</v>
      </c>
      <c r="N45" s="20">
        <f t="shared" ca="1" si="15"/>
        <v>0.9</v>
      </c>
    </row>
    <row r="46" spans="1:17" x14ac:dyDescent="0.2">
      <c r="A46" s="12"/>
      <c r="B46" s="12" t="s">
        <v>166</v>
      </c>
      <c r="C46" s="21">
        <f t="shared" ref="C46:I46" si="16">+C25-C45</f>
        <v>5.6</v>
      </c>
      <c r="D46" s="21">
        <f t="shared" si="16"/>
        <v>7.35</v>
      </c>
      <c r="E46" s="21">
        <f t="shared" si="16"/>
        <v>4.5750000000000011</v>
      </c>
      <c r="F46" s="21">
        <f t="shared" si="16"/>
        <v>9.0825000000000014</v>
      </c>
      <c r="G46" s="21">
        <f t="shared" si="16"/>
        <v>9.2807500000000029</v>
      </c>
      <c r="H46" s="21">
        <f t="shared" si="16"/>
        <v>11.378825000000004</v>
      </c>
      <c r="I46" s="21">
        <f t="shared" si="16"/>
        <v>12.986707500000005</v>
      </c>
      <c r="J46" s="21">
        <f ca="1">+J25-J45</f>
        <v>13.715378250000008</v>
      </c>
      <c r="K46" s="21">
        <f t="shared" ref="K46:N46" ca="1" si="17">+K25-K45</f>
        <v>11.57691607500001</v>
      </c>
      <c r="L46" s="21">
        <f t="shared" ca="1" si="17"/>
        <v>14.584607682500012</v>
      </c>
      <c r="M46" s="21">
        <f t="shared" ca="1" si="17"/>
        <v>15.153068450750013</v>
      </c>
      <c r="N46" s="21">
        <f t="shared" ca="1" si="17"/>
        <v>20.498375295825017</v>
      </c>
    </row>
    <row r="47" spans="1:17" x14ac:dyDescent="0.2">
      <c r="A47" s="9" t="s">
        <v>167</v>
      </c>
      <c r="B47" s="1" t="s">
        <v>168</v>
      </c>
      <c r="C47" s="18">
        <v>0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18">
        <v>0</v>
      </c>
      <c r="N47" s="18">
        <v>0</v>
      </c>
    </row>
    <row r="48" spans="1:17" x14ac:dyDescent="0.2">
      <c r="A48" s="9" t="s">
        <v>200</v>
      </c>
      <c r="B48" s="1" t="s">
        <v>201</v>
      </c>
      <c r="C48" s="18">
        <f t="shared" ref="C48:I48" si="18">SUM(C49:C50)</f>
        <v>0</v>
      </c>
      <c r="D48" s="18">
        <f t="shared" si="18"/>
        <v>0</v>
      </c>
      <c r="E48" s="18">
        <f t="shared" si="18"/>
        <v>0</v>
      </c>
      <c r="F48" s="18">
        <f t="shared" si="18"/>
        <v>0</v>
      </c>
      <c r="G48" s="18">
        <f t="shared" si="18"/>
        <v>0</v>
      </c>
      <c r="H48" s="18">
        <f t="shared" si="18"/>
        <v>2.2000000000000002</v>
      </c>
      <c r="I48" s="18">
        <f t="shared" si="18"/>
        <v>4.9000000000000004</v>
      </c>
      <c r="J48" s="18">
        <f>SUM(J49:J50)</f>
        <v>0</v>
      </c>
      <c r="K48" s="18">
        <f t="shared" ref="K48:N48" si="19">SUM(K49:K50)</f>
        <v>0</v>
      </c>
      <c r="L48" s="18">
        <f t="shared" si="19"/>
        <v>1.2</v>
      </c>
      <c r="M48" s="18">
        <f t="shared" si="19"/>
        <v>0</v>
      </c>
      <c r="N48" s="18">
        <f t="shared" si="19"/>
        <v>2.2000000000000002</v>
      </c>
    </row>
    <row r="49" spans="1:14" hidden="1" outlineLevel="1" x14ac:dyDescent="0.2">
      <c r="A49" s="9" t="s">
        <v>220</v>
      </c>
      <c r="B49" s="1" t="s">
        <v>221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hidden="1" outlineLevel="1" x14ac:dyDescent="0.2">
      <c r="A50" s="9" t="s">
        <v>222</v>
      </c>
      <c r="B50" s="1" t="s">
        <v>223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2.2000000000000002</v>
      </c>
      <c r="I50" s="10">
        <v>4.9000000000000004</v>
      </c>
      <c r="J50" s="10">
        <v>0</v>
      </c>
      <c r="K50" s="10">
        <v>0</v>
      </c>
      <c r="L50" s="10">
        <v>1.2</v>
      </c>
      <c r="M50" s="10">
        <v>0</v>
      </c>
      <c r="N50" s="10">
        <v>2.2000000000000002</v>
      </c>
    </row>
    <row r="51" spans="1:14" collapsed="1" x14ac:dyDescent="0.2">
      <c r="A51" s="9" t="s">
        <v>226</v>
      </c>
      <c r="B51" s="1" t="s">
        <v>227</v>
      </c>
      <c r="C51" s="18">
        <v>0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v>0</v>
      </c>
      <c r="J51" s="18">
        <v>0</v>
      </c>
      <c r="K51" s="18">
        <v>0</v>
      </c>
      <c r="L51" s="18">
        <v>0</v>
      </c>
      <c r="M51" s="18">
        <v>0</v>
      </c>
      <c r="N51" s="18">
        <v>0</v>
      </c>
    </row>
    <row r="52" spans="1:14" x14ac:dyDescent="0.2">
      <c r="A52" s="9" t="s">
        <v>228</v>
      </c>
      <c r="B52" s="1" t="s">
        <v>229</v>
      </c>
      <c r="C52" s="18">
        <v>0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0</v>
      </c>
      <c r="L52" s="18">
        <v>0</v>
      </c>
      <c r="M52" s="18">
        <v>0</v>
      </c>
      <c r="N52" s="18">
        <v>0</v>
      </c>
    </row>
    <row r="53" spans="1:14" x14ac:dyDescent="0.2">
      <c r="A53" s="9" t="s">
        <v>230</v>
      </c>
      <c r="B53" s="1" t="s">
        <v>231</v>
      </c>
      <c r="C53" s="18">
        <f t="shared" ref="C53:I53" si="20">+C54</f>
        <v>0</v>
      </c>
      <c r="D53" s="18">
        <f t="shared" si="20"/>
        <v>0</v>
      </c>
      <c r="E53" s="18">
        <f t="shared" si="20"/>
        <v>0</v>
      </c>
      <c r="F53" s="18">
        <f t="shared" si="20"/>
        <v>0</v>
      </c>
      <c r="G53" s="18">
        <f t="shared" si="20"/>
        <v>0</v>
      </c>
      <c r="H53" s="18">
        <f t="shared" si="20"/>
        <v>0</v>
      </c>
      <c r="I53" s="18">
        <f t="shared" si="20"/>
        <v>0</v>
      </c>
      <c r="J53" s="18">
        <f>+J54</f>
        <v>0</v>
      </c>
      <c r="K53" s="18">
        <f t="shared" ref="K53:N53" si="21">+K54</f>
        <v>0</v>
      </c>
      <c r="L53" s="18">
        <f t="shared" si="21"/>
        <v>0</v>
      </c>
      <c r="M53" s="18">
        <f t="shared" si="21"/>
        <v>0</v>
      </c>
      <c r="N53" s="18">
        <f t="shared" si="21"/>
        <v>0</v>
      </c>
    </row>
    <row r="54" spans="1:14" hidden="1" outlineLevel="1" x14ac:dyDescent="0.2">
      <c r="A54" s="9" t="s">
        <v>232</v>
      </c>
      <c r="B54" s="1" t="s">
        <v>233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collapsed="1" x14ac:dyDescent="0.2">
      <c r="A55" s="3"/>
      <c r="B55" s="3" t="s">
        <v>236</v>
      </c>
      <c r="C55" s="20">
        <f t="shared" ref="C55:I55" si="22">+C47+C48+C51+C52+C53</f>
        <v>0</v>
      </c>
      <c r="D55" s="20">
        <f t="shared" si="22"/>
        <v>0</v>
      </c>
      <c r="E55" s="20">
        <f t="shared" si="22"/>
        <v>0</v>
      </c>
      <c r="F55" s="20">
        <f t="shared" si="22"/>
        <v>0</v>
      </c>
      <c r="G55" s="20">
        <f t="shared" si="22"/>
        <v>0</v>
      </c>
      <c r="H55" s="20">
        <f t="shared" si="22"/>
        <v>2.2000000000000002</v>
      </c>
      <c r="I55" s="20">
        <f t="shared" si="22"/>
        <v>4.9000000000000004</v>
      </c>
      <c r="J55" s="20">
        <f>+J47+J48+J51+J52+J53</f>
        <v>0</v>
      </c>
      <c r="K55" s="20">
        <f t="shared" ref="K55:N55" si="23">+K47+K48+K51+K52+K53</f>
        <v>0</v>
      </c>
      <c r="L55" s="20">
        <f t="shared" si="23"/>
        <v>1.2</v>
      </c>
      <c r="M55" s="20">
        <f t="shared" si="23"/>
        <v>0</v>
      </c>
      <c r="N55" s="20">
        <f t="shared" si="23"/>
        <v>2.2000000000000002</v>
      </c>
    </row>
    <row r="56" spans="1:14" x14ac:dyDescent="0.2">
      <c r="A56" s="12"/>
      <c r="B56" s="12" t="s">
        <v>237</v>
      </c>
      <c r="C56" s="21">
        <f t="shared" ref="C56:I56" si="24">+C46-C55</f>
        <v>5.6</v>
      </c>
      <c r="D56" s="21">
        <f t="shared" si="24"/>
        <v>7.35</v>
      </c>
      <c r="E56" s="21">
        <f t="shared" si="24"/>
        <v>4.5750000000000011</v>
      </c>
      <c r="F56" s="21">
        <f t="shared" si="24"/>
        <v>9.0825000000000014</v>
      </c>
      <c r="G56" s="21">
        <f t="shared" si="24"/>
        <v>9.2807500000000029</v>
      </c>
      <c r="H56" s="21">
        <f t="shared" si="24"/>
        <v>9.1788250000000033</v>
      </c>
      <c r="I56" s="21">
        <f t="shared" si="24"/>
        <v>8.0867075000000046</v>
      </c>
      <c r="J56" s="21">
        <f ca="1">+J46-J55</f>
        <v>13.715378250000008</v>
      </c>
      <c r="K56" s="21">
        <f t="shared" ref="K56:N56" ca="1" si="25">+K46-K55</f>
        <v>11.57691607500001</v>
      </c>
      <c r="L56" s="21">
        <f t="shared" ca="1" si="25"/>
        <v>13.384607682500013</v>
      </c>
      <c r="M56" s="21">
        <f t="shared" ca="1" si="25"/>
        <v>15.153068450750013</v>
      </c>
      <c r="N56" s="21">
        <f t="shared" ca="1" si="25"/>
        <v>18.298375295825018</v>
      </c>
    </row>
    <row r="57" spans="1:14" x14ac:dyDescent="0.2">
      <c r="A57" s="9" t="s">
        <v>238</v>
      </c>
      <c r="B57" s="1" t="s">
        <v>239</v>
      </c>
      <c r="C57" s="18">
        <f t="shared" ref="C57:N57" si="26">+C58</f>
        <v>0.2</v>
      </c>
      <c r="D57" s="18">
        <f t="shared" si="26"/>
        <v>0.2</v>
      </c>
      <c r="E57" s="18">
        <f t="shared" si="26"/>
        <v>0.2</v>
      </c>
      <c r="F57" s="18">
        <f t="shared" si="26"/>
        <v>0.2</v>
      </c>
      <c r="G57" s="18">
        <f t="shared" si="26"/>
        <v>0.2</v>
      </c>
      <c r="H57" s="18">
        <f t="shared" si="26"/>
        <v>0.2</v>
      </c>
      <c r="I57" s="18">
        <f t="shared" si="26"/>
        <v>0.2</v>
      </c>
      <c r="J57" s="18">
        <f t="shared" si="26"/>
        <v>0.2</v>
      </c>
      <c r="K57" s="18">
        <f t="shared" si="26"/>
        <v>0.2</v>
      </c>
      <c r="L57" s="18">
        <f t="shared" si="26"/>
        <v>0.2</v>
      </c>
      <c r="M57" s="18">
        <f t="shared" si="26"/>
        <v>0.1</v>
      </c>
      <c r="N57" s="18">
        <f t="shared" si="26"/>
        <v>0.2</v>
      </c>
    </row>
    <row r="58" spans="1:14" hidden="1" outlineLevel="1" x14ac:dyDescent="0.2">
      <c r="A58" s="9" t="s">
        <v>240</v>
      </c>
      <c r="B58" s="1" t="s">
        <v>241</v>
      </c>
      <c r="C58" s="10">
        <v>0.2</v>
      </c>
      <c r="D58" s="10">
        <v>0.2</v>
      </c>
      <c r="E58" s="10">
        <v>0.2</v>
      </c>
      <c r="F58" s="10">
        <v>0.2</v>
      </c>
      <c r="G58" s="10">
        <v>0.2</v>
      </c>
      <c r="H58" s="10">
        <v>0.2</v>
      </c>
      <c r="I58" s="10">
        <v>0.2</v>
      </c>
      <c r="J58" s="10">
        <v>0.2</v>
      </c>
      <c r="K58" s="10">
        <v>0.2</v>
      </c>
      <c r="L58" s="10">
        <v>0.2</v>
      </c>
      <c r="M58" s="10">
        <v>0.1</v>
      </c>
      <c r="N58" s="10">
        <v>0.2</v>
      </c>
    </row>
    <row r="59" spans="1:14" collapsed="1" x14ac:dyDescent="0.2">
      <c r="A59" s="9" t="s">
        <v>244</v>
      </c>
      <c r="B59" s="1" t="s">
        <v>245</v>
      </c>
      <c r="C59" s="18">
        <v>0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18">
        <v>0</v>
      </c>
      <c r="N59" s="18">
        <v>0</v>
      </c>
    </row>
    <row r="60" spans="1:14" x14ac:dyDescent="0.2">
      <c r="A60" s="12"/>
      <c r="B60" s="12" t="s">
        <v>246</v>
      </c>
      <c r="C60" s="21">
        <f t="shared" ref="C60:N60" si="27">+C56-SUM(C57,C59)</f>
        <v>5.3999999999999995</v>
      </c>
      <c r="D60" s="21">
        <f t="shared" si="27"/>
        <v>7.1499999999999995</v>
      </c>
      <c r="E60" s="21">
        <f t="shared" si="27"/>
        <v>4.3750000000000009</v>
      </c>
      <c r="F60" s="21">
        <f t="shared" si="27"/>
        <v>8.8825000000000021</v>
      </c>
      <c r="G60" s="21">
        <f t="shared" si="27"/>
        <v>9.0807500000000037</v>
      </c>
      <c r="H60" s="21">
        <f t="shared" si="27"/>
        <v>8.9788250000000041</v>
      </c>
      <c r="I60" s="21">
        <f t="shared" si="27"/>
        <v>7.8867075000000044</v>
      </c>
      <c r="J60" s="21">
        <f t="shared" ca="1" si="27"/>
        <v>13.515378250000008</v>
      </c>
      <c r="K60" s="21">
        <f t="shared" ca="1" si="27"/>
        <v>11.376916075000011</v>
      </c>
      <c r="L60" s="21">
        <f t="shared" ca="1" si="27"/>
        <v>13.184607682500014</v>
      </c>
      <c r="M60" s="21">
        <f t="shared" ca="1" si="27"/>
        <v>15.053068450750013</v>
      </c>
      <c r="N60" s="21">
        <f t="shared" ca="1" si="27"/>
        <v>18.098375295825019</v>
      </c>
    </row>
    <row r="61" spans="1:14" x14ac:dyDescent="0.2">
      <c r="A61" s="9" t="s">
        <v>74</v>
      </c>
      <c r="B61" s="1" t="s">
        <v>74</v>
      </c>
      <c r="C61" s="13" t="s">
        <v>74</v>
      </c>
      <c r="D61" s="13" t="s">
        <v>74</v>
      </c>
      <c r="E61" s="13" t="s">
        <v>74</v>
      </c>
      <c r="F61" s="13" t="s">
        <v>74</v>
      </c>
      <c r="G61" s="13" t="s">
        <v>74</v>
      </c>
      <c r="H61" s="13" t="s">
        <v>74</v>
      </c>
      <c r="I61" s="13" t="s">
        <v>74</v>
      </c>
      <c r="J61" s="13" t="s">
        <v>74</v>
      </c>
      <c r="K61" s="13" t="s">
        <v>74</v>
      </c>
      <c r="L61" s="13" t="s">
        <v>74</v>
      </c>
      <c r="M61" s="13" t="s">
        <v>74</v>
      </c>
      <c r="N61" s="13" t="s">
        <v>74</v>
      </c>
    </row>
    <row r="62" spans="1:14" x14ac:dyDescent="0.2">
      <c r="A62" s="12"/>
      <c r="B62" s="12" t="s">
        <v>247</v>
      </c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</row>
    <row r="63" spans="1:14" x14ac:dyDescent="0.2">
      <c r="A63" s="9" t="s">
        <v>248</v>
      </c>
      <c r="B63" s="1" t="s">
        <v>249</v>
      </c>
      <c r="C63" s="13">
        <v>0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2">
      <c r="A64" s="9" t="s">
        <v>252</v>
      </c>
      <c r="B64" s="1" t="s">
        <v>253</v>
      </c>
      <c r="C64" s="13">
        <v>0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2">
      <c r="A65" s="9" t="s">
        <v>256</v>
      </c>
      <c r="B65" s="1" t="s">
        <v>257</v>
      </c>
      <c r="C65" s="13">
        <v>0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2">
      <c r="A66" s="9" t="s">
        <v>260</v>
      </c>
      <c r="B66" s="1" t="s">
        <v>261</v>
      </c>
      <c r="C66" s="13">
        <v>0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">
      <c r="A67" s="9" t="s">
        <v>264</v>
      </c>
      <c r="B67" s="1" t="s">
        <v>265</v>
      </c>
      <c r="C67" s="13">
        <v>0</v>
      </c>
      <c r="D67" s="13">
        <v>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">
      <c r="A68" s="9" t="s">
        <v>268</v>
      </c>
      <c r="B68" s="1" t="s">
        <v>269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270</v>
      </c>
      <c r="B69" s="1" t="s">
        <v>271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272</v>
      </c>
      <c r="B70" s="1" t="s">
        <v>273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274</v>
      </c>
      <c r="B71" s="1" t="s">
        <v>275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9" t="s">
        <v>276</v>
      </c>
      <c r="B72" s="1" t="s">
        <v>277</v>
      </c>
      <c r="C72" s="13">
        <v>45</v>
      </c>
      <c r="D72" s="13">
        <v>45</v>
      </c>
      <c r="E72" s="13">
        <v>45</v>
      </c>
      <c r="F72" s="13">
        <v>45</v>
      </c>
      <c r="G72" s="13">
        <v>45</v>
      </c>
      <c r="H72" s="13">
        <v>45</v>
      </c>
      <c r="I72" s="13">
        <v>45</v>
      </c>
      <c r="J72" s="13">
        <v>45</v>
      </c>
      <c r="K72" s="13">
        <v>45</v>
      </c>
      <c r="L72" s="13">
        <v>45</v>
      </c>
      <c r="M72" s="13">
        <v>45</v>
      </c>
      <c r="N72" s="13">
        <v>45</v>
      </c>
    </row>
    <row r="73" spans="1:14" hidden="1" outlineLevel="1" x14ac:dyDescent="0.2">
      <c r="A73" s="9" t="s">
        <v>278</v>
      </c>
      <c r="B73" s="1" t="s">
        <v>279</v>
      </c>
      <c r="C73" s="13">
        <v>45</v>
      </c>
      <c r="D73" s="13">
        <v>45</v>
      </c>
      <c r="E73" s="13">
        <v>45</v>
      </c>
      <c r="F73" s="13">
        <v>45</v>
      </c>
      <c r="G73" s="13">
        <v>45</v>
      </c>
      <c r="H73" s="13">
        <v>45</v>
      </c>
      <c r="I73" s="13">
        <v>45</v>
      </c>
      <c r="J73" s="13">
        <v>45</v>
      </c>
      <c r="K73" s="13">
        <v>45</v>
      </c>
      <c r="L73" s="13">
        <v>45</v>
      </c>
      <c r="M73" s="13">
        <v>45</v>
      </c>
      <c r="N73" s="13">
        <v>45</v>
      </c>
    </row>
    <row r="74" spans="1:14" collapsed="1" x14ac:dyDescent="0.2">
      <c r="A74" s="9" t="s">
        <v>280</v>
      </c>
      <c r="B74" s="1" t="s">
        <v>281</v>
      </c>
      <c r="C74" s="13">
        <v>45</v>
      </c>
      <c r="D74" s="13">
        <v>45</v>
      </c>
      <c r="E74" s="13">
        <v>45</v>
      </c>
      <c r="F74" s="13">
        <v>45</v>
      </c>
      <c r="G74" s="13">
        <v>45</v>
      </c>
      <c r="H74" s="13">
        <v>45</v>
      </c>
      <c r="I74" s="13">
        <v>45</v>
      </c>
      <c r="J74" s="13">
        <v>45</v>
      </c>
      <c r="K74" s="13">
        <v>45</v>
      </c>
      <c r="L74" s="13">
        <v>45</v>
      </c>
      <c r="M74" s="13">
        <v>45</v>
      </c>
      <c r="N74" s="13">
        <v>45</v>
      </c>
    </row>
    <row r="75" spans="1:14" hidden="1" outlineLevel="1" x14ac:dyDescent="0.2">
      <c r="A75" s="9" t="s">
        <v>282</v>
      </c>
      <c r="B75" s="1" t="s">
        <v>283</v>
      </c>
      <c r="C75" s="13">
        <v>45</v>
      </c>
      <c r="D75" s="13">
        <v>45</v>
      </c>
      <c r="E75" s="13">
        <v>45</v>
      </c>
      <c r="F75" s="13">
        <v>45</v>
      </c>
      <c r="G75" s="13">
        <v>45</v>
      </c>
      <c r="H75" s="13">
        <v>45</v>
      </c>
      <c r="I75" s="13">
        <v>45</v>
      </c>
      <c r="J75" s="13">
        <v>45</v>
      </c>
      <c r="K75" s="13">
        <v>45</v>
      </c>
      <c r="L75" s="13">
        <v>45</v>
      </c>
      <c r="M75" s="13">
        <v>45</v>
      </c>
      <c r="N75" s="13">
        <v>45</v>
      </c>
    </row>
    <row r="76" spans="1:14" collapsed="1" x14ac:dyDescent="0.2">
      <c r="A76" s="9" t="s">
        <v>284</v>
      </c>
      <c r="B76" s="1" t="s">
        <v>285</v>
      </c>
      <c r="C76" s="13">
        <v>0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hidden="1" outlineLevel="1" x14ac:dyDescent="0.2">
      <c r="A77" s="9" t="s">
        <v>286</v>
      </c>
      <c r="B77" s="1" t="s">
        <v>287</v>
      </c>
      <c r="C77" s="13">
        <v>0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collapsed="1" x14ac:dyDescent="0.2">
      <c r="A78" s="9" t="s">
        <v>288</v>
      </c>
      <c r="B78" s="1" t="s">
        <v>289</v>
      </c>
      <c r="C78" s="13">
        <v>0</v>
      </c>
      <c r="D78" s="13">
        <v>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2">
      <c r="A79" s="3"/>
      <c r="B79" s="3" t="s">
        <v>290</v>
      </c>
      <c r="C79" s="15" t="s">
        <v>292</v>
      </c>
      <c r="D79" s="15" t="s">
        <v>292</v>
      </c>
      <c r="E79" s="15" t="s">
        <v>292</v>
      </c>
      <c r="F79" s="15" t="s">
        <v>292</v>
      </c>
      <c r="G79" s="15" t="s">
        <v>292</v>
      </c>
      <c r="H79" s="15" t="s">
        <v>292</v>
      </c>
      <c r="I79" s="15" t="s">
        <v>292</v>
      </c>
      <c r="J79" s="15" t="s">
        <v>292</v>
      </c>
      <c r="K79" s="15" t="s">
        <v>292</v>
      </c>
      <c r="L79" s="15" t="s">
        <v>292</v>
      </c>
      <c r="M79" s="15" t="s">
        <v>292</v>
      </c>
      <c r="N79" s="15" t="s">
        <v>292</v>
      </c>
    </row>
    <row r="80" spans="1:14" x14ac:dyDescent="0.2">
      <c r="A80" s="3"/>
      <c r="B80" s="3" t="s">
        <v>291</v>
      </c>
      <c r="C80" s="15" t="s">
        <v>292</v>
      </c>
      <c r="D80" s="15" t="s">
        <v>292</v>
      </c>
      <c r="E80" s="15" t="s">
        <v>292</v>
      </c>
      <c r="F80" s="15" t="s">
        <v>292</v>
      </c>
      <c r="G80" s="15" t="s">
        <v>292</v>
      </c>
      <c r="H80" s="15" t="s">
        <v>292</v>
      </c>
      <c r="I80" s="15" t="s">
        <v>292</v>
      </c>
      <c r="J80" s="15" t="s">
        <v>292</v>
      </c>
      <c r="K80" s="15" t="s">
        <v>292</v>
      </c>
      <c r="L80" s="15" t="s">
        <v>292</v>
      </c>
      <c r="M80" s="15" t="s">
        <v>292</v>
      </c>
      <c r="N80" s="15" t="s">
        <v>292</v>
      </c>
    </row>
    <row r="81" spans="1:14" x14ac:dyDescent="0.2">
      <c r="A81" s="3"/>
      <c r="B81" s="3" t="s">
        <v>293</v>
      </c>
      <c r="C81" s="15" t="s">
        <v>292</v>
      </c>
      <c r="D81" s="15" t="s">
        <v>292</v>
      </c>
      <c r="E81" s="15" t="s">
        <v>292</v>
      </c>
      <c r="F81" s="15" t="s">
        <v>292</v>
      </c>
      <c r="G81" s="15" t="s">
        <v>292</v>
      </c>
      <c r="H81" s="15" t="s">
        <v>292</v>
      </c>
      <c r="I81" s="15" t="s">
        <v>292</v>
      </c>
      <c r="J81" s="15" t="s">
        <v>292</v>
      </c>
      <c r="K81" s="15" t="s">
        <v>292</v>
      </c>
      <c r="L81" s="15" t="s">
        <v>292</v>
      </c>
      <c r="M81" s="15" t="s">
        <v>292</v>
      </c>
      <c r="N81" s="15" t="s">
        <v>292</v>
      </c>
    </row>
    <row r="82" spans="1:14" x14ac:dyDescent="0.2">
      <c r="A82" s="3"/>
      <c r="B82" s="3" t="s">
        <v>294</v>
      </c>
      <c r="C82" s="15" t="s">
        <v>292</v>
      </c>
      <c r="D82" s="15" t="s">
        <v>292</v>
      </c>
      <c r="E82" s="15" t="s">
        <v>292</v>
      </c>
      <c r="F82" s="15" t="s">
        <v>292</v>
      </c>
      <c r="G82" s="15" t="s">
        <v>292</v>
      </c>
      <c r="H82" s="15" t="s">
        <v>292</v>
      </c>
      <c r="I82" s="15" t="s">
        <v>292</v>
      </c>
      <c r="J82" s="15" t="s">
        <v>292</v>
      </c>
      <c r="K82" s="15" t="s">
        <v>292</v>
      </c>
      <c r="L82" s="15" t="s">
        <v>292</v>
      </c>
      <c r="M82" s="15" t="s">
        <v>292</v>
      </c>
      <c r="N82" s="15" t="s">
        <v>292</v>
      </c>
    </row>
    <row r="83" spans="1:14" x14ac:dyDescent="0.2">
      <c r="A83" s="12"/>
      <c r="B83" s="12" t="s">
        <v>295</v>
      </c>
      <c r="C83" s="14" t="s">
        <v>292</v>
      </c>
      <c r="D83" s="14" t="s">
        <v>292</v>
      </c>
      <c r="E83" s="14" t="s">
        <v>292</v>
      </c>
      <c r="F83" s="14" t="s">
        <v>292</v>
      </c>
      <c r="G83" s="14" t="s">
        <v>292</v>
      </c>
      <c r="H83" s="14" t="s">
        <v>292</v>
      </c>
      <c r="I83" s="14" t="s">
        <v>292</v>
      </c>
      <c r="J83" s="14" t="s">
        <v>292</v>
      </c>
      <c r="K83" s="14" t="s">
        <v>292</v>
      </c>
      <c r="L83" s="14" t="s">
        <v>292</v>
      </c>
      <c r="M83" s="14" t="s">
        <v>292</v>
      </c>
      <c r="N83" s="14" t="s">
        <v>292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C8F27-399F-4C0F-9D25-54B19AA5FA8C}">
  <sheetPr codeName="Hoja38">
    <tabColor rgb="FFFFFF00"/>
  </sheetPr>
  <dimension ref="A1:N67"/>
  <sheetViews>
    <sheetView zoomScale="85" zoomScaleNormal="85" workbookViewId="0">
      <pane ySplit="6" topLeftCell="A7" activePane="bottomLeft" state="frozen"/>
      <selection activeCell="I54" sqref="I54"/>
      <selection pane="bottomLeft" activeCell="B17" sqref="B17"/>
    </sheetView>
  </sheetViews>
  <sheetFormatPr baseColWidth="10" defaultRowHeight="12" outlineLevelRow="1" x14ac:dyDescent="0.2"/>
  <cols>
    <col min="1" max="1" width="11.7109375" style="1" customWidth="1"/>
    <col min="2" max="2" width="36.140625" style="1" bestFit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299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10">
        <f>+C8</f>
        <v>7</v>
      </c>
      <c r="D7" s="10">
        <f t="shared" ref="D7:N7" si="0">+D8</f>
        <v>7</v>
      </c>
      <c r="E7" s="10">
        <f t="shared" si="0"/>
        <v>7</v>
      </c>
      <c r="F7" s="10">
        <f t="shared" si="0"/>
        <v>7</v>
      </c>
      <c r="G7" s="10">
        <f t="shared" si="0"/>
        <v>7</v>
      </c>
      <c r="H7" s="10">
        <f t="shared" si="0"/>
        <v>7</v>
      </c>
      <c r="I7" s="10">
        <f t="shared" si="0"/>
        <v>7</v>
      </c>
      <c r="J7" s="10">
        <f t="shared" si="0"/>
        <v>7</v>
      </c>
      <c r="K7" s="10">
        <f t="shared" si="0"/>
        <v>7</v>
      </c>
      <c r="L7" s="10">
        <f t="shared" si="0"/>
        <v>7</v>
      </c>
      <c r="M7" s="10">
        <f t="shared" si="0"/>
        <v>7</v>
      </c>
      <c r="N7" s="10">
        <f t="shared" si="0"/>
        <v>7</v>
      </c>
    </row>
    <row r="8" spans="1:14" ht="13.5" x14ac:dyDescent="0.25">
      <c r="A8" s="60" t="s">
        <v>33</v>
      </c>
      <c r="B8" s="60" t="s">
        <v>34</v>
      </c>
      <c r="C8" s="10">
        <v>7</v>
      </c>
      <c r="D8" s="10">
        <v>7</v>
      </c>
      <c r="E8" s="10">
        <v>7</v>
      </c>
      <c r="F8" s="10">
        <v>7</v>
      </c>
      <c r="G8" s="10">
        <v>7</v>
      </c>
      <c r="H8" s="10">
        <v>7</v>
      </c>
      <c r="I8" s="10">
        <v>7</v>
      </c>
      <c r="J8" s="10">
        <v>7</v>
      </c>
      <c r="K8" s="10">
        <v>7</v>
      </c>
      <c r="L8" s="10">
        <v>7</v>
      </c>
      <c r="M8" s="10">
        <v>7</v>
      </c>
      <c r="N8" s="10">
        <v>7</v>
      </c>
    </row>
    <row r="9" spans="1:14" x14ac:dyDescent="0.2">
      <c r="A9" s="48" t="s">
        <v>37</v>
      </c>
      <c r="B9" s="49" t="s">
        <v>38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48" t="s">
        <v>39</v>
      </c>
      <c r="B10" s="49" t="s">
        <v>40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48" t="s">
        <v>41</v>
      </c>
      <c r="B11" s="49" t="s">
        <v>42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48" t="s">
        <v>45</v>
      </c>
      <c r="B12" s="49" t="s">
        <v>46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x14ac:dyDescent="0.2">
      <c r="A13" s="51"/>
      <c r="B13" s="51" t="s">
        <v>47</v>
      </c>
      <c r="C13" s="21">
        <f t="shared" ref="C13:N13" si="1">+C7+C9+C10+C11+C12</f>
        <v>7</v>
      </c>
      <c r="D13" s="21">
        <f t="shared" si="1"/>
        <v>7</v>
      </c>
      <c r="E13" s="21">
        <f t="shared" si="1"/>
        <v>7</v>
      </c>
      <c r="F13" s="21">
        <f t="shared" si="1"/>
        <v>7</v>
      </c>
      <c r="G13" s="21">
        <f t="shared" si="1"/>
        <v>7</v>
      </c>
      <c r="H13" s="21">
        <f t="shared" si="1"/>
        <v>7</v>
      </c>
      <c r="I13" s="21">
        <f t="shared" si="1"/>
        <v>7</v>
      </c>
      <c r="J13" s="21">
        <f t="shared" si="1"/>
        <v>7</v>
      </c>
      <c r="K13" s="21">
        <f t="shared" si="1"/>
        <v>7</v>
      </c>
      <c r="L13" s="21">
        <f t="shared" si="1"/>
        <v>7</v>
      </c>
      <c r="M13" s="21">
        <f t="shared" si="1"/>
        <v>7</v>
      </c>
      <c r="N13" s="21">
        <f t="shared" si="1"/>
        <v>7</v>
      </c>
    </row>
    <row r="14" spans="1:14" x14ac:dyDescent="0.2">
      <c r="A14" s="48" t="s">
        <v>48</v>
      </c>
      <c r="B14" s="49" t="s">
        <v>49</v>
      </c>
      <c r="C14" s="10">
        <f>+C15</f>
        <v>0.7</v>
      </c>
      <c r="D14" s="10">
        <f t="shared" ref="D14:N14" si="2">+D15</f>
        <v>0.7</v>
      </c>
      <c r="E14" s="10">
        <f t="shared" si="2"/>
        <v>0.7</v>
      </c>
      <c r="F14" s="10">
        <f t="shared" si="2"/>
        <v>0.7</v>
      </c>
      <c r="G14" s="10">
        <f t="shared" si="2"/>
        <v>0.7</v>
      </c>
      <c r="H14" s="10">
        <f t="shared" si="2"/>
        <v>0.7</v>
      </c>
      <c r="I14" s="10">
        <f t="shared" si="2"/>
        <v>0.7</v>
      </c>
      <c r="J14" s="10">
        <f t="shared" si="2"/>
        <v>0.7</v>
      </c>
      <c r="K14" s="10">
        <f t="shared" si="2"/>
        <v>0.7</v>
      </c>
      <c r="L14" s="10">
        <f t="shared" si="2"/>
        <v>0.7</v>
      </c>
      <c r="M14" s="10">
        <f t="shared" si="2"/>
        <v>0.7</v>
      </c>
      <c r="N14" s="10">
        <f t="shared" si="2"/>
        <v>0.7</v>
      </c>
    </row>
    <row r="15" spans="1:14" x14ac:dyDescent="0.2">
      <c r="A15" s="48" t="s">
        <v>50</v>
      </c>
      <c r="B15" s="49" t="s">
        <v>51</v>
      </c>
      <c r="C15" s="10">
        <v>0.7</v>
      </c>
      <c r="D15" s="10">
        <v>0.7</v>
      </c>
      <c r="E15" s="10">
        <v>0.7</v>
      </c>
      <c r="F15" s="10">
        <v>0.7</v>
      </c>
      <c r="G15" s="10">
        <v>0.7</v>
      </c>
      <c r="H15" s="10">
        <v>0.7</v>
      </c>
      <c r="I15" s="10">
        <v>0.7</v>
      </c>
      <c r="J15" s="10">
        <v>0.7</v>
      </c>
      <c r="K15" s="10">
        <v>0.7</v>
      </c>
      <c r="L15" s="10">
        <v>0.7</v>
      </c>
      <c r="M15" s="10">
        <v>0.7</v>
      </c>
      <c r="N15" s="10">
        <v>0.7</v>
      </c>
    </row>
    <row r="16" spans="1:14" x14ac:dyDescent="0.2">
      <c r="A16" s="48" t="s">
        <v>60</v>
      </c>
      <c r="B16" s="49" t="s">
        <v>61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48" t="s">
        <v>62</v>
      </c>
      <c r="B17" s="49" t="s">
        <v>63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48" t="s">
        <v>64</v>
      </c>
      <c r="B18" s="49" t="s">
        <v>65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48" t="s">
        <v>68</v>
      </c>
      <c r="B19" s="49" t="s">
        <v>69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x14ac:dyDescent="0.2">
      <c r="A20" s="52"/>
      <c r="B20" s="52" t="s">
        <v>72</v>
      </c>
      <c r="C20" s="21">
        <f t="shared" ref="C20:N20" si="3">+C14+C16+C17+C18+C19</f>
        <v>0.7</v>
      </c>
      <c r="D20" s="21">
        <f t="shared" si="3"/>
        <v>0.7</v>
      </c>
      <c r="E20" s="21">
        <f t="shared" si="3"/>
        <v>0.7</v>
      </c>
      <c r="F20" s="21">
        <f t="shared" si="3"/>
        <v>0.7</v>
      </c>
      <c r="G20" s="21">
        <f t="shared" si="3"/>
        <v>0.7</v>
      </c>
      <c r="H20" s="21">
        <f t="shared" si="3"/>
        <v>0.7</v>
      </c>
      <c r="I20" s="21">
        <f t="shared" si="3"/>
        <v>0.7</v>
      </c>
      <c r="J20" s="21">
        <f t="shared" si="3"/>
        <v>0.7</v>
      </c>
      <c r="K20" s="21">
        <f t="shared" si="3"/>
        <v>0.7</v>
      </c>
      <c r="L20" s="21">
        <f t="shared" si="3"/>
        <v>0.7</v>
      </c>
      <c r="M20" s="21">
        <f t="shared" si="3"/>
        <v>0.7</v>
      </c>
      <c r="N20" s="21">
        <f t="shared" si="3"/>
        <v>0.7</v>
      </c>
    </row>
    <row r="21" spans="1:14" x14ac:dyDescent="0.2">
      <c r="A21" s="51"/>
      <c r="B21" s="51" t="s">
        <v>73</v>
      </c>
      <c r="C21" s="23">
        <f t="shared" ref="C21:M21" si="4">+C13-C20</f>
        <v>6.3</v>
      </c>
      <c r="D21" s="23">
        <f t="shared" si="4"/>
        <v>6.3</v>
      </c>
      <c r="E21" s="23">
        <f t="shared" si="4"/>
        <v>6.3</v>
      </c>
      <c r="F21" s="23">
        <f t="shared" si="4"/>
        <v>6.3</v>
      </c>
      <c r="G21" s="23">
        <f t="shared" si="4"/>
        <v>6.3</v>
      </c>
      <c r="H21" s="23">
        <f t="shared" si="4"/>
        <v>6.3</v>
      </c>
      <c r="I21" s="23">
        <f t="shared" si="4"/>
        <v>6.3</v>
      </c>
      <c r="J21" s="23">
        <f t="shared" si="4"/>
        <v>6.3</v>
      </c>
      <c r="K21" s="23">
        <f t="shared" si="4"/>
        <v>6.3</v>
      </c>
      <c r="L21" s="23">
        <f t="shared" si="4"/>
        <v>6.3</v>
      </c>
      <c r="M21" s="23">
        <f t="shared" si="4"/>
        <v>6.3</v>
      </c>
      <c r="N21" s="23">
        <f>+N13-N20</f>
        <v>6.3</v>
      </c>
    </row>
    <row r="22" spans="1:14" x14ac:dyDescent="0.2">
      <c r="A22" s="48" t="s">
        <v>74</v>
      </c>
      <c r="B22" s="49" t="s">
        <v>74</v>
      </c>
      <c r="C22" s="10" t="s">
        <v>74</v>
      </c>
      <c r="D22" s="10" t="s">
        <v>74</v>
      </c>
      <c r="E22" s="10" t="s">
        <v>74</v>
      </c>
      <c r="F22" s="10" t="s">
        <v>74</v>
      </c>
      <c r="G22" s="10" t="s">
        <v>74</v>
      </c>
      <c r="H22" s="10" t="s">
        <v>74</v>
      </c>
      <c r="I22" s="10" t="s">
        <v>74</v>
      </c>
      <c r="J22" s="10" t="s">
        <v>74</v>
      </c>
      <c r="K22" s="10" t="s">
        <v>74</v>
      </c>
      <c r="L22" s="10" t="s">
        <v>74</v>
      </c>
      <c r="M22" s="10" t="s">
        <v>74</v>
      </c>
      <c r="N22" s="10" t="s">
        <v>74</v>
      </c>
    </row>
    <row r="23" spans="1:14" x14ac:dyDescent="0.2">
      <c r="A23" s="48" t="s">
        <v>75</v>
      </c>
      <c r="B23" s="49" t="s">
        <v>76</v>
      </c>
      <c r="C23" s="11">
        <f>+C24</f>
        <v>1.3</v>
      </c>
      <c r="D23" s="11">
        <f t="shared" ref="D23:N23" si="5">+D24</f>
        <v>1.3</v>
      </c>
      <c r="E23" s="11">
        <f t="shared" si="5"/>
        <v>1.3</v>
      </c>
      <c r="F23" s="11">
        <f t="shared" si="5"/>
        <v>1.3</v>
      </c>
      <c r="G23" s="11">
        <f t="shared" si="5"/>
        <v>1.3</v>
      </c>
      <c r="H23" s="11">
        <f t="shared" si="5"/>
        <v>1.3</v>
      </c>
      <c r="I23" s="11">
        <f t="shared" si="5"/>
        <v>1.3</v>
      </c>
      <c r="J23" s="11">
        <f t="shared" si="5"/>
        <v>1.3</v>
      </c>
      <c r="K23" s="11">
        <f t="shared" si="5"/>
        <v>1.3</v>
      </c>
      <c r="L23" s="11">
        <f t="shared" si="5"/>
        <v>1.3</v>
      </c>
      <c r="M23" s="11">
        <f t="shared" si="5"/>
        <v>1.3</v>
      </c>
      <c r="N23" s="11">
        <f t="shared" si="5"/>
        <v>1.3</v>
      </c>
    </row>
    <row r="24" spans="1:14" x14ac:dyDescent="0.2">
      <c r="A24" s="48" t="s">
        <v>77</v>
      </c>
      <c r="B24" s="49" t="s">
        <v>78</v>
      </c>
      <c r="C24" s="11">
        <v>1.3</v>
      </c>
      <c r="D24" s="11">
        <v>1.3</v>
      </c>
      <c r="E24" s="11">
        <v>1.3</v>
      </c>
      <c r="F24" s="11">
        <v>1.3</v>
      </c>
      <c r="G24" s="11">
        <v>1.3</v>
      </c>
      <c r="H24" s="11">
        <v>1.3</v>
      </c>
      <c r="I24" s="11">
        <v>1.3</v>
      </c>
      <c r="J24" s="11">
        <v>1.3</v>
      </c>
      <c r="K24" s="11">
        <v>1.3</v>
      </c>
      <c r="L24" s="11">
        <v>1.3</v>
      </c>
      <c r="M24" s="11">
        <v>1.3</v>
      </c>
      <c r="N24" s="11">
        <v>1.3</v>
      </c>
    </row>
    <row r="25" spans="1:14" x14ac:dyDescent="0.2">
      <c r="A25" s="48" t="s">
        <v>111</v>
      </c>
      <c r="B25" s="49" t="s">
        <v>112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x14ac:dyDescent="0.2">
      <c r="A26" s="48" t="s">
        <v>119</v>
      </c>
      <c r="B26" s="49" t="s">
        <v>120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x14ac:dyDescent="0.2">
      <c r="A27" s="48" t="s">
        <v>127</v>
      </c>
      <c r="B27" s="49" t="s">
        <v>128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48" t="s">
        <v>133</v>
      </c>
      <c r="B28" s="49" t="s">
        <v>134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x14ac:dyDescent="0.2">
      <c r="A29" s="48" t="s">
        <v>137</v>
      </c>
      <c r="B29" s="49" t="s">
        <v>138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48" t="s">
        <v>139</v>
      </c>
      <c r="B30" s="49" t="s">
        <v>140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x14ac:dyDescent="0.2">
      <c r="A31" s="48" t="s">
        <v>141</v>
      </c>
      <c r="B31" s="49" t="s">
        <v>142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x14ac:dyDescent="0.2">
      <c r="A32" s="48" t="s">
        <v>143</v>
      </c>
      <c r="B32" s="49" t="s">
        <v>144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</row>
    <row r="33" spans="1:14" x14ac:dyDescent="0.2">
      <c r="A33" s="48" t="s">
        <v>157</v>
      </c>
      <c r="B33" s="49" t="s">
        <v>158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</row>
    <row r="34" spans="1:14" x14ac:dyDescent="0.2">
      <c r="A34" s="52"/>
      <c r="B34" s="52" t="s">
        <v>165</v>
      </c>
      <c r="C34" s="21">
        <f>+C23+C25+C26+C27+C28+C29+C30+C31+C32+C33</f>
        <v>1.3</v>
      </c>
      <c r="D34" s="21">
        <f t="shared" ref="D34:N34" si="6">+D23+D25+D26+D27+D28+D29+D30+D31+D32+D33</f>
        <v>1.3</v>
      </c>
      <c r="E34" s="21">
        <f t="shared" si="6"/>
        <v>1.3</v>
      </c>
      <c r="F34" s="21">
        <f t="shared" si="6"/>
        <v>1.3</v>
      </c>
      <c r="G34" s="21">
        <f t="shared" si="6"/>
        <v>1.3</v>
      </c>
      <c r="H34" s="21">
        <f t="shared" si="6"/>
        <v>1.3</v>
      </c>
      <c r="I34" s="21">
        <f t="shared" si="6"/>
        <v>1.3</v>
      </c>
      <c r="J34" s="21">
        <f t="shared" si="6"/>
        <v>1.3</v>
      </c>
      <c r="K34" s="21">
        <f t="shared" si="6"/>
        <v>1.3</v>
      </c>
      <c r="L34" s="21">
        <f t="shared" si="6"/>
        <v>1.3</v>
      </c>
      <c r="M34" s="21">
        <f t="shared" si="6"/>
        <v>1.3</v>
      </c>
      <c r="N34" s="21">
        <f t="shared" si="6"/>
        <v>1.3</v>
      </c>
    </row>
    <row r="35" spans="1:14" x14ac:dyDescent="0.2">
      <c r="A35" s="51"/>
      <c r="B35" s="51" t="s">
        <v>166</v>
      </c>
      <c r="C35" s="23">
        <f>+C21-C34</f>
        <v>5</v>
      </c>
      <c r="D35" s="23">
        <f t="shared" ref="D35:N35" si="7">+D21-D34</f>
        <v>5</v>
      </c>
      <c r="E35" s="23">
        <f t="shared" si="7"/>
        <v>5</v>
      </c>
      <c r="F35" s="23">
        <f t="shared" si="7"/>
        <v>5</v>
      </c>
      <c r="G35" s="23">
        <f t="shared" si="7"/>
        <v>5</v>
      </c>
      <c r="H35" s="23">
        <f t="shared" si="7"/>
        <v>5</v>
      </c>
      <c r="I35" s="23">
        <f t="shared" si="7"/>
        <v>5</v>
      </c>
      <c r="J35" s="23">
        <f t="shared" si="7"/>
        <v>5</v>
      </c>
      <c r="K35" s="23">
        <f t="shared" si="7"/>
        <v>5</v>
      </c>
      <c r="L35" s="23">
        <f t="shared" si="7"/>
        <v>5</v>
      </c>
      <c r="M35" s="23">
        <f t="shared" si="7"/>
        <v>5</v>
      </c>
      <c r="N35" s="23">
        <f t="shared" si="7"/>
        <v>5</v>
      </c>
    </row>
    <row r="36" spans="1:14" x14ac:dyDescent="0.2">
      <c r="A36" s="48" t="s">
        <v>167</v>
      </c>
      <c r="B36" s="49" t="s">
        <v>168</v>
      </c>
      <c r="C36" s="50">
        <f>+C37</f>
        <v>1</v>
      </c>
      <c r="D36" s="50">
        <f t="shared" ref="D36:N36" si="8">+D37</f>
        <v>1</v>
      </c>
      <c r="E36" s="50">
        <f t="shared" si="8"/>
        <v>1</v>
      </c>
      <c r="F36" s="50">
        <f t="shared" si="8"/>
        <v>1</v>
      </c>
      <c r="G36" s="50">
        <f t="shared" si="8"/>
        <v>1</v>
      </c>
      <c r="H36" s="50">
        <f t="shared" si="8"/>
        <v>2</v>
      </c>
      <c r="I36" s="50">
        <f t="shared" si="8"/>
        <v>1</v>
      </c>
      <c r="J36" s="50">
        <f t="shared" si="8"/>
        <v>2</v>
      </c>
      <c r="K36" s="50">
        <f t="shared" si="8"/>
        <v>2</v>
      </c>
      <c r="L36" s="50">
        <f t="shared" si="8"/>
        <v>1</v>
      </c>
      <c r="M36" s="50">
        <f t="shared" si="8"/>
        <v>1</v>
      </c>
      <c r="N36" s="50">
        <f t="shared" si="8"/>
        <v>2</v>
      </c>
    </row>
    <row r="37" spans="1:14" outlineLevel="1" x14ac:dyDescent="0.2">
      <c r="A37" s="9" t="s">
        <v>171</v>
      </c>
      <c r="B37" s="1" t="s">
        <v>172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2</v>
      </c>
      <c r="I37" s="10">
        <v>1</v>
      </c>
      <c r="J37" s="10">
        <v>2</v>
      </c>
      <c r="K37" s="10">
        <v>2</v>
      </c>
      <c r="L37" s="10">
        <v>1</v>
      </c>
      <c r="M37" s="10">
        <v>1</v>
      </c>
      <c r="N37" s="10">
        <v>2</v>
      </c>
    </row>
    <row r="38" spans="1:14" x14ac:dyDescent="0.2">
      <c r="A38" s="48" t="s">
        <v>200</v>
      </c>
      <c r="B38" s="49" t="s">
        <v>201</v>
      </c>
      <c r="C38" s="50">
        <f>+C39</f>
        <v>0</v>
      </c>
      <c r="D38" s="50">
        <f t="shared" ref="D38:N38" si="9">+D39</f>
        <v>0</v>
      </c>
      <c r="E38" s="50">
        <f t="shared" si="9"/>
        <v>0</v>
      </c>
      <c r="F38" s="50">
        <f t="shared" si="9"/>
        <v>0</v>
      </c>
      <c r="G38" s="50">
        <f t="shared" si="9"/>
        <v>0</v>
      </c>
      <c r="H38" s="50">
        <f t="shared" si="9"/>
        <v>0</v>
      </c>
      <c r="I38" s="50">
        <f t="shared" si="9"/>
        <v>0</v>
      </c>
      <c r="J38" s="50">
        <f t="shared" si="9"/>
        <v>0</v>
      </c>
      <c r="K38" s="50">
        <f t="shared" si="9"/>
        <v>0</v>
      </c>
      <c r="L38" s="50">
        <f t="shared" si="9"/>
        <v>0</v>
      </c>
      <c r="M38" s="50">
        <f t="shared" si="9"/>
        <v>0</v>
      </c>
      <c r="N38" s="50">
        <f t="shared" si="9"/>
        <v>0</v>
      </c>
    </row>
    <row r="39" spans="1:14" hidden="1" outlineLevel="1" x14ac:dyDescent="0.2">
      <c r="A39" s="9" t="s">
        <v>220</v>
      </c>
      <c r="B39" s="1" t="s">
        <v>221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collapsed="1" x14ac:dyDescent="0.2">
      <c r="A40" s="48" t="s">
        <v>226</v>
      </c>
      <c r="B40" s="49" t="s">
        <v>227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x14ac:dyDescent="0.2">
      <c r="A41" s="48" t="s">
        <v>228</v>
      </c>
      <c r="B41" s="49" t="s">
        <v>229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x14ac:dyDescent="0.2">
      <c r="A42" s="48" t="s">
        <v>230</v>
      </c>
      <c r="B42" s="49" t="s">
        <v>231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x14ac:dyDescent="0.2">
      <c r="A43" s="52"/>
      <c r="B43" s="52" t="s">
        <v>236</v>
      </c>
      <c r="C43" s="21">
        <f>+C36+C38+C40+C41+C42</f>
        <v>1</v>
      </c>
      <c r="D43" s="21">
        <f t="shared" ref="D43:N43" si="10">+D36+D38+D40+D41+D42</f>
        <v>1</v>
      </c>
      <c r="E43" s="21">
        <f t="shared" si="10"/>
        <v>1</v>
      </c>
      <c r="F43" s="21">
        <f t="shared" si="10"/>
        <v>1</v>
      </c>
      <c r="G43" s="21">
        <f t="shared" si="10"/>
        <v>1</v>
      </c>
      <c r="H43" s="21">
        <f t="shared" si="10"/>
        <v>2</v>
      </c>
      <c r="I43" s="21">
        <f t="shared" si="10"/>
        <v>1</v>
      </c>
      <c r="J43" s="21">
        <f t="shared" si="10"/>
        <v>2</v>
      </c>
      <c r="K43" s="21">
        <f t="shared" si="10"/>
        <v>2</v>
      </c>
      <c r="L43" s="21">
        <f t="shared" si="10"/>
        <v>1</v>
      </c>
      <c r="M43" s="21">
        <f t="shared" si="10"/>
        <v>1</v>
      </c>
      <c r="N43" s="21">
        <f t="shared" si="10"/>
        <v>2</v>
      </c>
    </row>
    <row r="44" spans="1:14" x14ac:dyDescent="0.2">
      <c r="A44" s="51"/>
      <c r="B44" s="51" t="s">
        <v>237</v>
      </c>
      <c r="C44" s="23">
        <f>+C35-C43</f>
        <v>4</v>
      </c>
      <c r="D44" s="23">
        <f t="shared" ref="D44:N44" si="11">+D35-D43</f>
        <v>4</v>
      </c>
      <c r="E44" s="23">
        <f t="shared" si="11"/>
        <v>4</v>
      </c>
      <c r="F44" s="23">
        <f t="shared" si="11"/>
        <v>4</v>
      </c>
      <c r="G44" s="23">
        <f t="shared" si="11"/>
        <v>4</v>
      </c>
      <c r="H44" s="23">
        <f t="shared" si="11"/>
        <v>3</v>
      </c>
      <c r="I44" s="23">
        <f t="shared" si="11"/>
        <v>4</v>
      </c>
      <c r="J44" s="23">
        <f t="shared" si="11"/>
        <v>3</v>
      </c>
      <c r="K44" s="23">
        <f t="shared" si="11"/>
        <v>3</v>
      </c>
      <c r="L44" s="23">
        <f t="shared" si="11"/>
        <v>4</v>
      </c>
      <c r="M44" s="23">
        <f t="shared" si="11"/>
        <v>4</v>
      </c>
      <c r="N44" s="23">
        <f t="shared" si="11"/>
        <v>3</v>
      </c>
    </row>
    <row r="45" spans="1:14" x14ac:dyDescent="0.2">
      <c r="A45" s="48" t="s">
        <v>238</v>
      </c>
      <c r="B45" s="49" t="s">
        <v>239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x14ac:dyDescent="0.2">
      <c r="A46" s="48" t="s">
        <v>244</v>
      </c>
      <c r="B46" s="49" t="s">
        <v>245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x14ac:dyDescent="0.2">
      <c r="A47" s="51"/>
      <c r="B47" s="51" t="s">
        <v>246</v>
      </c>
      <c r="C47" s="23">
        <f>+C44-SUM(C45,C46)</f>
        <v>4</v>
      </c>
      <c r="D47" s="23">
        <f t="shared" ref="D47:N47" si="12">+D44-SUM(D45,D46)</f>
        <v>4</v>
      </c>
      <c r="E47" s="23">
        <f t="shared" si="12"/>
        <v>4</v>
      </c>
      <c r="F47" s="23">
        <f t="shared" si="12"/>
        <v>4</v>
      </c>
      <c r="G47" s="23">
        <f t="shared" si="12"/>
        <v>4</v>
      </c>
      <c r="H47" s="23">
        <f t="shared" si="12"/>
        <v>3</v>
      </c>
      <c r="I47" s="23">
        <f t="shared" si="12"/>
        <v>4</v>
      </c>
      <c r="J47" s="23">
        <f t="shared" si="12"/>
        <v>3</v>
      </c>
      <c r="K47" s="23">
        <f t="shared" si="12"/>
        <v>3</v>
      </c>
      <c r="L47" s="23">
        <f t="shared" si="12"/>
        <v>4</v>
      </c>
      <c r="M47" s="23">
        <f t="shared" si="12"/>
        <v>4</v>
      </c>
      <c r="N47" s="23">
        <f t="shared" si="12"/>
        <v>3</v>
      </c>
    </row>
    <row r="48" spans="1:14" x14ac:dyDescent="0.2">
      <c r="A48" s="9" t="s">
        <v>74</v>
      </c>
      <c r="B48" s="1" t="s">
        <v>74</v>
      </c>
      <c r="C48" s="13" t="s">
        <v>74</v>
      </c>
      <c r="D48" s="13" t="s">
        <v>74</v>
      </c>
      <c r="E48" s="13" t="s">
        <v>74</v>
      </c>
      <c r="F48" s="13" t="s">
        <v>74</v>
      </c>
      <c r="G48" s="13" t="s">
        <v>74</v>
      </c>
      <c r="H48" s="13" t="s">
        <v>74</v>
      </c>
      <c r="I48" s="13" t="s">
        <v>74</v>
      </c>
      <c r="J48" s="13" t="s">
        <v>74</v>
      </c>
      <c r="K48" s="13" t="s">
        <v>74</v>
      </c>
      <c r="L48" s="13" t="s">
        <v>74</v>
      </c>
      <c r="M48" s="13" t="s">
        <v>74</v>
      </c>
      <c r="N48" s="13" t="s">
        <v>74</v>
      </c>
    </row>
    <row r="49" spans="1:14" x14ac:dyDescent="0.2">
      <c r="A49" s="12"/>
      <c r="B49" s="12" t="s">
        <v>247</v>
      </c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</row>
    <row r="50" spans="1:14" x14ac:dyDescent="0.2">
      <c r="A50" s="9" t="s">
        <v>248</v>
      </c>
      <c r="B50" s="1" t="s">
        <v>249</v>
      </c>
      <c r="C50" s="13">
        <v>0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2">
      <c r="A51" s="9" t="s">
        <v>252</v>
      </c>
      <c r="B51" s="1" t="s">
        <v>253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2">
      <c r="A52" s="9" t="s">
        <v>256</v>
      </c>
      <c r="B52" s="1" t="s">
        <v>257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2">
      <c r="A53" s="9" t="s">
        <v>260</v>
      </c>
      <c r="B53" s="1" t="s">
        <v>261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2">
      <c r="A54" s="9" t="s">
        <v>264</v>
      </c>
      <c r="B54" s="1" t="s">
        <v>265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2">
      <c r="A55" s="9" t="s">
        <v>268</v>
      </c>
      <c r="B55" s="1" t="s">
        <v>269</v>
      </c>
      <c r="C55" s="13">
        <v>0</v>
      </c>
      <c r="D55" s="13">
        <v>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2">
      <c r="A56" s="9" t="s">
        <v>270</v>
      </c>
      <c r="B56" s="1" t="s">
        <v>271</v>
      </c>
      <c r="C56" s="13">
        <v>0</v>
      </c>
      <c r="D56" s="13">
        <v>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2">
      <c r="A57" s="9" t="s">
        <v>272</v>
      </c>
      <c r="B57" s="1" t="s">
        <v>273</v>
      </c>
      <c r="C57" s="13">
        <v>0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2">
      <c r="A58" s="9" t="s">
        <v>274</v>
      </c>
      <c r="B58" s="1" t="s">
        <v>275</v>
      </c>
      <c r="C58" s="13">
        <v>0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2">
      <c r="A59" s="9" t="s">
        <v>276</v>
      </c>
      <c r="B59" s="1" t="s">
        <v>277</v>
      </c>
      <c r="C59" s="13">
        <v>0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2">
      <c r="A60" s="9" t="s">
        <v>280</v>
      </c>
      <c r="B60" s="1" t="s">
        <v>281</v>
      </c>
      <c r="C60" s="13">
        <v>0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2">
      <c r="A61" s="9" t="s">
        <v>284</v>
      </c>
      <c r="B61" s="1" t="s">
        <v>285</v>
      </c>
      <c r="C61" s="13">
        <v>0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2">
      <c r="A62" s="9" t="s">
        <v>288</v>
      </c>
      <c r="B62" s="1" t="s">
        <v>289</v>
      </c>
      <c r="C62" s="13">
        <v>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2">
      <c r="A63" s="3"/>
      <c r="B63" s="3" t="s">
        <v>290</v>
      </c>
      <c r="C63" s="15" t="s">
        <v>292</v>
      </c>
      <c r="D63" s="15" t="s">
        <v>292</v>
      </c>
      <c r="E63" s="15" t="s">
        <v>292</v>
      </c>
      <c r="F63" s="15" t="s">
        <v>292</v>
      </c>
      <c r="G63" s="15" t="s">
        <v>292</v>
      </c>
      <c r="H63" s="15" t="s">
        <v>292</v>
      </c>
      <c r="I63" s="15" t="s">
        <v>292</v>
      </c>
      <c r="J63" s="15" t="s">
        <v>292</v>
      </c>
      <c r="K63" s="15" t="s">
        <v>292</v>
      </c>
      <c r="L63" s="15" t="s">
        <v>292</v>
      </c>
      <c r="M63" s="15" t="s">
        <v>292</v>
      </c>
      <c r="N63" s="15" t="s">
        <v>292</v>
      </c>
    </row>
    <row r="64" spans="1:14" x14ac:dyDescent="0.2">
      <c r="A64" s="3"/>
      <c r="B64" s="3" t="s">
        <v>291</v>
      </c>
      <c r="C64" s="15" t="s">
        <v>292</v>
      </c>
      <c r="D64" s="15" t="s">
        <v>292</v>
      </c>
      <c r="E64" s="15" t="s">
        <v>292</v>
      </c>
      <c r="F64" s="15" t="s">
        <v>292</v>
      </c>
      <c r="G64" s="15" t="s">
        <v>292</v>
      </c>
      <c r="H64" s="15" t="s">
        <v>292</v>
      </c>
      <c r="I64" s="15" t="s">
        <v>292</v>
      </c>
      <c r="J64" s="15" t="s">
        <v>292</v>
      </c>
      <c r="K64" s="15" t="s">
        <v>292</v>
      </c>
      <c r="L64" s="15" t="s">
        <v>292</v>
      </c>
      <c r="M64" s="15" t="s">
        <v>292</v>
      </c>
      <c r="N64" s="15" t="s">
        <v>292</v>
      </c>
    </row>
    <row r="65" spans="1:14" x14ac:dyDescent="0.2">
      <c r="A65" s="3"/>
      <c r="B65" s="3" t="s">
        <v>293</v>
      </c>
      <c r="C65" s="15" t="s">
        <v>292</v>
      </c>
      <c r="D65" s="15" t="s">
        <v>292</v>
      </c>
      <c r="E65" s="15" t="s">
        <v>292</v>
      </c>
      <c r="F65" s="15" t="s">
        <v>292</v>
      </c>
      <c r="G65" s="15" t="s">
        <v>292</v>
      </c>
      <c r="H65" s="15" t="s">
        <v>292</v>
      </c>
      <c r="I65" s="15" t="s">
        <v>292</v>
      </c>
      <c r="J65" s="15" t="s">
        <v>292</v>
      </c>
      <c r="K65" s="15" t="s">
        <v>292</v>
      </c>
      <c r="L65" s="15" t="s">
        <v>292</v>
      </c>
      <c r="M65" s="15" t="s">
        <v>292</v>
      </c>
      <c r="N65" s="15" t="s">
        <v>292</v>
      </c>
    </row>
    <row r="66" spans="1:14" x14ac:dyDescent="0.2">
      <c r="A66" s="3"/>
      <c r="B66" s="3" t="s">
        <v>294</v>
      </c>
      <c r="C66" s="15" t="s">
        <v>292</v>
      </c>
      <c r="D66" s="15" t="s">
        <v>292</v>
      </c>
      <c r="E66" s="15" t="s">
        <v>292</v>
      </c>
      <c r="F66" s="15" t="s">
        <v>292</v>
      </c>
      <c r="G66" s="15" t="s">
        <v>292</v>
      </c>
      <c r="H66" s="15" t="s">
        <v>292</v>
      </c>
      <c r="I66" s="15" t="s">
        <v>292</v>
      </c>
      <c r="J66" s="15" t="s">
        <v>292</v>
      </c>
      <c r="K66" s="15" t="s">
        <v>292</v>
      </c>
      <c r="L66" s="15" t="s">
        <v>292</v>
      </c>
      <c r="M66" s="15" t="s">
        <v>292</v>
      </c>
      <c r="N66" s="15" t="s">
        <v>292</v>
      </c>
    </row>
    <row r="67" spans="1:14" x14ac:dyDescent="0.2">
      <c r="A67" s="12"/>
      <c r="B67" s="12" t="s">
        <v>295</v>
      </c>
      <c r="C67" s="14" t="s">
        <v>292</v>
      </c>
      <c r="D67" s="14" t="s">
        <v>292</v>
      </c>
      <c r="E67" s="14" t="s">
        <v>292</v>
      </c>
      <c r="F67" s="14" t="s">
        <v>292</v>
      </c>
      <c r="G67" s="14" t="s">
        <v>292</v>
      </c>
      <c r="H67" s="14" t="s">
        <v>292</v>
      </c>
      <c r="I67" s="14" t="s">
        <v>292</v>
      </c>
      <c r="J67" s="14" t="s">
        <v>292</v>
      </c>
      <c r="K67" s="14" t="s">
        <v>292</v>
      </c>
      <c r="L67" s="14" t="s">
        <v>292</v>
      </c>
      <c r="M67" s="14" t="s">
        <v>292</v>
      </c>
      <c r="N67" s="14" t="s">
        <v>292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8BE7E-8FD6-47F2-9979-190786433AAF}">
  <sheetPr codeName="Hoja39">
    <tabColor rgb="FF00B050"/>
  </sheetPr>
  <dimension ref="A1:N181"/>
  <sheetViews>
    <sheetView zoomScale="85" zoomScaleNormal="85" workbookViewId="0">
      <pane ySplit="6" topLeftCell="A28" activePane="bottomLeft" state="frozen"/>
      <selection activeCell="I54" sqref="I54"/>
      <selection pane="bottomLeft" activeCell="B150" sqref="B145:B150"/>
    </sheetView>
  </sheetViews>
  <sheetFormatPr baseColWidth="10" defaultRowHeight="12" outlineLevelRow="1" x14ac:dyDescent="0.2"/>
  <cols>
    <col min="1" max="1" width="11.7109375" style="1" customWidth="1"/>
    <col min="2" max="2" width="35.5703125" style="1" customWidth="1"/>
    <col min="3" max="14" width="8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4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</row>
    <row r="4" spans="1:14" x14ac:dyDescent="0.2">
      <c r="A4" s="5"/>
      <c r="B4" s="5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SUM(C8:C14)</f>
        <v>734.5</v>
      </c>
      <c r="D7" s="50">
        <f t="shared" ref="D7:N7" si="0">SUM(D8:D14)</f>
        <v>675.5</v>
      </c>
      <c r="E7" s="50">
        <f t="shared" si="0"/>
        <v>712.5</v>
      </c>
      <c r="F7" s="50">
        <f t="shared" si="0"/>
        <v>677.5</v>
      </c>
      <c r="G7" s="50">
        <f t="shared" si="0"/>
        <v>738.5</v>
      </c>
      <c r="H7" s="50">
        <f t="shared" si="0"/>
        <v>690.5</v>
      </c>
      <c r="I7" s="50">
        <f t="shared" si="0"/>
        <v>737.5</v>
      </c>
      <c r="J7" s="50">
        <f t="shared" si="0"/>
        <v>718.5</v>
      </c>
      <c r="K7" s="50">
        <f t="shared" si="0"/>
        <v>685.5</v>
      </c>
      <c r="L7" s="50">
        <f t="shared" si="0"/>
        <v>678.5</v>
      </c>
      <c r="M7" s="50">
        <f t="shared" si="0"/>
        <v>683.5</v>
      </c>
      <c r="N7" s="50">
        <f t="shared" si="0"/>
        <v>702.9</v>
      </c>
    </row>
    <row r="8" spans="1:14" outlineLevel="1" x14ac:dyDescent="0.2">
      <c r="A8" s="9" t="s">
        <v>25</v>
      </c>
      <c r="B8" s="1" t="s">
        <v>26</v>
      </c>
      <c r="C8" s="10">
        <f>IFERROR(VLOOKUP(A8,'Centre DW5'!$A$7:$N$163,3,FALSE),0)+
IFERROR(VLOOKUP(A8,'Centre WP5'!$A$7:$N$160,3,FALSE),0)+
IFERROR(VLOOKUP(A8,'Centre WR5'!$A$7:$N$160,3,FALSE),0)</f>
        <v>0</v>
      </c>
      <c r="D8" s="10">
        <f>IFERROR(VLOOKUP(A8,'Centre DW5'!$A$7:$N$163,4,FALSE),0)+
IFERROR(VLOOKUP(A8,'Centre WP5'!$A$7:$N$160,4,FALSE),0)+
IFERROR(VLOOKUP(A8,'Centre WR5'!$A$7:$N$160,4,FALSE),0)</f>
        <v>0</v>
      </c>
      <c r="E8" s="10">
        <f>IFERROR(VLOOKUP(A8,'Centre DW5'!$A$7:$N$163,5,FALSE),0)+
IFERROR(VLOOKUP(A8,'Centre WP5'!$A$7:$N$160,5,FALSE),0)+
IFERROR(VLOOKUP(A8,'Centre WR5'!$A$7:$N$160,5,FALSE),0)</f>
        <v>0</v>
      </c>
      <c r="F8" s="10">
        <f>IFERROR(VLOOKUP(A8,'Centre DW5'!$A$7:$N$163,6,FALSE),0)+
IFERROR(VLOOKUP(A8,'Centre WP5'!$A$7:$N$160,6,FALSE),0)+
IFERROR(VLOOKUP(A8,'Centre WR5'!$A$7:$N$160,6,FALSE),0)</f>
        <v>0</v>
      </c>
      <c r="G8" s="10">
        <f>IFERROR(VLOOKUP(A8,'Centre DW5'!$A$7:$N$163,7,FALSE),0)+
IFERROR(VLOOKUP(A8,'Centre WP5'!$A$7:$N$160,7,FALSE),0)+
IFERROR(VLOOKUP(A8,'Centre WR5'!$A$7:$N$160,7,FALSE),0)</f>
        <v>0</v>
      </c>
      <c r="H8" s="10">
        <f>IFERROR(VLOOKUP(A8,'Centre DW5'!$A$7:$N$163,8,FALSE),0)+
IFERROR(VLOOKUP(A8,'Centre WP5'!$A$7:$N$160,8,FALSE),0)+
IFERROR(VLOOKUP(A8,'Centre WR5'!$A$7:$N$160,8,FALSE),0)</f>
        <v>0</v>
      </c>
      <c r="I8" s="10">
        <f>IFERROR(VLOOKUP(A8,'Centre DW5'!$A$7:$N$163,9,FALSE),0)+
IFERROR(VLOOKUP(A8,'Centre WP5'!$A$7:$N$160,9,FALSE),0)+
IFERROR(VLOOKUP(A8,'Centre WR5'!$A$7:$N$160,9,FALSE),0)</f>
        <v>0</v>
      </c>
      <c r="J8" s="10">
        <f>IFERROR(VLOOKUP(A8,'Centre DW5'!$A$7:$N$163,10,FALSE),0)+
IFERROR(VLOOKUP(A8,'Centre WP5'!$A$7:$N$160,10,FALSE),0)+
IFERROR(VLOOKUP(A8,'Centre WR5'!$A$7:$N$160,10,FALSE),0)</f>
        <v>0</v>
      </c>
      <c r="K8" s="10">
        <f>IFERROR(VLOOKUP(A8,'Centre DW5'!$A$7:$N$163,11,FALSE),0)+
IFERROR(VLOOKUP(A8,'Centre WP5'!$A$7:$N$160,11,FALSE),0)+
IFERROR(VLOOKUP(A8,'Centre WR5'!$A$7:$N$160,11,FALSE),0)</f>
        <v>0</v>
      </c>
      <c r="L8" s="10">
        <f>IFERROR(VLOOKUP(A8,'Centre DW5'!$A$7:$N$163,12,FALSE),0)+
IFERROR(VLOOKUP(A8,'Centre WP5'!$A$7:$N$160,12,FALSE),0)+
IFERROR(VLOOKUP(A8,'Centre WR5'!$A$7:$N$160,12,FALSE),0)</f>
        <v>0</v>
      </c>
      <c r="M8" s="10">
        <f>IFERROR(VLOOKUP(A8,'Centre DW5'!$A$7:$N$163,13,FALSE),0)+
IFERROR(VLOOKUP(A8,'Centre WP5'!$A$7:$N$160,13,FALSE),0)+
IFERROR(VLOOKUP(A8,'Centre WR5'!$A$7:$N$160,13,FALSE),0)</f>
        <v>0</v>
      </c>
      <c r="N8" s="10">
        <f>IFERROR(VLOOKUP(A8,'Centre DW5'!$A$7:$N$163,14,FALSE),0)+
IFERROR(VLOOKUP(A8,'Centre WP5'!$A$7:$N$160,14,FALSE),0)+
IFERROR(VLOOKUP(A8,'Centre WR5'!$A$7:$N$160,14,FALSE),0)</f>
        <v>0</v>
      </c>
    </row>
    <row r="9" spans="1:14" outlineLevel="1" x14ac:dyDescent="0.2">
      <c r="A9" s="9" t="s">
        <v>300</v>
      </c>
      <c r="B9" s="1" t="s">
        <v>36</v>
      </c>
      <c r="C9" s="10">
        <f>IFERROR(VLOOKUP(A9,'Centre DW5'!$A$7:$N$163,3,FALSE),0)+
IFERROR(VLOOKUP(A9,'Centre WP5'!$A$7:$N$160,3,FALSE),0)+
IFERROR(VLOOKUP(A9,'Centre WR5'!$A$7:$N$160,3,FALSE),0)</f>
        <v>0</v>
      </c>
      <c r="D9" s="10">
        <f>IFERROR(VLOOKUP(A9,'Centre DW5'!$A$7:$N$163,4,FALSE),0)+
IFERROR(VLOOKUP(A9,'Centre WP5'!$A$7:$N$160,4,FALSE),0)+
IFERROR(VLOOKUP(A9,'Centre WR5'!$A$7:$N$160,4,FALSE),0)</f>
        <v>0</v>
      </c>
      <c r="E9" s="10">
        <f>IFERROR(VLOOKUP(A9,'Centre DW5'!$A$7:$N$163,5,FALSE),0)+
IFERROR(VLOOKUP(A9,'Centre WP5'!$A$7:$N$160,5,FALSE),0)+
IFERROR(VLOOKUP(A9,'Centre WR5'!$A$7:$N$160,5,FALSE),0)</f>
        <v>0</v>
      </c>
      <c r="F9" s="10">
        <f>IFERROR(VLOOKUP(A9,'Centre DW5'!$A$7:$N$163,6,FALSE),0)+
IFERROR(VLOOKUP(A9,'Centre WP5'!$A$7:$N$160,6,FALSE),0)+
IFERROR(VLOOKUP(A9,'Centre WR5'!$A$7:$N$160,6,FALSE),0)</f>
        <v>0</v>
      </c>
      <c r="G9" s="10">
        <f>IFERROR(VLOOKUP(A9,'Centre DW5'!$A$7:$N$163,7,FALSE),0)+
IFERROR(VLOOKUP(A9,'Centre WP5'!$A$7:$N$160,7,FALSE),0)+
IFERROR(VLOOKUP(A9,'Centre WR5'!$A$7:$N$160,7,FALSE),0)</f>
        <v>0</v>
      </c>
      <c r="H9" s="10">
        <f>IFERROR(VLOOKUP(A9,'Centre DW5'!$A$7:$N$163,8,FALSE),0)+
IFERROR(VLOOKUP(A9,'Centre WP5'!$A$7:$N$160,8,FALSE),0)+
IFERROR(VLOOKUP(A9,'Centre WR5'!$A$7:$N$160,8,FALSE),0)</f>
        <v>0</v>
      </c>
      <c r="I9" s="10">
        <f>IFERROR(VLOOKUP(A9,'Centre DW5'!$A$7:$N$163,9,FALSE),0)+
IFERROR(VLOOKUP(A9,'Centre WP5'!$A$7:$N$160,9,FALSE),0)+
IFERROR(VLOOKUP(A9,'Centre WR5'!$A$7:$N$160,9,FALSE),0)</f>
        <v>0</v>
      </c>
      <c r="J9" s="10">
        <f>IFERROR(VLOOKUP(A9,'Centre DW5'!$A$7:$N$163,10,FALSE),0)+
IFERROR(VLOOKUP(A9,'Centre WP5'!$A$7:$N$160,10,FALSE),0)+
IFERROR(VLOOKUP(A9,'Centre WR5'!$A$7:$N$160,10,FALSE),0)</f>
        <v>0</v>
      </c>
      <c r="K9" s="10">
        <f>IFERROR(VLOOKUP(A9,'Centre DW5'!$A$7:$N$163,11,FALSE),0)+
IFERROR(VLOOKUP(A9,'Centre WP5'!$A$7:$N$160,11,FALSE),0)+
IFERROR(VLOOKUP(A9,'Centre WR5'!$A$7:$N$160,11,FALSE),0)</f>
        <v>0</v>
      </c>
      <c r="L9" s="10">
        <f>IFERROR(VLOOKUP(A9,'Centre DW5'!$A$7:$N$163,12,FALSE),0)+
IFERROR(VLOOKUP(A9,'Centre WP5'!$A$7:$N$160,12,FALSE),0)+
IFERROR(VLOOKUP(A9,'Centre WR5'!$A$7:$N$160,12,FALSE),0)</f>
        <v>0</v>
      </c>
      <c r="M9" s="10">
        <f>IFERROR(VLOOKUP(A9,'Centre DW5'!$A$7:$N$163,13,FALSE),0)+
IFERROR(VLOOKUP(A9,'Centre WP5'!$A$7:$N$160,13,FALSE),0)+
IFERROR(VLOOKUP(A9,'Centre WR5'!$A$7:$N$160,13,FALSE),0)</f>
        <v>0</v>
      </c>
      <c r="N9" s="10">
        <f>IFERROR(VLOOKUP(A9,'Centre DW5'!$A$7:$N$163,14,FALSE),0)+
IFERROR(VLOOKUP(A9,'Centre WP5'!$A$7:$N$160,14,FALSE),0)+
IFERROR(VLOOKUP(A9,'Centre WR5'!$A$7:$N$160,14,FALSE),0)</f>
        <v>0</v>
      </c>
    </row>
    <row r="10" spans="1:14" outlineLevel="1" x14ac:dyDescent="0.2">
      <c r="A10" s="9" t="s">
        <v>27</v>
      </c>
      <c r="B10" s="1" t="s">
        <v>28</v>
      </c>
      <c r="C10" s="10">
        <f>IFERROR(VLOOKUP(A10,'Centre DW5'!$A$7:$N$163,3,FALSE),0)+
IFERROR(VLOOKUP(A10,'Centre WP5'!$A$7:$N$160,3,FALSE),0)+
IFERROR(VLOOKUP(A10,'Centre WR5'!$A$7:$N$160,3,FALSE),0)</f>
        <v>0</v>
      </c>
      <c r="D10" s="10">
        <f>IFERROR(VLOOKUP(A10,'Centre DW5'!$A$7:$N$163,4,FALSE),0)+
IFERROR(VLOOKUP(A10,'Centre WP5'!$A$7:$N$160,4,FALSE),0)+
IFERROR(VLOOKUP(A10,'Centre WR5'!$A$7:$N$160,4,FALSE),0)</f>
        <v>0</v>
      </c>
      <c r="E10" s="10">
        <f>IFERROR(VLOOKUP(A10,'Centre DW5'!$A$7:$N$163,5,FALSE),0)+
IFERROR(VLOOKUP(A10,'Centre WP5'!$A$7:$N$160,5,FALSE),0)+
IFERROR(VLOOKUP(A10,'Centre WR5'!$A$7:$N$160,5,FALSE),0)</f>
        <v>0</v>
      </c>
      <c r="F10" s="10">
        <f>IFERROR(VLOOKUP(A10,'Centre DW5'!$A$7:$N$163,6,FALSE),0)+
IFERROR(VLOOKUP(A10,'Centre WP5'!$A$7:$N$160,6,FALSE),0)+
IFERROR(VLOOKUP(A10,'Centre WR5'!$A$7:$N$160,6,FALSE),0)</f>
        <v>0</v>
      </c>
      <c r="G10" s="10">
        <f>IFERROR(VLOOKUP(A10,'Centre DW5'!$A$7:$N$163,7,FALSE),0)+
IFERROR(VLOOKUP(A10,'Centre WP5'!$A$7:$N$160,7,FALSE),0)+
IFERROR(VLOOKUP(A10,'Centre WR5'!$A$7:$N$160,7,FALSE),0)</f>
        <v>0</v>
      </c>
      <c r="H10" s="10">
        <f>IFERROR(VLOOKUP(A10,'Centre DW5'!$A$7:$N$163,8,FALSE),0)+
IFERROR(VLOOKUP(A10,'Centre WP5'!$A$7:$N$160,8,FALSE),0)+
IFERROR(VLOOKUP(A10,'Centre WR5'!$A$7:$N$160,8,FALSE),0)</f>
        <v>0</v>
      </c>
      <c r="I10" s="10">
        <f>IFERROR(VLOOKUP(A10,'Centre DW5'!$A$7:$N$163,9,FALSE),0)+
IFERROR(VLOOKUP(A10,'Centre WP5'!$A$7:$N$160,9,FALSE),0)+
IFERROR(VLOOKUP(A10,'Centre WR5'!$A$7:$N$160,9,FALSE),0)</f>
        <v>0</v>
      </c>
      <c r="J10" s="10">
        <f>IFERROR(VLOOKUP(A10,'Centre DW5'!$A$7:$N$163,10,FALSE),0)+
IFERROR(VLOOKUP(A10,'Centre WP5'!$A$7:$N$160,10,FALSE),0)+
IFERROR(VLOOKUP(A10,'Centre WR5'!$A$7:$N$160,10,FALSE),0)</f>
        <v>0</v>
      </c>
      <c r="K10" s="10">
        <f>IFERROR(VLOOKUP(A10,'Centre DW5'!$A$7:$N$163,11,FALSE),0)+
IFERROR(VLOOKUP(A10,'Centre WP5'!$A$7:$N$160,11,FALSE),0)+
IFERROR(VLOOKUP(A10,'Centre WR5'!$A$7:$N$160,11,FALSE),0)</f>
        <v>0</v>
      </c>
      <c r="L10" s="10">
        <f>IFERROR(VLOOKUP(A10,'Centre DW5'!$A$7:$N$163,12,FALSE),0)+
IFERROR(VLOOKUP(A10,'Centre WP5'!$A$7:$N$160,12,FALSE),0)+
IFERROR(VLOOKUP(A10,'Centre WR5'!$A$7:$N$160,12,FALSE),0)</f>
        <v>0</v>
      </c>
      <c r="M10" s="10">
        <f>IFERROR(VLOOKUP(A10,'Centre DW5'!$A$7:$N$163,13,FALSE),0)+
IFERROR(VLOOKUP(A10,'Centre WP5'!$A$7:$N$160,13,FALSE),0)+
IFERROR(VLOOKUP(A10,'Centre WR5'!$A$7:$N$160,13,FALSE),0)</f>
        <v>0</v>
      </c>
      <c r="N10" s="10">
        <f>IFERROR(VLOOKUP(A10,'Centre DW5'!$A$7:$N$163,14,FALSE),0)+
IFERROR(VLOOKUP(A10,'Centre WP5'!$A$7:$N$160,14,FALSE),0)+
IFERROR(VLOOKUP(A10,'Centre WR5'!$A$7:$N$160,14,FALSE),0)</f>
        <v>0</v>
      </c>
    </row>
    <row r="11" spans="1:14" outlineLevel="1" x14ac:dyDescent="0.2">
      <c r="A11" s="9" t="s">
        <v>29</v>
      </c>
      <c r="B11" s="1" t="s">
        <v>30</v>
      </c>
      <c r="C11" s="10">
        <f>IFERROR(VLOOKUP(A11,'Centre DW5'!$A$7:$N$163,3,FALSE),0)+
IFERROR(VLOOKUP(A11,'Centre WP5'!$A$7:$N$160,3,FALSE),0)+
IFERROR(VLOOKUP(A11,'Centre WR5'!$A$7:$N$160,3,FALSE),0)</f>
        <v>0</v>
      </c>
      <c r="D11" s="10">
        <f>IFERROR(VLOOKUP(A11,'Centre DW5'!$A$7:$N$163,4,FALSE),0)+
IFERROR(VLOOKUP(A11,'Centre WP5'!$A$7:$N$160,4,FALSE),0)+
IFERROR(VLOOKUP(A11,'Centre WR5'!$A$7:$N$160,4,FALSE),0)</f>
        <v>0</v>
      </c>
      <c r="E11" s="10">
        <f>IFERROR(VLOOKUP(A11,'Centre DW5'!$A$7:$N$163,5,FALSE),0)+
IFERROR(VLOOKUP(A11,'Centre WP5'!$A$7:$N$160,5,FALSE),0)+
IFERROR(VLOOKUP(A11,'Centre WR5'!$A$7:$N$160,5,FALSE),0)</f>
        <v>0</v>
      </c>
      <c r="F11" s="10">
        <f>IFERROR(VLOOKUP(A11,'Centre DW5'!$A$7:$N$163,6,FALSE),0)+
IFERROR(VLOOKUP(A11,'Centre WP5'!$A$7:$N$160,6,FALSE),0)+
IFERROR(VLOOKUP(A11,'Centre WR5'!$A$7:$N$160,6,FALSE),0)</f>
        <v>0</v>
      </c>
      <c r="G11" s="10">
        <f>IFERROR(VLOOKUP(A11,'Centre DW5'!$A$7:$N$163,7,FALSE),0)+
IFERROR(VLOOKUP(A11,'Centre WP5'!$A$7:$N$160,7,FALSE),0)+
IFERROR(VLOOKUP(A11,'Centre WR5'!$A$7:$N$160,7,FALSE),0)</f>
        <v>0</v>
      </c>
      <c r="H11" s="10">
        <f>IFERROR(VLOOKUP(A11,'Centre DW5'!$A$7:$N$163,8,FALSE),0)+
IFERROR(VLOOKUP(A11,'Centre WP5'!$A$7:$N$160,8,FALSE),0)+
IFERROR(VLOOKUP(A11,'Centre WR5'!$A$7:$N$160,8,FALSE),0)</f>
        <v>0</v>
      </c>
      <c r="I11" s="10">
        <f>IFERROR(VLOOKUP(A11,'Centre DW5'!$A$7:$N$163,9,FALSE),0)+
IFERROR(VLOOKUP(A11,'Centre WP5'!$A$7:$N$160,9,FALSE),0)+
IFERROR(VLOOKUP(A11,'Centre WR5'!$A$7:$N$160,9,FALSE),0)</f>
        <v>0</v>
      </c>
      <c r="J11" s="10">
        <f>IFERROR(VLOOKUP(A11,'Centre DW5'!$A$7:$N$163,10,FALSE),0)+
IFERROR(VLOOKUP(A11,'Centre WP5'!$A$7:$N$160,10,FALSE),0)+
IFERROR(VLOOKUP(A11,'Centre WR5'!$A$7:$N$160,10,FALSE),0)</f>
        <v>0</v>
      </c>
      <c r="K11" s="10">
        <f>IFERROR(VLOOKUP(A11,'Centre DW5'!$A$7:$N$163,11,FALSE),0)+
IFERROR(VLOOKUP(A11,'Centre WP5'!$A$7:$N$160,11,FALSE),0)+
IFERROR(VLOOKUP(A11,'Centre WR5'!$A$7:$N$160,11,FALSE),0)</f>
        <v>0</v>
      </c>
      <c r="L11" s="10">
        <f>IFERROR(VLOOKUP(A11,'Centre DW5'!$A$7:$N$163,12,FALSE),0)+
IFERROR(VLOOKUP(A11,'Centre WP5'!$A$7:$N$160,12,FALSE),0)+
IFERROR(VLOOKUP(A11,'Centre WR5'!$A$7:$N$160,12,FALSE),0)</f>
        <v>0</v>
      </c>
      <c r="M11" s="10">
        <f>IFERROR(VLOOKUP(A11,'Centre DW5'!$A$7:$N$163,13,FALSE),0)+
IFERROR(VLOOKUP(A11,'Centre WP5'!$A$7:$N$160,13,FALSE),0)+
IFERROR(VLOOKUP(A11,'Centre WR5'!$A$7:$N$160,13,FALSE),0)</f>
        <v>0</v>
      </c>
      <c r="N11" s="10">
        <f>IFERROR(VLOOKUP(A11,'Centre DW5'!$A$7:$N$163,14,FALSE),0)+
IFERROR(VLOOKUP(A11,'Centre WP5'!$A$7:$N$160,14,FALSE),0)+
IFERROR(VLOOKUP(A11,'Centre WR5'!$A$7:$N$160,14,FALSE),0)</f>
        <v>0</v>
      </c>
    </row>
    <row r="12" spans="1:14" outlineLevel="1" x14ac:dyDescent="0.2">
      <c r="A12" s="9" t="s">
        <v>31</v>
      </c>
      <c r="B12" s="1" t="s">
        <v>32</v>
      </c>
      <c r="C12" s="10">
        <f>IFERROR(VLOOKUP(A12,'Centre DW5'!$A$7:$N$163,3,FALSE),0)+
IFERROR(VLOOKUP(A12,'Centre WP5'!$A$7:$N$160,3,FALSE),0)+
IFERROR(VLOOKUP(A12,'Centre WR5'!$A$7:$N$160,3,FALSE),0)</f>
        <v>0</v>
      </c>
      <c r="D12" s="10">
        <f>IFERROR(VLOOKUP(A12,'Centre DW5'!$A$7:$N$163,4,FALSE),0)+
IFERROR(VLOOKUP(A12,'Centre WP5'!$A$7:$N$160,4,FALSE),0)+
IFERROR(VLOOKUP(A12,'Centre WR5'!$A$7:$N$160,4,FALSE),0)</f>
        <v>0</v>
      </c>
      <c r="E12" s="10">
        <f>IFERROR(VLOOKUP(A12,'Centre DW5'!$A$7:$N$163,5,FALSE),0)+
IFERROR(VLOOKUP(A12,'Centre WP5'!$A$7:$N$160,5,FALSE),0)+
IFERROR(VLOOKUP(A12,'Centre WR5'!$A$7:$N$160,5,FALSE),0)</f>
        <v>0</v>
      </c>
      <c r="F12" s="10">
        <f>IFERROR(VLOOKUP(A12,'Centre DW5'!$A$7:$N$163,6,FALSE),0)+
IFERROR(VLOOKUP(A12,'Centre WP5'!$A$7:$N$160,6,FALSE),0)+
IFERROR(VLOOKUP(A12,'Centre WR5'!$A$7:$N$160,6,FALSE),0)</f>
        <v>0</v>
      </c>
      <c r="G12" s="10">
        <f>IFERROR(VLOOKUP(A12,'Centre DW5'!$A$7:$N$163,7,FALSE),0)+
IFERROR(VLOOKUP(A12,'Centre WP5'!$A$7:$N$160,7,FALSE),0)+
IFERROR(VLOOKUP(A12,'Centre WR5'!$A$7:$N$160,7,FALSE),0)</f>
        <v>0</v>
      </c>
      <c r="H12" s="10">
        <f>IFERROR(VLOOKUP(A12,'Centre DW5'!$A$7:$N$163,8,FALSE),0)+
IFERROR(VLOOKUP(A12,'Centre WP5'!$A$7:$N$160,8,FALSE),0)+
IFERROR(VLOOKUP(A12,'Centre WR5'!$A$7:$N$160,8,FALSE),0)</f>
        <v>267</v>
      </c>
      <c r="I12" s="10">
        <f>IFERROR(VLOOKUP(A12,'Centre DW5'!$A$7:$N$163,9,FALSE),0)+
IFERROR(VLOOKUP(A12,'Centre WP5'!$A$7:$N$160,9,FALSE),0)+
IFERROR(VLOOKUP(A12,'Centre WR5'!$A$7:$N$160,9,FALSE),0)</f>
        <v>287</v>
      </c>
      <c r="J12" s="10">
        <f>IFERROR(VLOOKUP(A12,'Centre DW5'!$A$7:$N$163,10,FALSE),0)+
IFERROR(VLOOKUP(A12,'Centre WP5'!$A$7:$N$160,10,FALSE),0)+
IFERROR(VLOOKUP(A12,'Centre WR5'!$A$7:$N$160,10,FALSE),0)</f>
        <v>0</v>
      </c>
      <c r="K12" s="10">
        <f>IFERROR(VLOOKUP(A12,'Centre DW5'!$A$7:$N$163,11,FALSE),0)+
IFERROR(VLOOKUP(A12,'Centre WP5'!$A$7:$N$160,11,FALSE),0)+
IFERROR(VLOOKUP(A12,'Centre WR5'!$A$7:$N$160,11,FALSE),0)</f>
        <v>0</v>
      </c>
      <c r="L12" s="10">
        <f>IFERROR(VLOOKUP(A12,'Centre DW5'!$A$7:$N$163,12,FALSE),0)+
IFERROR(VLOOKUP(A12,'Centre WP5'!$A$7:$N$160,12,FALSE),0)+
IFERROR(VLOOKUP(A12,'Centre WR5'!$A$7:$N$160,12,FALSE),0)</f>
        <v>0</v>
      </c>
      <c r="M12" s="10">
        <f>IFERROR(VLOOKUP(A12,'Centre DW5'!$A$7:$N$163,13,FALSE),0)+
IFERROR(VLOOKUP(A12,'Centre WP5'!$A$7:$N$160,13,FALSE),0)+
IFERROR(VLOOKUP(A12,'Centre WR5'!$A$7:$N$160,13,FALSE),0)</f>
        <v>0</v>
      </c>
      <c r="N12" s="10">
        <f>IFERROR(VLOOKUP(A12,'Centre DW5'!$A$7:$N$163,14,FALSE),0)+
IFERROR(VLOOKUP(A12,'Centre WP5'!$A$7:$N$160,14,FALSE),0)+
IFERROR(VLOOKUP(A12,'Centre WR5'!$A$7:$N$160,14,FALSE),0)</f>
        <v>0</v>
      </c>
    </row>
    <row r="13" spans="1:14" outlineLevel="1" x14ac:dyDescent="0.2">
      <c r="A13" s="9" t="s">
        <v>33</v>
      </c>
      <c r="B13" s="1" t="s">
        <v>34</v>
      </c>
      <c r="C13" s="10">
        <f>IFERROR(VLOOKUP(A13,'Centre DW5'!$A$7:$N$163,3,FALSE),0)+
IFERROR(VLOOKUP(A13,'Centre WP5'!$A$7:$N$160,3,FALSE),0)+
IFERROR(VLOOKUP(A13,'Centre WR5'!$A$7:$N$160,3,FALSE),0)</f>
        <v>734.5</v>
      </c>
      <c r="D13" s="10">
        <f>IFERROR(VLOOKUP(A13,'Centre DW5'!$A$7:$N$163,4,FALSE),0)+
IFERROR(VLOOKUP(A13,'Centre WP5'!$A$7:$N$160,4,FALSE),0)+
IFERROR(VLOOKUP(A13,'Centre WR5'!$A$7:$N$160,4,FALSE),0)</f>
        <v>675.5</v>
      </c>
      <c r="E13" s="10">
        <f>IFERROR(VLOOKUP(A13,'Centre DW5'!$A$7:$N$163,5,FALSE),0)+
IFERROR(VLOOKUP(A13,'Centre WP5'!$A$7:$N$160,5,FALSE),0)+
IFERROR(VLOOKUP(A13,'Centre WR5'!$A$7:$N$160,5,FALSE),0)</f>
        <v>712.5</v>
      </c>
      <c r="F13" s="10">
        <f>IFERROR(VLOOKUP(A13,'Centre DW5'!$A$7:$N$163,6,FALSE),0)+
IFERROR(VLOOKUP(A13,'Centre WP5'!$A$7:$N$160,6,FALSE),0)+
IFERROR(VLOOKUP(A13,'Centre WR5'!$A$7:$N$160,6,FALSE),0)</f>
        <v>677.5</v>
      </c>
      <c r="G13" s="10">
        <f>IFERROR(VLOOKUP(A13,'Centre DW5'!$A$7:$N$163,7,FALSE),0)+
IFERROR(VLOOKUP(A13,'Centre WP5'!$A$7:$N$160,7,FALSE),0)+
IFERROR(VLOOKUP(A13,'Centre WR5'!$A$7:$N$160,7,FALSE),0)</f>
        <v>738.5</v>
      </c>
      <c r="H13" s="10">
        <f>IFERROR(VLOOKUP(A13,'Centre DW5'!$A$7:$N$163,8,FALSE),0)+
IFERROR(VLOOKUP(A13,'Centre WP5'!$A$7:$N$160,8,FALSE),0)+
IFERROR(VLOOKUP(A13,'Centre WR5'!$A$7:$N$160,8,FALSE),0)</f>
        <v>423.5</v>
      </c>
      <c r="I13" s="10">
        <f>IFERROR(VLOOKUP(A13,'Centre DW5'!$A$7:$N$163,9,FALSE),0)+
IFERROR(VLOOKUP(A13,'Centre WP5'!$A$7:$N$160,9,FALSE),0)+
IFERROR(VLOOKUP(A13,'Centre WR5'!$A$7:$N$160,9,FALSE),0)</f>
        <v>450.5</v>
      </c>
      <c r="J13" s="10">
        <f>IFERROR(VLOOKUP(A13,'Centre DW5'!$A$7:$N$163,10,FALSE),0)+
IFERROR(VLOOKUP(A13,'Centre WP5'!$A$7:$N$160,10,FALSE),0)+
IFERROR(VLOOKUP(A13,'Centre WR5'!$A$7:$N$160,10,FALSE),0)</f>
        <v>718.5</v>
      </c>
      <c r="K13" s="10">
        <f>IFERROR(VLOOKUP(A13,'Centre DW5'!$A$7:$N$163,11,FALSE),0)+
IFERROR(VLOOKUP(A13,'Centre WP5'!$A$7:$N$160,11,FALSE),0)+
IFERROR(VLOOKUP(A13,'Centre WR5'!$A$7:$N$160,11,FALSE),0)</f>
        <v>685.5</v>
      </c>
      <c r="L13" s="10">
        <f>IFERROR(VLOOKUP(A13,'Centre DW5'!$A$7:$N$163,12,FALSE),0)+
IFERROR(VLOOKUP(A13,'Centre WP5'!$A$7:$N$160,12,FALSE),0)+
IFERROR(VLOOKUP(A13,'Centre WR5'!$A$7:$N$160,12,FALSE),0)</f>
        <v>678.5</v>
      </c>
      <c r="M13" s="10">
        <f>IFERROR(VLOOKUP(A13,'Centre DW5'!$A$7:$N$163,13,FALSE),0)+
IFERROR(VLOOKUP(A13,'Centre WP5'!$A$7:$N$160,13,FALSE),0)+
IFERROR(VLOOKUP(A13,'Centre WR5'!$A$7:$N$160,13,FALSE),0)</f>
        <v>683.5</v>
      </c>
      <c r="N13" s="10">
        <f>IFERROR(VLOOKUP(A13,'Centre DW5'!$A$7:$N$163,14,FALSE),0)+
IFERROR(VLOOKUP(A13,'Centre WP5'!$A$7:$N$160,14,FALSE),0)+
IFERROR(VLOOKUP(A13,'Centre WR5'!$A$7:$N$160,14,FALSE),0)</f>
        <v>702.9</v>
      </c>
    </row>
    <row r="14" spans="1:14" outlineLevel="1" x14ac:dyDescent="0.2">
      <c r="A14" s="9" t="s">
        <v>35</v>
      </c>
      <c r="B14" s="1" t="s">
        <v>36</v>
      </c>
      <c r="C14" s="10">
        <f>IFERROR(VLOOKUP(A14,'Centre DW5'!$A$7:$N$163,3,FALSE),0)+
IFERROR(VLOOKUP(A14,'Centre WP5'!$A$7:$N$160,3,FALSE),0)+
IFERROR(VLOOKUP(A14,'Centre WR5'!$A$7:$N$160,3,FALSE),0)</f>
        <v>0</v>
      </c>
      <c r="D14" s="10">
        <f>IFERROR(VLOOKUP(A14,'Centre DW5'!$A$7:$N$163,4,FALSE),0)+
IFERROR(VLOOKUP(A14,'Centre WP5'!$A$7:$N$160,4,FALSE),0)+
IFERROR(VLOOKUP(A14,'Centre WR5'!$A$7:$N$160,4,FALSE),0)</f>
        <v>0</v>
      </c>
      <c r="E14" s="10">
        <f>IFERROR(VLOOKUP(A14,'Centre DW5'!$A$7:$N$163,5,FALSE),0)+
IFERROR(VLOOKUP(A14,'Centre WP5'!$A$7:$N$160,5,FALSE),0)+
IFERROR(VLOOKUP(A14,'Centre WR5'!$A$7:$N$160,5,FALSE),0)</f>
        <v>0</v>
      </c>
      <c r="F14" s="10">
        <f>IFERROR(VLOOKUP(A14,'Centre DW5'!$A$7:$N$163,6,FALSE),0)+
IFERROR(VLOOKUP(A14,'Centre WP5'!$A$7:$N$160,6,FALSE),0)+
IFERROR(VLOOKUP(A14,'Centre WR5'!$A$7:$N$160,6,FALSE),0)</f>
        <v>0</v>
      </c>
      <c r="G14" s="10">
        <f>IFERROR(VLOOKUP(A14,'Centre DW5'!$A$7:$N$163,7,FALSE),0)+
IFERROR(VLOOKUP(A14,'Centre WP5'!$A$7:$N$160,7,FALSE),0)+
IFERROR(VLOOKUP(A14,'Centre WR5'!$A$7:$N$160,7,FALSE),0)</f>
        <v>0</v>
      </c>
      <c r="H14" s="10">
        <f>IFERROR(VLOOKUP(A14,'Centre DW5'!$A$7:$N$163,8,FALSE),0)+
IFERROR(VLOOKUP(A14,'Centre WP5'!$A$7:$N$160,8,FALSE),0)+
IFERROR(VLOOKUP(A14,'Centre WR5'!$A$7:$N$160,8,FALSE),0)</f>
        <v>0</v>
      </c>
      <c r="I14" s="10">
        <f>IFERROR(VLOOKUP(A14,'Centre DW5'!$A$7:$N$163,9,FALSE),0)+
IFERROR(VLOOKUP(A14,'Centre WP5'!$A$7:$N$160,9,FALSE),0)+
IFERROR(VLOOKUP(A14,'Centre WR5'!$A$7:$N$160,9,FALSE),0)</f>
        <v>0</v>
      </c>
      <c r="J14" s="10">
        <f>IFERROR(VLOOKUP(A14,'Centre DW5'!$A$7:$N$163,10,FALSE),0)+
IFERROR(VLOOKUP(A14,'Centre WP5'!$A$7:$N$160,10,FALSE),0)+
IFERROR(VLOOKUP(A14,'Centre WR5'!$A$7:$N$160,10,FALSE),0)</f>
        <v>0</v>
      </c>
      <c r="K14" s="10">
        <f>IFERROR(VLOOKUP(A14,'Centre DW5'!$A$7:$N$163,11,FALSE),0)+
IFERROR(VLOOKUP(A14,'Centre WP5'!$A$7:$N$160,11,FALSE),0)+
IFERROR(VLOOKUP(A14,'Centre WR5'!$A$7:$N$160,11,FALSE),0)</f>
        <v>0</v>
      </c>
      <c r="L14" s="10">
        <f>IFERROR(VLOOKUP(A14,'Centre DW5'!$A$7:$N$163,12,FALSE),0)+
IFERROR(VLOOKUP(A14,'Centre WP5'!$A$7:$N$160,12,FALSE),0)+
IFERROR(VLOOKUP(A14,'Centre WR5'!$A$7:$N$160,12,FALSE),0)</f>
        <v>0</v>
      </c>
      <c r="M14" s="10">
        <f>IFERROR(VLOOKUP(A14,'Centre DW5'!$A$7:$N$163,13,FALSE),0)+
IFERROR(VLOOKUP(A14,'Centre WP5'!$A$7:$N$160,13,FALSE),0)+
IFERROR(VLOOKUP(A14,'Centre WR5'!$A$7:$N$160,13,FALSE),0)</f>
        <v>0</v>
      </c>
      <c r="N14" s="10">
        <f>IFERROR(VLOOKUP(A14,'Centre DW5'!$A$7:$N$163,14,FALSE),0)+
IFERROR(VLOOKUP(A14,'Centre WP5'!$A$7:$N$160,14,FALSE),0)+
IFERROR(VLOOKUP(A14,'Centre WR5'!$A$7:$N$160,14,FALSE),0)</f>
        <v>0</v>
      </c>
    </row>
    <row r="15" spans="1:14" x14ac:dyDescent="0.2">
      <c r="A15" s="48" t="s">
        <v>37</v>
      </c>
      <c r="B15" s="49" t="s">
        <v>38</v>
      </c>
      <c r="C15" s="50">
        <f>IFERROR(VLOOKUP(A15,'Centre DW5'!$A$7:$N$163,3,FALSE),0)+
IFERROR(VLOOKUP(A15,'Centre WP5'!$A$7:$N$160,3,FALSE),0)+
IFERROR(VLOOKUP(A15,'Centre WR5'!$A$7:$N$160,3,FALSE),0)</f>
        <v>0</v>
      </c>
      <c r="D15" s="50">
        <f>IFERROR(VLOOKUP(A15,'Centre DW5'!$A$7:$N$163,4,FALSE),0)+
IFERROR(VLOOKUP(A15,'Centre WP5'!$A$7:$N$160,4,FALSE),0)+
IFERROR(VLOOKUP(A15,'Centre WR5'!$A$7:$N$160,4,FALSE),0)</f>
        <v>0</v>
      </c>
      <c r="E15" s="50">
        <f>IFERROR(VLOOKUP(A15,'Centre DW5'!$A$7:$N$163,5,FALSE),0)+
IFERROR(VLOOKUP(A15,'Centre WP5'!$A$7:$N$160,5,FALSE),0)+
IFERROR(VLOOKUP(A15,'Centre WR5'!$A$7:$N$160,5,FALSE),0)</f>
        <v>0</v>
      </c>
      <c r="F15" s="50">
        <f>IFERROR(VLOOKUP(A15,'Centre DW5'!$A$7:$N$163,6,FALSE),0)+
IFERROR(VLOOKUP(A15,'Centre WP5'!$A$7:$N$160,6,FALSE),0)+
IFERROR(VLOOKUP(A15,'Centre WR5'!$A$7:$N$160,6,FALSE),0)</f>
        <v>0</v>
      </c>
      <c r="G15" s="50">
        <f>IFERROR(VLOOKUP(A15,'Centre DW5'!$A$7:$N$163,7,FALSE),0)+
IFERROR(VLOOKUP(A15,'Centre WP5'!$A$7:$N$160,7,FALSE),0)+
IFERROR(VLOOKUP(A15,'Centre WR5'!$A$7:$N$160,7,FALSE),0)</f>
        <v>0</v>
      </c>
      <c r="H15" s="50">
        <f>IFERROR(VLOOKUP(A15,'Centre DW5'!$A$7:$N$163,8,FALSE),0)+
IFERROR(VLOOKUP(A15,'Centre WP5'!$A$7:$N$160,8,FALSE),0)+
IFERROR(VLOOKUP(A15,'Centre WR5'!$A$7:$N$160,8,FALSE),0)</f>
        <v>0</v>
      </c>
      <c r="I15" s="50">
        <f>IFERROR(VLOOKUP(A15,'Centre DW5'!$A$7:$N$163,9,FALSE),0)+
IFERROR(VLOOKUP(A15,'Centre WP5'!$A$7:$N$160,9,FALSE),0)+
IFERROR(VLOOKUP(A15,'Centre WR5'!$A$7:$N$160,9,FALSE),0)</f>
        <v>0</v>
      </c>
      <c r="J15" s="50">
        <f>IFERROR(VLOOKUP(A15,'Centre DW5'!$A$7:$N$163,10,FALSE),0)+
IFERROR(VLOOKUP(A15,'Centre WP5'!$A$7:$N$160,10,FALSE),0)+
IFERROR(VLOOKUP(A15,'Centre WR5'!$A$7:$N$160,10,FALSE),0)</f>
        <v>0</v>
      </c>
      <c r="K15" s="50">
        <f>IFERROR(VLOOKUP(A15,'Centre DW5'!$A$7:$N$163,11,FALSE),0)+
IFERROR(VLOOKUP(A15,'Centre WP5'!$A$7:$N$160,11,FALSE),0)+
IFERROR(VLOOKUP(A15,'Centre WR5'!$A$7:$N$160,11,FALSE),0)</f>
        <v>0</v>
      </c>
      <c r="L15" s="50">
        <f>IFERROR(VLOOKUP(A15,'Centre DW5'!$A$7:$N$163,12,FALSE),0)+
IFERROR(VLOOKUP(A15,'Centre WP5'!$A$7:$N$160,12,FALSE),0)+
IFERROR(VLOOKUP(A15,'Centre WR5'!$A$7:$N$160,12,FALSE),0)</f>
        <v>0</v>
      </c>
      <c r="M15" s="50">
        <f>IFERROR(VLOOKUP(A15,'Centre DW5'!$A$7:$N$163,13,FALSE),0)+
IFERROR(VLOOKUP(A15,'Centre WP5'!$A$7:$N$160,13,FALSE),0)+
IFERROR(VLOOKUP(A15,'Centre WR5'!$A$7:$N$160,13,FALSE),0)</f>
        <v>0</v>
      </c>
      <c r="N15" s="50">
        <f>IFERROR(VLOOKUP(A15,'Centre DW5'!$A$7:$N$163,14,FALSE),0)+
IFERROR(VLOOKUP(A15,'Centre WP5'!$A$7:$N$160,14,FALSE),0)+
IFERROR(VLOOKUP(A15,'Centre WR5'!$A$7:$N$160,14,FALSE),0)</f>
        <v>0</v>
      </c>
    </row>
    <row r="16" spans="1:14" x14ac:dyDescent="0.2">
      <c r="A16" s="48" t="s">
        <v>39</v>
      </c>
      <c r="B16" s="49" t="s">
        <v>40</v>
      </c>
      <c r="C16" s="50">
        <f>IFERROR(VLOOKUP(A16,'Centre DW5'!$A$7:$N$163,3,FALSE),0)+
IFERROR(VLOOKUP(A16,'Centre WP5'!$A$7:$N$160,3,FALSE),0)+
IFERROR(VLOOKUP(A16,'Centre WR5'!$A$7:$N$160,3,FALSE),0)</f>
        <v>0</v>
      </c>
      <c r="D16" s="50">
        <f>IFERROR(VLOOKUP(A16,'Centre DW5'!$A$7:$N$163,4,FALSE),0)+
IFERROR(VLOOKUP(A16,'Centre WP5'!$A$7:$N$160,4,FALSE),0)+
IFERROR(VLOOKUP(A16,'Centre WR5'!$A$7:$N$160,4,FALSE),0)</f>
        <v>0</v>
      </c>
      <c r="E16" s="50">
        <f>IFERROR(VLOOKUP(A16,'Centre DW5'!$A$7:$N$163,5,FALSE),0)+
IFERROR(VLOOKUP(A16,'Centre WP5'!$A$7:$N$160,5,FALSE),0)+
IFERROR(VLOOKUP(A16,'Centre WR5'!$A$7:$N$160,5,FALSE),0)</f>
        <v>0</v>
      </c>
      <c r="F16" s="50">
        <f>IFERROR(VLOOKUP(A16,'Centre DW5'!$A$7:$N$163,6,FALSE),0)+
IFERROR(VLOOKUP(A16,'Centre WP5'!$A$7:$N$160,6,FALSE),0)+
IFERROR(VLOOKUP(A16,'Centre WR5'!$A$7:$N$160,6,FALSE),0)</f>
        <v>0</v>
      </c>
      <c r="G16" s="50">
        <f>IFERROR(VLOOKUP(A16,'Centre DW5'!$A$7:$N$163,7,FALSE),0)+
IFERROR(VLOOKUP(A16,'Centre WP5'!$A$7:$N$160,7,FALSE),0)+
IFERROR(VLOOKUP(A16,'Centre WR5'!$A$7:$N$160,7,FALSE),0)</f>
        <v>0</v>
      </c>
      <c r="H16" s="50">
        <f>IFERROR(VLOOKUP(A16,'Centre DW5'!$A$7:$N$163,8,FALSE),0)+
IFERROR(VLOOKUP(A16,'Centre WP5'!$A$7:$N$160,8,FALSE),0)+
IFERROR(VLOOKUP(A16,'Centre WR5'!$A$7:$N$160,8,FALSE),0)</f>
        <v>0</v>
      </c>
      <c r="I16" s="50">
        <f>IFERROR(VLOOKUP(A16,'Centre DW5'!$A$7:$N$163,9,FALSE),0)+
IFERROR(VLOOKUP(A16,'Centre WP5'!$A$7:$N$160,9,FALSE),0)+
IFERROR(VLOOKUP(A16,'Centre WR5'!$A$7:$N$160,9,FALSE),0)</f>
        <v>0</v>
      </c>
      <c r="J16" s="50">
        <f>IFERROR(VLOOKUP(A16,'Centre DW5'!$A$7:$N$163,10,FALSE),0)+
IFERROR(VLOOKUP(A16,'Centre WP5'!$A$7:$N$160,10,FALSE),0)+
IFERROR(VLOOKUP(A16,'Centre WR5'!$A$7:$N$160,10,FALSE),0)</f>
        <v>0</v>
      </c>
      <c r="K16" s="50">
        <f>IFERROR(VLOOKUP(A16,'Centre DW5'!$A$7:$N$163,11,FALSE),0)+
IFERROR(VLOOKUP(A16,'Centre WP5'!$A$7:$N$160,11,FALSE),0)+
IFERROR(VLOOKUP(A16,'Centre WR5'!$A$7:$N$160,11,FALSE),0)</f>
        <v>0</v>
      </c>
      <c r="L16" s="50">
        <f>IFERROR(VLOOKUP(A16,'Centre DW5'!$A$7:$N$163,12,FALSE),0)+
IFERROR(VLOOKUP(A16,'Centre WP5'!$A$7:$N$160,12,FALSE),0)+
IFERROR(VLOOKUP(A16,'Centre WR5'!$A$7:$N$160,12,FALSE),0)</f>
        <v>0</v>
      </c>
      <c r="M16" s="50">
        <f>IFERROR(VLOOKUP(A16,'Centre DW5'!$A$7:$N$163,13,FALSE),0)+
IFERROR(VLOOKUP(A16,'Centre WP5'!$A$7:$N$160,13,FALSE),0)+
IFERROR(VLOOKUP(A16,'Centre WR5'!$A$7:$N$160,13,FALSE),0)</f>
        <v>0</v>
      </c>
      <c r="N16" s="50">
        <f>IFERROR(VLOOKUP(A16,'Centre DW5'!$A$7:$N$163,14,FALSE),0)+
IFERROR(VLOOKUP(A16,'Centre WP5'!$A$7:$N$160,14,FALSE),0)+
IFERROR(VLOOKUP(A16,'Centre WR5'!$A$7:$N$160,14,FALSE),0)</f>
        <v>0</v>
      </c>
    </row>
    <row r="17" spans="1:14" x14ac:dyDescent="0.2">
      <c r="A17" s="48" t="s">
        <v>41</v>
      </c>
      <c r="B17" s="49" t="s">
        <v>42</v>
      </c>
      <c r="C17" s="50">
        <f>+C18</f>
        <v>0</v>
      </c>
      <c r="D17" s="50">
        <f t="shared" ref="D17:N17" si="1">+D18</f>
        <v>0</v>
      </c>
      <c r="E17" s="50">
        <f t="shared" si="1"/>
        <v>0</v>
      </c>
      <c r="F17" s="50">
        <f t="shared" si="1"/>
        <v>0</v>
      </c>
      <c r="G17" s="50">
        <f t="shared" si="1"/>
        <v>0</v>
      </c>
      <c r="H17" s="50">
        <f t="shared" si="1"/>
        <v>0</v>
      </c>
      <c r="I17" s="50">
        <f t="shared" si="1"/>
        <v>0</v>
      </c>
      <c r="J17" s="50">
        <f t="shared" si="1"/>
        <v>0</v>
      </c>
      <c r="K17" s="50">
        <f t="shared" si="1"/>
        <v>0</v>
      </c>
      <c r="L17" s="50">
        <f t="shared" si="1"/>
        <v>0</v>
      </c>
      <c r="M17" s="50">
        <f t="shared" si="1"/>
        <v>0</v>
      </c>
      <c r="N17" s="50">
        <f t="shared" si="1"/>
        <v>0</v>
      </c>
    </row>
    <row r="18" spans="1:14" outlineLevel="1" x14ac:dyDescent="0.2">
      <c r="A18" s="9" t="s">
        <v>43</v>
      </c>
      <c r="B18" s="1" t="s">
        <v>44</v>
      </c>
      <c r="C18" s="10">
        <f>IFERROR(VLOOKUP(A18,'Centre DW5'!$A$7:$N$163,3,FALSE),0)+
IFERROR(VLOOKUP(A18,'Centre WP5'!$A$7:$N$160,3,FALSE),0)+
IFERROR(VLOOKUP(A18,'Centre WR5'!$A$7:$N$160,3,FALSE),0)</f>
        <v>0</v>
      </c>
      <c r="D18" s="10">
        <f>IFERROR(VLOOKUP(A18,'Centre DW5'!$A$7:$N$163,4,FALSE),0)+
IFERROR(VLOOKUP(A18,'Centre WP5'!$A$7:$N$160,4,FALSE),0)+
IFERROR(VLOOKUP(A18,'Centre WR5'!$A$7:$N$160,4,FALSE),0)</f>
        <v>0</v>
      </c>
      <c r="E18" s="10">
        <f>IFERROR(VLOOKUP(A18,'Centre DW5'!$A$7:$N$163,5,FALSE),0)+
IFERROR(VLOOKUP(A18,'Centre WP5'!$A$7:$N$160,5,FALSE),0)+
IFERROR(VLOOKUP(A18,'Centre WR5'!$A$7:$N$160,5,FALSE),0)</f>
        <v>0</v>
      </c>
      <c r="F18" s="10">
        <f>IFERROR(VLOOKUP(A18,'Centre DW5'!$A$7:$N$163,6,FALSE),0)+
IFERROR(VLOOKUP(A18,'Centre WP5'!$A$7:$N$160,6,FALSE),0)+
IFERROR(VLOOKUP(A18,'Centre WR5'!$A$7:$N$160,6,FALSE),0)</f>
        <v>0</v>
      </c>
      <c r="G18" s="10">
        <f>IFERROR(VLOOKUP(A18,'Centre DW5'!$A$7:$N$163,7,FALSE),0)+
IFERROR(VLOOKUP(A18,'Centre WP5'!$A$7:$N$160,7,FALSE),0)+
IFERROR(VLOOKUP(A18,'Centre WR5'!$A$7:$N$160,7,FALSE),0)</f>
        <v>0</v>
      </c>
      <c r="H18" s="10">
        <f>IFERROR(VLOOKUP(A18,'Centre DW5'!$A$7:$N$163,8,FALSE),0)+
IFERROR(VLOOKUP(A18,'Centre WP5'!$A$7:$N$160,8,FALSE),0)+
IFERROR(VLOOKUP(A18,'Centre WR5'!$A$7:$N$160,8,FALSE),0)</f>
        <v>0</v>
      </c>
      <c r="I18" s="10">
        <f>IFERROR(VLOOKUP(A18,'Centre DW5'!$A$7:$N$163,9,FALSE),0)+
IFERROR(VLOOKUP(A18,'Centre WP5'!$A$7:$N$160,9,FALSE),0)+
IFERROR(VLOOKUP(A18,'Centre WR5'!$A$7:$N$160,9,FALSE),0)</f>
        <v>0</v>
      </c>
      <c r="J18" s="10">
        <f>IFERROR(VLOOKUP(A18,'Centre DW5'!$A$7:$N$163,10,FALSE),0)+
IFERROR(VLOOKUP(A18,'Centre WP5'!$A$7:$N$160,10,FALSE),0)+
IFERROR(VLOOKUP(A18,'Centre WR5'!$A$7:$N$160,10,FALSE),0)</f>
        <v>0</v>
      </c>
      <c r="K18" s="10">
        <f>IFERROR(VLOOKUP(A18,'Centre DW5'!$A$7:$N$163,11,FALSE),0)+
IFERROR(VLOOKUP(A18,'Centre WP5'!$A$7:$N$160,11,FALSE),0)+
IFERROR(VLOOKUP(A18,'Centre WR5'!$A$7:$N$160,11,FALSE),0)</f>
        <v>0</v>
      </c>
      <c r="L18" s="10">
        <f>IFERROR(VLOOKUP(A18,'Centre DW5'!$A$7:$N$163,12,FALSE),0)+
IFERROR(VLOOKUP(A18,'Centre WP5'!$A$7:$N$160,12,FALSE),0)+
IFERROR(VLOOKUP(A18,'Centre WR5'!$A$7:$N$160,12,FALSE),0)</f>
        <v>0</v>
      </c>
      <c r="M18" s="10">
        <f>IFERROR(VLOOKUP(A18,'Centre DW5'!$A$7:$N$163,13,FALSE),0)+
IFERROR(VLOOKUP(A18,'Centre WP5'!$A$7:$N$160,13,FALSE),0)+
IFERROR(VLOOKUP(A18,'Centre WR5'!$A$7:$N$160,13,FALSE),0)</f>
        <v>0</v>
      </c>
      <c r="N18" s="10">
        <f>IFERROR(VLOOKUP(A18,'Centre DW5'!$A$7:$N$163,14,FALSE),0)+
IFERROR(VLOOKUP(A18,'Centre WP5'!$A$7:$N$160,14,FALSE),0)+
IFERROR(VLOOKUP(A18,'Centre WR5'!$A$7:$N$160,14,FALSE),0)</f>
        <v>0</v>
      </c>
    </row>
    <row r="19" spans="1:14" x14ac:dyDescent="0.2">
      <c r="A19" s="48" t="s">
        <v>45</v>
      </c>
      <c r="B19" s="49" t="s">
        <v>46</v>
      </c>
      <c r="C19" s="50">
        <f>IFERROR(VLOOKUP(A19,'Centre DW5'!$A$7:$N$163,3,FALSE),0)+
IFERROR(VLOOKUP(A19,'Centre WP5'!$A$7:$N$160,3,FALSE),0)+
IFERROR(VLOOKUP(A19,'Centre WR5'!$A$7:$N$160,3,FALSE),0)</f>
        <v>0</v>
      </c>
      <c r="D19" s="50">
        <f>IFERROR(VLOOKUP(A19,'Centre DW5'!$A$7:$N$163,4,FALSE),0)+
IFERROR(VLOOKUP(A19,'Centre WP5'!$A$7:$N$160,4,FALSE),0)+
IFERROR(VLOOKUP(A19,'Centre WR5'!$A$7:$N$160,4,FALSE),0)</f>
        <v>0</v>
      </c>
      <c r="E19" s="50">
        <f>IFERROR(VLOOKUP(A19,'Centre DW5'!$A$7:$N$163,5,FALSE),0)+
IFERROR(VLOOKUP(A19,'Centre WP5'!$A$7:$N$160,5,FALSE),0)+
IFERROR(VLOOKUP(A19,'Centre WR5'!$A$7:$N$160,5,FALSE),0)</f>
        <v>0</v>
      </c>
      <c r="F19" s="50">
        <f>IFERROR(VLOOKUP(A19,'Centre DW5'!$A$7:$N$163,6,FALSE),0)+
IFERROR(VLOOKUP(A19,'Centre WP5'!$A$7:$N$160,6,FALSE),0)+
IFERROR(VLOOKUP(A19,'Centre WR5'!$A$7:$N$160,6,FALSE),0)</f>
        <v>0</v>
      </c>
      <c r="G19" s="50">
        <f>IFERROR(VLOOKUP(A19,'Centre DW5'!$A$7:$N$163,7,FALSE),0)+
IFERROR(VLOOKUP(A19,'Centre WP5'!$A$7:$N$160,7,FALSE),0)+
IFERROR(VLOOKUP(A19,'Centre WR5'!$A$7:$N$160,7,FALSE),0)</f>
        <v>0</v>
      </c>
      <c r="H19" s="50">
        <f>IFERROR(VLOOKUP(A19,'Centre DW5'!$A$7:$N$163,8,FALSE),0)+
IFERROR(VLOOKUP(A19,'Centre WP5'!$A$7:$N$160,8,FALSE),0)+
IFERROR(VLOOKUP(A19,'Centre WR5'!$A$7:$N$160,8,FALSE),0)</f>
        <v>0</v>
      </c>
      <c r="I19" s="50">
        <f>IFERROR(VLOOKUP(A19,'Centre DW5'!$A$7:$N$163,9,FALSE),0)+
IFERROR(VLOOKUP(A19,'Centre WP5'!$A$7:$N$160,9,FALSE),0)+
IFERROR(VLOOKUP(A19,'Centre WR5'!$A$7:$N$160,9,FALSE),0)</f>
        <v>0</v>
      </c>
      <c r="J19" s="50">
        <f>IFERROR(VLOOKUP(A19,'Centre DW5'!$A$7:$N$163,10,FALSE),0)+
IFERROR(VLOOKUP(A19,'Centre WP5'!$A$7:$N$160,10,FALSE),0)+
IFERROR(VLOOKUP(A19,'Centre WR5'!$A$7:$N$160,10,FALSE),0)</f>
        <v>0</v>
      </c>
      <c r="K19" s="50">
        <f>IFERROR(VLOOKUP(A19,'Centre DW5'!$A$7:$N$163,11,FALSE),0)+
IFERROR(VLOOKUP(A19,'Centre WP5'!$A$7:$N$160,11,FALSE),0)+
IFERROR(VLOOKUP(A19,'Centre WR5'!$A$7:$N$160,11,FALSE),0)</f>
        <v>0</v>
      </c>
      <c r="L19" s="50">
        <f>IFERROR(VLOOKUP(A19,'Centre DW5'!$A$7:$N$163,12,FALSE),0)+
IFERROR(VLOOKUP(A19,'Centre WP5'!$A$7:$N$160,12,FALSE),0)+
IFERROR(VLOOKUP(A19,'Centre WR5'!$A$7:$N$160,12,FALSE),0)</f>
        <v>0</v>
      </c>
      <c r="M19" s="50">
        <f>IFERROR(VLOOKUP(A19,'Centre DW5'!$A$7:$N$163,13,FALSE),0)+
IFERROR(VLOOKUP(A19,'Centre WP5'!$A$7:$N$160,13,FALSE),0)+
IFERROR(VLOOKUP(A19,'Centre WR5'!$A$7:$N$160,13,FALSE),0)</f>
        <v>0</v>
      </c>
      <c r="N19" s="50">
        <f>IFERROR(VLOOKUP(A19,'Centre DW5'!$A$7:$N$163,14,FALSE),0)+
IFERROR(VLOOKUP(A19,'Centre WP5'!$A$7:$N$160,14,FALSE),0)+
IFERROR(VLOOKUP(A19,'Centre WR5'!$A$7:$N$160,14,FALSE),0)</f>
        <v>0</v>
      </c>
    </row>
    <row r="20" spans="1:14" x14ac:dyDescent="0.2">
      <c r="A20" s="51"/>
      <c r="B20" s="51" t="s">
        <v>47</v>
      </c>
      <c r="C20" s="19">
        <f t="shared" ref="C20:N20" si="2">+C7+C15+C16+C17+C19</f>
        <v>734.5</v>
      </c>
      <c r="D20" s="19">
        <f t="shared" si="2"/>
        <v>675.5</v>
      </c>
      <c r="E20" s="19">
        <f t="shared" si="2"/>
        <v>712.5</v>
      </c>
      <c r="F20" s="19">
        <f t="shared" si="2"/>
        <v>677.5</v>
      </c>
      <c r="G20" s="19">
        <f t="shared" si="2"/>
        <v>738.5</v>
      </c>
      <c r="H20" s="19">
        <f t="shared" si="2"/>
        <v>690.5</v>
      </c>
      <c r="I20" s="19">
        <f t="shared" si="2"/>
        <v>737.5</v>
      </c>
      <c r="J20" s="19">
        <f t="shared" si="2"/>
        <v>718.5</v>
      </c>
      <c r="K20" s="19">
        <f t="shared" si="2"/>
        <v>685.5</v>
      </c>
      <c r="L20" s="19">
        <f t="shared" si="2"/>
        <v>678.5</v>
      </c>
      <c r="M20" s="19">
        <f t="shared" si="2"/>
        <v>683.5</v>
      </c>
      <c r="N20" s="19">
        <f t="shared" si="2"/>
        <v>702.9</v>
      </c>
    </row>
    <row r="21" spans="1:14" x14ac:dyDescent="0.2">
      <c r="A21" s="48" t="s">
        <v>48</v>
      </c>
      <c r="B21" s="49" t="s">
        <v>49</v>
      </c>
      <c r="C21" s="50">
        <f>SUM(C22:C25)</f>
        <v>0.3</v>
      </c>
      <c r="D21" s="50">
        <f t="shared" ref="D21:N21" si="3">SUM(D22:D25)</f>
        <v>0.3</v>
      </c>
      <c r="E21" s="50">
        <f t="shared" si="3"/>
        <v>0.3</v>
      </c>
      <c r="F21" s="50">
        <f t="shared" si="3"/>
        <v>0.3</v>
      </c>
      <c r="G21" s="50">
        <f t="shared" si="3"/>
        <v>19.3</v>
      </c>
      <c r="H21" s="50">
        <f t="shared" si="3"/>
        <v>0.3</v>
      </c>
      <c r="I21" s="50">
        <f t="shared" si="3"/>
        <v>0.3</v>
      </c>
      <c r="J21" s="50">
        <f t="shared" si="3"/>
        <v>0.3</v>
      </c>
      <c r="K21" s="50">
        <f t="shared" si="3"/>
        <v>0.3</v>
      </c>
      <c r="L21" s="50">
        <f t="shared" si="3"/>
        <v>19.3</v>
      </c>
      <c r="M21" s="50">
        <f t="shared" si="3"/>
        <v>0.3</v>
      </c>
      <c r="N21" s="50">
        <f t="shared" si="3"/>
        <v>0.3</v>
      </c>
    </row>
    <row r="22" spans="1:14" outlineLevel="1" x14ac:dyDescent="0.2">
      <c r="A22" s="9" t="s">
        <v>50</v>
      </c>
      <c r="B22" s="1" t="s">
        <v>51</v>
      </c>
      <c r="C22" s="10">
        <f>IFERROR(VLOOKUP(A22,'Centre DW5'!$A$7:$N$163,3,FALSE),0)+
IFERROR(VLOOKUP(A22,'Centre WP5'!$A$7:$N$160,3,FALSE),0)+
IFERROR(VLOOKUP(A22,'Centre WR5'!$A$7:$N$160,3,FALSE),0)</f>
        <v>0.3</v>
      </c>
      <c r="D22" s="10">
        <f>IFERROR(VLOOKUP(A22,'Centre DW5'!$A$7:$N$163,4,FALSE),0)+
IFERROR(VLOOKUP(A22,'Centre WP5'!$A$7:$N$160,4,FALSE),0)+
IFERROR(VLOOKUP(A22,'Centre WR5'!$A$7:$N$160,4,FALSE),0)</f>
        <v>0.3</v>
      </c>
      <c r="E22" s="10">
        <f>IFERROR(VLOOKUP(A22,'Centre DW5'!$A$7:$N$163,5,FALSE),0)+
IFERROR(VLOOKUP(A22,'Centre WP5'!$A$7:$N$160,5,FALSE),0)+
IFERROR(VLOOKUP(A22,'Centre WR5'!$A$7:$N$160,5,FALSE),0)</f>
        <v>0.3</v>
      </c>
      <c r="F22" s="10">
        <f>IFERROR(VLOOKUP(A22,'Centre DW5'!$A$7:$N$163,6,FALSE),0)+
IFERROR(VLOOKUP(A22,'Centre WP5'!$A$7:$N$160,6,FALSE),0)+
IFERROR(VLOOKUP(A22,'Centre WR5'!$A$7:$N$160,6,FALSE),0)</f>
        <v>0.3</v>
      </c>
      <c r="G22" s="10">
        <f>IFERROR(VLOOKUP(A22,'Centre DW5'!$A$7:$N$163,7,FALSE),0)+
IFERROR(VLOOKUP(A22,'Centre WP5'!$A$7:$N$160,7,FALSE),0)+
IFERROR(VLOOKUP(A22,'Centre WR5'!$A$7:$N$160,7,FALSE),0)</f>
        <v>0.3</v>
      </c>
      <c r="H22" s="10">
        <f>IFERROR(VLOOKUP(A22,'Centre DW5'!$A$7:$N$163,8,FALSE),0)+
IFERROR(VLOOKUP(A22,'Centre WP5'!$A$7:$N$160,8,FALSE),0)+
IFERROR(VLOOKUP(A22,'Centre WR5'!$A$7:$N$160,8,FALSE),0)</f>
        <v>0.3</v>
      </c>
      <c r="I22" s="10">
        <f>IFERROR(VLOOKUP(A22,'Centre DW5'!$A$7:$N$163,9,FALSE),0)+
IFERROR(VLOOKUP(A22,'Centre WP5'!$A$7:$N$160,9,FALSE),0)+
IFERROR(VLOOKUP(A22,'Centre WR5'!$A$7:$N$160,9,FALSE),0)</f>
        <v>0.3</v>
      </c>
      <c r="J22" s="10">
        <f>IFERROR(VLOOKUP(A22,'Centre DW5'!$A$7:$N$163,10,FALSE),0)+
IFERROR(VLOOKUP(A22,'Centre WP5'!$A$7:$N$160,10,FALSE),0)+
IFERROR(VLOOKUP(A22,'Centre WR5'!$A$7:$N$160,10,FALSE),0)</f>
        <v>0.3</v>
      </c>
      <c r="K22" s="10">
        <f>IFERROR(VLOOKUP(A22,'Centre DW5'!$A$7:$N$163,11,FALSE),0)+
IFERROR(VLOOKUP(A22,'Centre WP5'!$A$7:$N$160,11,FALSE),0)+
IFERROR(VLOOKUP(A22,'Centre WR5'!$A$7:$N$160,11,FALSE),0)</f>
        <v>0.3</v>
      </c>
      <c r="L22" s="10">
        <f>IFERROR(VLOOKUP(A22,'Centre DW5'!$A$7:$N$163,12,FALSE),0)+
IFERROR(VLOOKUP(A22,'Centre WP5'!$A$7:$N$160,12,FALSE),0)+
IFERROR(VLOOKUP(A22,'Centre WR5'!$A$7:$N$160,12,FALSE),0)</f>
        <v>0.3</v>
      </c>
      <c r="M22" s="10">
        <f>IFERROR(VLOOKUP(A22,'Centre DW5'!$A$7:$N$163,13,FALSE),0)+
IFERROR(VLOOKUP(A22,'Centre WP5'!$A$7:$N$160,13,FALSE),0)+
IFERROR(VLOOKUP(A22,'Centre WR5'!$A$7:$N$160,13,FALSE),0)</f>
        <v>0.3</v>
      </c>
      <c r="N22" s="10">
        <f>IFERROR(VLOOKUP(A22,'Centre DW5'!$A$7:$N$163,14,FALSE),0)+
IFERROR(VLOOKUP(A22,'Centre WP5'!$A$7:$N$160,14,FALSE),0)+
IFERROR(VLOOKUP(A22,'Centre WR5'!$A$7:$N$160,14,FALSE),0)</f>
        <v>0.3</v>
      </c>
    </row>
    <row r="23" spans="1:14" outlineLevel="1" x14ac:dyDescent="0.2">
      <c r="A23" s="9" t="s">
        <v>56</v>
      </c>
      <c r="B23" s="1" t="s">
        <v>51</v>
      </c>
      <c r="C23" s="10">
        <f>IFERROR(VLOOKUP(A23,'Centre DW5'!$A$7:$N$163,3,FALSE),0)+
IFERROR(VLOOKUP(A23,'Centre WP5'!$A$7:$N$160,3,FALSE),0)+
IFERROR(VLOOKUP(A23,'Centre WR5'!$A$7:$N$160,3,FALSE),0)</f>
        <v>0</v>
      </c>
      <c r="D23" s="10">
        <f>IFERROR(VLOOKUP(A23,'Centre DW5'!$A$7:$N$163,4,FALSE),0)+
IFERROR(VLOOKUP(A23,'Centre WP5'!$A$7:$N$160,4,FALSE),0)+
IFERROR(VLOOKUP(A23,'Centre WR5'!$A$7:$N$160,4,FALSE),0)</f>
        <v>0</v>
      </c>
      <c r="E23" s="10">
        <f>IFERROR(VLOOKUP(A23,'Centre DW5'!$A$7:$N$163,5,FALSE),0)+
IFERROR(VLOOKUP(A23,'Centre WP5'!$A$7:$N$160,5,FALSE),0)+
IFERROR(VLOOKUP(A23,'Centre WR5'!$A$7:$N$160,5,FALSE),0)</f>
        <v>0</v>
      </c>
      <c r="F23" s="10">
        <f>IFERROR(VLOOKUP(A23,'Centre DW5'!$A$7:$N$163,6,FALSE),0)+
IFERROR(VLOOKUP(A23,'Centre WP5'!$A$7:$N$160,6,FALSE),0)+
IFERROR(VLOOKUP(A23,'Centre WR5'!$A$7:$N$160,6,FALSE),0)</f>
        <v>0</v>
      </c>
      <c r="G23" s="10">
        <f>IFERROR(VLOOKUP(A23,'Centre DW5'!$A$7:$N$163,7,FALSE),0)+
IFERROR(VLOOKUP(A23,'Centre WP5'!$A$7:$N$160,7,FALSE),0)+
IFERROR(VLOOKUP(A23,'Centre WR5'!$A$7:$N$160,7,FALSE),0)</f>
        <v>0</v>
      </c>
      <c r="H23" s="10">
        <f>IFERROR(VLOOKUP(A23,'Centre DW5'!$A$7:$N$163,8,FALSE),0)+
IFERROR(VLOOKUP(A23,'Centre WP5'!$A$7:$N$160,8,FALSE),0)+
IFERROR(VLOOKUP(A23,'Centre WR5'!$A$7:$N$160,8,FALSE),0)</f>
        <v>0</v>
      </c>
      <c r="I23" s="10">
        <f>IFERROR(VLOOKUP(A23,'Centre DW5'!$A$7:$N$163,9,FALSE),0)+
IFERROR(VLOOKUP(A23,'Centre WP5'!$A$7:$N$160,9,FALSE),0)+
IFERROR(VLOOKUP(A23,'Centre WR5'!$A$7:$N$160,9,FALSE),0)</f>
        <v>0</v>
      </c>
      <c r="J23" s="10">
        <f>IFERROR(VLOOKUP(A23,'Centre DW5'!$A$7:$N$163,10,FALSE),0)+
IFERROR(VLOOKUP(A23,'Centre WP5'!$A$7:$N$160,10,FALSE),0)+
IFERROR(VLOOKUP(A23,'Centre WR5'!$A$7:$N$160,10,FALSE),0)</f>
        <v>0</v>
      </c>
      <c r="K23" s="10">
        <f>IFERROR(VLOOKUP(A23,'Centre DW5'!$A$7:$N$163,11,FALSE),0)+
IFERROR(VLOOKUP(A23,'Centre WP5'!$A$7:$N$160,11,FALSE),0)+
IFERROR(VLOOKUP(A23,'Centre WR5'!$A$7:$N$160,11,FALSE),0)</f>
        <v>0</v>
      </c>
      <c r="L23" s="10">
        <f>IFERROR(VLOOKUP(A23,'Centre DW5'!$A$7:$N$163,12,FALSE),0)+
IFERROR(VLOOKUP(A23,'Centre WP5'!$A$7:$N$160,12,FALSE),0)+
IFERROR(VLOOKUP(A23,'Centre WR5'!$A$7:$N$160,12,FALSE),0)</f>
        <v>0</v>
      </c>
      <c r="M23" s="10">
        <f>IFERROR(VLOOKUP(A23,'Centre DW5'!$A$7:$N$163,13,FALSE),0)+
IFERROR(VLOOKUP(A23,'Centre WP5'!$A$7:$N$160,13,FALSE),0)+
IFERROR(VLOOKUP(A23,'Centre WR5'!$A$7:$N$160,13,FALSE),0)</f>
        <v>0</v>
      </c>
      <c r="N23" s="10">
        <f>IFERROR(VLOOKUP(A23,'Centre DW5'!$A$7:$N$163,14,FALSE),0)+
IFERROR(VLOOKUP(A23,'Centre WP5'!$A$7:$N$160,14,FALSE),0)+
IFERROR(VLOOKUP(A23,'Centre WR5'!$A$7:$N$160,14,FALSE),0)</f>
        <v>0</v>
      </c>
    </row>
    <row r="24" spans="1:14" outlineLevel="1" x14ac:dyDescent="0.2">
      <c r="A24" s="9" t="s">
        <v>57</v>
      </c>
      <c r="B24" s="1" t="s">
        <v>58</v>
      </c>
      <c r="C24" s="10">
        <f>IFERROR(VLOOKUP(A24,'Centre DW5'!$A$7:$N$163,3,FALSE),0)+
IFERROR(VLOOKUP(A24,'Centre WP5'!$A$7:$N$160,3,FALSE),0)+
IFERROR(VLOOKUP(A24,'Centre WR5'!$A$7:$N$160,3,FALSE),0)</f>
        <v>0</v>
      </c>
      <c r="D24" s="10">
        <f>IFERROR(VLOOKUP(A24,'Centre DW5'!$A$7:$N$163,4,FALSE),0)+
IFERROR(VLOOKUP(A24,'Centre WP5'!$A$7:$N$160,4,FALSE),0)+
IFERROR(VLOOKUP(A24,'Centre WR5'!$A$7:$N$160,4,FALSE),0)</f>
        <v>0</v>
      </c>
      <c r="E24" s="10">
        <f>IFERROR(VLOOKUP(A24,'Centre DW5'!$A$7:$N$163,5,FALSE),0)+
IFERROR(VLOOKUP(A24,'Centre WP5'!$A$7:$N$160,5,FALSE),0)+
IFERROR(VLOOKUP(A24,'Centre WR5'!$A$7:$N$160,5,FALSE),0)</f>
        <v>0</v>
      </c>
      <c r="F24" s="10">
        <f>IFERROR(VLOOKUP(A24,'Centre DW5'!$A$7:$N$163,6,FALSE),0)+
IFERROR(VLOOKUP(A24,'Centre WP5'!$A$7:$N$160,6,FALSE),0)+
IFERROR(VLOOKUP(A24,'Centre WR5'!$A$7:$N$160,6,FALSE),0)</f>
        <v>0</v>
      </c>
      <c r="G24" s="10">
        <f>IFERROR(VLOOKUP(A24,'Centre DW5'!$A$7:$N$163,7,FALSE),0)+
IFERROR(VLOOKUP(A24,'Centre WP5'!$A$7:$N$160,7,FALSE),0)+
IFERROR(VLOOKUP(A24,'Centre WR5'!$A$7:$N$160,7,FALSE),0)</f>
        <v>19</v>
      </c>
      <c r="H24" s="10">
        <f>IFERROR(VLOOKUP(A24,'Centre DW5'!$A$7:$N$163,8,FALSE),0)+
IFERROR(VLOOKUP(A24,'Centre WP5'!$A$7:$N$160,8,FALSE),0)+
IFERROR(VLOOKUP(A24,'Centre WR5'!$A$7:$N$160,8,FALSE),0)</f>
        <v>0</v>
      </c>
      <c r="I24" s="10">
        <f>IFERROR(VLOOKUP(A24,'Centre DW5'!$A$7:$N$163,9,FALSE),0)+
IFERROR(VLOOKUP(A24,'Centre WP5'!$A$7:$N$160,9,FALSE),0)+
IFERROR(VLOOKUP(A24,'Centre WR5'!$A$7:$N$160,9,FALSE),0)</f>
        <v>0</v>
      </c>
      <c r="J24" s="10">
        <f>IFERROR(VLOOKUP(A24,'Centre DW5'!$A$7:$N$163,10,FALSE),0)+
IFERROR(VLOOKUP(A24,'Centre WP5'!$A$7:$N$160,10,FALSE),0)+
IFERROR(VLOOKUP(A24,'Centre WR5'!$A$7:$N$160,10,FALSE),0)</f>
        <v>0</v>
      </c>
      <c r="K24" s="10">
        <f>IFERROR(VLOOKUP(A24,'Centre DW5'!$A$7:$N$163,11,FALSE),0)+
IFERROR(VLOOKUP(A24,'Centre WP5'!$A$7:$N$160,11,FALSE),0)+
IFERROR(VLOOKUP(A24,'Centre WR5'!$A$7:$N$160,11,FALSE),0)</f>
        <v>0</v>
      </c>
      <c r="L24" s="10">
        <f>IFERROR(VLOOKUP(A24,'Centre DW5'!$A$7:$N$163,12,FALSE),0)+
IFERROR(VLOOKUP(A24,'Centre WP5'!$A$7:$N$160,12,FALSE),0)+
IFERROR(VLOOKUP(A24,'Centre WR5'!$A$7:$N$160,12,FALSE),0)</f>
        <v>19</v>
      </c>
      <c r="M24" s="10">
        <f>IFERROR(VLOOKUP(A24,'Centre DW5'!$A$7:$N$163,13,FALSE),0)+
IFERROR(VLOOKUP(A24,'Centre WP5'!$A$7:$N$160,13,FALSE),0)+
IFERROR(VLOOKUP(A24,'Centre WR5'!$A$7:$N$160,13,FALSE),0)</f>
        <v>0</v>
      </c>
      <c r="N24" s="10">
        <f>IFERROR(VLOOKUP(A24,'Centre DW5'!$A$7:$N$163,14,FALSE),0)+
IFERROR(VLOOKUP(A24,'Centre WP5'!$A$7:$N$160,14,FALSE),0)+
IFERROR(VLOOKUP(A24,'Centre WR5'!$A$7:$N$160,14,FALSE),0)</f>
        <v>0</v>
      </c>
    </row>
    <row r="25" spans="1:14" outlineLevel="1" x14ac:dyDescent="0.2">
      <c r="A25" s="9" t="s">
        <v>59</v>
      </c>
      <c r="B25" s="1" t="s">
        <v>53</v>
      </c>
      <c r="C25" s="10">
        <f>IFERROR(VLOOKUP(A25,'Centre DW5'!$A$7:$N$163,3,FALSE),0)+
IFERROR(VLOOKUP(A25,'Centre WP5'!$A$7:$N$160,3,FALSE),0)+
IFERROR(VLOOKUP(A25,'Centre WR5'!$A$7:$N$160,3,FALSE),0)</f>
        <v>0</v>
      </c>
      <c r="D25" s="10">
        <f>IFERROR(VLOOKUP(A25,'Centre DW5'!$A$7:$N$163,4,FALSE),0)+
IFERROR(VLOOKUP(A25,'Centre WP5'!$A$7:$N$160,4,FALSE),0)+
IFERROR(VLOOKUP(A25,'Centre WR5'!$A$7:$N$160,4,FALSE),0)</f>
        <v>0</v>
      </c>
      <c r="E25" s="10">
        <f>IFERROR(VLOOKUP(A25,'Centre DW5'!$A$7:$N$163,5,FALSE),0)+
IFERROR(VLOOKUP(A25,'Centre WP5'!$A$7:$N$160,5,FALSE),0)+
IFERROR(VLOOKUP(A25,'Centre WR5'!$A$7:$N$160,5,FALSE),0)</f>
        <v>0</v>
      </c>
      <c r="F25" s="10">
        <f>IFERROR(VLOOKUP(A25,'Centre DW5'!$A$7:$N$163,6,FALSE),0)+
IFERROR(VLOOKUP(A25,'Centre WP5'!$A$7:$N$160,6,FALSE),0)+
IFERROR(VLOOKUP(A25,'Centre WR5'!$A$7:$N$160,6,FALSE),0)</f>
        <v>0</v>
      </c>
      <c r="G25" s="10">
        <f>IFERROR(VLOOKUP(A25,'Centre DW5'!$A$7:$N$163,7,FALSE),0)+
IFERROR(VLOOKUP(A25,'Centre WP5'!$A$7:$N$160,7,FALSE),0)+
IFERROR(VLOOKUP(A25,'Centre WR5'!$A$7:$N$160,7,FALSE),0)</f>
        <v>0</v>
      </c>
      <c r="H25" s="10">
        <f>IFERROR(VLOOKUP(A25,'Centre DW5'!$A$7:$N$163,8,FALSE),0)+
IFERROR(VLOOKUP(A25,'Centre WP5'!$A$7:$N$160,8,FALSE),0)+
IFERROR(VLOOKUP(A25,'Centre WR5'!$A$7:$N$160,8,FALSE),0)</f>
        <v>0</v>
      </c>
      <c r="I25" s="10">
        <f>IFERROR(VLOOKUP(A25,'Centre DW5'!$A$7:$N$163,9,FALSE),0)+
IFERROR(VLOOKUP(A25,'Centre WP5'!$A$7:$N$160,9,FALSE),0)+
IFERROR(VLOOKUP(A25,'Centre WR5'!$A$7:$N$160,9,FALSE),0)</f>
        <v>0</v>
      </c>
      <c r="J25" s="10">
        <f>IFERROR(VLOOKUP(A25,'Centre DW5'!$A$7:$N$163,10,FALSE),0)+
IFERROR(VLOOKUP(A25,'Centre WP5'!$A$7:$N$160,10,FALSE),0)+
IFERROR(VLOOKUP(A25,'Centre WR5'!$A$7:$N$160,10,FALSE),0)</f>
        <v>0</v>
      </c>
      <c r="K25" s="10">
        <f>IFERROR(VLOOKUP(A25,'Centre DW5'!$A$7:$N$163,11,FALSE),0)+
IFERROR(VLOOKUP(A25,'Centre WP5'!$A$7:$N$160,11,FALSE),0)+
IFERROR(VLOOKUP(A25,'Centre WR5'!$A$7:$N$160,11,FALSE),0)</f>
        <v>0</v>
      </c>
      <c r="L25" s="10">
        <f>IFERROR(VLOOKUP(A25,'Centre DW5'!$A$7:$N$163,12,FALSE),0)+
IFERROR(VLOOKUP(A25,'Centre WP5'!$A$7:$N$160,12,FALSE),0)+
IFERROR(VLOOKUP(A25,'Centre WR5'!$A$7:$N$160,12,FALSE),0)</f>
        <v>0</v>
      </c>
      <c r="M25" s="10">
        <f>IFERROR(VLOOKUP(A25,'Centre DW5'!$A$7:$N$163,13,FALSE),0)+
IFERROR(VLOOKUP(A25,'Centre WP5'!$A$7:$N$160,13,FALSE),0)+
IFERROR(VLOOKUP(A25,'Centre WR5'!$A$7:$N$160,13,FALSE),0)</f>
        <v>0</v>
      </c>
      <c r="N25" s="10">
        <f>IFERROR(VLOOKUP(A25,'Centre DW5'!$A$7:$N$163,14,FALSE),0)+
IFERROR(VLOOKUP(A25,'Centre WP5'!$A$7:$N$160,14,FALSE),0)+
IFERROR(VLOOKUP(A25,'Centre WR5'!$A$7:$N$160,14,FALSE),0)</f>
        <v>0</v>
      </c>
    </row>
    <row r="26" spans="1:14" x14ac:dyDescent="0.2">
      <c r="A26" s="48" t="s">
        <v>60</v>
      </c>
      <c r="B26" s="49" t="s">
        <v>61</v>
      </c>
      <c r="C26" s="50">
        <f>IFERROR(VLOOKUP(A26,'Centre DW5'!$A$7:$N$163,3,FALSE),0)+
IFERROR(VLOOKUP(A26,'Centre WP5'!$A$7:$N$160,3,FALSE),0)+
IFERROR(VLOOKUP(A26,'Centre WR5'!$A$7:$N$160,3,FALSE),0)</f>
        <v>0</v>
      </c>
      <c r="D26" s="50">
        <f>IFERROR(VLOOKUP(A26,'Centre DW5'!$A$7:$N$163,4,FALSE),0)+
IFERROR(VLOOKUP(A26,'Centre WP5'!$A$7:$N$160,4,FALSE),0)+
IFERROR(VLOOKUP(A26,'Centre WR5'!$A$7:$N$160,4,FALSE),0)</f>
        <v>0</v>
      </c>
      <c r="E26" s="50">
        <f>IFERROR(VLOOKUP(A26,'Centre DW5'!$A$7:$N$163,5,FALSE),0)+
IFERROR(VLOOKUP(A26,'Centre WP5'!$A$7:$N$160,5,FALSE),0)+
IFERROR(VLOOKUP(A26,'Centre WR5'!$A$7:$N$160,5,FALSE),0)</f>
        <v>0</v>
      </c>
      <c r="F26" s="50">
        <f>IFERROR(VLOOKUP(A26,'Centre DW5'!$A$7:$N$163,6,FALSE),0)+
IFERROR(VLOOKUP(A26,'Centre WP5'!$A$7:$N$160,6,FALSE),0)+
IFERROR(VLOOKUP(A26,'Centre WR5'!$A$7:$N$160,6,FALSE),0)</f>
        <v>0</v>
      </c>
      <c r="G26" s="50">
        <f>IFERROR(VLOOKUP(A26,'Centre DW5'!$A$7:$N$163,7,FALSE),0)+
IFERROR(VLOOKUP(A26,'Centre WP5'!$A$7:$N$160,7,FALSE),0)+
IFERROR(VLOOKUP(A26,'Centre WR5'!$A$7:$N$160,7,FALSE),0)</f>
        <v>0</v>
      </c>
      <c r="H26" s="50">
        <f>IFERROR(VLOOKUP(A26,'Centre DW5'!$A$7:$N$163,8,FALSE),0)+
IFERROR(VLOOKUP(A26,'Centre WP5'!$A$7:$N$160,8,FALSE),0)+
IFERROR(VLOOKUP(A26,'Centre WR5'!$A$7:$N$160,8,FALSE),0)</f>
        <v>0</v>
      </c>
      <c r="I26" s="50">
        <f>IFERROR(VLOOKUP(A26,'Centre DW5'!$A$7:$N$163,9,FALSE),0)+
IFERROR(VLOOKUP(A26,'Centre WP5'!$A$7:$N$160,9,FALSE),0)+
IFERROR(VLOOKUP(A26,'Centre WR5'!$A$7:$N$160,9,FALSE),0)</f>
        <v>0</v>
      </c>
      <c r="J26" s="50">
        <f>IFERROR(VLOOKUP(A26,'Centre DW5'!$A$7:$N$163,10,FALSE),0)+
IFERROR(VLOOKUP(A26,'Centre WP5'!$A$7:$N$160,10,FALSE),0)+
IFERROR(VLOOKUP(A26,'Centre WR5'!$A$7:$N$160,10,FALSE),0)</f>
        <v>0</v>
      </c>
      <c r="K26" s="50">
        <f>IFERROR(VLOOKUP(A26,'Centre DW5'!$A$7:$N$163,11,FALSE),0)+
IFERROR(VLOOKUP(A26,'Centre WP5'!$A$7:$N$160,11,FALSE),0)+
IFERROR(VLOOKUP(A26,'Centre WR5'!$A$7:$N$160,11,FALSE),0)</f>
        <v>0</v>
      </c>
      <c r="L26" s="50">
        <f>IFERROR(VLOOKUP(A26,'Centre DW5'!$A$7:$N$163,12,FALSE),0)+
IFERROR(VLOOKUP(A26,'Centre WP5'!$A$7:$N$160,12,FALSE),0)+
IFERROR(VLOOKUP(A26,'Centre WR5'!$A$7:$N$160,12,FALSE),0)</f>
        <v>0</v>
      </c>
      <c r="M26" s="50">
        <f>IFERROR(VLOOKUP(A26,'Centre DW5'!$A$7:$N$163,13,FALSE),0)+
IFERROR(VLOOKUP(A26,'Centre WP5'!$A$7:$N$160,13,FALSE),0)+
IFERROR(VLOOKUP(A26,'Centre WR5'!$A$7:$N$160,13,FALSE),0)</f>
        <v>0</v>
      </c>
      <c r="N26" s="50">
        <f>IFERROR(VLOOKUP(A26,'Centre DW5'!$A$7:$N$163,14,FALSE),0)+
IFERROR(VLOOKUP(A26,'Centre WP5'!$A$7:$N$160,14,FALSE),0)+
IFERROR(VLOOKUP(A26,'Centre WR5'!$A$7:$N$160,14,FALSE),0)</f>
        <v>0</v>
      </c>
    </row>
    <row r="27" spans="1:14" x14ac:dyDescent="0.2">
      <c r="A27" s="48" t="s">
        <v>62</v>
      </c>
      <c r="B27" s="49" t="s">
        <v>63</v>
      </c>
      <c r="C27" s="50">
        <f>IFERROR(VLOOKUP(A27,'Centre DW5'!$A$7:$N$163,3,FALSE),0)+
IFERROR(VLOOKUP(A27,'Centre WP5'!$A$7:$N$160,3,FALSE),0)+
IFERROR(VLOOKUP(A27,'Centre WR5'!$A$7:$N$160,3,FALSE),0)</f>
        <v>2</v>
      </c>
      <c r="D27" s="50">
        <f>IFERROR(VLOOKUP(A27,'Centre DW5'!$A$7:$N$163,4,FALSE),0)+
IFERROR(VLOOKUP(A27,'Centre WP5'!$A$7:$N$160,4,FALSE),0)+
IFERROR(VLOOKUP(A27,'Centre WR5'!$A$7:$N$160,4,FALSE),0)</f>
        <v>2</v>
      </c>
      <c r="E27" s="50">
        <f>IFERROR(VLOOKUP(A27,'Centre DW5'!$A$7:$N$163,5,FALSE),0)+
IFERROR(VLOOKUP(A27,'Centre WP5'!$A$7:$N$160,5,FALSE),0)+
IFERROR(VLOOKUP(A27,'Centre WR5'!$A$7:$N$160,5,FALSE),0)</f>
        <v>2</v>
      </c>
      <c r="F27" s="50">
        <f>IFERROR(VLOOKUP(A27,'Centre DW5'!$A$7:$N$163,6,FALSE),0)+
IFERROR(VLOOKUP(A27,'Centre WP5'!$A$7:$N$160,6,FALSE),0)+
IFERROR(VLOOKUP(A27,'Centre WR5'!$A$7:$N$160,6,FALSE),0)</f>
        <v>2</v>
      </c>
      <c r="G27" s="50">
        <f>IFERROR(VLOOKUP(A27,'Centre DW5'!$A$7:$N$163,7,FALSE),0)+
IFERROR(VLOOKUP(A27,'Centre WP5'!$A$7:$N$160,7,FALSE),0)+
IFERROR(VLOOKUP(A27,'Centre WR5'!$A$7:$N$160,7,FALSE),0)</f>
        <v>2</v>
      </c>
      <c r="H27" s="50">
        <f>IFERROR(VLOOKUP(A27,'Centre DW5'!$A$7:$N$163,8,FALSE),0)+
IFERROR(VLOOKUP(A27,'Centre WP5'!$A$7:$N$160,8,FALSE),0)+
IFERROR(VLOOKUP(A27,'Centre WR5'!$A$7:$N$160,8,FALSE),0)</f>
        <v>2</v>
      </c>
      <c r="I27" s="50">
        <f>IFERROR(VLOOKUP(A27,'Centre DW5'!$A$7:$N$163,9,FALSE),0)+
IFERROR(VLOOKUP(A27,'Centre WP5'!$A$7:$N$160,9,FALSE),0)+
IFERROR(VLOOKUP(A27,'Centre WR5'!$A$7:$N$160,9,FALSE),0)</f>
        <v>2</v>
      </c>
      <c r="J27" s="50">
        <f>IFERROR(VLOOKUP(A27,'Centre DW5'!$A$7:$N$163,10,FALSE),0)+
IFERROR(VLOOKUP(A27,'Centre WP5'!$A$7:$N$160,10,FALSE),0)+
IFERROR(VLOOKUP(A27,'Centre WR5'!$A$7:$N$160,10,FALSE),0)</f>
        <v>2</v>
      </c>
      <c r="K27" s="50">
        <f>IFERROR(VLOOKUP(A27,'Centre DW5'!$A$7:$N$163,11,FALSE),0)+
IFERROR(VLOOKUP(A27,'Centre WP5'!$A$7:$N$160,11,FALSE),0)+
IFERROR(VLOOKUP(A27,'Centre WR5'!$A$7:$N$160,11,FALSE),0)</f>
        <v>2</v>
      </c>
      <c r="L27" s="50">
        <f>IFERROR(VLOOKUP(A27,'Centre DW5'!$A$7:$N$163,12,FALSE),0)+
IFERROR(VLOOKUP(A27,'Centre WP5'!$A$7:$N$160,12,FALSE),0)+
IFERROR(VLOOKUP(A27,'Centre WR5'!$A$7:$N$160,12,FALSE),0)</f>
        <v>2</v>
      </c>
      <c r="M27" s="50">
        <f>IFERROR(VLOOKUP(A27,'Centre DW5'!$A$7:$N$163,13,FALSE),0)+
IFERROR(VLOOKUP(A27,'Centre WP5'!$A$7:$N$160,13,FALSE),0)+
IFERROR(VLOOKUP(A27,'Centre WR5'!$A$7:$N$160,13,FALSE),0)</f>
        <v>2</v>
      </c>
      <c r="N27" s="50">
        <f>IFERROR(VLOOKUP(A27,'Centre DW5'!$A$7:$N$163,14,FALSE),0)+
IFERROR(VLOOKUP(A27,'Centre WP5'!$A$7:$N$160,14,FALSE),0)+
IFERROR(VLOOKUP(A27,'Centre WR5'!$A$7:$N$160,14,FALSE),0)</f>
        <v>2</v>
      </c>
    </row>
    <row r="28" spans="1:14" x14ac:dyDescent="0.2">
      <c r="A28" s="48" t="s">
        <v>64</v>
      </c>
      <c r="B28" s="49" t="s">
        <v>65</v>
      </c>
      <c r="C28" s="50">
        <f>+C29</f>
        <v>0</v>
      </c>
      <c r="D28" s="50">
        <f t="shared" ref="D28:N28" si="4">+D29</f>
        <v>0</v>
      </c>
      <c r="E28" s="50">
        <f t="shared" si="4"/>
        <v>0</v>
      </c>
      <c r="F28" s="50">
        <f t="shared" si="4"/>
        <v>0</v>
      </c>
      <c r="G28" s="50">
        <f t="shared" si="4"/>
        <v>0</v>
      </c>
      <c r="H28" s="50">
        <f t="shared" si="4"/>
        <v>0</v>
      </c>
      <c r="I28" s="50">
        <f t="shared" si="4"/>
        <v>0</v>
      </c>
      <c r="J28" s="50">
        <f t="shared" si="4"/>
        <v>0</v>
      </c>
      <c r="K28" s="50">
        <f t="shared" si="4"/>
        <v>0</v>
      </c>
      <c r="L28" s="50">
        <f t="shared" si="4"/>
        <v>0</v>
      </c>
      <c r="M28" s="50">
        <f t="shared" si="4"/>
        <v>0</v>
      </c>
      <c r="N28" s="50">
        <f t="shared" si="4"/>
        <v>0</v>
      </c>
    </row>
    <row r="29" spans="1:14" outlineLevel="1" x14ac:dyDescent="0.2">
      <c r="A29" s="9" t="s">
        <v>66</v>
      </c>
      <c r="B29" s="1" t="s">
        <v>67</v>
      </c>
      <c r="C29" s="10">
        <f>IFERROR(VLOOKUP(A29,'Centre DW5'!$A$7:$N$163,3,FALSE),0)+
IFERROR(VLOOKUP(A29,'Centre WP5'!$A$7:$N$160,3,FALSE),0)+
IFERROR(VLOOKUP(A29,'Centre WR5'!$A$7:$N$160,3,FALSE),0)</f>
        <v>0</v>
      </c>
      <c r="D29" s="10">
        <f>IFERROR(VLOOKUP(A29,'Centre DW5'!$A$7:$N$163,4,FALSE),0)+
IFERROR(VLOOKUP(A29,'Centre WP5'!$A$7:$N$160,4,FALSE),0)+
IFERROR(VLOOKUP(A29,'Centre WR5'!$A$7:$N$160,4,FALSE),0)</f>
        <v>0</v>
      </c>
      <c r="E29" s="10">
        <f>IFERROR(VLOOKUP(A29,'Centre DW5'!$A$7:$N$163,5,FALSE),0)+
IFERROR(VLOOKUP(A29,'Centre WP5'!$A$7:$N$160,5,FALSE),0)+
IFERROR(VLOOKUP(A29,'Centre WR5'!$A$7:$N$160,5,FALSE),0)</f>
        <v>0</v>
      </c>
      <c r="F29" s="10">
        <f>IFERROR(VLOOKUP(A29,'Centre DW5'!$A$7:$N$163,6,FALSE),0)+
IFERROR(VLOOKUP(A29,'Centre WP5'!$A$7:$N$160,6,FALSE),0)+
IFERROR(VLOOKUP(A29,'Centre WR5'!$A$7:$N$160,6,FALSE),0)</f>
        <v>0</v>
      </c>
      <c r="G29" s="10">
        <f>IFERROR(VLOOKUP(A29,'Centre DW5'!$A$7:$N$163,7,FALSE),0)+
IFERROR(VLOOKUP(A29,'Centre WP5'!$A$7:$N$160,7,FALSE),0)+
IFERROR(VLOOKUP(A29,'Centre WR5'!$A$7:$N$160,7,FALSE),0)</f>
        <v>0</v>
      </c>
      <c r="H29" s="10">
        <f>IFERROR(VLOOKUP(A29,'Centre DW5'!$A$7:$N$163,8,FALSE),0)+
IFERROR(VLOOKUP(A29,'Centre WP5'!$A$7:$N$160,8,FALSE),0)+
IFERROR(VLOOKUP(A29,'Centre WR5'!$A$7:$N$160,8,FALSE),0)</f>
        <v>0</v>
      </c>
      <c r="I29" s="10">
        <f>IFERROR(VLOOKUP(A29,'Centre DW5'!$A$7:$N$163,9,FALSE),0)+
IFERROR(VLOOKUP(A29,'Centre WP5'!$A$7:$N$160,9,FALSE),0)+
IFERROR(VLOOKUP(A29,'Centre WR5'!$A$7:$N$160,9,FALSE),0)</f>
        <v>0</v>
      </c>
      <c r="J29" s="10">
        <f>IFERROR(VLOOKUP(A29,'Centre DW5'!$A$7:$N$163,10,FALSE),0)+
IFERROR(VLOOKUP(A29,'Centre WP5'!$A$7:$N$160,10,FALSE),0)+
IFERROR(VLOOKUP(A29,'Centre WR5'!$A$7:$N$160,10,FALSE),0)</f>
        <v>0</v>
      </c>
      <c r="K29" s="10">
        <f>IFERROR(VLOOKUP(A29,'Centre DW5'!$A$7:$N$163,11,FALSE),0)+
IFERROR(VLOOKUP(A29,'Centre WP5'!$A$7:$N$160,11,FALSE),0)+
IFERROR(VLOOKUP(A29,'Centre WR5'!$A$7:$N$160,11,FALSE),0)</f>
        <v>0</v>
      </c>
      <c r="L29" s="10">
        <f>IFERROR(VLOOKUP(A29,'Centre DW5'!$A$7:$N$163,12,FALSE),0)+
IFERROR(VLOOKUP(A29,'Centre WP5'!$A$7:$N$160,12,FALSE),0)+
IFERROR(VLOOKUP(A29,'Centre WR5'!$A$7:$N$160,12,FALSE),0)</f>
        <v>0</v>
      </c>
      <c r="M29" s="10">
        <f>IFERROR(VLOOKUP(A29,'Centre DW5'!$A$7:$N$163,13,FALSE),0)+
IFERROR(VLOOKUP(A29,'Centre WP5'!$A$7:$N$160,13,FALSE),0)+
IFERROR(VLOOKUP(A29,'Centre WR5'!$A$7:$N$160,13,FALSE),0)</f>
        <v>0</v>
      </c>
      <c r="N29" s="10">
        <f>IFERROR(VLOOKUP(A29,'Centre DW5'!$A$7:$N$163,14,FALSE),0)+
IFERROR(VLOOKUP(A29,'Centre WP5'!$A$7:$N$160,14,FALSE),0)+
IFERROR(VLOOKUP(A29,'Centre WR5'!$A$7:$N$160,14,FALSE),0)</f>
        <v>0</v>
      </c>
    </row>
    <row r="30" spans="1:14" x14ac:dyDescent="0.2">
      <c r="A30" s="48" t="s">
        <v>68</v>
      </c>
      <c r="B30" s="49" t="s">
        <v>69</v>
      </c>
      <c r="C30" s="50">
        <f>IFERROR(VLOOKUP(A30,'Centre DW5'!$A$7:$N$163,3,FALSE),0)+
IFERROR(VLOOKUP(A30,'Centre WP5'!$A$7:$N$160,3,FALSE),0)+
IFERROR(VLOOKUP(A30,'Centre WR5'!$A$7:$N$160,3,FALSE),0)</f>
        <v>0</v>
      </c>
      <c r="D30" s="50">
        <f>IFERROR(VLOOKUP(A30,'Centre DW5'!$A$7:$N$163,4,FALSE),0)+
IFERROR(VLOOKUP(A30,'Centre WP5'!$A$7:$N$160,4,FALSE),0)+
IFERROR(VLOOKUP(A30,'Centre WR5'!$A$7:$N$160,4,FALSE),0)</f>
        <v>0</v>
      </c>
      <c r="E30" s="50">
        <f>IFERROR(VLOOKUP(A30,'Centre DW5'!$A$7:$N$163,5,FALSE),0)+
IFERROR(VLOOKUP(A30,'Centre WP5'!$A$7:$N$160,5,FALSE),0)+
IFERROR(VLOOKUP(A30,'Centre WR5'!$A$7:$N$160,5,FALSE),0)</f>
        <v>0</v>
      </c>
      <c r="F30" s="50">
        <f>IFERROR(VLOOKUP(A30,'Centre DW5'!$A$7:$N$163,6,FALSE),0)+
IFERROR(VLOOKUP(A30,'Centre WP5'!$A$7:$N$160,6,FALSE),0)+
IFERROR(VLOOKUP(A30,'Centre WR5'!$A$7:$N$160,6,FALSE),0)</f>
        <v>0</v>
      </c>
      <c r="G30" s="50">
        <f>IFERROR(VLOOKUP(A30,'Centre DW5'!$A$7:$N$163,7,FALSE),0)+
IFERROR(VLOOKUP(A30,'Centre WP5'!$A$7:$N$160,7,FALSE),0)+
IFERROR(VLOOKUP(A30,'Centre WR5'!$A$7:$N$160,7,FALSE),0)</f>
        <v>0</v>
      </c>
      <c r="H30" s="50">
        <f>IFERROR(VLOOKUP(A30,'Centre DW5'!$A$7:$N$163,8,FALSE),0)+
IFERROR(VLOOKUP(A30,'Centre WP5'!$A$7:$N$160,8,FALSE),0)+
IFERROR(VLOOKUP(A30,'Centre WR5'!$A$7:$N$160,8,FALSE),0)</f>
        <v>0</v>
      </c>
      <c r="I30" s="50">
        <f>IFERROR(VLOOKUP(A30,'Centre DW5'!$A$7:$N$163,9,FALSE),0)+
IFERROR(VLOOKUP(A30,'Centre WP5'!$A$7:$N$160,9,FALSE),0)+
IFERROR(VLOOKUP(A30,'Centre WR5'!$A$7:$N$160,9,FALSE),0)</f>
        <v>0</v>
      </c>
      <c r="J30" s="50">
        <f>IFERROR(VLOOKUP(A30,'Centre DW5'!$A$7:$N$163,10,FALSE),0)+
IFERROR(VLOOKUP(A30,'Centre WP5'!$A$7:$N$160,10,FALSE),0)+
IFERROR(VLOOKUP(A30,'Centre WR5'!$A$7:$N$160,10,FALSE),0)</f>
        <v>0</v>
      </c>
      <c r="K30" s="50">
        <f>IFERROR(VLOOKUP(A30,'Centre DW5'!$A$7:$N$163,11,FALSE),0)+
IFERROR(VLOOKUP(A30,'Centre WP5'!$A$7:$N$160,11,FALSE),0)+
IFERROR(VLOOKUP(A30,'Centre WR5'!$A$7:$N$160,11,FALSE),0)</f>
        <v>0</v>
      </c>
      <c r="L30" s="50">
        <f>IFERROR(VLOOKUP(A30,'Centre DW5'!$A$7:$N$163,12,FALSE),0)+
IFERROR(VLOOKUP(A30,'Centre WP5'!$A$7:$N$160,12,FALSE),0)+
IFERROR(VLOOKUP(A30,'Centre WR5'!$A$7:$N$160,12,FALSE),0)</f>
        <v>0</v>
      </c>
      <c r="M30" s="50">
        <f>IFERROR(VLOOKUP(A30,'Centre DW5'!$A$7:$N$163,13,FALSE),0)+
IFERROR(VLOOKUP(A30,'Centre WP5'!$A$7:$N$160,13,FALSE),0)+
IFERROR(VLOOKUP(A30,'Centre WR5'!$A$7:$N$160,13,FALSE),0)</f>
        <v>0</v>
      </c>
      <c r="N30" s="50">
        <f>IFERROR(VLOOKUP(A30,'Centre DW5'!$A$7:$N$163,14,FALSE),0)+
IFERROR(VLOOKUP(A30,'Centre WP5'!$A$7:$N$160,14,FALSE),0)+
IFERROR(VLOOKUP(A30,'Centre WR5'!$A$7:$N$160,14,FALSE),0)</f>
        <v>0</v>
      </c>
    </row>
    <row r="31" spans="1:14" outlineLevel="1" x14ac:dyDescent="0.2">
      <c r="A31" s="48" t="s">
        <v>70</v>
      </c>
      <c r="B31" s="49" t="s">
        <v>71</v>
      </c>
      <c r="C31" s="50">
        <f>IFERROR(VLOOKUP(A31,'Centre DW5'!$A$7:$N$163,3,FALSE),0)+
IFERROR(VLOOKUP(A31,'Centre WP5'!$A$7:$N$160,3,FALSE),0)+
IFERROR(VLOOKUP(A31,'Centre WR5'!$A$7:$N$160,3,FALSE),0)</f>
        <v>0</v>
      </c>
      <c r="D31" s="50">
        <f>IFERROR(VLOOKUP(A31,'Centre DW5'!$A$7:$N$163,4,FALSE),0)+
IFERROR(VLOOKUP(A31,'Centre WP5'!$A$7:$N$160,4,FALSE),0)+
IFERROR(VLOOKUP(A31,'Centre WR5'!$A$7:$N$160,4,FALSE),0)</f>
        <v>0</v>
      </c>
      <c r="E31" s="50">
        <f>IFERROR(VLOOKUP(A31,'Centre DW5'!$A$7:$N$163,5,FALSE),0)+
IFERROR(VLOOKUP(A31,'Centre WP5'!$A$7:$N$160,5,FALSE),0)+
IFERROR(VLOOKUP(A31,'Centre WR5'!$A$7:$N$160,5,FALSE),0)</f>
        <v>0</v>
      </c>
      <c r="F31" s="50">
        <f>IFERROR(VLOOKUP(A31,'Centre DW5'!$A$7:$N$163,6,FALSE),0)+
IFERROR(VLOOKUP(A31,'Centre WP5'!$A$7:$N$160,6,FALSE),0)+
IFERROR(VLOOKUP(A31,'Centre WR5'!$A$7:$N$160,6,FALSE),0)</f>
        <v>0</v>
      </c>
      <c r="G31" s="50">
        <f>IFERROR(VLOOKUP(A31,'Centre DW5'!$A$7:$N$163,7,FALSE),0)+
IFERROR(VLOOKUP(A31,'Centre WP5'!$A$7:$N$160,7,FALSE),0)+
IFERROR(VLOOKUP(A31,'Centre WR5'!$A$7:$N$160,7,FALSE),0)</f>
        <v>0</v>
      </c>
      <c r="H31" s="50">
        <f>IFERROR(VLOOKUP(A31,'Centre DW5'!$A$7:$N$163,8,FALSE),0)+
IFERROR(VLOOKUP(A31,'Centre WP5'!$A$7:$N$160,8,FALSE),0)+
IFERROR(VLOOKUP(A31,'Centre WR5'!$A$7:$N$160,8,FALSE),0)</f>
        <v>0</v>
      </c>
      <c r="I31" s="50">
        <f>IFERROR(VLOOKUP(A31,'Centre DW5'!$A$7:$N$163,9,FALSE),0)+
IFERROR(VLOOKUP(A31,'Centre WP5'!$A$7:$N$160,9,FALSE),0)+
IFERROR(VLOOKUP(A31,'Centre WR5'!$A$7:$N$160,9,FALSE),0)</f>
        <v>0</v>
      </c>
      <c r="J31" s="50">
        <f>IFERROR(VLOOKUP(A31,'Centre DW5'!$A$7:$N$163,10,FALSE),0)+
IFERROR(VLOOKUP(A31,'Centre WP5'!$A$7:$N$160,10,FALSE),0)+
IFERROR(VLOOKUP(A31,'Centre WR5'!$A$7:$N$160,10,FALSE),0)</f>
        <v>0</v>
      </c>
      <c r="K31" s="50">
        <f>IFERROR(VLOOKUP(A31,'Centre DW5'!$A$7:$N$163,11,FALSE),0)+
IFERROR(VLOOKUP(A31,'Centre WP5'!$A$7:$N$160,11,FALSE),0)+
IFERROR(VLOOKUP(A31,'Centre WR5'!$A$7:$N$160,11,FALSE),0)</f>
        <v>0</v>
      </c>
      <c r="L31" s="50">
        <f>IFERROR(VLOOKUP(A31,'Centre DW5'!$A$7:$N$163,12,FALSE),0)+
IFERROR(VLOOKUP(A31,'Centre WP5'!$A$7:$N$160,12,FALSE),0)+
IFERROR(VLOOKUP(A31,'Centre WR5'!$A$7:$N$160,12,FALSE),0)</f>
        <v>0</v>
      </c>
      <c r="M31" s="50">
        <f>IFERROR(VLOOKUP(A31,'Centre DW5'!$A$7:$N$163,13,FALSE),0)+
IFERROR(VLOOKUP(A31,'Centre WP5'!$A$7:$N$160,13,FALSE),0)+
IFERROR(VLOOKUP(A31,'Centre WR5'!$A$7:$N$160,13,FALSE),0)</f>
        <v>0</v>
      </c>
      <c r="N31" s="50">
        <f>IFERROR(VLOOKUP(A31,'Centre DW5'!$A$7:$N$163,14,FALSE),0)+
IFERROR(VLOOKUP(A31,'Centre WP5'!$A$7:$N$160,14,FALSE),0)+
IFERROR(VLOOKUP(A31,'Centre WR5'!$A$7:$N$160,14,FALSE),0)</f>
        <v>0</v>
      </c>
    </row>
    <row r="32" spans="1:14" x14ac:dyDescent="0.2">
      <c r="A32" s="52"/>
      <c r="B32" s="52" t="s">
        <v>72</v>
      </c>
      <c r="C32" s="53">
        <f t="shared" ref="C32:N32" si="5">+C21+C26+C27+C28+C30</f>
        <v>2.2999999999999998</v>
      </c>
      <c r="D32" s="53">
        <f t="shared" si="5"/>
        <v>2.2999999999999998</v>
      </c>
      <c r="E32" s="53">
        <f t="shared" si="5"/>
        <v>2.2999999999999998</v>
      </c>
      <c r="F32" s="53">
        <f t="shared" si="5"/>
        <v>2.2999999999999998</v>
      </c>
      <c r="G32" s="53">
        <f t="shared" si="5"/>
        <v>21.3</v>
      </c>
      <c r="H32" s="53">
        <f t="shared" si="5"/>
        <v>2.2999999999999998</v>
      </c>
      <c r="I32" s="53">
        <f t="shared" si="5"/>
        <v>2.2999999999999998</v>
      </c>
      <c r="J32" s="53">
        <f t="shared" si="5"/>
        <v>2.2999999999999998</v>
      </c>
      <c r="K32" s="53">
        <f t="shared" si="5"/>
        <v>2.2999999999999998</v>
      </c>
      <c r="L32" s="53">
        <f t="shared" si="5"/>
        <v>21.3</v>
      </c>
      <c r="M32" s="53">
        <f t="shared" si="5"/>
        <v>2.2999999999999998</v>
      </c>
      <c r="N32" s="53">
        <f t="shared" si="5"/>
        <v>2.2999999999999998</v>
      </c>
    </row>
    <row r="33" spans="1:14" x14ac:dyDescent="0.2">
      <c r="A33" s="51"/>
      <c r="B33" s="51" t="s">
        <v>73</v>
      </c>
      <c r="C33" s="19">
        <f t="shared" ref="C33:N33" si="6">+C20-C32</f>
        <v>732.2</v>
      </c>
      <c r="D33" s="19">
        <f t="shared" si="6"/>
        <v>673.2</v>
      </c>
      <c r="E33" s="19">
        <f t="shared" si="6"/>
        <v>710.2</v>
      </c>
      <c r="F33" s="19">
        <f t="shared" si="6"/>
        <v>675.2</v>
      </c>
      <c r="G33" s="19">
        <f t="shared" si="6"/>
        <v>717.2</v>
      </c>
      <c r="H33" s="19">
        <f t="shared" si="6"/>
        <v>688.2</v>
      </c>
      <c r="I33" s="19">
        <f t="shared" si="6"/>
        <v>735.2</v>
      </c>
      <c r="J33" s="19">
        <f t="shared" si="6"/>
        <v>716.2</v>
      </c>
      <c r="K33" s="19">
        <f t="shared" si="6"/>
        <v>683.2</v>
      </c>
      <c r="L33" s="19">
        <f t="shared" si="6"/>
        <v>657.2</v>
      </c>
      <c r="M33" s="19">
        <f t="shared" si="6"/>
        <v>681.2</v>
      </c>
      <c r="N33" s="19">
        <f t="shared" si="6"/>
        <v>700.6</v>
      </c>
    </row>
    <row r="34" spans="1:14" x14ac:dyDescent="0.2">
      <c r="A34" s="9" t="s">
        <v>74</v>
      </c>
      <c r="B34" s="1" t="s">
        <v>74</v>
      </c>
      <c r="C34" s="10" t="s">
        <v>74</v>
      </c>
      <c r="D34" s="10" t="s">
        <v>74</v>
      </c>
      <c r="E34" s="10" t="s">
        <v>74</v>
      </c>
      <c r="F34" s="10" t="s">
        <v>74</v>
      </c>
      <c r="G34" s="10" t="s">
        <v>74</v>
      </c>
      <c r="H34" s="10" t="s">
        <v>74</v>
      </c>
      <c r="I34" s="10" t="s">
        <v>74</v>
      </c>
      <c r="J34" s="10" t="s">
        <v>74</v>
      </c>
      <c r="K34" s="10" t="s">
        <v>74</v>
      </c>
      <c r="L34" s="10" t="s">
        <v>74</v>
      </c>
      <c r="M34" s="10" t="s">
        <v>74</v>
      </c>
      <c r="N34" s="10" t="s">
        <v>74</v>
      </c>
    </row>
    <row r="35" spans="1:14" x14ac:dyDescent="0.2">
      <c r="A35" s="48" t="s">
        <v>75</v>
      </c>
      <c r="B35" s="49" t="s">
        <v>76</v>
      </c>
      <c r="C35" s="50">
        <f>SUM(C36:C55)</f>
        <v>302</v>
      </c>
      <c r="D35" s="50">
        <f t="shared" ref="D35:N35" si="7">SUM(D36:D55)</f>
        <v>300.5</v>
      </c>
      <c r="E35" s="50">
        <f t="shared" si="7"/>
        <v>294.79999999999995</v>
      </c>
      <c r="F35" s="50">
        <f t="shared" si="7"/>
        <v>319.40000000000003</v>
      </c>
      <c r="G35" s="50">
        <f t="shared" si="7"/>
        <v>305.20000000000005</v>
      </c>
      <c r="H35" s="50">
        <f t="shared" si="7"/>
        <v>276.10000000000002</v>
      </c>
      <c r="I35" s="50">
        <f t="shared" si="7"/>
        <v>300.20000000000005</v>
      </c>
      <c r="J35" s="50">
        <f t="shared" si="7"/>
        <v>277.8</v>
      </c>
      <c r="K35" s="50">
        <f t="shared" si="7"/>
        <v>308.40000000000003</v>
      </c>
      <c r="L35" s="50">
        <f t="shared" si="7"/>
        <v>298.70000000000005</v>
      </c>
      <c r="M35" s="50">
        <f t="shared" si="7"/>
        <v>272.10000000000002</v>
      </c>
      <c r="N35" s="50">
        <f t="shared" si="7"/>
        <v>310.60000000000002</v>
      </c>
    </row>
    <row r="36" spans="1:14" outlineLevel="1" x14ac:dyDescent="0.2">
      <c r="A36" s="9" t="s">
        <v>77</v>
      </c>
      <c r="B36" s="1" t="s">
        <v>78</v>
      </c>
      <c r="C36" s="10">
        <f>IFERROR(VLOOKUP(A36,'Centre DW5'!$A$7:$N$163,3,FALSE),0)+
IFERROR(VLOOKUP(A36,'Centre WP5'!$A$7:$N$160,3,FALSE),0)+
IFERROR(VLOOKUP(A36,'Centre WR5'!$A$7:$N$160,3,FALSE),0)</f>
        <v>62</v>
      </c>
      <c r="D36" s="10">
        <f>IFERROR(VLOOKUP(A36,'Centre DW5'!$A$7:$N$163,4,FALSE),0)+
IFERROR(VLOOKUP(A36,'Centre WP5'!$A$7:$N$160,4,FALSE),0)+
IFERROR(VLOOKUP(A36,'Centre WR5'!$A$7:$N$160,4,FALSE),0)</f>
        <v>74</v>
      </c>
      <c r="E36" s="10">
        <f>IFERROR(VLOOKUP(A36,'Centre DW5'!$A$7:$N$163,5,FALSE),0)+
IFERROR(VLOOKUP(A36,'Centre WP5'!$A$7:$N$160,5,FALSE),0)+
IFERROR(VLOOKUP(A36,'Centre WR5'!$A$7:$N$160,5,FALSE),0)</f>
        <v>73</v>
      </c>
      <c r="F36" s="10">
        <f>IFERROR(VLOOKUP(A36,'Centre DW5'!$A$7:$N$163,6,FALSE),0)+
IFERROR(VLOOKUP(A36,'Centre WP5'!$A$7:$N$160,6,FALSE),0)+
IFERROR(VLOOKUP(A36,'Centre WR5'!$A$7:$N$160,6,FALSE),0)</f>
        <v>71</v>
      </c>
      <c r="G36" s="10">
        <f>IFERROR(VLOOKUP(A36,'Centre DW5'!$A$7:$N$163,7,FALSE),0)+
IFERROR(VLOOKUP(A36,'Centre WP5'!$A$7:$N$160,7,FALSE),0)+
IFERROR(VLOOKUP(A36,'Centre WR5'!$A$7:$N$160,7,FALSE),0)</f>
        <v>74</v>
      </c>
      <c r="H36" s="10">
        <f>IFERROR(VLOOKUP(A36,'Centre DW5'!$A$7:$N$163,8,FALSE),0)+
IFERROR(VLOOKUP(A36,'Centre WP5'!$A$7:$N$160,8,FALSE),0)+
IFERROR(VLOOKUP(A36,'Centre WR5'!$A$7:$N$160,8,FALSE),0)</f>
        <v>60</v>
      </c>
      <c r="I36" s="10">
        <f>IFERROR(VLOOKUP(A36,'Centre DW5'!$A$7:$N$163,9,FALSE),0)+
IFERROR(VLOOKUP(A36,'Centre WP5'!$A$7:$N$160,9,FALSE),0)+
IFERROR(VLOOKUP(A36,'Centre WR5'!$A$7:$N$160,9,FALSE),0)</f>
        <v>60</v>
      </c>
      <c r="J36" s="10">
        <f>IFERROR(VLOOKUP(A36,'Centre DW5'!$A$7:$N$163,10,FALSE),0)+
IFERROR(VLOOKUP(A36,'Centre WP5'!$A$7:$N$160,10,FALSE),0)+
IFERROR(VLOOKUP(A36,'Centre WR5'!$A$7:$N$160,10,FALSE),0)</f>
        <v>61</v>
      </c>
      <c r="K36" s="10">
        <f>IFERROR(VLOOKUP(A36,'Centre DW5'!$A$7:$N$163,11,FALSE),0)+
IFERROR(VLOOKUP(A36,'Centre WP5'!$A$7:$N$160,11,FALSE),0)+
IFERROR(VLOOKUP(A36,'Centre WR5'!$A$7:$N$160,11,FALSE),0)</f>
        <v>62</v>
      </c>
      <c r="L36" s="10">
        <f>IFERROR(VLOOKUP(A36,'Centre DW5'!$A$7:$N$163,12,FALSE),0)+
IFERROR(VLOOKUP(A36,'Centre WP5'!$A$7:$N$160,12,FALSE),0)+
IFERROR(VLOOKUP(A36,'Centre WR5'!$A$7:$N$160,12,FALSE),0)</f>
        <v>71</v>
      </c>
      <c r="M36" s="10">
        <f>IFERROR(VLOOKUP(A36,'Centre DW5'!$A$7:$N$163,13,FALSE),0)+
IFERROR(VLOOKUP(A36,'Centre WP5'!$A$7:$N$160,13,FALSE),0)+
IFERROR(VLOOKUP(A36,'Centre WR5'!$A$7:$N$160,13,FALSE),0)</f>
        <v>65</v>
      </c>
      <c r="N36" s="10">
        <f>IFERROR(VLOOKUP(A36,'Centre DW5'!$A$7:$N$163,14,FALSE),0)+
IFERROR(VLOOKUP(A36,'Centre WP5'!$A$7:$N$160,14,FALSE),0)+
IFERROR(VLOOKUP(A36,'Centre WR5'!$A$7:$N$160,14,FALSE),0)</f>
        <v>63</v>
      </c>
    </row>
    <row r="37" spans="1:14" outlineLevel="1" x14ac:dyDescent="0.2">
      <c r="A37" s="9" t="s">
        <v>79</v>
      </c>
      <c r="B37" s="1" t="s">
        <v>80</v>
      </c>
      <c r="C37" s="10">
        <f>IFERROR(VLOOKUP(A37,'Centre DW5'!$A$7:$N$163,3,FALSE),0)+
IFERROR(VLOOKUP(A37,'Centre WP5'!$A$7:$N$160,3,FALSE),0)+
IFERROR(VLOOKUP(A37,'Centre WR5'!$A$7:$N$160,3,FALSE),0)</f>
        <v>1.7</v>
      </c>
      <c r="D37" s="10">
        <f>IFERROR(VLOOKUP(A37,'Centre DW5'!$A$7:$N$163,4,FALSE),0)+
IFERROR(VLOOKUP(A37,'Centre WP5'!$A$7:$N$160,4,FALSE),0)+
IFERROR(VLOOKUP(A37,'Centre WR5'!$A$7:$N$160,4,FALSE),0)</f>
        <v>1.7</v>
      </c>
      <c r="E37" s="10">
        <f>IFERROR(VLOOKUP(A37,'Centre DW5'!$A$7:$N$163,5,FALSE),0)+
IFERROR(VLOOKUP(A37,'Centre WP5'!$A$7:$N$160,5,FALSE),0)+
IFERROR(VLOOKUP(A37,'Centre WR5'!$A$7:$N$160,5,FALSE),0)</f>
        <v>1.6</v>
      </c>
      <c r="F37" s="10">
        <f>IFERROR(VLOOKUP(A37,'Centre DW5'!$A$7:$N$163,6,FALSE),0)+
IFERROR(VLOOKUP(A37,'Centre WP5'!$A$7:$N$160,6,FALSE),0)+
IFERROR(VLOOKUP(A37,'Centre WR5'!$A$7:$N$160,6,FALSE),0)</f>
        <v>1.6</v>
      </c>
      <c r="G37" s="10">
        <f>IFERROR(VLOOKUP(A37,'Centre DW5'!$A$7:$N$163,7,FALSE),0)+
IFERROR(VLOOKUP(A37,'Centre WP5'!$A$7:$N$160,7,FALSE),0)+
IFERROR(VLOOKUP(A37,'Centre WR5'!$A$7:$N$160,7,FALSE),0)</f>
        <v>1.7</v>
      </c>
      <c r="H37" s="10">
        <f>IFERROR(VLOOKUP(A37,'Centre DW5'!$A$7:$N$163,8,FALSE),0)+
IFERROR(VLOOKUP(A37,'Centre WP5'!$A$7:$N$160,8,FALSE),0)+
IFERROR(VLOOKUP(A37,'Centre WR5'!$A$7:$N$160,8,FALSE),0)</f>
        <v>1.7</v>
      </c>
      <c r="I37" s="10">
        <f>IFERROR(VLOOKUP(A37,'Centre DW5'!$A$7:$N$163,9,FALSE),0)+
IFERROR(VLOOKUP(A37,'Centre WP5'!$A$7:$N$160,9,FALSE),0)+
IFERROR(VLOOKUP(A37,'Centre WR5'!$A$7:$N$160,9,FALSE),0)</f>
        <v>1</v>
      </c>
      <c r="J37" s="10">
        <f>IFERROR(VLOOKUP(A37,'Centre DW5'!$A$7:$N$163,10,FALSE),0)+
IFERROR(VLOOKUP(A37,'Centre WP5'!$A$7:$N$160,10,FALSE),0)+
IFERROR(VLOOKUP(A37,'Centre WR5'!$A$7:$N$160,10,FALSE),0)</f>
        <v>1.6</v>
      </c>
      <c r="K37" s="10">
        <f>IFERROR(VLOOKUP(A37,'Centre DW5'!$A$7:$N$163,11,FALSE),0)+
IFERROR(VLOOKUP(A37,'Centre WP5'!$A$7:$N$160,11,FALSE),0)+
IFERROR(VLOOKUP(A37,'Centre WR5'!$A$7:$N$160,11,FALSE),0)</f>
        <v>1.6</v>
      </c>
      <c r="L37" s="10">
        <f>IFERROR(VLOOKUP(A37,'Centre DW5'!$A$7:$N$163,12,FALSE),0)+
IFERROR(VLOOKUP(A37,'Centre WP5'!$A$7:$N$160,12,FALSE),0)+
IFERROR(VLOOKUP(A37,'Centre WR5'!$A$7:$N$160,12,FALSE),0)</f>
        <v>1.2</v>
      </c>
      <c r="M37" s="10">
        <f>IFERROR(VLOOKUP(A37,'Centre DW5'!$A$7:$N$163,13,FALSE),0)+
IFERROR(VLOOKUP(A37,'Centre WP5'!$A$7:$N$160,13,FALSE),0)+
IFERROR(VLOOKUP(A37,'Centre WR5'!$A$7:$N$160,13,FALSE),0)</f>
        <v>1.7</v>
      </c>
      <c r="N37" s="10">
        <f>IFERROR(VLOOKUP(A37,'Centre DW5'!$A$7:$N$163,14,FALSE),0)+
IFERROR(VLOOKUP(A37,'Centre WP5'!$A$7:$N$160,14,FALSE),0)+
IFERROR(VLOOKUP(A37,'Centre WR5'!$A$7:$N$160,14,FALSE),0)</f>
        <v>1</v>
      </c>
    </row>
    <row r="38" spans="1:14" outlineLevel="1" x14ac:dyDescent="0.2">
      <c r="A38" s="9" t="s">
        <v>81</v>
      </c>
      <c r="B38" s="1" t="s">
        <v>82</v>
      </c>
      <c r="C38" s="10">
        <f>IFERROR(VLOOKUP(A38,'Centre DW5'!$A$7:$N$163,3,FALSE),0)+
IFERROR(VLOOKUP(A38,'Centre WP5'!$A$7:$N$160,3,FALSE),0)+
IFERROR(VLOOKUP(A38,'Centre WR5'!$A$7:$N$160,3,FALSE),0)</f>
        <v>13</v>
      </c>
      <c r="D38" s="10">
        <f>IFERROR(VLOOKUP(A38,'Centre DW5'!$A$7:$N$163,4,FALSE),0)+
IFERROR(VLOOKUP(A38,'Centre WP5'!$A$7:$N$160,4,FALSE),0)+
IFERROR(VLOOKUP(A38,'Centre WR5'!$A$7:$N$160,4,FALSE),0)</f>
        <v>15</v>
      </c>
      <c r="E38" s="10">
        <f>IFERROR(VLOOKUP(A38,'Centre DW5'!$A$7:$N$163,5,FALSE),0)+
IFERROR(VLOOKUP(A38,'Centre WP5'!$A$7:$N$160,5,FALSE),0)+
IFERROR(VLOOKUP(A38,'Centre WR5'!$A$7:$N$160,5,FALSE),0)</f>
        <v>13</v>
      </c>
      <c r="F38" s="10">
        <f>IFERROR(VLOOKUP(A38,'Centre DW5'!$A$7:$N$163,6,FALSE),0)+
IFERROR(VLOOKUP(A38,'Centre WP5'!$A$7:$N$160,6,FALSE),0)+
IFERROR(VLOOKUP(A38,'Centre WR5'!$A$7:$N$160,6,FALSE),0)</f>
        <v>16</v>
      </c>
      <c r="G38" s="10">
        <f>IFERROR(VLOOKUP(A38,'Centre DW5'!$A$7:$N$163,7,FALSE),0)+
IFERROR(VLOOKUP(A38,'Centre WP5'!$A$7:$N$160,7,FALSE),0)+
IFERROR(VLOOKUP(A38,'Centre WR5'!$A$7:$N$160,7,FALSE),0)</f>
        <v>15</v>
      </c>
      <c r="H38" s="10">
        <f>IFERROR(VLOOKUP(A38,'Centre DW5'!$A$7:$N$163,8,FALSE),0)+
IFERROR(VLOOKUP(A38,'Centre WP5'!$A$7:$N$160,8,FALSE),0)+
IFERROR(VLOOKUP(A38,'Centre WR5'!$A$7:$N$160,8,FALSE),0)</f>
        <v>15</v>
      </c>
      <c r="I38" s="10">
        <f>IFERROR(VLOOKUP(A38,'Centre DW5'!$A$7:$N$163,9,FALSE),0)+
IFERROR(VLOOKUP(A38,'Centre WP5'!$A$7:$N$160,9,FALSE),0)+
IFERROR(VLOOKUP(A38,'Centre WR5'!$A$7:$N$160,9,FALSE),0)</f>
        <v>16</v>
      </c>
      <c r="J38" s="10">
        <f>IFERROR(VLOOKUP(A38,'Centre DW5'!$A$7:$N$163,10,FALSE),0)+
IFERROR(VLOOKUP(A38,'Centre WP5'!$A$7:$N$160,10,FALSE),0)+
IFERROR(VLOOKUP(A38,'Centre WR5'!$A$7:$N$160,10,FALSE),0)</f>
        <v>15</v>
      </c>
      <c r="K38" s="10">
        <f>IFERROR(VLOOKUP(A38,'Centre DW5'!$A$7:$N$163,11,FALSE),0)+
IFERROR(VLOOKUP(A38,'Centre WP5'!$A$7:$N$160,11,FALSE),0)+
IFERROR(VLOOKUP(A38,'Centre WR5'!$A$7:$N$160,11,FALSE),0)</f>
        <v>15</v>
      </c>
      <c r="L38" s="10">
        <f>IFERROR(VLOOKUP(A38,'Centre DW5'!$A$7:$N$163,12,FALSE),0)+
IFERROR(VLOOKUP(A38,'Centre WP5'!$A$7:$N$160,12,FALSE),0)+
IFERROR(VLOOKUP(A38,'Centre WR5'!$A$7:$N$160,12,FALSE),0)</f>
        <v>15</v>
      </c>
      <c r="M38" s="10">
        <f>IFERROR(VLOOKUP(A38,'Centre DW5'!$A$7:$N$163,13,FALSE),0)+
IFERROR(VLOOKUP(A38,'Centre WP5'!$A$7:$N$160,13,FALSE),0)+
IFERROR(VLOOKUP(A38,'Centre WR5'!$A$7:$N$160,13,FALSE),0)</f>
        <v>15</v>
      </c>
      <c r="N38" s="10">
        <f>IFERROR(VLOOKUP(A38,'Centre DW5'!$A$7:$N$163,14,FALSE),0)+
IFERROR(VLOOKUP(A38,'Centre WP5'!$A$7:$N$160,14,FALSE),0)+
IFERROR(VLOOKUP(A38,'Centre WR5'!$A$7:$N$160,14,FALSE),0)</f>
        <v>14</v>
      </c>
    </row>
    <row r="39" spans="1:14" outlineLevel="1" x14ac:dyDescent="0.2">
      <c r="A39" s="9" t="s">
        <v>83</v>
      </c>
      <c r="B39" s="1" t="s">
        <v>84</v>
      </c>
      <c r="C39" s="10">
        <f>IFERROR(VLOOKUP(A39,'Centre DW5'!$A$7:$N$163,3,FALSE),0)+
IFERROR(VLOOKUP(A39,'Centre WP5'!$A$7:$N$160,3,FALSE),0)+
IFERROR(VLOOKUP(A39,'Centre WR5'!$A$7:$N$160,3,FALSE),0)</f>
        <v>0</v>
      </c>
      <c r="D39" s="10">
        <f>IFERROR(VLOOKUP(A39,'Centre DW5'!$A$7:$N$163,4,FALSE),0)+
IFERROR(VLOOKUP(A39,'Centre WP5'!$A$7:$N$160,4,FALSE),0)+
IFERROR(VLOOKUP(A39,'Centre WR5'!$A$7:$N$160,4,FALSE),0)</f>
        <v>0</v>
      </c>
      <c r="E39" s="10">
        <f>IFERROR(VLOOKUP(A39,'Centre DW5'!$A$7:$N$163,5,FALSE),0)+
IFERROR(VLOOKUP(A39,'Centre WP5'!$A$7:$N$160,5,FALSE),0)+
IFERROR(VLOOKUP(A39,'Centre WR5'!$A$7:$N$160,5,FALSE),0)</f>
        <v>0</v>
      </c>
      <c r="F39" s="10">
        <f>IFERROR(VLOOKUP(A39,'Centre DW5'!$A$7:$N$163,6,FALSE),0)+
IFERROR(VLOOKUP(A39,'Centre WP5'!$A$7:$N$160,6,FALSE),0)+
IFERROR(VLOOKUP(A39,'Centre WR5'!$A$7:$N$160,6,FALSE),0)</f>
        <v>0</v>
      </c>
      <c r="G39" s="10">
        <f>IFERROR(VLOOKUP(A39,'Centre DW5'!$A$7:$N$163,7,FALSE),0)+
IFERROR(VLOOKUP(A39,'Centre WP5'!$A$7:$N$160,7,FALSE),0)+
IFERROR(VLOOKUP(A39,'Centre WR5'!$A$7:$N$160,7,FALSE),0)</f>
        <v>0</v>
      </c>
      <c r="H39" s="10">
        <f>IFERROR(VLOOKUP(A39,'Centre DW5'!$A$7:$N$163,8,FALSE),0)+
IFERROR(VLOOKUP(A39,'Centre WP5'!$A$7:$N$160,8,FALSE),0)+
IFERROR(VLOOKUP(A39,'Centre WR5'!$A$7:$N$160,8,FALSE),0)</f>
        <v>0</v>
      </c>
      <c r="I39" s="10">
        <f>IFERROR(VLOOKUP(A39,'Centre DW5'!$A$7:$N$163,9,FALSE),0)+
IFERROR(VLOOKUP(A39,'Centre WP5'!$A$7:$N$160,9,FALSE),0)+
IFERROR(VLOOKUP(A39,'Centre WR5'!$A$7:$N$160,9,FALSE),0)</f>
        <v>0</v>
      </c>
      <c r="J39" s="10">
        <f>IFERROR(VLOOKUP(A39,'Centre DW5'!$A$7:$N$163,10,FALSE),0)+
IFERROR(VLOOKUP(A39,'Centre WP5'!$A$7:$N$160,10,FALSE),0)+
IFERROR(VLOOKUP(A39,'Centre WR5'!$A$7:$N$160,10,FALSE),0)</f>
        <v>0</v>
      </c>
      <c r="K39" s="10">
        <f>IFERROR(VLOOKUP(A39,'Centre DW5'!$A$7:$N$163,11,FALSE),0)+
IFERROR(VLOOKUP(A39,'Centre WP5'!$A$7:$N$160,11,FALSE),0)+
IFERROR(VLOOKUP(A39,'Centre WR5'!$A$7:$N$160,11,FALSE),0)</f>
        <v>0</v>
      </c>
      <c r="L39" s="10">
        <f>IFERROR(VLOOKUP(A39,'Centre DW5'!$A$7:$N$163,12,FALSE),0)+
IFERROR(VLOOKUP(A39,'Centre WP5'!$A$7:$N$160,12,FALSE),0)+
IFERROR(VLOOKUP(A39,'Centre WR5'!$A$7:$N$160,12,FALSE),0)</f>
        <v>0</v>
      </c>
      <c r="M39" s="10">
        <f>IFERROR(VLOOKUP(A39,'Centre DW5'!$A$7:$N$163,13,FALSE),0)+
IFERROR(VLOOKUP(A39,'Centre WP5'!$A$7:$N$160,13,FALSE),0)+
IFERROR(VLOOKUP(A39,'Centre WR5'!$A$7:$N$160,13,FALSE),0)</f>
        <v>0</v>
      </c>
      <c r="N39" s="10">
        <f>IFERROR(VLOOKUP(A39,'Centre DW5'!$A$7:$N$163,14,FALSE),0)+
IFERROR(VLOOKUP(A39,'Centre WP5'!$A$7:$N$160,14,FALSE),0)+
IFERROR(VLOOKUP(A39,'Centre WR5'!$A$7:$N$160,14,FALSE),0)</f>
        <v>0</v>
      </c>
    </row>
    <row r="40" spans="1:14" outlineLevel="1" x14ac:dyDescent="0.2">
      <c r="A40" s="9" t="s">
        <v>85</v>
      </c>
      <c r="B40" s="1" t="s">
        <v>86</v>
      </c>
      <c r="C40" s="10">
        <f>IFERROR(VLOOKUP(A40,'Centre DW5'!$A$7:$N$163,3,FALSE),0)+
IFERROR(VLOOKUP(A40,'Centre WP5'!$A$7:$N$160,3,FALSE),0)+
IFERROR(VLOOKUP(A40,'Centre WR5'!$A$7:$N$160,3,FALSE),0)</f>
        <v>2.7</v>
      </c>
      <c r="D40" s="10">
        <f>IFERROR(VLOOKUP(A40,'Centre DW5'!$A$7:$N$163,4,FALSE),0)+
IFERROR(VLOOKUP(A40,'Centre WP5'!$A$7:$N$160,4,FALSE),0)+
IFERROR(VLOOKUP(A40,'Centre WR5'!$A$7:$N$160,4,FALSE),0)</f>
        <v>3.3</v>
      </c>
      <c r="E40" s="10">
        <f>IFERROR(VLOOKUP(A40,'Centre DW5'!$A$7:$N$163,5,FALSE),0)+
IFERROR(VLOOKUP(A40,'Centre WP5'!$A$7:$N$160,5,FALSE),0)+
IFERROR(VLOOKUP(A40,'Centre WR5'!$A$7:$N$160,5,FALSE),0)</f>
        <v>4.8</v>
      </c>
      <c r="F40" s="10">
        <f>IFERROR(VLOOKUP(A40,'Centre DW5'!$A$7:$N$163,6,FALSE),0)+
IFERROR(VLOOKUP(A40,'Centre WP5'!$A$7:$N$160,6,FALSE),0)+
IFERROR(VLOOKUP(A40,'Centre WR5'!$A$7:$N$160,6,FALSE),0)</f>
        <v>9.1999999999999993</v>
      </c>
      <c r="G40" s="10">
        <f>IFERROR(VLOOKUP(A40,'Centre DW5'!$A$7:$N$163,7,FALSE),0)+
IFERROR(VLOOKUP(A40,'Centre WP5'!$A$7:$N$160,7,FALSE),0)+
IFERROR(VLOOKUP(A40,'Centre WR5'!$A$7:$N$160,7,FALSE),0)</f>
        <v>4.7</v>
      </c>
      <c r="H40" s="10">
        <f>IFERROR(VLOOKUP(A40,'Centre DW5'!$A$7:$N$163,8,FALSE),0)+
IFERROR(VLOOKUP(A40,'Centre WP5'!$A$7:$N$160,8,FALSE),0)+
IFERROR(VLOOKUP(A40,'Centre WR5'!$A$7:$N$160,8,FALSE),0)</f>
        <v>2.7</v>
      </c>
      <c r="I40" s="10">
        <f>IFERROR(VLOOKUP(A40,'Centre DW5'!$A$7:$N$163,9,FALSE),0)+
IFERROR(VLOOKUP(A40,'Centre WP5'!$A$7:$N$160,9,FALSE),0)+
IFERROR(VLOOKUP(A40,'Centre WR5'!$A$7:$N$160,9,FALSE),0)</f>
        <v>3.7</v>
      </c>
      <c r="J40" s="10">
        <f>IFERROR(VLOOKUP(A40,'Centre DW5'!$A$7:$N$163,10,FALSE),0)+
IFERROR(VLOOKUP(A40,'Centre WP5'!$A$7:$N$160,10,FALSE),0)+
IFERROR(VLOOKUP(A40,'Centre WR5'!$A$7:$N$160,10,FALSE),0)</f>
        <v>4.8</v>
      </c>
      <c r="K40" s="10">
        <f>IFERROR(VLOOKUP(A40,'Centre DW5'!$A$7:$N$163,11,FALSE),0)+
IFERROR(VLOOKUP(A40,'Centre WP5'!$A$7:$N$160,11,FALSE),0)+
IFERROR(VLOOKUP(A40,'Centre WR5'!$A$7:$N$160,11,FALSE),0)</f>
        <v>9.1999999999999993</v>
      </c>
      <c r="L40" s="10">
        <f>IFERROR(VLOOKUP(A40,'Centre DW5'!$A$7:$N$163,12,FALSE),0)+
IFERROR(VLOOKUP(A40,'Centre WP5'!$A$7:$N$160,12,FALSE),0)+
IFERROR(VLOOKUP(A40,'Centre WR5'!$A$7:$N$160,12,FALSE),0)</f>
        <v>4.7</v>
      </c>
      <c r="M40" s="10">
        <f>IFERROR(VLOOKUP(A40,'Centre DW5'!$A$7:$N$163,13,FALSE),0)+
IFERROR(VLOOKUP(A40,'Centre WP5'!$A$7:$N$160,13,FALSE),0)+
IFERROR(VLOOKUP(A40,'Centre WR5'!$A$7:$N$160,13,FALSE),0)</f>
        <v>2.7</v>
      </c>
      <c r="N40" s="10">
        <f>IFERROR(VLOOKUP(A40,'Centre DW5'!$A$7:$N$163,14,FALSE),0)+
IFERROR(VLOOKUP(A40,'Centre WP5'!$A$7:$N$160,14,FALSE),0)+
IFERROR(VLOOKUP(A40,'Centre WR5'!$A$7:$N$160,14,FALSE),0)</f>
        <v>3.7</v>
      </c>
    </row>
    <row r="41" spans="1:14" outlineLevel="1" x14ac:dyDescent="0.2">
      <c r="A41" s="9" t="s">
        <v>87</v>
      </c>
      <c r="B41" s="1" t="s">
        <v>88</v>
      </c>
      <c r="C41" s="10">
        <f>IFERROR(VLOOKUP(A41,'Centre DW5'!$A$7:$N$163,3,FALSE),0)+
IFERROR(VLOOKUP(A41,'Centre WP5'!$A$7:$N$160,3,FALSE),0)+
IFERROR(VLOOKUP(A41,'Centre WR5'!$A$7:$N$160,3,FALSE),0)</f>
        <v>8</v>
      </c>
      <c r="D41" s="10">
        <f>IFERROR(VLOOKUP(A41,'Centre DW5'!$A$7:$N$163,4,FALSE),0)+
IFERROR(VLOOKUP(A41,'Centre WP5'!$A$7:$N$160,4,FALSE),0)+
IFERROR(VLOOKUP(A41,'Centre WR5'!$A$7:$N$160,4,FALSE),0)</f>
        <v>6.2</v>
      </c>
      <c r="E41" s="10">
        <f>IFERROR(VLOOKUP(A41,'Centre DW5'!$A$7:$N$163,5,FALSE),0)+
IFERROR(VLOOKUP(A41,'Centre WP5'!$A$7:$N$160,5,FALSE),0)+
IFERROR(VLOOKUP(A41,'Centre WR5'!$A$7:$N$160,5,FALSE),0)</f>
        <v>6.1</v>
      </c>
      <c r="F41" s="10">
        <f>IFERROR(VLOOKUP(A41,'Centre DW5'!$A$7:$N$163,6,FALSE),0)+
IFERROR(VLOOKUP(A41,'Centre WP5'!$A$7:$N$160,6,FALSE),0)+
IFERROR(VLOOKUP(A41,'Centre WR5'!$A$7:$N$160,6,FALSE),0)</f>
        <v>6.5</v>
      </c>
      <c r="G41" s="10">
        <f>IFERROR(VLOOKUP(A41,'Centre DW5'!$A$7:$N$163,7,FALSE),0)+
IFERROR(VLOOKUP(A41,'Centre WP5'!$A$7:$N$160,7,FALSE),0)+
IFERROR(VLOOKUP(A41,'Centre WR5'!$A$7:$N$160,7,FALSE),0)</f>
        <v>6.5</v>
      </c>
      <c r="H41" s="10">
        <f>IFERROR(VLOOKUP(A41,'Centre DW5'!$A$7:$N$163,8,FALSE),0)+
IFERROR(VLOOKUP(A41,'Centre WP5'!$A$7:$N$160,8,FALSE),0)+
IFERROR(VLOOKUP(A41,'Centre WR5'!$A$7:$N$160,8,FALSE),0)</f>
        <v>6.5</v>
      </c>
      <c r="I41" s="10">
        <f>IFERROR(VLOOKUP(A41,'Centre DW5'!$A$7:$N$163,9,FALSE),0)+
IFERROR(VLOOKUP(A41,'Centre WP5'!$A$7:$N$160,9,FALSE),0)+
IFERROR(VLOOKUP(A41,'Centre WR5'!$A$7:$N$160,9,FALSE),0)</f>
        <v>6.4</v>
      </c>
      <c r="J41" s="10">
        <f>IFERROR(VLOOKUP(A41,'Centre DW5'!$A$7:$N$163,10,FALSE),0)+
IFERROR(VLOOKUP(A41,'Centre WP5'!$A$7:$N$160,10,FALSE),0)+
IFERROR(VLOOKUP(A41,'Centre WR5'!$A$7:$N$160,10,FALSE),0)</f>
        <v>6.1</v>
      </c>
      <c r="K41" s="10">
        <f>IFERROR(VLOOKUP(A41,'Centre DW5'!$A$7:$N$163,11,FALSE),0)+
IFERROR(VLOOKUP(A41,'Centre WP5'!$A$7:$N$160,11,FALSE),0)+
IFERROR(VLOOKUP(A41,'Centre WR5'!$A$7:$N$160,11,FALSE),0)</f>
        <v>6.5</v>
      </c>
      <c r="L41" s="10">
        <f>IFERROR(VLOOKUP(A41,'Centre DW5'!$A$7:$N$163,12,FALSE),0)+
IFERROR(VLOOKUP(A41,'Centre WP5'!$A$7:$N$160,12,FALSE),0)+
IFERROR(VLOOKUP(A41,'Centre WR5'!$A$7:$N$160,12,FALSE),0)</f>
        <v>6.5</v>
      </c>
      <c r="M41" s="10">
        <f>IFERROR(VLOOKUP(A41,'Centre DW5'!$A$7:$N$163,13,FALSE),0)+
IFERROR(VLOOKUP(A41,'Centre WP5'!$A$7:$N$160,13,FALSE),0)+
IFERROR(VLOOKUP(A41,'Centre WR5'!$A$7:$N$160,13,FALSE),0)</f>
        <v>6.5</v>
      </c>
      <c r="N41" s="10">
        <f>IFERROR(VLOOKUP(A41,'Centre DW5'!$A$7:$N$163,14,FALSE),0)+
IFERROR(VLOOKUP(A41,'Centre WP5'!$A$7:$N$160,14,FALSE),0)+
IFERROR(VLOOKUP(A41,'Centre WR5'!$A$7:$N$160,14,FALSE),0)</f>
        <v>6.4</v>
      </c>
    </row>
    <row r="42" spans="1:14" outlineLevel="1" x14ac:dyDescent="0.2">
      <c r="A42" s="9" t="s">
        <v>89</v>
      </c>
      <c r="B42" s="1" t="s">
        <v>90</v>
      </c>
      <c r="C42" s="10">
        <f>IFERROR(VLOOKUP(A42,'Centre DW5'!$A$7:$N$163,3,FALSE),0)+
IFERROR(VLOOKUP(A42,'Centre WP5'!$A$7:$N$160,3,FALSE),0)+
IFERROR(VLOOKUP(A42,'Centre WR5'!$A$7:$N$160,3,FALSE),0)</f>
        <v>8.6</v>
      </c>
      <c r="D42" s="10">
        <f>IFERROR(VLOOKUP(A42,'Centre DW5'!$A$7:$N$163,4,FALSE),0)+
IFERROR(VLOOKUP(A42,'Centre WP5'!$A$7:$N$160,4,FALSE),0)+
IFERROR(VLOOKUP(A42,'Centre WR5'!$A$7:$N$160,4,FALSE),0)</f>
        <v>6.7</v>
      </c>
      <c r="E42" s="10">
        <f>IFERROR(VLOOKUP(A42,'Centre DW5'!$A$7:$N$163,5,FALSE),0)+
IFERROR(VLOOKUP(A42,'Centre WP5'!$A$7:$N$160,5,FALSE),0)+
IFERROR(VLOOKUP(A42,'Centre WR5'!$A$7:$N$160,5,FALSE),0)</f>
        <v>7</v>
      </c>
      <c r="F42" s="10">
        <f>IFERROR(VLOOKUP(A42,'Centre DW5'!$A$7:$N$163,6,FALSE),0)+
IFERROR(VLOOKUP(A42,'Centre WP5'!$A$7:$N$160,6,FALSE),0)+
IFERROR(VLOOKUP(A42,'Centre WR5'!$A$7:$N$160,6,FALSE),0)</f>
        <v>8</v>
      </c>
      <c r="G42" s="10">
        <f>IFERROR(VLOOKUP(A42,'Centre DW5'!$A$7:$N$163,7,FALSE),0)+
IFERROR(VLOOKUP(A42,'Centre WP5'!$A$7:$N$160,7,FALSE),0)+
IFERROR(VLOOKUP(A42,'Centre WR5'!$A$7:$N$160,7,FALSE),0)</f>
        <v>8.1999999999999993</v>
      </c>
      <c r="H42" s="10">
        <f>IFERROR(VLOOKUP(A42,'Centre DW5'!$A$7:$N$163,8,FALSE),0)+
IFERROR(VLOOKUP(A42,'Centre WP5'!$A$7:$N$160,8,FALSE),0)+
IFERROR(VLOOKUP(A42,'Centre WR5'!$A$7:$N$160,8,FALSE),0)</f>
        <v>6.9</v>
      </c>
      <c r="I42" s="10">
        <f>IFERROR(VLOOKUP(A42,'Centre DW5'!$A$7:$N$163,9,FALSE),0)+
IFERROR(VLOOKUP(A42,'Centre WP5'!$A$7:$N$160,9,FALSE),0)+
IFERROR(VLOOKUP(A42,'Centre WR5'!$A$7:$N$160,9,FALSE),0)</f>
        <v>6.9</v>
      </c>
      <c r="J42" s="10">
        <f>IFERROR(VLOOKUP(A42,'Centre DW5'!$A$7:$N$163,10,FALSE),0)+
IFERROR(VLOOKUP(A42,'Centre WP5'!$A$7:$N$160,10,FALSE),0)+
IFERROR(VLOOKUP(A42,'Centre WR5'!$A$7:$N$160,10,FALSE),0)</f>
        <v>7</v>
      </c>
      <c r="K42" s="10">
        <f>IFERROR(VLOOKUP(A42,'Centre DW5'!$A$7:$N$163,11,FALSE),0)+
IFERROR(VLOOKUP(A42,'Centre WP5'!$A$7:$N$160,11,FALSE),0)+
IFERROR(VLOOKUP(A42,'Centre WR5'!$A$7:$N$160,11,FALSE),0)</f>
        <v>8</v>
      </c>
      <c r="L42" s="10">
        <f>IFERROR(VLOOKUP(A42,'Centre DW5'!$A$7:$N$163,12,FALSE),0)+
IFERROR(VLOOKUP(A42,'Centre WP5'!$A$7:$N$160,12,FALSE),0)+
IFERROR(VLOOKUP(A42,'Centre WR5'!$A$7:$N$160,12,FALSE),0)</f>
        <v>8.1999999999999993</v>
      </c>
      <c r="M42" s="10">
        <f>IFERROR(VLOOKUP(A42,'Centre DW5'!$A$7:$N$163,13,FALSE),0)+
IFERROR(VLOOKUP(A42,'Centre WP5'!$A$7:$N$160,13,FALSE),0)+
IFERROR(VLOOKUP(A42,'Centre WR5'!$A$7:$N$160,13,FALSE),0)</f>
        <v>6.9</v>
      </c>
      <c r="N42" s="10">
        <f>IFERROR(VLOOKUP(A42,'Centre DW5'!$A$7:$N$163,14,FALSE),0)+
IFERROR(VLOOKUP(A42,'Centre WP5'!$A$7:$N$160,14,FALSE),0)+
IFERROR(VLOOKUP(A42,'Centre WR5'!$A$7:$N$160,14,FALSE),0)</f>
        <v>6.9</v>
      </c>
    </row>
    <row r="43" spans="1:14" outlineLevel="1" x14ac:dyDescent="0.2">
      <c r="A43" s="9" t="s">
        <v>93</v>
      </c>
      <c r="B43" s="1" t="s">
        <v>94</v>
      </c>
      <c r="C43" s="10">
        <f>IFERROR(VLOOKUP(A43,'Centre DW5'!$A$7:$N$163,3,FALSE),0)+
IFERROR(VLOOKUP(A43,'Centre WP5'!$A$7:$N$160,3,FALSE),0)+
IFERROR(VLOOKUP(A43,'Centre WR5'!$A$7:$N$160,3,FALSE),0)</f>
        <v>12.1</v>
      </c>
      <c r="D43" s="10">
        <f>IFERROR(VLOOKUP(A43,'Centre DW5'!$A$7:$N$163,4,FALSE),0)+
IFERROR(VLOOKUP(A43,'Centre WP5'!$A$7:$N$160,4,FALSE),0)+
IFERROR(VLOOKUP(A43,'Centre WR5'!$A$7:$N$160,4,FALSE),0)</f>
        <v>7.3</v>
      </c>
      <c r="E43" s="10">
        <f>IFERROR(VLOOKUP(A43,'Centre DW5'!$A$7:$N$163,5,FALSE),0)+
IFERROR(VLOOKUP(A43,'Centre WP5'!$A$7:$N$160,5,FALSE),0)+
IFERROR(VLOOKUP(A43,'Centre WR5'!$A$7:$N$160,5,FALSE),0)</f>
        <v>7.8</v>
      </c>
      <c r="F43" s="10">
        <f>IFERROR(VLOOKUP(A43,'Centre DW5'!$A$7:$N$163,6,FALSE),0)+
IFERROR(VLOOKUP(A43,'Centre WP5'!$A$7:$N$160,6,FALSE),0)+
IFERROR(VLOOKUP(A43,'Centre WR5'!$A$7:$N$160,6,FALSE),0)</f>
        <v>11.3</v>
      </c>
      <c r="G43" s="10">
        <f>IFERROR(VLOOKUP(A43,'Centre DW5'!$A$7:$N$163,7,FALSE),0)+
IFERROR(VLOOKUP(A43,'Centre WP5'!$A$7:$N$160,7,FALSE),0)+
IFERROR(VLOOKUP(A43,'Centre WR5'!$A$7:$N$160,7,FALSE),0)</f>
        <v>6.4</v>
      </c>
      <c r="H43" s="10">
        <f>IFERROR(VLOOKUP(A43,'Centre DW5'!$A$7:$N$163,8,FALSE),0)+
IFERROR(VLOOKUP(A43,'Centre WP5'!$A$7:$N$160,8,FALSE),0)+
IFERROR(VLOOKUP(A43,'Centre WR5'!$A$7:$N$160,8,FALSE),0)</f>
        <v>6.5</v>
      </c>
      <c r="I43" s="10">
        <f>IFERROR(VLOOKUP(A43,'Centre DW5'!$A$7:$N$163,9,FALSE),0)+
IFERROR(VLOOKUP(A43,'Centre WP5'!$A$7:$N$160,9,FALSE),0)+
IFERROR(VLOOKUP(A43,'Centre WR5'!$A$7:$N$160,9,FALSE),0)</f>
        <v>10.5</v>
      </c>
      <c r="J43" s="10">
        <f>IFERROR(VLOOKUP(A43,'Centre DW5'!$A$7:$N$163,10,FALSE),0)+
IFERROR(VLOOKUP(A43,'Centre WP5'!$A$7:$N$160,10,FALSE),0)+
IFERROR(VLOOKUP(A43,'Centre WR5'!$A$7:$N$160,10,FALSE),0)</f>
        <v>7.8</v>
      </c>
      <c r="K43" s="10">
        <f>IFERROR(VLOOKUP(A43,'Centre DW5'!$A$7:$N$163,11,FALSE),0)+
IFERROR(VLOOKUP(A43,'Centre WP5'!$A$7:$N$160,11,FALSE),0)+
IFERROR(VLOOKUP(A43,'Centre WR5'!$A$7:$N$160,11,FALSE),0)</f>
        <v>11.3</v>
      </c>
      <c r="L43" s="10">
        <f>IFERROR(VLOOKUP(A43,'Centre DW5'!$A$7:$N$163,12,FALSE),0)+
IFERROR(VLOOKUP(A43,'Centre WP5'!$A$7:$N$160,12,FALSE),0)+
IFERROR(VLOOKUP(A43,'Centre WR5'!$A$7:$N$160,12,FALSE),0)</f>
        <v>6.4</v>
      </c>
      <c r="M43" s="10">
        <f>IFERROR(VLOOKUP(A43,'Centre DW5'!$A$7:$N$163,13,FALSE),0)+
IFERROR(VLOOKUP(A43,'Centre WP5'!$A$7:$N$160,13,FALSE),0)+
IFERROR(VLOOKUP(A43,'Centre WR5'!$A$7:$N$160,13,FALSE),0)</f>
        <v>6.5</v>
      </c>
      <c r="N43" s="10">
        <f>IFERROR(VLOOKUP(A43,'Centre DW5'!$A$7:$N$163,14,FALSE),0)+
IFERROR(VLOOKUP(A43,'Centre WP5'!$A$7:$N$160,14,FALSE),0)+
IFERROR(VLOOKUP(A43,'Centre WR5'!$A$7:$N$160,14,FALSE),0)</f>
        <v>10.5</v>
      </c>
    </row>
    <row r="44" spans="1:14" outlineLevel="1" x14ac:dyDescent="0.2">
      <c r="A44" s="9" t="s">
        <v>95</v>
      </c>
      <c r="B44" s="1" t="s">
        <v>96</v>
      </c>
      <c r="C44" s="10">
        <f>IFERROR(VLOOKUP(A44,'Centre DW5'!$A$7:$N$163,3,FALSE),0)+
IFERROR(VLOOKUP(A44,'Centre WP5'!$A$7:$N$160,3,FALSE),0)+
IFERROR(VLOOKUP(A44,'Centre WR5'!$A$7:$N$160,3,FALSE),0)</f>
        <v>6.1</v>
      </c>
      <c r="D44" s="10">
        <f>IFERROR(VLOOKUP(A44,'Centre DW5'!$A$7:$N$163,4,FALSE),0)+
IFERROR(VLOOKUP(A44,'Centre WP5'!$A$7:$N$160,4,FALSE),0)+
IFERROR(VLOOKUP(A44,'Centre WR5'!$A$7:$N$160,4,FALSE),0)</f>
        <v>5.4</v>
      </c>
      <c r="E44" s="10">
        <f>IFERROR(VLOOKUP(A44,'Centre DW5'!$A$7:$N$163,5,FALSE),0)+
IFERROR(VLOOKUP(A44,'Centre WP5'!$A$7:$N$160,5,FALSE),0)+
IFERROR(VLOOKUP(A44,'Centre WR5'!$A$7:$N$160,5,FALSE),0)</f>
        <v>5.7</v>
      </c>
      <c r="F44" s="10">
        <f>IFERROR(VLOOKUP(A44,'Centre DW5'!$A$7:$N$163,6,FALSE),0)+
IFERROR(VLOOKUP(A44,'Centre WP5'!$A$7:$N$160,6,FALSE),0)+
IFERROR(VLOOKUP(A44,'Centre WR5'!$A$7:$N$160,6,FALSE),0)</f>
        <v>5.9</v>
      </c>
      <c r="G44" s="10">
        <f>IFERROR(VLOOKUP(A44,'Centre DW5'!$A$7:$N$163,7,FALSE),0)+
IFERROR(VLOOKUP(A44,'Centre WP5'!$A$7:$N$160,7,FALSE),0)+
IFERROR(VLOOKUP(A44,'Centre WR5'!$A$7:$N$160,7,FALSE),0)</f>
        <v>5.7</v>
      </c>
      <c r="H44" s="10">
        <f>IFERROR(VLOOKUP(A44,'Centre DW5'!$A$7:$N$163,8,FALSE),0)+
IFERROR(VLOOKUP(A44,'Centre WP5'!$A$7:$N$160,8,FALSE),0)+
IFERROR(VLOOKUP(A44,'Centre WR5'!$A$7:$N$160,8,FALSE),0)</f>
        <v>5.6</v>
      </c>
      <c r="I44" s="10">
        <f>IFERROR(VLOOKUP(A44,'Centre DW5'!$A$7:$N$163,9,FALSE),0)+
IFERROR(VLOOKUP(A44,'Centre WP5'!$A$7:$N$160,9,FALSE),0)+
IFERROR(VLOOKUP(A44,'Centre WR5'!$A$7:$N$160,9,FALSE),0)</f>
        <v>5.4</v>
      </c>
      <c r="J44" s="10">
        <f>IFERROR(VLOOKUP(A44,'Centre DW5'!$A$7:$N$163,10,FALSE),0)+
IFERROR(VLOOKUP(A44,'Centre WP5'!$A$7:$N$160,10,FALSE),0)+
IFERROR(VLOOKUP(A44,'Centre WR5'!$A$7:$N$160,10,FALSE),0)</f>
        <v>5.7</v>
      </c>
      <c r="K44" s="10">
        <f>IFERROR(VLOOKUP(A44,'Centre DW5'!$A$7:$N$163,11,FALSE),0)+
IFERROR(VLOOKUP(A44,'Centre WP5'!$A$7:$N$160,11,FALSE),0)+
IFERROR(VLOOKUP(A44,'Centre WR5'!$A$7:$N$160,11,FALSE),0)</f>
        <v>5.9</v>
      </c>
      <c r="L44" s="10">
        <f>IFERROR(VLOOKUP(A44,'Centre DW5'!$A$7:$N$163,12,FALSE),0)+
IFERROR(VLOOKUP(A44,'Centre WP5'!$A$7:$N$160,12,FALSE),0)+
IFERROR(VLOOKUP(A44,'Centre WR5'!$A$7:$N$160,12,FALSE),0)</f>
        <v>5.7</v>
      </c>
      <c r="M44" s="10">
        <f>IFERROR(VLOOKUP(A44,'Centre DW5'!$A$7:$N$163,13,FALSE),0)+
IFERROR(VLOOKUP(A44,'Centre WP5'!$A$7:$N$160,13,FALSE),0)+
IFERROR(VLOOKUP(A44,'Centre WR5'!$A$7:$N$160,13,FALSE),0)</f>
        <v>5.6</v>
      </c>
      <c r="N44" s="10">
        <f>IFERROR(VLOOKUP(A44,'Centre DW5'!$A$7:$N$163,14,FALSE),0)+
IFERROR(VLOOKUP(A44,'Centre WP5'!$A$7:$N$160,14,FALSE),0)+
IFERROR(VLOOKUP(A44,'Centre WR5'!$A$7:$N$160,14,FALSE),0)</f>
        <v>5.4</v>
      </c>
    </row>
    <row r="45" spans="1:14" outlineLevel="1" x14ac:dyDescent="0.2">
      <c r="A45" s="9" t="s">
        <v>301</v>
      </c>
      <c r="B45" s="1" t="s">
        <v>302</v>
      </c>
      <c r="C45" s="10">
        <f>IFERROR(VLOOKUP(A45,'Centre DW5'!$A$7:$N$163,3,FALSE),0)+
IFERROR(VLOOKUP(A45,'Centre WP5'!$A$7:$N$160,3,FALSE),0)+
IFERROR(VLOOKUP(A45,'Centre WR5'!$A$7:$N$160,3,FALSE),0)</f>
        <v>0</v>
      </c>
      <c r="D45" s="10">
        <f>IFERROR(VLOOKUP(A45,'Centre DW5'!$A$7:$N$163,4,FALSE),0)+
IFERROR(VLOOKUP(A45,'Centre WP5'!$A$7:$N$160,4,FALSE),0)+
IFERROR(VLOOKUP(A45,'Centre WR5'!$A$7:$N$160,4,FALSE),0)</f>
        <v>0</v>
      </c>
      <c r="E45" s="10">
        <f>IFERROR(VLOOKUP(A45,'Centre DW5'!$A$7:$N$163,5,FALSE),0)+
IFERROR(VLOOKUP(A45,'Centre WP5'!$A$7:$N$160,5,FALSE),0)+
IFERROR(VLOOKUP(A45,'Centre WR5'!$A$7:$N$160,5,FALSE),0)</f>
        <v>0</v>
      </c>
      <c r="F45" s="10">
        <f>IFERROR(VLOOKUP(A45,'Centre DW5'!$A$7:$N$163,6,FALSE),0)+
IFERROR(VLOOKUP(A45,'Centre WP5'!$A$7:$N$160,6,FALSE),0)+
IFERROR(VLOOKUP(A45,'Centre WR5'!$A$7:$N$160,6,FALSE),0)</f>
        <v>0</v>
      </c>
      <c r="G45" s="10">
        <f>IFERROR(VLOOKUP(A45,'Centre DW5'!$A$7:$N$163,7,FALSE),0)+
IFERROR(VLOOKUP(A45,'Centre WP5'!$A$7:$N$160,7,FALSE),0)+
IFERROR(VLOOKUP(A45,'Centre WR5'!$A$7:$N$160,7,FALSE),0)</f>
        <v>0</v>
      </c>
      <c r="H45" s="10">
        <f>IFERROR(VLOOKUP(A45,'Centre DW5'!$A$7:$N$163,8,FALSE),0)+
IFERROR(VLOOKUP(A45,'Centre WP5'!$A$7:$N$160,8,FALSE),0)+
IFERROR(VLOOKUP(A45,'Centre WR5'!$A$7:$N$160,8,FALSE),0)</f>
        <v>0</v>
      </c>
      <c r="I45" s="10">
        <f>IFERROR(VLOOKUP(A45,'Centre DW5'!$A$7:$N$163,9,FALSE),0)+
IFERROR(VLOOKUP(A45,'Centre WP5'!$A$7:$N$160,9,FALSE),0)+
IFERROR(VLOOKUP(A45,'Centre WR5'!$A$7:$N$160,9,FALSE),0)</f>
        <v>0</v>
      </c>
      <c r="J45" s="10">
        <f>IFERROR(VLOOKUP(A45,'Centre DW5'!$A$7:$N$163,10,FALSE),0)+
IFERROR(VLOOKUP(A45,'Centre WP5'!$A$7:$N$160,10,FALSE),0)+
IFERROR(VLOOKUP(A45,'Centre WR5'!$A$7:$N$160,10,FALSE),0)</f>
        <v>0</v>
      </c>
      <c r="K45" s="10">
        <f>IFERROR(VLOOKUP(A45,'Centre DW5'!$A$7:$N$163,11,FALSE),0)+
IFERROR(VLOOKUP(A45,'Centre WP5'!$A$7:$N$160,11,FALSE),0)+
IFERROR(VLOOKUP(A45,'Centre WR5'!$A$7:$N$160,11,FALSE),0)</f>
        <v>0</v>
      </c>
      <c r="L45" s="10">
        <f>IFERROR(VLOOKUP(A45,'Centre DW5'!$A$7:$N$163,12,FALSE),0)+
IFERROR(VLOOKUP(A45,'Centre WP5'!$A$7:$N$160,12,FALSE),0)+
IFERROR(VLOOKUP(A45,'Centre WR5'!$A$7:$N$160,12,FALSE),0)</f>
        <v>0</v>
      </c>
      <c r="M45" s="10">
        <f>IFERROR(VLOOKUP(A45,'Centre DW5'!$A$7:$N$163,13,FALSE),0)+
IFERROR(VLOOKUP(A45,'Centre WP5'!$A$7:$N$160,13,FALSE),0)+
IFERROR(VLOOKUP(A45,'Centre WR5'!$A$7:$N$160,13,FALSE),0)</f>
        <v>0</v>
      </c>
      <c r="N45" s="10">
        <f>IFERROR(VLOOKUP(A45,'Centre DW5'!$A$7:$N$163,14,FALSE),0)+
IFERROR(VLOOKUP(A45,'Centre WP5'!$A$7:$N$160,14,FALSE),0)+
IFERROR(VLOOKUP(A45,'Centre WR5'!$A$7:$N$160,14,FALSE),0)</f>
        <v>0</v>
      </c>
    </row>
    <row r="46" spans="1:14" outlineLevel="1" x14ac:dyDescent="0.2">
      <c r="A46" s="9" t="s">
        <v>97</v>
      </c>
      <c r="B46" s="1" t="s">
        <v>98</v>
      </c>
      <c r="C46" s="10">
        <f>IFERROR(VLOOKUP(A46,'Centre DW5'!$A$7:$N$163,3,FALSE),0)+
IFERROR(VLOOKUP(A46,'Centre WP5'!$A$7:$N$160,3,FALSE),0)+
IFERROR(VLOOKUP(A46,'Centre WR5'!$A$7:$N$160,3,FALSE),0)</f>
        <v>3.1</v>
      </c>
      <c r="D46" s="10">
        <f>IFERROR(VLOOKUP(A46,'Centre DW5'!$A$7:$N$163,4,FALSE),0)+
IFERROR(VLOOKUP(A46,'Centre WP5'!$A$7:$N$160,4,FALSE),0)+
IFERROR(VLOOKUP(A46,'Centre WR5'!$A$7:$N$160,4,FALSE),0)</f>
        <v>7.2</v>
      </c>
      <c r="E46" s="10">
        <f>IFERROR(VLOOKUP(A46,'Centre DW5'!$A$7:$N$163,5,FALSE),0)+
IFERROR(VLOOKUP(A46,'Centre WP5'!$A$7:$N$160,5,FALSE),0)+
IFERROR(VLOOKUP(A46,'Centre WR5'!$A$7:$N$160,5,FALSE),0)</f>
        <v>8</v>
      </c>
      <c r="F46" s="10">
        <f>IFERROR(VLOOKUP(A46,'Centre DW5'!$A$7:$N$163,6,FALSE),0)+
IFERROR(VLOOKUP(A46,'Centre WP5'!$A$7:$N$160,6,FALSE),0)+
IFERROR(VLOOKUP(A46,'Centre WR5'!$A$7:$N$160,6,FALSE),0)</f>
        <v>11.9</v>
      </c>
      <c r="G46" s="10">
        <f>IFERROR(VLOOKUP(A46,'Centre DW5'!$A$7:$N$163,7,FALSE),0)+
IFERROR(VLOOKUP(A46,'Centre WP5'!$A$7:$N$160,7,FALSE),0)+
IFERROR(VLOOKUP(A46,'Centre WR5'!$A$7:$N$160,7,FALSE),0)</f>
        <v>10.199999999999999</v>
      </c>
      <c r="H46" s="10">
        <f>IFERROR(VLOOKUP(A46,'Centre DW5'!$A$7:$N$163,8,FALSE),0)+
IFERROR(VLOOKUP(A46,'Centre WP5'!$A$7:$N$160,8,FALSE),0)+
IFERROR(VLOOKUP(A46,'Centre WR5'!$A$7:$N$160,8,FALSE),0)</f>
        <v>-2.9</v>
      </c>
      <c r="I46" s="10">
        <f>IFERROR(VLOOKUP(A46,'Centre DW5'!$A$7:$N$163,9,FALSE),0)+
IFERROR(VLOOKUP(A46,'Centre WP5'!$A$7:$N$160,9,FALSE),0)+
IFERROR(VLOOKUP(A46,'Centre WR5'!$A$7:$N$160,9,FALSE),0)</f>
        <v>12.1</v>
      </c>
      <c r="J46" s="10">
        <f>IFERROR(VLOOKUP(A46,'Centre DW5'!$A$7:$N$163,10,FALSE),0)+
IFERROR(VLOOKUP(A46,'Centre WP5'!$A$7:$N$160,10,FALSE),0)+
IFERROR(VLOOKUP(A46,'Centre WR5'!$A$7:$N$160,10,FALSE),0)</f>
        <v>8</v>
      </c>
      <c r="K46" s="10">
        <f>IFERROR(VLOOKUP(A46,'Centre DW5'!$A$7:$N$163,11,FALSE),0)+
IFERROR(VLOOKUP(A46,'Centre WP5'!$A$7:$N$160,11,FALSE),0)+
IFERROR(VLOOKUP(A46,'Centre WR5'!$A$7:$N$160,11,FALSE),0)</f>
        <v>11.9</v>
      </c>
      <c r="L46" s="10">
        <f>IFERROR(VLOOKUP(A46,'Centre DW5'!$A$7:$N$163,12,FALSE),0)+
IFERROR(VLOOKUP(A46,'Centre WP5'!$A$7:$N$160,12,FALSE),0)+
IFERROR(VLOOKUP(A46,'Centre WR5'!$A$7:$N$160,12,FALSE),0)</f>
        <v>10.199999999999999</v>
      </c>
      <c r="M46" s="10">
        <f>IFERROR(VLOOKUP(A46,'Centre DW5'!$A$7:$N$163,13,FALSE),0)+
IFERROR(VLOOKUP(A46,'Centre WP5'!$A$7:$N$160,13,FALSE),0)+
IFERROR(VLOOKUP(A46,'Centre WR5'!$A$7:$N$160,13,FALSE),0)</f>
        <v>-2.9</v>
      </c>
      <c r="N46" s="10">
        <f>IFERROR(VLOOKUP(A46,'Centre DW5'!$A$7:$N$163,14,FALSE),0)+
IFERROR(VLOOKUP(A46,'Centre WP5'!$A$7:$N$160,14,FALSE),0)+
IFERROR(VLOOKUP(A46,'Centre WR5'!$A$7:$N$160,14,FALSE),0)</f>
        <v>12.1</v>
      </c>
    </row>
    <row r="47" spans="1:14" outlineLevel="1" x14ac:dyDescent="0.2">
      <c r="A47" s="9" t="s">
        <v>303</v>
      </c>
      <c r="B47" s="1" t="s">
        <v>304</v>
      </c>
      <c r="C47" s="10">
        <f>IFERROR(VLOOKUP(A47,'Centre DW5'!$A$7:$N$163,3,FALSE),0)+
IFERROR(VLOOKUP(A47,'Centre WP5'!$A$7:$N$160,3,FALSE),0)+
IFERROR(VLOOKUP(A47,'Centre WR5'!$A$7:$N$160,3,FALSE),0)</f>
        <v>0</v>
      </c>
      <c r="D47" s="10">
        <f>IFERROR(VLOOKUP(A47,'Centre DW5'!$A$7:$N$163,4,FALSE),0)+
IFERROR(VLOOKUP(A47,'Centre WP5'!$A$7:$N$160,4,FALSE),0)+
IFERROR(VLOOKUP(A47,'Centre WR5'!$A$7:$N$160,4,FALSE),0)</f>
        <v>0.1</v>
      </c>
      <c r="E47" s="10">
        <f>IFERROR(VLOOKUP(A47,'Centre DW5'!$A$7:$N$163,5,FALSE),0)+
IFERROR(VLOOKUP(A47,'Centre WP5'!$A$7:$N$160,5,FALSE),0)+
IFERROR(VLOOKUP(A47,'Centre WR5'!$A$7:$N$160,5,FALSE),0)</f>
        <v>0</v>
      </c>
      <c r="F47" s="10">
        <f>IFERROR(VLOOKUP(A47,'Centre DW5'!$A$7:$N$163,6,FALSE),0)+
IFERROR(VLOOKUP(A47,'Centre WP5'!$A$7:$N$160,6,FALSE),0)+
IFERROR(VLOOKUP(A47,'Centre WR5'!$A$7:$N$160,6,FALSE),0)</f>
        <v>0</v>
      </c>
      <c r="G47" s="10">
        <f>IFERROR(VLOOKUP(A47,'Centre DW5'!$A$7:$N$163,7,FALSE),0)+
IFERROR(VLOOKUP(A47,'Centre WP5'!$A$7:$N$160,7,FALSE),0)+
IFERROR(VLOOKUP(A47,'Centre WR5'!$A$7:$N$160,7,FALSE),0)</f>
        <v>0</v>
      </c>
      <c r="H47" s="10">
        <f>IFERROR(VLOOKUP(A47,'Centre DW5'!$A$7:$N$163,8,FALSE),0)+
IFERROR(VLOOKUP(A47,'Centre WP5'!$A$7:$N$160,8,FALSE),0)+
IFERROR(VLOOKUP(A47,'Centre WR5'!$A$7:$N$160,8,FALSE),0)</f>
        <v>0</v>
      </c>
      <c r="I47" s="10">
        <f>IFERROR(VLOOKUP(A47,'Centre DW5'!$A$7:$N$163,9,FALSE),0)+
IFERROR(VLOOKUP(A47,'Centre WP5'!$A$7:$N$160,9,FALSE),0)+
IFERROR(VLOOKUP(A47,'Centre WR5'!$A$7:$N$160,9,FALSE),0)</f>
        <v>2.1</v>
      </c>
      <c r="J47" s="10">
        <f>IFERROR(VLOOKUP(A47,'Centre DW5'!$A$7:$N$163,10,FALSE),0)+
IFERROR(VLOOKUP(A47,'Centre WP5'!$A$7:$N$160,10,FALSE),0)+
IFERROR(VLOOKUP(A47,'Centre WR5'!$A$7:$N$160,10,FALSE),0)</f>
        <v>0</v>
      </c>
      <c r="K47" s="10">
        <f>IFERROR(VLOOKUP(A47,'Centre DW5'!$A$7:$N$163,11,FALSE),0)+
IFERROR(VLOOKUP(A47,'Centre WP5'!$A$7:$N$160,11,FALSE),0)+
IFERROR(VLOOKUP(A47,'Centre WR5'!$A$7:$N$160,11,FALSE),0)</f>
        <v>0</v>
      </c>
      <c r="L47" s="10">
        <f>IFERROR(VLOOKUP(A47,'Centre DW5'!$A$7:$N$163,12,FALSE),0)+
IFERROR(VLOOKUP(A47,'Centre WP5'!$A$7:$N$160,12,FALSE),0)+
IFERROR(VLOOKUP(A47,'Centre WR5'!$A$7:$N$160,12,FALSE),0)</f>
        <v>0</v>
      </c>
      <c r="M47" s="10">
        <f>IFERROR(VLOOKUP(A47,'Centre DW5'!$A$7:$N$163,13,FALSE),0)+
IFERROR(VLOOKUP(A47,'Centre WP5'!$A$7:$N$160,13,FALSE),0)+
IFERROR(VLOOKUP(A47,'Centre WR5'!$A$7:$N$160,13,FALSE),0)</f>
        <v>0</v>
      </c>
      <c r="N47" s="10">
        <f>IFERROR(VLOOKUP(A47,'Centre DW5'!$A$7:$N$163,14,FALSE),0)+
IFERROR(VLOOKUP(A47,'Centre WP5'!$A$7:$N$160,14,FALSE),0)+
IFERROR(VLOOKUP(A47,'Centre WR5'!$A$7:$N$160,14,FALSE),0)</f>
        <v>2.1</v>
      </c>
    </row>
    <row r="48" spans="1:14" outlineLevel="1" x14ac:dyDescent="0.2">
      <c r="A48" s="9" t="s">
        <v>99</v>
      </c>
      <c r="B48" s="1" t="s">
        <v>100</v>
      </c>
      <c r="C48" s="10">
        <f>IFERROR(VLOOKUP(A48,'Centre DW5'!$A$7:$N$163,3,FALSE),0)+
IFERROR(VLOOKUP(A48,'Centre WP5'!$A$7:$N$160,3,FALSE),0)+
IFERROR(VLOOKUP(A48,'Centre WR5'!$A$7:$N$160,3,FALSE),0)</f>
        <v>0</v>
      </c>
      <c r="D48" s="10">
        <f>IFERROR(VLOOKUP(A48,'Centre DW5'!$A$7:$N$163,4,FALSE),0)+
IFERROR(VLOOKUP(A48,'Centre WP5'!$A$7:$N$160,4,FALSE),0)+
IFERROR(VLOOKUP(A48,'Centre WR5'!$A$7:$N$160,4,FALSE),0)</f>
        <v>0</v>
      </c>
      <c r="E48" s="10">
        <f>IFERROR(VLOOKUP(A48,'Centre DW5'!$A$7:$N$163,5,FALSE),0)+
IFERROR(VLOOKUP(A48,'Centre WP5'!$A$7:$N$160,5,FALSE),0)+
IFERROR(VLOOKUP(A48,'Centre WR5'!$A$7:$N$160,5,FALSE),0)</f>
        <v>0</v>
      </c>
      <c r="F48" s="10">
        <f>IFERROR(VLOOKUP(A48,'Centre DW5'!$A$7:$N$163,6,FALSE),0)+
IFERROR(VLOOKUP(A48,'Centre WP5'!$A$7:$N$160,6,FALSE),0)+
IFERROR(VLOOKUP(A48,'Centre WR5'!$A$7:$N$160,6,FALSE),0)</f>
        <v>0</v>
      </c>
      <c r="G48" s="10">
        <f>IFERROR(VLOOKUP(A48,'Centre DW5'!$A$7:$N$163,7,FALSE),0)+
IFERROR(VLOOKUP(A48,'Centre WP5'!$A$7:$N$160,7,FALSE),0)+
IFERROR(VLOOKUP(A48,'Centre WR5'!$A$7:$N$160,7,FALSE),0)</f>
        <v>0</v>
      </c>
      <c r="H48" s="10">
        <f>IFERROR(VLOOKUP(A48,'Centre DW5'!$A$7:$N$163,8,FALSE),0)+
IFERROR(VLOOKUP(A48,'Centre WP5'!$A$7:$N$160,8,FALSE),0)+
IFERROR(VLOOKUP(A48,'Centre WR5'!$A$7:$N$160,8,FALSE),0)</f>
        <v>0</v>
      </c>
      <c r="I48" s="10">
        <f>IFERROR(VLOOKUP(A48,'Centre DW5'!$A$7:$N$163,9,FALSE),0)+
IFERROR(VLOOKUP(A48,'Centre WP5'!$A$7:$N$160,9,FALSE),0)+
IFERROR(VLOOKUP(A48,'Centre WR5'!$A$7:$N$160,9,FALSE),0)</f>
        <v>0</v>
      </c>
      <c r="J48" s="10">
        <f>IFERROR(VLOOKUP(A48,'Centre DW5'!$A$7:$N$163,10,FALSE),0)+
IFERROR(VLOOKUP(A48,'Centre WP5'!$A$7:$N$160,10,FALSE),0)+
IFERROR(VLOOKUP(A48,'Centre WR5'!$A$7:$N$160,10,FALSE),0)</f>
        <v>0</v>
      </c>
      <c r="K48" s="10">
        <f>IFERROR(VLOOKUP(A48,'Centre DW5'!$A$7:$N$163,11,FALSE),0)+
IFERROR(VLOOKUP(A48,'Centre WP5'!$A$7:$N$160,11,FALSE),0)+
IFERROR(VLOOKUP(A48,'Centre WR5'!$A$7:$N$160,11,FALSE),0)</f>
        <v>0</v>
      </c>
      <c r="L48" s="10">
        <f>IFERROR(VLOOKUP(A48,'Centre DW5'!$A$7:$N$163,12,FALSE),0)+
IFERROR(VLOOKUP(A48,'Centre WP5'!$A$7:$N$160,12,FALSE),0)+
IFERROR(VLOOKUP(A48,'Centre WR5'!$A$7:$N$160,12,FALSE),0)</f>
        <v>0</v>
      </c>
      <c r="M48" s="10">
        <f>IFERROR(VLOOKUP(A48,'Centre DW5'!$A$7:$N$163,13,FALSE),0)+
IFERROR(VLOOKUP(A48,'Centre WP5'!$A$7:$N$160,13,FALSE),0)+
IFERROR(VLOOKUP(A48,'Centre WR5'!$A$7:$N$160,13,FALSE),0)</f>
        <v>0</v>
      </c>
      <c r="N48" s="10">
        <f>IFERROR(VLOOKUP(A48,'Centre DW5'!$A$7:$N$163,14,FALSE),0)+
IFERROR(VLOOKUP(A48,'Centre WP5'!$A$7:$N$160,14,FALSE),0)+
IFERROR(VLOOKUP(A48,'Centre WR5'!$A$7:$N$160,14,FALSE),0)</f>
        <v>0</v>
      </c>
    </row>
    <row r="49" spans="1:14" outlineLevel="1" x14ac:dyDescent="0.2">
      <c r="A49" s="9" t="s">
        <v>101</v>
      </c>
      <c r="B49" s="1" t="s">
        <v>102</v>
      </c>
      <c r="C49" s="10">
        <f>IFERROR(VLOOKUP(A49,'Centre DW5'!$A$7:$N$163,3,FALSE),0)+
IFERROR(VLOOKUP(A49,'Centre WP5'!$A$7:$N$160,3,FALSE),0)+
IFERROR(VLOOKUP(A49,'Centre WR5'!$A$7:$N$160,3,FALSE),0)</f>
        <v>2.2999999999999998</v>
      </c>
      <c r="D49" s="10">
        <f>IFERROR(VLOOKUP(A49,'Centre DW5'!$A$7:$N$163,4,FALSE),0)+
IFERROR(VLOOKUP(A49,'Centre WP5'!$A$7:$N$160,4,FALSE),0)+
IFERROR(VLOOKUP(A49,'Centre WR5'!$A$7:$N$160,4,FALSE),0)</f>
        <v>1.8</v>
      </c>
      <c r="E49" s="10">
        <f>IFERROR(VLOOKUP(A49,'Centre DW5'!$A$7:$N$163,5,FALSE),0)+
IFERROR(VLOOKUP(A49,'Centre WP5'!$A$7:$N$160,5,FALSE),0)+
IFERROR(VLOOKUP(A49,'Centre WR5'!$A$7:$N$160,5,FALSE),0)</f>
        <v>0.1</v>
      </c>
      <c r="F49" s="10">
        <f>IFERROR(VLOOKUP(A49,'Centre DW5'!$A$7:$N$163,6,FALSE),0)+
IFERROR(VLOOKUP(A49,'Centre WP5'!$A$7:$N$160,6,FALSE),0)+
IFERROR(VLOOKUP(A49,'Centre WR5'!$A$7:$N$160,6,FALSE),0)</f>
        <v>0</v>
      </c>
      <c r="G49" s="10">
        <f>IFERROR(VLOOKUP(A49,'Centre DW5'!$A$7:$N$163,7,FALSE),0)+
IFERROR(VLOOKUP(A49,'Centre WP5'!$A$7:$N$160,7,FALSE),0)+
IFERROR(VLOOKUP(A49,'Centre WR5'!$A$7:$N$160,7,FALSE),0)</f>
        <v>1.5</v>
      </c>
      <c r="H49" s="10">
        <f>IFERROR(VLOOKUP(A49,'Centre DW5'!$A$7:$N$163,8,FALSE),0)+
IFERROR(VLOOKUP(A49,'Centre WP5'!$A$7:$N$160,8,FALSE),0)+
IFERROR(VLOOKUP(A49,'Centre WR5'!$A$7:$N$160,8,FALSE),0)</f>
        <v>0</v>
      </c>
      <c r="I49" s="10">
        <f>IFERROR(VLOOKUP(A49,'Centre DW5'!$A$7:$N$163,9,FALSE),0)+
IFERROR(VLOOKUP(A49,'Centre WP5'!$A$7:$N$160,9,FALSE),0)+
IFERROR(VLOOKUP(A49,'Centre WR5'!$A$7:$N$160,9,FALSE),0)</f>
        <v>0</v>
      </c>
      <c r="J49" s="10">
        <f>IFERROR(VLOOKUP(A49,'Centre DW5'!$A$7:$N$163,10,FALSE),0)+
IFERROR(VLOOKUP(A49,'Centre WP5'!$A$7:$N$160,10,FALSE),0)+
IFERROR(VLOOKUP(A49,'Centre WR5'!$A$7:$N$160,10,FALSE),0)</f>
        <v>0.1</v>
      </c>
      <c r="K49" s="10">
        <f>IFERROR(VLOOKUP(A49,'Centre DW5'!$A$7:$N$163,11,FALSE),0)+
IFERROR(VLOOKUP(A49,'Centre WP5'!$A$7:$N$160,11,FALSE),0)+
IFERROR(VLOOKUP(A49,'Centre WR5'!$A$7:$N$160,11,FALSE),0)</f>
        <v>0</v>
      </c>
      <c r="L49" s="10">
        <f>IFERROR(VLOOKUP(A49,'Centre DW5'!$A$7:$N$163,12,FALSE),0)+
IFERROR(VLOOKUP(A49,'Centre WP5'!$A$7:$N$160,12,FALSE),0)+
IFERROR(VLOOKUP(A49,'Centre WR5'!$A$7:$N$160,12,FALSE),0)</f>
        <v>1.5</v>
      </c>
      <c r="M49" s="10">
        <f>IFERROR(VLOOKUP(A49,'Centre DW5'!$A$7:$N$163,13,FALSE),0)+
IFERROR(VLOOKUP(A49,'Centre WP5'!$A$7:$N$160,13,FALSE),0)+
IFERROR(VLOOKUP(A49,'Centre WR5'!$A$7:$N$160,13,FALSE),0)</f>
        <v>0</v>
      </c>
      <c r="N49" s="10">
        <f>IFERROR(VLOOKUP(A49,'Centre DW5'!$A$7:$N$163,14,FALSE),0)+
IFERROR(VLOOKUP(A49,'Centre WP5'!$A$7:$N$160,14,FALSE),0)+
IFERROR(VLOOKUP(A49,'Centre WR5'!$A$7:$N$160,14,FALSE),0)</f>
        <v>0</v>
      </c>
    </row>
    <row r="50" spans="1:14" outlineLevel="1" x14ac:dyDescent="0.2">
      <c r="A50" s="9" t="s">
        <v>103</v>
      </c>
      <c r="B50" s="1" t="s">
        <v>104</v>
      </c>
      <c r="C50" s="10">
        <f>IFERROR(VLOOKUP(A50,'Centre DW5'!$A$7:$N$163,3,FALSE),0)+
IFERROR(VLOOKUP(A50,'Centre WP5'!$A$7:$N$160,3,FALSE),0)+
IFERROR(VLOOKUP(A50,'Centre WR5'!$A$7:$N$160,3,FALSE),0)</f>
        <v>2.2000000000000002</v>
      </c>
      <c r="D50" s="10">
        <f>IFERROR(VLOOKUP(A50,'Centre DW5'!$A$7:$N$163,4,FALSE),0)+
IFERROR(VLOOKUP(A50,'Centre WP5'!$A$7:$N$160,4,FALSE),0)+
IFERROR(VLOOKUP(A50,'Centre WR5'!$A$7:$N$160,4,FALSE),0)</f>
        <v>1.6</v>
      </c>
      <c r="E50" s="10">
        <f>IFERROR(VLOOKUP(A50,'Centre DW5'!$A$7:$N$163,5,FALSE),0)+
IFERROR(VLOOKUP(A50,'Centre WP5'!$A$7:$N$160,5,FALSE),0)+
IFERROR(VLOOKUP(A50,'Centre WR5'!$A$7:$N$160,5,FALSE),0)</f>
        <v>1.5</v>
      </c>
      <c r="F50" s="10">
        <f>IFERROR(VLOOKUP(A50,'Centre DW5'!$A$7:$N$163,6,FALSE),0)+
IFERROR(VLOOKUP(A50,'Centre WP5'!$A$7:$N$160,6,FALSE),0)+
IFERROR(VLOOKUP(A50,'Centre WR5'!$A$7:$N$160,6,FALSE),0)</f>
        <v>1.8</v>
      </c>
      <c r="G50" s="10">
        <f>IFERROR(VLOOKUP(A50,'Centre DW5'!$A$7:$N$163,7,FALSE),0)+
IFERROR(VLOOKUP(A50,'Centre WP5'!$A$7:$N$160,7,FALSE),0)+
IFERROR(VLOOKUP(A50,'Centre WR5'!$A$7:$N$160,7,FALSE),0)</f>
        <v>1.7</v>
      </c>
      <c r="H50" s="10">
        <f>IFERROR(VLOOKUP(A50,'Centre DW5'!$A$7:$N$163,8,FALSE),0)+
IFERROR(VLOOKUP(A50,'Centre WP5'!$A$7:$N$160,8,FALSE),0)+
IFERROR(VLOOKUP(A50,'Centre WR5'!$A$7:$N$160,8,FALSE),0)</f>
        <v>1.9</v>
      </c>
      <c r="I50" s="10">
        <f>IFERROR(VLOOKUP(A50,'Centre DW5'!$A$7:$N$163,9,FALSE),0)+
IFERROR(VLOOKUP(A50,'Centre WP5'!$A$7:$N$160,9,FALSE),0)+
IFERROR(VLOOKUP(A50,'Centre WR5'!$A$7:$N$160,9,FALSE),0)</f>
        <v>1.9</v>
      </c>
      <c r="J50" s="10">
        <f>IFERROR(VLOOKUP(A50,'Centre DW5'!$A$7:$N$163,10,FALSE),0)+
IFERROR(VLOOKUP(A50,'Centre WP5'!$A$7:$N$160,10,FALSE),0)+
IFERROR(VLOOKUP(A50,'Centre WR5'!$A$7:$N$160,10,FALSE),0)</f>
        <v>1.5</v>
      </c>
      <c r="K50" s="10">
        <f>IFERROR(VLOOKUP(A50,'Centre DW5'!$A$7:$N$163,11,FALSE),0)+
IFERROR(VLOOKUP(A50,'Centre WP5'!$A$7:$N$160,11,FALSE),0)+
IFERROR(VLOOKUP(A50,'Centre WR5'!$A$7:$N$160,11,FALSE),0)</f>
        <v>1.8</v>
      </c>
      <c r="L50" s="10">
        <f>IFERROR(VLOOKUP(A50,'Centre DW5'!$A$7:$N$163,12,FALSE),0)+
IFERROR(VLOOKUP(A50,'Centre WP5'!$A$7:$N$160,12,FALSE),0)+
IFERROR(VLOOKUP(A50,'Centre WR5'!$A$7:$N$160,12,FALSE),0)</f>
        <v>1.7</v>
      </c>
      <c r="M50" s="10">
        <f>IFERROR(VLOOKUP(A50,'Centre DW5'!$A$7:$N$163,13,FALSE),0)+
IFERROR(VLOOKUP(A50,'Centre WP5'!$A$7:$N$160,13,FALSE),0)+
IFERROR(VLOOKUP(A50,'Centre WR5'!$A$7:$N$160,13,FALSE),0)</f>
        <v>1.9</v>
      </c>
      <c r="N50" s="10">
        <f>IFERROR(VLOOKUP(A50,'Centre DW5'!$A$7:$N$163,14,FALSE),0)+
IFERROR(VLOOKUP(A50,'Centre WP5'!$A$7:$N$160,14,FALSE),0)+
IFERROR(VLOOKUP(A50,'Centre WR5'!$A$7:$N$160,14,FALSE),0)</f>
        <v>1.9</v>
      </c>
    </row>
    <row r="51" spans="1:14" outlineLevel="1" x14ac:dyDescent="0.2">
      <c r="A51" s="9" t="s">
        <v>305</v>
      </c>
      <c r="B51" s="1" t="s">
        <v>306</v>
      </c>
      <c r="C51" s="10">
        <f>IFERROR(VLOOKUP(A51,'Centre DW5'!$A$7:$N$163,3,FALSE),0)+
IFERROR(VLOOKUP(A51,'Centre WP5'!$A$7:$N$160,3,FALSE),0)+
IFERROR(VLOOKUP(A51,'Centre WR5'!$A$7:$N$160,3,FALSE),0)</f>
        <v>0</v>
      </c>
      <c r="D51" s="10">
        <f>IFERROR(VLOOKUP(A51,'Centre DW5'!$A$7:$N$163,4,FALSE),0)+
IFERROR(VLOOKUP(A51,'Centre WP5'!$A$7:$N$160,4,FALSE),0)+
IFERROR(VLOOKUP(A51,'Centre WR5'!$A$7:$N$160,4,FALSE),0)</f>
        <v>0</v>
      </c>
      <c r="E51" s="10">
        <f>IFERROR(VLOOKUP(A51,'Centre DW5'!$A$7:$N$163,5,FALSE),0)+
IFERROR(VLOOKUP(A51,'Centre WP5'!$A$7:$N$160,5,FALSE),0)+
IFERROR(VLOOKUP(A51,'Centre WR5'!$A$7:$N$160,5,FALSE),0)</f>
        <v>0</v>
      </c>
      <c r="F51" s="10">
        <f>IFERROR(VLOOKUP(A51,'Centre DW5'!$A$7:$N$163,6,FALSE),0)+
IFERROR(VLOOKUP(A51,'Centre WP5'!$A$7:$N$160,6,FALSE),0)+
IFERROR(VLOOKUP(A51,'Centre WR5'!$A$7:$N$160,6,FALSE),0)</f>
        <v>0</v>
      </c>
      <c r="G51" s="10">
        <f>IFERROR(VLOOKUP(A51,'Centre DW5'!$A$7:$N$163,7,FALSE),0)+
IFERROR(VLOOKUP(A51,'Centre WP5'!$A$7:$N$160,7,FALSE),0)+
IFERROR(VLOOKUP(A51,'Centre WR5'!$A$7:$N$160,7,FALSE),0)</f>
        <v>0.4</v>
      </c>
      <c r="H51" s="10">
        <f>IFERROR(VLOOKUP(A51,'Centre DW5'!$A$7:$N$163,8,FALSE),0)+
IFERROR(VLOOKUP(A51,'Centre WP5'!$A$7:$N$160,8,FALSE),0)+
IFERROR(VLOOKUP(A51,'Centre WR5'!$A$7:$N$160,8,FALSE),0)</f>
        <v>0</v>
      </c>
      <c r="I51" s="10">
        <f>IFERROR(VLOOKUP(A51,'Centre DW5'!$A$7:$N$163,9,FALSE),0)+
IFERROR(VLOOKUP(A51,'Centre WP5'!$A$7:$N$160,9,FALSE),0)+
IFERROR(VLOOKUP(A51,'Centre WR5'!$A$7:$N$160,9,FALSE),0)</f>
        <v>0</v>
      </c>
      <c r="J51" s="10">
        <f>IFERROR(VLOOKUP(A51,'Centre DW5'!$A$7:$N$163,10,FALSE),0)+
IFERROR(VLOOKUP(A51,'Centre WP5'!$A$7:$N$160,10,FALSE),0)+
IFERROR(VLOOKUP(A51,'Centre WR5'!$A$7:$N$160,10,FALSE),0)</f>
        <v>0</v>
      </c>
      <c r="K51" s="10">
        <f>IFERROR(VLOOKUP(A51,'Centre DW5'!$A$7:$N$163,11,FALSE),0)+
IFERROR(VLOOKUP(A51,'Centre WP5'!$A$7:$N$160,11,FALSE),0)+
IFERROR(VLOOKUP(A51,'Centre WR5'!$A$7:$N$160,11,FALSE),0)</f>
        <v>0</v>
      </c>
      <c r="L51" s="10">
        <f>IFERROR(VLOOKUP(A51,'Centre DW5'!$A$7:$N$163,12,FALSE),0)+
IFERROR(VLOOKUP(A51,'Centre WP5'!$A$7:$N$160,12,FALSE),0)+
IFERROR(VLOOKUP(A51,'Centre WR5'!$A$7:$N$160,12,FALSE),0)</f>
        <v>0.4</v>
      </c>
      <c r="M51" s="10">
        <f>IFERROR(VLOOKUP(A51,'Centre DW5'!$A$7:$N$163,13,FALSE),0)+
IFERROR(VLOOKUP(A51,'Centre WP5'!$A$7:$N$160,13,FALSE),0)+
IFERROR(VLOOKUP(A51,'Centre WR5'!$A$7:$N$160,13,FALSE),0)</f>
        <v>0</v>
      </c>
      <c r="N51" s="10">
        <f>IFERROR(VLOOKUP(A51,'Centre DW5'!$A$7:$N$163,14,FALSE),0)+
IFERROR(VLOOKUP(A51,'Centre WP5'!$A$7:$N$160,14,FALSE),0)+
IFERROR(VLOOKUP(A51,'Centre WR5'!$A$7:$N$160,14,FALSE),0)</f>
        <v>0</v>
      </c>
    </row>
    <row r="52" spans="1:14" outlineLevel="1" x14ac:dyDescent="0.2">
      <c r="A52" s="9" t="s">
        <v>105</v>
      </c>
      <c r="B52" s="1" t="s">
        <v>106</v>
      </c>
      <c r="C52" s="10">
        <f>IFERROR(VLOOKUP(A52,'Centre DW5'!$A$7:$N$163,3,FALSE),0)+
IFERROR(VLOOKUP(A52,'Centre WP5'!$A$7:$N$160,3,FALSE),0)+
IFERROR(VLOOKUP(A52,'Centre WR5'!$A$7:$N$160,3,FALSE),0)</f>
        <v>161.1</v>
      </c>
      <c r="D52" s="10">
        <f>IFERROR(VLOOKUP(A52,'Centre DW5'!$A$7:$N$163,4,FALSE),0)+
IFERROR(VLOOKUP(A52,'Centre WP5'!$A$7:$N$160,4,FALSE),0)+
IFERROR(VLOOKUP(A52,'Centre WR5'!$A$7:$N$160,4,FALSE),0)</f>
        <v>147.1</v>
      </c>
      <c r="E52" s="10">
        <f>IFERROR(VLOOKUP(A52,'Centre DW5'!$A$7:$N$163,5,FALSE),0)+
IFERROR(VLOOKUP(A52,'Centre WP5'!$A$7:$N$160,5,FALSE),0)+
IFERROR(VLOOKUP(A52,'Centre WR5'!$A$7:$N$160,5,FALSE),0)</f>
        <v>148.1</v>
      </c>
      <c r="F52" s="10">
        <f>IFERROR(VLOOKUP(A52,'Centre DW5'!$A$7:$N$163,6,FALSE),0)+
IFERROR(VLOOKUP(A52,'Centre WP5'!$A$7:$N$160,6,FALSE),0)+
IFERROR(VLOOKUP(A52,'Centre WR5'!$A$7:$N$160,6,FALSE),0)</f>
        <v>156.1</v>
      </c>
      <c r="G52" s="10">
        <f>IFERROR(VLOOKUP(A52,'Centre DW5'!$A$7:$N$163,7,FALSE),0)+
IFERROR(VLOOKUP(A52,'Centre WP5'!$A$7:$N$160,7,FALSE),0)+
IFERROR(VLOOKUP(A52,'Centre WR5'!$A$7:$N$160,7,FALSE),0)</f>
        <v>148.1</v>
      </c>
      <c r="H52" s="10">
        <f>IFERROR(VLOOKUP(A52,'Centre DW5'!$A$7:$N$163,8,FALSE),0)+
IFERROR(VLOOKUP(A52,'Centre WP5'!$A$7:$N$160,8,FALSE),0)+
IFERROR(VLOOKUP(A52,'Centre WR5'!$A$7:$N$160,8,FALSE),0)</f>
        <v>149.1</v>
      </c>
      <c r="I52" s="10">
        <f>IFERROR(VLOOKUP(A52,'Centre DW5'!$A$7:$N$163,9,FALSE),0)+
IFERROR(VLOOKUP(A52,'Centre WP5'!$A$7:$N$160,9,FALSE),0)+
IFERROR(VLOOKUP(A52,'Centre WR5'!$A$7:$N$160,9,FALSE),0)</f>
        <v>153.1</v>
      </c>
      <c r="J52" s="10">
        <f>IFERROR(VLOOKUP(A52,'Centre DW5'!$A$7:$N$163,10,FALSE),0)+
IFERROR(VLOOKUP(A52,'Centre WP5'!$A$7:$N$160,10,FALSE),0)+
IFERROR(VLOOKUP(A52,'Centre WR5'!$A$7:$N$160,10,FALSE),0)</f>
        <v>139.1</v>
      </c>
      <c r="K52" s="10">
        <f>IFERROR(VLOOKUP(A52,'Centre DW5'!$A$7:$N$163,11,FALSE),0)+
IFERROR(VLOOKUP(A52,'Centre WP5'!$A$7:$N$160,11,FALSE),0)+
IFERROR(VLOOKUP(A52,'Centre WR5'!$A$7:$N$160,11,FALSE),0)</f>
        <v>152.1</v>
      </c>
      <c r="L52" s="10">
        <f>IFERROR(VLOOKUP(A52,'Centre DW5'!$A$7:$N$163,12,FALSE),0)+
IFERROR(VLOOKUP(A52,'Centre WP5'!$A$7:$N$160,12,FALSE),0)+
IFERROR(VLOOKUP(A52,'Centre WR5'!$A$7:$N$160,12,FALSE),0)</f>
        <v>144.1</v>
      </c>
      <c r="M52" s="10">
        <f>IFERROR(VLOOKUP(A52,'Centre DW5'!$A$7:$N$163,13,FALSE),0)+
IFERROR(VLOOKUP(A52,'Centre WP5'!$A$7:$N$160,13,FALSE),0)+
IFERROR(VLOOKUP(A52,'Centre WR5'!$A$7:$N$160,13,FALSE),0)</f>
        <v>143.1</v>
      </c>
      <c r="N52" s="10">
        <f>IFERROR(VLOOKUP(A52,'Centre DW5'!$A$7:$N$163,14,FALSE),0)+
IFERROR(VLOOKUP(A52,'Centre WP5'!$A$7:$N$160,14,FALSE),0)+
IFERROR(VLOOKUP(A52,'Centre WR5'!$A$7:$N$160,14,FALSE),0)</f>
        <v>160.5</v>
      </c>
    </row>
    <row r="53" spans="1:14" outlineLevel="1" x14ac:dyDescent="0.2">
      <c r="A53" s="9" t="s">
        <v>107</v>
      </c>
      <c r="B53" s="1" t="s">
        <v>108</v>
      </c>
      <c r="C53" s="10">
        <f>IFERROR(VLOOKUP(A53,'Centre DW5'!$A$7:$N$163,3,FALSE),0)+
IFERROR(VLOOKUP(A53,'Centre WP5'!$A$7:$N$160,3,FALSE),0)+
IFERROR(VLOOKUP(A53,'Centre WR5'!$A$7:$N$160,3,FALSE),0)</f>
        <v>17</v>
      </c>
      <c r="D53" s="10">
        <f>IFERROR(VLOOKUP(A53,'Centre DW5'!$A$7:$N$163,4,FALSE),0)+
IFERROR(VLOOKUP(A53,'Centre WP5'!$A$7:$N$160,4,FALSE),0)+
IFERROR(VLOOKUP(A53,'Centre WR5'!$A$7:$N$160,4,FALSE),0)</f>
        <v>21</v>
      </c>
      <c r="E53" s="10">
        <f>IFERROR(VLOOKUP(A53,'Centre DW5'!$A$7:$N$163,5,FALSE),0)+
IFERROR(VLOOKUP(A53,'Centre WP5'!$A$7:$N$160,5,FALSE),0)+
IFERROR(VLOOKUP(A53,'Centre WR5'!$A$7:$N$160,5,FALSE),0)</f>
        <v>16</v>
      </c>
      <c r="F53" s="10">
        <f>IFERROR(VLOOKUP(A53,'Centre DW5'!$A$7:$N$163,6,FALSE),0)+
IFERROR(VLOOKUP(A53,'Centre WP5'!$A$7:$N$160,6,FALSE),0)+
IFERROR(VLOOKUP(A53,'Centre WR5'!$A$7:$N$160,6,FALSE),0)</f>
        <v>18</v>
      </c>
      <c r="G53" s="10">
        <f>IFERROR(VLOOKUP(A53,'Centre DW5'!$A$7:$N$163,7,FALSE),0)+
IFERROR(VLOOKUP(A53,'Centre WP5'!$A$7:$N$160,7,FALSE),0)+
IFERROR(VLOOKUP(A53,'Centre WR5'!$A$7:$N$160,7,FALSE),0)</f>
        <v>19</v>
      </c>
      <c r="H53" s="10">
        <f>IFERROR(VLOOKUP(A53,'Centre DW5'!$A$7:$N$163,8,FALSE),0)+
IFERROR(VLOOKUP(A53,'Centre WP5'!$A$7:$N$160,8,FALSE),0)+
IFERROR(VLOOKUP(A53,'Centre WR5'!$A$7:$N$160,8,FALSE),0)</f>
        <v>21</v>
      </c>
      <c r="I53" s="10">
        <f>IFERROR(VLOOKUP(A53,'Centre DW5'!$A$7:$N$163,9,FALSE),0)+
IFERROR(VLOOKUP(A53,'Centre WP5'!$A$7:$N$160,9,FALSE),0)+
IFERROR(VLOOKUP(A53,'Centre WR5'!$A$7:$N$160,9,FALSE),0)</f>
        <v>19</v>
      </c>
      <c r="J53" s="10">
        <f>IFERROR(VLOOKUP(A53,'Centre DW5'!$A$7:$N$163,10,FALSE),0)+
IFERROR(VLOOKUP(A53,'Centre WP5'!$A$7:$N$160,10,FALSE),0)+
IFERROR(VLOOKUP(A53,'Centre WR5'!$A$7:$N$160,10,FALSE),0)</f>
        <v>18</v>
      </c>
      <c r="K53" s="10">
        <f>IFERROR(VLOOKUP(A53,'Centre DW5'!$A$7:$N$163,11,FALSE),0)+
IFERROR(VLOOKUP(A53,'Centre WP5'!$A$7:$N$160,11,FALSE),0)+
IFERROR(VLOOKUP(A53,'Centre WR5'!$A$7:$N$160,11,FALSE),0)</f>
        <v>21</v>
      </c>
      <c r="L53" s="10">
        <f>IFERROR(VLOOKUP(A53,'Centre DW5'!$A$7:$N$163,12,FALSE),0)+
IFERROR(VLOOKUP(A53,'Centre WP5'!$A$7:$N$160,12,FALSE),0)+
IFERROR(VLOOKUP(A53,'Centre WR5'!$A$7:$N$160,12,FALSE),0)</f>
        <v>20</v>
      </c>
      <c r="M53" s="10">
        <f>IFERROR(VLOOKUP(A53,'Centre DW5'!$A$7:$N$163,13,FALSE),0)+
IFERROR(VLOOKUP(A53,'Centre WP5'!$A$7:$N$160,13,FALSE),0)+
IFERROR(VLOOKUP(A53,'Centre WR5'!$A$7:$N$160,13,FALSE),0)</f>
        <v>18</v>
      </c>
      <c r="N53" s="10">
        <f>IFERROR(VLOOKUP(A53,'Centre DW5'!$A$7:$N$163,14,FALSE),0)+
IFERROR(VLOOKUP(A53,'Centre WP5'!$A$7:$N$160,14,FALSE),0)+
IFERROR(VLOOKUP(A53,'Centre WR5'!$A$7:$N$160,14,FALSE),0)</f>
        <v>21</v>
      </c>
    </row>
    <row r="54" spans="1:14" outlineLevel="1" x14ac:dyDescent="0.2">
      <c r="A54" s="9" t="s">
        <v>109</v>
      </c>
      <c r="B54" s="1" t="s">
        <v>110</v>
      </c>
      <c r="C54" s="10">
        <f>IFERROR(VLOOKUP(A54,'Centre DW5'!$A$7:$N$163,3,FALSE),0)+
IFERROR(VLOOKUP(A54,'Centre WP5'!$A$7:$N$160,3,FALSE),0)+
IFERROR(VLOOKUP(A54,'Centre WR5'!$A$7:$N$160,3,FALSE),0)</f>
        <v>2.1</v>
      </c>
      <c r="D54" s="10">
        <f>IFERROR(VLOOKUP(A54,'Centre DW5'!$A$7:$N$163,4,FALSE),0)+
IFERROR(VLOOKUP(A54,'Centre WP5'!$A$7:$N$160,4,FALSE),0)+
IFERROR(VLOOKUP(A54,'Centre WR5'!$A$7:$N$160,4,FALSE),0)</f>
        <v>2.1</v>
      </c>
      <c r="E54" s="10">
        <f>IFERROR(VLOOKUP(A54,'Centre DW5'!$A$7:$N$163,5,FALSE),0)+
IFERROR(VLOOKUP(A54,'Centre WP5'!$A$7:$N$160,5,FALSE),0)+
IFERROR(VLOOKUP(A54,'Centre WR5'!$A$7:$N$160,5,FALSE),0)</f>
        <v>2.1</v>
      </c>
      <c r="F54" s="10">
        <f>IFERROR(VLOOKUP(A54,'Centre DW5'!$A$7:$N$163,6,FALSE),0)+
IFERROR(VLOOKUP(A54,'Centre WP5'!$A$7:$N$160,6,FALSE),0)+
IFERROR(VLOOKUP(A54,'Centre WR5'!$A$7:$N$160,6,FALSE),0)</f>
        <v>2.1</v>
      </c>
      <c r="G54" s="10">
        <f>IFERROR(VLOOKUP(A54,'Centre DW5'!$A$7:$N$163,7,FALSE),0)+
IFERROR(VLOOKUP(A54,'Centre WP5'!$A$7:$N$160,7,FALSE),0)+
IFERROR(VLOOKUP(A54,'Centre WR5'!$A$7:$N$160,7,FALSE),0)</f>
        <v>2.1</v>
      </c>
      <c r="H54" s="10">
        <f>IFERROR(VLOOKUP(A54,'Centre DW5'!$A$7:$N$163,8,FALSE),0)+
IFERROR(VLOOKUP(A54,'Centre WP5'!$A$7:$N$160,8,FALSE),0)+
IFERROR(VLOOKUP(A54,'Centre WR5'!$A$7:$N$160,8,FALSE),0)</f>
        <v>2.1</v>
      </c>
      <c r="I54" s="10">
        <f>IFERROR(VLOOKUP(A54,'Centre DW5'!$A$7:$N$163,9,FALSE),0)+
IFERROR(VLOOKUP(A54,'Centre WP5'!$A$7:$N$160,9,FALSE),0)+
IFERROR(VLOOKUP(A54,'Centre WR5'!$A$7:$N$160,9,FALSE),0)</f>
        <v>2.1</v>
      </c>
      <c r="J54" s="10">
        <f>IFERROR(VLOOKUP(A54,'Centre DW5'!$A$7:$N$163,10,FALSE),0)+
IFERROR(VLOOKUP(A54,'Centre WP5'!$A$7:$N$160,10,FALSE),0)+
IFERROR(VLOOKUP(A54,'Centre WR5'!$A$7:$N$160,10,FALSE),0)</f>
        <v>2.1</v>
      </c>
      <c r="K54" s="10">
        <f>IFERROR(VLOOKUP(A54,'Centre DW5'!$A$7:$N$163,11,FALSE),0)+
IFERROR(VLOOKUP(A54,'Centre WP5'!$A$7:$N$160,11,FALSE),0)+
IFERROR(VLOOKUP(A54,'Centre WR5'!$A$7:$N$160,11,FALSE),0)</f>
        <v>2.1</v>
      </c>
      <c r="L54" s="10">
        <f>IFERROR(VLOOKUP(A54,'Centre DW5'!$A$7:$N$163,12,FALSE),0)+
IFERROR(VLOOKUP(A54,'Centre WP5'!$A$7:$N$160,12,FALSE),0)+
IFERROR(VLOOKUP(A54,'Centre WR5'!$A$7:$N$160,12,FALSE),0)</f>
        <v>2.1</v>
      </c>
      <c r="M54" s="10">
        <f>IFERROR(VLOOKUP(A54,'Centre DW5'!$A$7:$N$163,13,FALSE),0)+
IFERROR(VLOOKUP(A54,'Centre WP5'!$A$7:$N$160,13,FALSE),0)+
IFERROR(VLOOKUP(A54,'Centre WR5'!$A$7:$N$160,13,FALSE),0)</f>
        <v>2.1</v>
      </c>
      <c r="N54" s="10">
        <f>IFERROR(VLOOKUP(A54,'Centre DW5'!$A$7:$N$163,14,FALSE),0)+
IFERROR(VLOOKUP(A54,'Centre WP5'!$A$7:$N$160,14,FALSE),0)+
IFERROR(VLOOKUP(A54,'Centre WR5'!$A$7:$N$160,14,FALSE),0)</f>
        <v>2.1</v>
      </c>
    </row>
    <row r="55" spans="1:14" outlineLevel="1" x14ac:dyDescent="0.2">
      <c r="A55" s="9" t="s">
        <v>307</v>
      </c>
      <c r="B55" s="1" t="s">
        <v>308</v>
      </c>
      <c r="C55" s="10">
        <f>IFERROR(VLOOKUP(A55,'Centre DW5'!$A$7:$N$163,3,FALSE),0)+
IFERROR(VLOOKUP(A55,'Centre WP5'!$A$7:$N$160,3,FALSE),0)+
IFERROR(VLOOKUP(A55,'Centre WR5'!$A$7:$N$160,3,FALSE),0)</f>
        <v>0</v>
      </c>
      <c r="D55" s="10">
        <f>IFERROR(VLOOKUP(A55,'Centre DW5'!$A$7:$N$163,4,FALSE),0)+
IFERROR(VLOOKUP(A55,'Centre WP5'!$A$7:$N$160,4,FALSE),0)+
IFERROR(VLOOKUP(A55,'Centre WR5'!$A$7:$N$160,4,FALSE),0)</f>
        <v>0</v>
      </c>
      <c r="E55" s="10">
        <f>IFERROR(VLOOKUP(A55,'Centre DW5'!$A$7:$N$163,5,FALSE),0)+
IFERROR(VLOOKUP(A55,'Centre WP5'!$A$7:$N$160,5,FALSE),0)+
IFERROR(VLOOKUP(A55,'Centre WR5'!$A$7:$N$160,5,FALSE),0)</f>
        <v>0</v>
      </c>
      <c r="F55" s="10">
        <f>IFERROR(VLOOKUP(A55,'Centre DW5'!$A$7:$N$163,6,FALSE),0)+
IFERROR(VLOOKUP(A55,'Centre WP5'!$A$7:$N$160,6,FALSE),0)+
IFERROR(VLOOKUP(A55,'Centre WR5'!$A$7:$N$160,6,FALSE),0)</f>
        <v>0</v>
      </c>
      <c r="G55" s="10">
        <f>IFERROR(VLOOKUP(A55,'Centre DW5'!$A$7:$N$163,7,FALSE),0)+
IFERROR(VLOOKUP(A55,'Centre WP5'!$A$7:$N$160,7,FALSE),0)+
IFERROR(VLOOKUP(A55,'Centre WR5'!$A$7:$N$160,7,FALSE),0)</f>
        <v>0</v>
      </c>
      <c r="H55" s="10">
        <f>IFERROR(VLOOKUP(A55,'Centre DW5'!$A$7:$N$163,8,FALSE),0)+
IFERROR(VLOOKUP(A55,'Centre WP5'!$A$7:$N$160,8,FALSE),0)+
IFERROR(VLOOKUP(A55,'Centre WR5'!$A$7:$N$160,8,FALSE),0)</f>
        <v>0</v>
      </c>
      <c r="I55" s="10">
        <f>IFERROR(VLOOKUP(A55,'Centre DW5'!$A$7:$N$163,9,FALSE),0)+
IFERROR(VLOOKUP(A55,'Centre WP5'!$A$7:$N$160,9,FALSE),0)+
IFERROR(VLOOKUP(A55,'Centre WR5'!$A$7:$N$160,9,FALSE),0)</f>
        <v>0</v>
      </c>
      <c r="J55" s="10">
        <f>IFERROR(VLOOKUP(A55,'Centre DW5'!$A$7:$N$163,10,FALSE),0)+
IFERROR(VLOOKUP(A55,'Centre WP5'!$A$7:$N$160,10,FALSE),0)+
IFERROR(VLOOKUP(A55,'Centre WR5'!$A$7:$N$160,10,FALSE),0)</f>
        <v>0</v>
      </c>
      <c r="K55" s="10">
        <f>IFERROR(VLOOKUP(A55,'Centre DW5'!$A$7:$N$163,11,FALSE),0)+
IFERROR(VLOOKUP(A55,'Centre WP5'!$A$7:$N$160,11,FALSE),0)+
IFERROR(VLOOKUP(A55,'Centre WR5'!$A$7:$N$160,11,FALSE),0)</f>
        <v>0</v>
      </c>
      <c r="L55" s="10">
        <f>IFERROR(VLOOKUP(A55,'Centre DW5'!$A$7:$N$163,12,FALSE),0)+
IFERROR(VLOOKUP(A55,'Centre WP5'!$A$7:$N$160,12,FALSE),0)+
IFERROR(VLOOKUP(A55,'Centre WR5'!$A$7:$N$160,12,FALSE),0)</f>
        <v>0</v>
      </c>
      <c r="M55" s="10">
        <f>IFERROR(VLOOKUP(A55,'Centre DW5'!$A$7:$N$163,13,FALSE),0)+
IFERROR(VLOOKUP(A55,'Centre WP5'!$A$7:$N$160,13,FALSE),0)+
IFERROR(VLOOKUP(A55,'Centre WR5'!$A$7:$N$160,13,FALSE),0)</f>
        <v>0</v>
      </c>
      <c r="N55" s="10">
        <f>IFERROR(VLOOKUP(A55,'Centre DW5'!$A$7:$N$163,14,FALSE),0)+
IFERROR(VLOOKUP(A55,'Centre WP5'!$A$7:$N$160,14,FALSE),0)+
IFERROR(VLOOKUP(A55,'Centre WR5'!$A$7:$N$160,14,FALSE),0)</f>
        <v>0</v>
      </c>
    </row>
    <row r="56" spans="1:14" x14ac:dyDescent="0.2">
      <c r="A56" s="48" t="s">
        <v>111</v>
      </c>
      <c r="B56" s="49" t="s">
        <v>112</v>
      </c>
      <c r="C56" s="50">
        <f>SUM(C57:C62)</f>
        <v>3.0999999999999996</v>
      </c>
      <c r="D56" s="50">
        <f t="shared" ref="D56:N56" si="8">SUM(D57:D62)</f>
        <v>3.8999999999999995</v>
      </c>
      <c r="E56" s="50">
        <f t="shared" si="8"/>
        <v>3.0999999999999996</v>
      </c>
      <c r="F56" s="50">
        <f t="shared" si="8"/>
        <v>3.0999999999999996</v>
      </c>
      <c r="G56" s="50">
        <f t="shared" si="8"/>
        <v>3.0999999999999996</v>
      </c>
      <c r="H56" s="50">
        <f t="shared" si="8"/>
        <v>3.0999999999999996</v>
      </c>
      <c r="I56" s="50">
        <f t="shared" si="8"/>
        <v>4.0999999999999996</v>
      </c>
      <c r="J56" s="50">
        <f t="shared" si="8"/>
        <v>3.0999999999999996</v>
      </c>
      <c r="K56" s="50">
        <f t="shared" si="8"/>
        <v>3.0999999999999996</v>
      </c>
      <c r="L56" s="50">
        <f t="shared" si="8"/>
        <v>3.0999999999999996</v>
      </c>
      <c r="M56" s="50">
        <f t="shared" si="8"/>
        <v>3.0999999999999996</v>
      </c>
      <c r="N56" s="50">
        <f t="shared" si="8"/>
        <v>4.0999999999999996</v>
      </c>
    </row>
    <row r="57" spans="1:14" outlineLevel="1" x14ac:dyDescent="0.2">
      <c r="A57" s="9" t="s">
        <v>113</v>
      </c>
      <c r="B57" s="1" t="s">
        <v>114</v>
      </c>
      <c r="C57" s="10">
        <f>IFERROR(VLOOKUP(A57,'Centre DW5'!$A$7:$N$163,3,FALSE),0)+
IFERROR(VLOOKUP(A57,'Centre WP5'!$A$7:$N$160,3,FALSE),0)+
IFERROR(VLOOKUP(A57,'Centre WR5'!$A$7:$N$160,3,FALSE),0)</f>
        <v>0.3</v>
      </c>
      <c r="D57" s="10">
        <f>IFERROR(VLOOKUP(A57,'Centre DW5'!$A$7:$N$163,4,FALSE),0)+
IFERROR(VLOOKUP(A57,'Centre WP5'!$A$7:$N$160,4,FALSE),0)+
IFERROR(VLOOKUP(A57,'Centre WR5'!$A$7:$N$160,4,FALSE),0)</f>
        <v>0.3</v>
      </c>
      <c r="E57" s="10">
        <f>IFERROR(VLOOKUP(A57,'Centre DW5'!$A$7:$N$163,5,FALSE),0)+
IFERROR(VLOOKUP(A57,'Centre WP5'!$A$7:$N$160,5,FALSE),0)+
IFERROR(VLOOKUP(A57,'Centre WR5'!$A$7:$N$160,5,FALSE),0)</f>
        <v>0.3</v>
      </c>
      <c r="F57" s="10">
        <f>IFERROR(VLOOKUP(A57,'Centre DW5'!$A$7:$N$163,6,FALSE),0)+
IFERROR(VLOOKUP(A57,'Centre WP5'!$A$7:$N$160,6,FALSE),0)+
IFERROR(VLOOKUP(A57,'Centre WR5'!$A$7:$N$160,6,FALSE),0)</f>
        <v>0.3</v>
      </c>
      <c r="G57" s="10">
        <f>IFERROR(VLOOKUP(A57,'Centre DW5'!$A$7:$N$163,7,FALSE),0)+
IFERROR(VLOOKUP(A57,'Centre WP5'!$A$7:$N$160,7,FALSE),0)+
IFERROR(VLOOKUP(A57,'Centre WR5'!$A$7:$N$160,7,FALSE),0)</f>
        <v>0.3</v>
      </c>
      <c r="H57" s="10">
        <f>IFERROR(VLOOKUP(A57,'Centre DW5'!$A$7:$N$163,8,FALSE),0)+
IFERROR(VLOOKUP(A57,'Centre WP5'!$A$7:$N$160,8,FALSE),0)+
IFERROR(VLOOKUP(A57,'Centre WR5'!$A$7:$N$160,8,FALSE),0)</f>
        <v>0.3</v>
      </c>
      <c r="I57" s="10">
        <f>IFERROR(VLOOKUP(A57,'Centre DW5'!$A$7:$N$163,9,FALSE),0)+
IFERROR(VLOOKUP(A57,'Centre WP5'!$A$7:$N$160,9,FALSE),0)+
IFERROR(VLOOKUP(A57,'Centre WR5'!$A$7:$N$160,9,FALSE),0)</f>
        <v>0.3</v>
      </c>
      <c r="J57" s="10">
        <f>IFERROR(VLOOKUP(A57,'Centre DW5'!$A$7:$N$163,10,FALSE),0)+
IFERROR(VLOOKUP(A57,'Centre WP5'!$A$7:$N$160,10,FALSE),0)+
IFERROR(VLOOKUP(A57,'Centre WR5'!$A$7:$N$160,10,FALSE),0)</f>
        <v>0.3</v>
      </c>
      <c r="K57" s="10">
        <f>IFERROR(VLOOKUP(A57,'Centre DW5'!$A$7:$N$163,11,FALSE),0)+
IFERROR(VLOOKUP(A57,'Centre WP5'!$A$7:$N$160,11,FALSE),0)+
IFERROR(VLOOKUP(A57,'Centre WR5'!$A$7:$N$160,11,FALSE),0)</f>
        <v>0.3</v>
      </c>
      <c r="L57" s="10">
        <f>IFERROR(VLOOKUP(A57,'Centre DW5'!$A$7:$N$163,12,FALSE),0)+
IFERROR(VLOOKUP(A57,'Centre WP5'!$A$7:$N$160,12,FALSE),0)+
IFERROR(VLOOKUP(A57,'Centre WR5'!$A$7:$N$160,12,FALSE),0)</f>
        <v>0.3</v>
      </c>
      <c r="M57" s="10">
        <f>IFERROR(VLOOKUP(A57,'Centre DW5'!$A$7:$N$163,13,FALSE),0)+
IFERROR(VLOOKUP(A57,'Centre WP5'!$A$7:$N$160,13,FALSE),0)+
IFERROR(VLOOKUP(A57,'Centre WR5'!$A$7:$N$160,13,FALSE),0)</f>
        <v>0.3</v>
      </c>
      <c r="N57" s="10">
        <f>IFERROR(VLOOKUP(A57,'Centre DW5'!$A$7:$N$163,14,FALSE),0)+
IFERROR(VLOOKUP(A57,'Centre WP5'!$A$7:$N$160,14,FALSE),0)+
IFERROR(VLOOKUP(A57,'Centre WR5'!$A$7:$N$160,14,FALSE),0)</f>
        <v>0.3</v>
      </c>
    </row>
    <row r="58" spans="1:14" outlineLevel="1" x14ac:dyDescent="0.2">
      <c r="A58" s="9" t="s">
        <v>309</v>
      </c>
      <c r="B58" s="1" t="s">
        <v>310</v>
      </c>
      <c r="C58" s="10">
        <f>IFERROR(VLOOKUP(A58,'Centre DW5'!$A$7:$N$163,3,FALSE),0)+
IFERROR(VLOOKUP(A58,'Centre WP5'!$A$7:$N$160,3,FALSE),0)+
IFERROR(VLOOKUP(A58,'Centre WR5'!$A$7:$N$160,3,FALSE),0)</f>
        <v>0</v>
      </c>
      <c r="D58" s="10">
        <f>IFERROR(VLOOKUP(A58,'Centre DW5'!$A$7:$N$163,4,FALSE),0)+
IFERROR(VLOOKUP(A58,'Centre WP5'!$A$7:$N$160,4,FALSE),0)+
IFERROR(VLOOKUP(A58,'Centre WR5'!$A$7:$N$160,4,FALSE),0)</f>
        <v>0</v>
      </c>
      <c r="E58" s="10">
        <f>IFERROR(VLOOKUP(A58,'Centre DW5'!$A$7:$N$163,5,FALSE),0)+
IFERROR(VLOOKUP(A58,'Centre WP5'!$A$7:$N$160,5,FALSE),0)+
IFERROR(VLOOKUP(A58,'Centre WR5'!$A$7:$N$160,5,FALSE),0)</f>
        <v>0</v>
      </c>
      <c r="F58" s="10">
        <f>IFERROR(VLOOKUP(A58,'Centre DW5'!$A$7:$N$163,6,FALSE),0)+
IFERROR(VLOOKUP(A58,'Centre WP5'!$A$7:$N$160,6,FALSE),0)+
IFERROR(VLOOKUP(A58,'Centre WR5'!$A$7:$N$160,6,FALSE),0)</f>
        <v>0</v>
      </c>
      <c r="G58" s="10">
        <f>IFERROR(VLOOKUP(A58,'Centre DW5'!$A$7:$N$163,7,FALSE),0)+
IFERROR(VLOOKUP(A58,'Centre WP5'!$A$7:$N$160,7,FALSE),0)+
IFERROR(VLOOKUP(A58,'Centre WR5'!$A$7:$N$160,7,FALSE),0)</f>
        <v>0</v>
      </c>
      <c r="H58" s="10">
        <f>IFERROR(VLOOKUP(A58,'Centre DW5'!$A$7:$N$163,8,FALSE),0)+
IFERROR(VLOOKUP(A58,'Centre WP5'!$A$7:$N$160,8,FALSE),0)+
IFERROR(VLOOKUP(A58,'Centre WR5'!$A$7:$N$160,8,FALSE),0)</f>
        <v>0</v>
      </c>
      <c r="I58" s="10">
        <f>IFERROR(VLOOKUP(A58,'Centre DW5'!$A$7:$N$163,9,FALSE),0)+
IFERROR(VLOOKUP(A58,'Centre WP5'!$A$7:$N$160,9,FALSE),0)+
IFERROR(VLOOKUP(A58,'Centre WR5'!$A$7:$N$160,9,FALSE),0)</f>
        <v>0</v>
      </c>
      <c r="J58" s="10">
        <f>IFERROR(VLOOKUP(A58,'Centre DW5'!$A$7:$N$163,10,FALSE),0)+
IFERROR(VLOOKUP(A58,'Centre WP5'!$A$7:$N$160,10,FALSE),0)+
IFERROR(VLOOKUP(A58,'Centre WR5'!$A$7:$N$160,10,FALSE),0)</f>
        <v>0</v>
      </c>
      <c r="K58" s="10">
        <f>IFERROR(VLOOKUP(A58,'Centre DW5'!$A$7:$N$163,11,FALSE),0)+
IFERROR(VLOOKUP(A58,'Centre WP5'!$A$7:$N$160,11,FALSE),0)+
IFERROR(VLOOKUP(A58,'Centre WR5'!$A$7:$N$160,11,FALSE),0)</f>
        <v>0</v>
      </c>
      <c r="L58" s="10">
        <f>IFERROR(VLOOKUP(A58,'Centre DW5'!$A$7:$N$163,12,FALSE),0)+
IFERROR(VLOOKUP(A58,'Centre WP5'!$A$7:$N$160,12,FALSE),0)+
IFERROR(VLOOKUP(A58,'Centre WR5'!$A$7:$N$160,12,FALSE),0)</f>
        <v>0</v>
      </c>
      <c r="M58" s="10">
        <f>IFERROR(VLOOKUP(A58,'Centre DW5'!$A$7:$N$163,13,FALSE),0)+
IFERROR(VLOOKUP(A58,'Centre WP5'!$A$7:$N$160,13,FALSE),0)+
IFERROR(VLOOKUP(A58,'Centre WR5'!$A$7:$N$160,13,FALSE),0)</f>
        <v>0</v>
      </c>
      <c r="N58" s="10">
        <f>IFERROR(VLOOKUP(A58,'Centre DW5'!$A$7:$N$163,14,FALSE),0)+
IFERROR(VLOOKUP(A58,'Centre WP5'!$A$7:$N$160,14,FALSE),0)+
IFERROR(VLOOKUP(A58,'Centre WR5'!$A$7:$N$160,14,FALSE),0)</f>
        <v>0</v>
      </c>
    </row>
    <row r="59" spans="1:14" outlineLevel="1" x14ac:dyDescent="0.2">
      <c r="A59" s="9" t="s">
        <v>115</v>
      </c>
      <c r="B59" s="1" t="s">
        <v>116</v>
      </c>
      <c r="C59" s="10">
        <f>IFERROR(VLOOKUP(A59,'Centre DW5'!$A$7:$N$163,3,FALSE),0)+
IFERROR(VLOOKUP(A59,'Centre WP5'!$A$7:$N$160,3,FALSE),0)+
IFERROR(VLOOKUP(A59,'Centre WR5'!$A$7:$N$160,3,FALSE),0)</f>
        <v>1.2</v>
      </c>
      <c r="D59" s="10">
        <f>IFERROR(VLOOKUP(A59,'Centre DW5'!$A$7:$N$163,4,FALSE),0)+
IFERROR(VLOOKUP(A59,'Centre WP5'!$A$7:$N$160,4,FALSE),0)+
IFERROR(VLOOKUP(A59,'Centre WR5'!$A$7:$N$160,4,FALSE),0)</f>
        <v>1.2</v>
      </c>
      <c r="E59" s="10">
        <f>IFERROR(VLOOKUP(A59,'Centre DW5'!$A$7:$N$163,5,FALSE),0)+
IFERROR(VLOOKUP(A59,'Centre WP5'!$A$7:$N$160,5,FALSE),0)+
IFERROR(VLOOKUP(A59,'Centre WR5'!$A$7:$N$160,5,FALSE),0)</f>
        <v>1.2</v>
      </c>
      <c r="F59" s="10">
        <f>IFERROR(VLOOKUP(A59,'Centre DW5'!$A$7:$N$163,6,FALSE),0)+
IFERROR(VLOOKUP(A59,'Centre WP5'!$A$7:$N$160,6,FALSE),0)+
IFERROR(VLOOKUP(A59,'Centre WR5'!$A$7:$N$160,6,FALSE),0)</f>
        <v>1.2</v>
      </c>
      <c r="G59" s="10">
        <f>IFERROR(VLOOKUP(A59,'Centre DW5'!$A$7:$N$163,7,FALSE),0)+
IFERROR(VLOOKUP(A59,'Centre WP5'!$A$7:$N$160,7,FALSE),0)+
IFERROR(VLOOKUP(A59,'Centre WR5'!$A$7:$N$160,7,FALSE),0)</f>
        <v>1.2</v>
      </c>
      <c r="H59" s="10">
        <f>IFERROR(VLOOKUP(A59,'Centre DW5'!$A$7:$N$163,8,FALSE),0)+
IFERROR(VLOOKUP(A59,'Centre WP5'!$A$7:$N$160,8,FALSE),0)+
IFERROR(VLOOKUP(A59,'Centre WR5'!$A$7:$N$160,8,FALSE),0)</f>
        <v>1.2</v>
      </c>
      <c r="I59" s="10">
        <f>IFERROR(VLOOKUP(A59,'Centre DW5'!$A$7:$N$163,9,FALSE),0)+
IFERROR(VLOOKUP(A59,'Centre WP5'!$A$7:$N$160,9,FALSE),0)+
IFERROR(VLOOKUP(A59,'Centre WR5'!$A$7:$N$160,9,FALSE),0)</f>
        <v>1.2</v>
      </c>
      <c r="J59" s="10">
        <f>IFERROR(VLOOKUP(A59,'Centre DW5'!$A$7:$N$163,10,FALSE),0)+
IFERROR(VLOOKUP(A59,'Centre WP5'!$A$7:$N$160,10,FALSE),0)+
IFERROR(VLOOKUP(A59,'Centre WR5'!$A$7:$N$160,10,FALSE),0)</f>
        <v>1.2</v>
      </c>
      <c r="K59" s="10">
        <f>IFERROR(VLOOKUP(A59,'Centre DW5'!$A$7:$N$163,11,FALSE),0)+
IFERROR(VLOOKUP(A59,'Centre WP5'!$A$7:$N$160,11,FALSE),0)+
IFERROR(VLOOKUP(A59,'Centre WR5'!$A$7:$N$160,11,FALSE),0)</f>
        <v>1.2</v>
      </c>
      <c r="L59" s="10">
        <f>IFERROR(VLOOKUP(A59,'Centre DW5'!$A$7:$N$163,12,FALSE),0)+
IFERROR(VLOOKUP(A59,'Centre WP5'!$A$7:$N$160,12,FALSE),0)+
IFERROR(VLOOKUP(A59,'Centre WR5'!$A$7:$N$160,12,FALSE),0)</f>
        <v>1.2</v>
      </c>
      <c r="M59" s="10">
        <f>IFERROR(VLOOKUP(A59,'Centre DW5'!$A$7:$N$163,13,FALSE),0)+
IFERROR(VLOOKUP(A59,'Centre WP5'!$A$7:$N$160,13,FALSE),0)+
IFERROR(VLOOKUP(A59,'Centre WR5'!$A$7:$N$160,13,FALSE),0)</f>
        <v>1.2</v>
      </c>
      <c r="N59" s="10">
        <f>IFERROR(VLOOKUP(A59,'Centre DW5'!$A$7:$N$163,14,FALSE),0)+
IFERROR(VLOOKUP(A59,'Centre WP5'!$A$7:$N$160,14,FALSE),0)+
IFERROR(VLOOKUP(A59,'Centre WR5'!$A$7:$N$160,14,FALSE),0)</f>
        <v>1.2</v>
      </c>
    </row>
    <row r="60" spans="1:14" outlineLevel="1" x14ac:dyDescent="0.2">
      <c r="A60" s="9" t="s">
        <v>311</v>
      </c>
      <c r="B60" s="1" t="s">
        <v>312</v>
      </c>
      <c r="C60" s="10">
        <f>IFERROR(VLOOKUP(A60,'Centre DW5'!$A$7:$N$163,3,FALSE),0)+
IFERROR(VLOOKUP(A60,'Centre WP5'!$A$7:$N$160,3,FALSE),0)+
IFERROR(VLOOKUP(A60,'Centre WR5'!$A$7:$N$160,3,FALSE),0)</f>
        <v>1.3</v>
      </c>
      <c r="D60" s="10">
        <f>IFERROR(VLOOKUP(A60,'Centre DW5'!$A$7:$N$163,4,FALSE),0)+
IFERROR(VLOOKUP(A60,'Centre WP5'!$A$7:$N$160,4,FALSE),0)+
IFERROR(VLOOKUP(A60,'Centre WR5'!$A$7:$N$160,4,FALSE),0)</f>
        <v>1.3</v>
      </c>
      <c r="E60" s="10">
        <f>IFERROR(VLOOKUP(A60,'Centre DW5'!$A$7:$N$163,5,FALSE),0)+
IFERROR(VLOOKUP(A60,'Centre WP5'!$A$7:$N$160,5,FALSE),0)+
IFERROR(VLOOKUP(A60,'Centre WR5'!$A$7:$N$160,5,FALSE),0)</f>
        <v>1.3</v>
      </c>
      <c r="F60" s="10">
        <f>IFERROR(VLOOKUP(A60,'Centre DW5'!$A$7:$N$163,6,FALSE),0)+
IFERROR(VLOOKUP(A60,'Centre WP5'!$A$7:$N$160,6,FALSE),0)+
IFERROR(VLOOKUP(A60,'Centre WR5'!$A$7:$N$160,6,FALSE),0)</f>
        <v>1.3</v>
      </c>
      <c r="G60" s="10">
        <f>IFERROR(VLOOKUP(A60,'Centre DW5'!$A$7:$N$163,7,FALSE),0)+
IFERROR(VLOOKUP(A60,'Centre WP5'!$A$7:$N$160,7,FALSE),0)+
IFERROR(VLOOKUP(A60,'Centre WR5'!$A$7:$N$160,7,FALSE),0)</f>
        <v>1.3</v>
      </c>
      <c r="H60" s="10">
        <f>IFERROR(VLOOKUP(A60,'Centre DW5'!$A$7:$N$163,8,FALSE),0)+
IFERROR(VLOOKUP(A60,'Centre WP5'!$A$7:$N$160,8,FALSE),0)+
IFERROR(VLOOKUP(A60,'Centre WR5'!$A$7:$N$160,8,FALSE),0)</f>
        <v>1.3</v>
      </c>
      <c r="I60" s="10">
        <f>IFERROR(VLOOKUP(A60,'Centre DW5'!$A$7:$N$163,9,FALSE),0)+
IFERROR(VLOOKUP(A60,'Centre WP5'!$A$7:$N$160,9,FALSE),0)+
IFERROR(VLOOKUP(A60,'Centre WR5'!$A$7:$N$160,9,FALSE),0)</f>
        <v>1.3</v>
      </c>
      <c r="J60" s="10">
        <f>IFERROR(VLOOKUP(A60,'Centre DW5'!$A$7:$N$163,10,FALSE),0)+
IFERROR(VLOOKUP(A60,'Centre WP5'!$A$7:$N$160,10,FALSE),0)+
IFERROR(VLOOKUP(A60,'Centre WR5'!$A$7:$N$160,10,FALSE),0)</f>
        <v>1.3</v>
      </c>
      <c r="K60" s="10">
        <f>IFERROR(VLOOKUP(A60,'Centre DW5'!$A$7:$N$163,11,FALSE),0)+
IFERROR(VLOOKUP(A60,'Centre WP5'!$A$7:$N$160,11,FALSE),0)+
IFERROR(VLOOKUP(A60,'Centre WR5'!$A$7:$N$160,11,FALSE),0)</f>
        <v>1.3</v>
      </c>
      <c r="L60" s="10">
        <f>IFERROR(VLOOKUP(A60,'Centre DW5'!$A$7:$N$163,12,FALSE),0)+
IFERROR(VLOOKUP(A60,'Centre WP5'!$A$7:$N$160,12,FALSE),0)+
IFERROR(VLOOKUP(A60,'Centre WR5'!$A$7:$N$160,12,FALSE),0)</f>
        <v>1.3</v>
      </c>
      <c r="M60" s="10">
        <f>IFERROR(VLOOKUP(A60,'Centre DW5'!$A$7:$N$163,13,FALSE),0)+
IFERROR(VLOOKUP(A60,'Centre WP5'!$A$7:$N$160,13,FALSE),0)+
IFERROR(VLOOKUP(A60,'Centre WR5'!$A$7:$N$160,13,FALSE),0)</f>
        <v>1.3</v>
      </c>
      <c r="N60" s="10">
        <f>IFERROR(VLOOKUP(A60,'Centre DW5'!$A$7:$N$163,14,FALSE),0)+
IFERROR(VLOOKUP(A60,'Centre WP5'!$A$7:$N$160,14,FALSE),0)+
IFERROR(VLOOKUP(A60,'Centre WR5'!$A$7:$N$160,14,FALSE),0)</f>
        <v>1.3</v>
      </c>
    </row>
    <row r="61" spans="1:14" outlineLevel="1" x14ac:dyDescent="0.2">
      <c r="A61" s="9" t="s">
        <v>117</v>
      </c>
      <c r="B61" s="1" t="s">
        <v>118</v>
      </c>
      <c r="C61" s="10">
        <f>IFERROR(VLOOKUP(A61,'Centre DW5'!$A$7:$N$163,3,FALSE),0)+
IFERROR(VLOOKUP(A61,'Centre WP5'!$A$7:$N$160,3,FALSE),0)+
IFERROR(VLOOKUP(A61,'Centre WR5'!$A$7:$N$160,3,FALSE),0)</f>
        <v>0</v>
      </c>
      <c r="D61" s="10">
        <f>IFERROR(VLOOKUP(A61,'Centre DW5'!$A$7:$N$163,4,FALSE),0)+
IFERROR(VLOOKUP(A61,'Centre WP5'!$A$7:$N$160,4,FALSE),0)+
IFERROR(VLOOKUP(A61,'Centre WR5'!$A$7:$N$160,4,FALSE),0)</f>
        <v>0.8</v>
      </c>
      <c r="E61" s="10">
        <f>IFERROR(VLOOKUP(A61,'Centre DW5'!$A$7:$N$163,5,FALSE),0)+
IFERROR(VLOOKUP(A61,'Centre WP5'!$A$7:$N$160,5,FALSE),0)+
IFERROR(VLOOKUP(A61,'Centre WR5'!$A$7:$N$160,5,FALSE),0)</f>
        <v>0</v>
      </c>
      <c r="F61" s="10">
        <f>IFERROR(VLOOKUP(A61,'Centre DW5'!$A$7:$N$163,6,FALSE),0)+
IFERROR(VLOOKUP(A61,'Centre WP5'!$A$7:$N$160,6,FALSE),0)+
IFERROR(VLOOKUP(A61,'Centre WR5'!$A$7:$N$160,6,FALSE),0)</f>
        <v>0</v>
      </c>
      <c r="G61" s="10">
        <f>IFERROR(VLOOKUP(A61,'Centre DW5'!$A$7:$N$163,7,FALSE),0)+
IFERROR(VLOOKUP(A61,'Centre WP5'!$A$7:$N$160,7,FALSE),0)+
IFERROR(VLOOKUP(A61,'Centre WR5'!$A$7:$N$160,7,FALSE),0)</f>
        <v>0</v>
      </c>
      <c r="H61" s="10">
        <f>IFERROR(VLOOKUP(A61,'Centre DW5'!$A$7:$N$163,8,FALSE),0)+
IFERROR(VLOOKUP(A61,'Centre WP5'!$A$7:$N$160,8,FALSE),0)+
IFERROR(VLOOKUP(A61,'Centre WR5'!$A$7:$N$160,8,FALSE),0)</f>
        <v>0</v>
      </c>
      <c r="I61" s="10">
        <f>IFERROR(VLOOKUP(A61,'Centre DW5'!$A$7:$N$163,9,FALSE),0)+
IFERROR(VLOOKUP(A61,'Centre WP5'!$A$7:$N$160,9,FALSE),0)+
IFERROR(VLOOKUP(A61,'Centre WR5'!$A$7:$N$160,9,FALSE),0)</f>
        <v>1</v>
      </c>
      <c r="J61" s="10">
        <f>IFERROR(VLOOKUP(A61,'Centre DW5'!$A$7:$N$163,10,FALSE),0)+
IFERROR(VLOOKUP(A61,'Centre WP5'!$A$7:$N$160,10,FALSE),0)+
IFERROR(VLOOKUP(A61,'Centre WR5'!$A$7:$N$160,10,FALSE),0)</f>
        <v>0</v>
      </c>
      <c r="K61" s="10">
        <f>IFERROR(VLOOKUP(A61,'Centre DW5'!$A$7:$N$163,11,FALSE),0)+
IFERROR(VLOOKUP(A61,'Centre WP5'!$A$7:$N$160,11,FALSE),0)+
IFERROR(VLOOKUP(A61,'Centre WR5'!$A$7:$N$160,11,FALSE),0)</f>
        <v>0</v>
      </c>
      <c r="L61" s="10">
        <f>IFERROR(VLOOKUP(A61,'Centre DW5'!$A$7:$N$163,12,FALSE),0)+
IFERROR(VLOOKUP(A61,'Centre WP5'!$A$7:$N$160,12,FALSE),0)+
IFERROR(VLOOKUP(A61,'Centre WR5'!$A$7:$N$160,12,FALSE),0)</f>
        <v>0</v>
      </c>
      <c r="M61" s="10">
        <f>IFERROR(VLOOKUP(A61,'Centre DW5'!$A$7:$N$163,13,FALSE),0)+
IFERROR(VLOOKUP(A61,'Centre WP5'!$A$7:$N$160,13,FALSE),0)+
IFERROR(VLOOKUP(A61,'Centre WR5'!$A$7:$N$160,13,FALSE),0)</f>
        <v>0</v>
      </c>
      <c r="N61" s="10">
        <f>IFERROR(VLOOKUP(A61,'Centre DW5'!$A$7:$N$163,14,FALSE),0)+
IFERROR(VLOOKUP(A61,'Centre WP5'!$A$7:$N$160,14,FALSE),0)+
IFERROR(VLOOKUP(A61,'Centre WR5'!$A$7:$N$160,14,FALSE),0)</f>
        <v>1</v>
      </c>
    </row>
    <row r="62" spans="1:14" outlineLevel="1" x14ac:dyDescent="0.2">
      <c r="A62" s="9" t="s">
        <v>313</v>
      </c>
      <c r="B62" s="1" t="s">
        <v>314</v>
      </c>
      <c r="C62" s="10">
        <f>IFERROR(VLOOKUP(A62,'Centre DW5'!$A$7:$N$163,3,FALSE),0)+
IFERROR(VLOOKUP(A62,'Centre WP5'!$A$7:$N$160,3,FALSE),0)+
IFERROR(VLOOKUP(A62,'Centre WR5'!$A$7:$N$160,3,FALSE),0)</f>
        <v>0.3</v>
      </c>
      <c r="D62" s="10">
        <f>IFERROR(VLOOKUP(A62,'Centre DW5'!$A$7:$N$163,4,FALSE),0)+
IFERROR(VLOOKUP(A62,'Centre WP5'!$A$7:$N$160,4,FALSE),0)+
IFERROR(VLOOKUP(A62,'Centre WR5'!$A$7:$N$160,4,FALSE),0)</f>
        <v>0.3</v>
      </c>
      <c r="E62" s="10">
        <f>IFERROR(VLOOKUP(A62,'Centre DW5'!$A$7:$N$163,5,FALSE),0)+
IFERROR(VLOOKUP(A62,'Centre WP5'!$A$7:$N$160,5,FALSE),0)+
IFERROR(VLOOKUP(A62,'Centre WR5'!$A$7:$N$160,5,FALSE),0)</f>
        <v>0.3</v>
      </c>
      <c r="F62" s="10">
        <f>IFERROR(VLOOKUP(A62,'Centre DW5'!$A$7:$N$163,6,FALSE),0)+
IFERROR(VLOOKUP(A62,'Centre WP5'!$A$7:$N$160,6,FALSE),0)+
IFERROR(VLOOKUP(A62,'Centre WR5'!$A$7:$N$160,6,FALSE),0)</f>
        <v>0.3</v>
      </c>
      <c r="G62" s="10">
        <f>IFERROR(VLOOKUP(A62,'Centre DW5'!$A$7:$N$163,7,FALSE),0)+
IFERROR(VLOOKUP(A62,'Centre WP5'!$A$7:$N$160,7,FALSE),0)+
IFERROR(VLOOKUP(A62,'Centre WR5'!$A$7:$N$160,7,FALSE),0)</f>
        <v>0.3</v>
      </c>
      <c r="H62" s="10">
        <f>IFERROR(VLOOKUP(A62,'Centre DW5'!$A$7:$N$163,8,FALSE),0)+
IFERROR(VLOOKUP(A62,'Centre WP5'!$A$7:$N$160,8,FALSE),0)+
IFERROR(VLOOKUP(A62,'Centre WR5'!$A$7:$N$160,8,FALSE),0)</f>
        <v>0.3</v>
      </c>
      <c r="I62" s="10">
        <f>IFERROR(VLOOKUP(A62,'Centre DW5'!$A$7:$N$163,9,FALSE),0)+
IFERROR(VLOOKUP(A62,'Centre WP5'!$A$7:$N$160,9,FALSE),0)+
IFERROR(VLOOKUP(A62,'Centre WR5'!$A$7:$N$160,9,FALSE),0)</f>
        <v>0.3</v>
      </c>
      <c r="J62" s="10">
        <f>IFERROR(VLOOKUP(A62,'Centre DW5'!$A$7:$N$163,10,FALSE),0)+
IFERROR(VLOOKUP(A62,'Centre WP5'!$A$7:$N$160,10,FALSE),0)+
IFERROR(VLOOKUP(A62,'Centre WR5'!$A$7:$N$160,10,FALSE),0)</f>
        <v>0.3</v>
      </c>
      <c r="K62" s="10">
        <f>IFERROR(VLOOKUP(A62,'Centre DW5'!$A$7:$N$163,11,FALSE),0)+
IFERROR(VLOOKUP(A62,'Centre WP5'!$A$7:$N$160,11,FALSE),0)+
IFERROR(VLOOKUP(A62,'Centre WR5'!$A$7:$N$160,11,FALSE),0)</f>
        <v>0.3</v>
      </c>
      <c r="L62" s="10">
        <f>IFERROR(VLOOKUP(A62,'Centre DW5'!$A$7:$N$163,12,FALSE),0)+
IFERROR(VLOOKUP(A62,'Centre WP5'!$A$7:$N$160,12,FALSE),0)+
IFERROR(VLOOKUP(A62,'Centre WR5'!$A$7:$N$160,12,FALSE),0)</f>
        <v>0.3</v>
      </c>
      <c r="M62" s="10">
        <f>IFERROR(VLOOKUP(A62,'Centre DW5'!$A$7:$N$163,13,FALSE),0)+
IFERROR(VLOOKUP(A62,'Centre WP5'!$A$7:$N$160,13,FALSE),0)+
IFERROR(VLOOKUP(A62,'Centre WR5'!$A$7:$N$160,13,FALSE),0)</f>
        <v>0.3</v>
      </c>
      <c r="N62" s="10">
        <f>IFERROR(VLOOKUP(A62,'Centre DW5'!$A$7:$N$163,14,FALSE),0)+
IFERROR(VLOOKUP(A62,'Centre WP5'!$A$7:$N$160,14,FALSE),0)+
IFERROR(VLOOKUP(A62,'Centre WR5'!$A$7:$N$160,14,FALSE),0)</f>
        <v>0.3</v>
      </c>
    </row>
    <row r="63" spans="1:14" x14ac:dyDescent="0.2">
      <c r="A63" s="48" t="s">
        <v>119</v>
      </c>
      <c r="B63" s="49" t="s">
        <v>120</v>
      </c>
      <c r="C63" s="50">
        <f>SUM(C64:C66)</f>
        <v>0.2</v>
      </c>
      <c r="D63" s="50">
        <f t="shared" ref="D63:N63" si="9">SUM(D64:D66)</f>
        <v>0.2</v>
      </c>
      <c r="E63" s="50">
        <f t="shared" si="9"/>
        <v>0.2</v>
      </c>
      <c r="F63" s="50">
        <f t="shared" si="9"/>
        <v>0.2</v>
      </c>
      <c r="G63" s="50">
        <f t="shared" si="9"/>
        <v>0.2</v>
      </c>
      <c r="H63" s="50">
        <f t="shared" si="9"/>
        <v>0.2</v>
      </c>
      <c r="I63" s="50">
        <f t="shared" si="9"/>
        <v>0.30000000000000004</v>
      </c>
      <c r="J63" s="50">
        <f t="shared" si="9"/>
        <v>0.2</v>
      </c>
      <c r="K63" s="50">
        <f t="shared" si="9"/>
        <v>0.2</v>
      </c>
      <c r="L63" s="50">
        <f t="shared" si="9"/>
        <v>0.2</v>
      </c>
      <c r="M63" s="50">
        <f t="shared" si="9"/>
        <v>0.2</v>
      </c>
      <c r="N63" s="50">
        <f t="shared" si="9"/>
        <v>0.30000000000000004</v>
      </c>
    </row>
    <row r="64" spans="1:14" outlineLevel="1" x14ac:dyDescent="0.2">
      <c r="A64" s="9" t="s">
        <v>121</v>
      </c>
      <c r="B64" s="1" t="s">
        <v>122</v>
      </c>
      <c r="C64" s="10">
        <f>IFERROR(VLOOKUP(A64,'Centre DW5'!$A$7:$N$163,3,FALSE),0)+
IFERROR(VLOOKUP(A64,'Centre WP5'!$A$7:$N$160,3,FALSE),0)+
IFERROR(VLOOKUP(A64,'Centre WR5'!$A$7:$N$160,3,FALSE),0)</f>
        <v>0</v>
      </c>
      <c r="D64" s="10">
        <f>IFERROR(VLOOKUP(A64,'Centre DW5'!$A$7:$N$163,4,FALSE),0)+
IFERROR(VLOOKUP(A64,'Centre WP5'!$A$7:$N$160,4,FALSE),0)+
IFERROR(VLOOKUP(A64,'Centre WR5'!$A$7:$N$160,4,FALSE),0)</f>
        <v>0</v>
      </c>
      <c r="E64" s="10">
        <f>IFERROR(VLOOKUP(A64,'Centre DW5'!$A$7:$N$163,5,FALSE),0)+
IFERROR(VLOOKUP(A64,'Centre WP5'!$A$7:$N$160,5,FALSE),0)+
IFERROR(VLOOKUP(A64,'Centre WR5'!$A$7:$N$160,5,FALSE),0)</f>
        <v>0</v>
      </c>
      <c r="F64" s="10">
        <f>IFERROR(VLOOKUP(A64,'Centre DW5'!$A$7:$N$163,6,FALSE),0)+
IFERROR(VLOOKUP(A64,'Centre WP5'!$A$7:$N$160,6,FALSE),0)+
IFERROR(VLOOKUP(A64,'Centre WR5'!$A$7:$N$160,6,FALSE),0)</f>
        <v>0</v>
      </c>
      <c r="G64" s="10">
        <f>IFERROR(VLOOKUP(A64,'Centre DW5'!$A$7:$N$163,7,FALSE),0)+
IFERROR(VLOOKUP(A64,'Centre WP5'!$A$7:$N$160,7,FALSE),0)+
IFERROR(VLOOKUP(A64,'Centre WR5'!$A$7:$N$160,7,FALSE),0)</f>
        <v>0</v>
      </c>
      <c r="H64" s="10">
        <f>IFERROR(VLOOKUP(A64,'Centre DW5'!$A$7:$N$163,8,FALSE),0)+
IFERROR(VLOOKUP(A64,'Centre WP5'!$A$7:$N$160,8,FALSE),0)+
IFERROR(VLOOKUP(A64,'Centre WR5'!$A$7:$N$160,8,FALSE),0)</f>
        <v>0</v>
      </c>
      <c r="I64" s="10">
        <f>IFERROR(VLOOKUP(A64,'Centre DW5'!$A$7:$N$163,9,FALSE),0)+
IFERROR(VLOOKUP(A64,'Centre WP5'!$A$7:$N$160,9,FALSE),0)+
IFERROR(VLOOKUP(A64,'Centre WR5'!$A$7:$N$160,9,FALSE),0)</f>
        <v>0</v>
      </c>
      <c r="J64" s="10">
        <f>IFERROR(VLOOKUP(A64,'Centre DW5'!$A$7:$N$163,10,FALSE),0)+
IFERROR(VLOOKUP(A64,'Centre WP5'!$A$7:$N$160,10,FALSE),0)+
IFERROR(VLOOKUP(A64,'Centre WR5'!$A$7:$N$160,10,FALSE),0)</f>
        <v>0</v>
      </c>
      <c r="K64" s="10">
        <f>IFERROR(VLOOKUP(A64,'Centre DW5'!$A$7:$N$163,11,FALSE),0)+
IFERROR(VLOOKUP(A64,'Centre WP5'!$A$7:$N$160,11,FALSE),0)+
IFERROR(VLOOKUP(A64,'Centre WR5'!$A$7:$N$160,11,FALSE),0)</f>
        <v>0</v>
      </c>
      <c r="L64" s="10">
        <f>IFERROR(VLOOKUP(A64,'Centre DW5'!$A$7:$N$163,12,FALSE),0)+
IFERROR(VLOOKUP(A64,'Centre WP5'!$A$7:$N$160,12,FALSE),0)+
IFERROR(VLOOKUP(A64,'Centre WR5'!$A$7:$N$160,12,FALSE),0)</f>
        <v>0</v>
      </c>
      <c r="M64" s="10">
        <f>IFERROR(VLOOKUP(A64,'Centre DW5'!$A$7:$N$163,13,FALSE),0)+
IFERROR(VLOOKUP(A64,'Centre WP5'!$A$7:$N$160,13,FALSE),0)+
IFERROR(VLOOKUP(A64,'Centre WR5'!$A$7:$N$160,13,FALSE),0)</f>
        <v>0</v>
      </c>
      <c r="N64" s="10">
        <f>IFERROR(VLOOKUP(A64,'Centre DW5'!$A$7:$N$163,14,FALSE),0)+
IFERROR(VLOOKUP(A64,'Centre WP5'!$A$7:$N$160,14,FALSE),0)+
IFERROR(VLOOKUP(A64,'Centre WR5'!$A$7:$N$160,14,FALSE),0)</f>
        <v>0</v>
      </c>
    </row>
    <row r="65" spans="1:14" outlineLevel="1" x14ac:dyDescent="0.2">
      <c r="A65" s="9" t="s">
        <v>123</v>
      </c>
      <c r="B65" s="1" t="s">
        <v>124</v>
      </c>
      <c r="C65" s="10">
        <f>IFERROR(VLOOKUP(A65,'Centre DW5'!$A$7:$N$163,3,FALSE),0)+
IFERROR(VLOOKUP(A65,'Centre WP5'!$A$7:$N$160,3,FALSE),0)+
IFERROR(VLOOKUP(A65,'Centre WR5'!$A$7:$N$160,3,FALSE),0)</f>
        <v>0.2</v>
      </c>
      <c r="D65" s="10">
        <f>IFERROR(VLOOKUP(A65,'Centre DW5'!$A$7:$N$163,4,FALSE),0)+
IFERROR(VLOOKUP(A65,'Centre WP5'!$A$7:$N$160,4,FALSE),0)+
IFERROR(VLOOKUP(A65,'Centre WR5'!$A$7:$N$160,4,FALSE),0)</f>
        <v>0.2</v>
      </c>
      <c r="E65" s="10">
        <f>IFERROR(VLOOKUP(A65,'Centre DW5'!$A$7:$N$163,5,FALSE),0)+
IFERROR(VLOOKUP(A65,'Centre WP5'!$A$7:$N$160,5,FALSE),0)+
IFERROR(VLOOKUP(A65,'Centre WR5'!$A$7:$N$160,5,FALSE),0)</f>
        <v>0.2</v>
      </c>
      <c r="F65" s="10">
        <f>IFERROR(VLOOKUP(A65,'Centre DW5'!$A$7:$N$163,6,FALSE),0)+
IFERROR(VLOOKUP(A65,'Centre WP5'!$A$7:$N$160,6,FALSE),0)+
IFERROR(VLOOKUP(A65,'Centre WR5'!$A$7:$N$160,6,FALSE),0)</f>
        <v>0.2</v>
      </c>
      <c r="G65" s="10">
        <f>IFERROR(VLOOKUP(A65,'Centre DW5'!$A$7:$N$163,7,FALSE),0)+
IFERROR(VLOOKUP(A65,'Centre WP5'!$A$7:$N$160,7,FALSE),0)+
IFERROR(VLOOKUP(A65,'Centre WR5'!$A$7:$N$160,7,FALSE),0)</f>
        <v>0.2</v>
      </c>
      <c r="H65" s="10">
        <f>IFERROR(VLOOKUP(A65,'Centre DW5'!$A$7:$N$163,8,FALSE),0)+
IFERROR(VLOOKUP(A65,'Centre WP5'!$A$7:$N$160,8,FALSE),0)+
IFERROR(VLOOKUP(A65,'Centre WR5'!$A$7:$N$160,8,FALSE),0)</f>
        <v>0.2</v>
      </c>
      <c r="I65" s="10">
        <f>IFERROR(VLOOKUP(A65,'Centre DW5'!$A$7:$N$163,9,FALSE),0)+
IFERROR(VLOOKUP(A65,'Centre WP5'!$A$7:$N$160,9,FALSE),0)+
IFERROR(VLOOKUP(A65,'Centre WR5'!$A$7:$N$160,9,FALSE),0)</f>
        <v>0.2</v>
      </c>
      <c r="J65" s="10">
        <f>IFERROR(VLOOKUP(A65,'Centre DW5'!$A$7:$N$163,10,FALSE),0)+
IFERROR(VLOOKUP(A65,'Centre WP5'!$A$7:$N$160,10,FALSE),0)+
IFERROR(VLOOKUP(A65,'Centre WR5'!$A$7:$N$160,10,FALSE),0)</f>
        <v>0.2</v>
      </c>
      <c r="K65" s="10">
        <f>IFERROR(VLOOKUP(A65,'Centre DW5'!$A$7:$N$163,11,FALSE),0)+
IFERROR(VLOOKUP(A65,'Centre WP5'!$A$7:$N$160,11,FALSE),0)+
IFERROR(VLOOKUP(A65,'Centre WR5'!$A$7:$N$160,11,FALSE),0)</f>
        <v>0.2</v>
      </c>
      <c r="L65" s="10">
        <f>IFERROR(VLOOKUP(A65,'Centre DW5'!$A$7:$N$163,12,FALSE),0)+
IFERROR(VLOOKUP(A65,'Centre WP5'!$A$7:$N$160,12,FALSE),0)+
IFERROR(VLOOKUP(A65,'Centre WR5'!$A$7:$N$160,12,FALSE),0)</f>
        <v>0.2</v>
      </c>
      <c r="M65" s="10">
        <f>IFERROR(VLOOKUP(A65,'Centre DW5'!$A$7:$N$163,13,FALSE),0)+
IFERROR(VLOOKUP(A65,'Centre WP5'!$A$7:$N$160,13,FALSE),0)+
IFERROR(VLOOKUP(A65,'Centre WR5'!$A$7:$N$160,13,FALSE),0)</f>
        <v>0.2</v>
      </c>
      <c r="N65" s="10">
        <f>IFERROR(VLOOKUP(A65,'Centre DW5'!$A$7:$N$163,14,FALSE),0)+
IFERROR(VLOOKUP(A65,'Centre WP5'!$A$7:$N$160,14,FALSE),0)+
IFERROR(VLOOKUP(A65,'Centre WR5'!$A$7:$N$160,14,FALSE),0)</f>
        <v>0.2</v>
      </c>
    </row>
    <row r="66" spans="1:14" outlineLevel="1" x14ac:dyDescent="0.2">
      <c r="A66" s="9" t="s">
        <v>125</v>
      </c>
      <c r="B66" s="1" t="s">
        <v>126</v>
      </c>
      <c r="C66" s="10">
        <f>IFERROR(VLOOKUP(A66,'Centre DW5'!$A$7:$N$163,3,FALSE),0)+
IFERROR(VLOOKUP(A66,'Centre WP5'!$A$7:$N$160,3,FALSE),0)+
IFERROR(VLOOKUP(A66,'Centre WR5'!$A$7:$N$160,3,FALSE),0)</f>
        <v>0</v>
      </c>
      <c r="D66" s="10">
        <f>IFERROR(VLOOKUP(A66,'Centre DW5'!$A$7:$N$163,4,FALSE),0)+
IFERROR(VLOOKUP(A66,'Centre WP5'!$A$7:$N$160,4,FALSE),0)+
IFERROR(VLOOKUP(A66,'Centre WR5'!$A$7:$N$160,4,FALSE),0)</f>
        <v>0</v>
      </c>
      <c r="E66" s="10">
        <f>IFERROR(VLOOKUP(A66,'Centre DW5'!$A$7:$N$163,5,FALSE),0)+
IFERROR(VLOOKUP(A66,'Centre WP5'!$A$7:$N$160,5,FALSE),0)+
IFERROR(VLOOKUP(A66,'Centre WR5'!$A$7:$N$160,5,FALSE),0)</f>
        <v>0</v>
      </c>
      <c r="F66" s="10">
        <f>IFERROR(VLOOKUP(A66,'Centre DW5'!$A$7:$N$163,6,FALSE),0)+
IFERROR(VLOOKUP(A66,'Centre WP5'!$A$7:$N$160,6,FALSE),0)+
IFERROR(VLOOKUP(A66,'Centre WR5'!$A$7:$N$160,6,FALSE),0)</f>
        <v>0</v>
      </c>
      <c r="G66" s="10">
        <f>IFERROR(VLOOKUP(A66,'Centre DW5'!$A$7:$N$163,7,FALSE),0)+
IFERROR(VLOOKUP(A66,'Centre WP5'!$A$7:$N$160,7,FALSE),0)+
IFERROR(VLOOKUP(A66,'Centre WR5'!$A$7:$N$160,7,FALSE),0)</f>
        <v>0</v>
      </c>
      <c r="H66" s="10">
        <f>IFERROR(VLOOKUP(A66,'Centre DW5'!$A$7:$N$163,8,FALSE),0)+
IFERROR(VLOOKUP(A66,'Centre WP5'!$A$7:$N$160,8,FALSE),0)+
IFERROR(VLOOKUP(A66,'Centre WR5'!$A$7:$N$160,8,FALSE),0)</f>
        <v>0</v>
      </c>
      <c r="I66" s="10">
        <f>IFERROR(VLOOKUP(A66,'Centre DW5'!$A$7:$N$163,9,FALSE),0)+
IFERROR(VLOOKUP(A66,'Centre WP5'!$A$7:$N$160,9,FALSE),0)+
IFERROR(VLOOKUP(A66,'Centre WR5'!$A$7:$N$160,9,FALSE),0)</f>
        <v>0.1</v>
      </c>
      <c r="J66" s="10">
        <f>IFERROR(VLOOKUP(A66,'Centre DW5'!$A$7:$N$163,10,FALSE),0)+
IFERROR(VLOOKUP(A66,'Centre WP5'!$A$7:$N$160,10,FALSE),0)+
IFERROR(VLOOKUP(A66,'Centre WR5'!$A$7:$N$160,10,FALSE),0)</f>
        <v>0</v>
      </c>
      <c r="K66" s="10">
        <f>IFERROR(VLOOKUP(A66,'Centre DW5'!$A$7:$N$163,11,FALSE),0)+
IFERROR(VLOOKUP(A66,'Centre WP5'!$A$7:$N$160,11,FALSE),0)+
IFERROR(VLOOKUP(A66,'Centre WR5'!$A$7:$N$160,11,FALSE),0)</f>
        <v>0</v>
      </c>
      <c r="L66" s="10">
        <f>IFERROR(VLOOKUP(A66,'Centre DW5'!$A$7:$N$163,12,FALSE),0)+
IFERROR(VLOOKUP(A66,'Centre WP5'!$A$7:$N$160,12,FALSE),0)+
IFERROR(VLOOKUP(A66,'Centre WR5'!$A$7:$N$160,12,FALSE),0)</f>
        <v>0</v>
      </c>
      <c r="M66" s="10">
        <f>IFERROR(VLOOKUP(A66,'Centre DW5'!$A$7:$N$163,13,FALSE),0)+
IFERROR(VLOOKUP(A66,'Centre WP5'!$A$7:$N$160,13,FALSE),0)+
IFERROR(VLOOKUP(A66,'Centre WR5'!$A$7:$N$160,13,FALSE),0)</f>
        <v>0</v>
      </c>
      <c r="N66" s="10">
        <f>IFERROR(VLOOKUP(A66,'Centre DW5'!$A$7:$N$163,14,FALSE),0)+
IFERROR(VLOOKUP(A66,'Centre WP5'!$A$7:$N$160,14,FALSE),0)+
IFERROR(VLOOKUP(A66,'Centre WR5'!$A$7:$N$160,14,FALSE),0)</f>
        <v>0.1</v>
      </c>
    </row>
    <row r="67" spans="1:14" x14ac:dyDescent="0.2">
      <c r="A67" s="48" t="s">
        <v>127</v>
      </c>
      <c r="B67" s="49" t="s">
        <v>128</v>
      </c>
      <c r="C67" s="50">
        <f>SUM(C68:C75)</f>
        <v>33.299999999999997</v>
      </c>
      <c r="D67" s="50">
        <f t="shared" ref="D67:N67" si="10">SUM(D68:D75)</f>
        <v>33.299999999999997</v>
      </c>
      <c r="E67" s="50">
        <f t="shared" si="10"/>
        <v>33.299999999999997</v>
      </c>
      <c r="F67" s="50">
        <f t="shared" si="10"/>
        <v>33.299999999999997</v>
      </c>
      <c r="G67" s="50">
        <f t="shared" si="10"/>
        <v>33.299999999999997</v>
      </c>
      <c r="H67" s="50">
        <f t="shared" si="10"/>
        <v>33.299999999999997</v>
      </c>
      <c r="I67" s="50">
        <f t="shared" si="10"/>
        <v>33.299999999999997</v>
      </c>
      <c r="J67" s="50">
        <f t="shared" si="10"/>
        <v>33.299999999999997</v>
      </c>
      <c r="K67" s="50">
        <f t="shared" si="10"/>
        <v>33.299999999999997</v>
      </c>
      <c r="L67" s="50">
        <f t="shared" si="10"/>
        <v>33.299999999999997</v>
      </c>
      <c r="M67" s="50">
        <f t="shared" si="10"/>
        <v>33.299999999999997</v>
      </c>
      <c r="N67" s="50">
        <f t="shared" si="10"/>
        <v>33.299999999999997</v>
      </c>
    </row>
    <row r="68" spans="1:14" outlineLevel="1" x14ac:dyDescent="0.2">
      <c r="A68" s="9" t="s">
        <v>315</v>
      </c>
      <c r="B68" s="1" t="s">
        <v>316</v>
      </c>
      <c r="C68" s="10">
        <f>IFERROR(VLOOKUP(A68,'Centre DW5'!$A$7:$N$163,3,FALSE),0)+
IFERROR(VLOOKUP(A68,'Centre WP5'!$A$7:$N$160,3,FALSE),0)+
IFERROR(VLOOKUP(A68,'Centre WR5'!$A$7:$N$160,3,FALSE),0)</f>
        <v>0</v>
      </c>
      <c r="D68" s="10">
        <f>IFERROR(VLOOKUP(A68,'Centre DW5'!$A$7:$N$163,4,FALSE),0)+
IFERROR(VLOOKUP(A68,'Centre WP5'!$A$7:$N$160,4,FALSE),0)+
IFERROR(VLOOKUP(A68,'Centre WR5'!$A$7:$N$160,4,FALSE),0)</f>
        <v>0</v>
      </c>
      <c r="E68" s="10">
        <f>IFERROR(VLOOKUP(A68,'Centre DW5'!$A$7:$N$163,5,FALSE),0)+
IFERROR(VLOOKUP(A68,'Centre WP5'!$A$7:$N$160,5,FALSE),0)+
IFERROR(VLOOKUP(A68,'Centre WR5'!$A$7:$N$160,5,FALSE),0)</f>
        <v>0</v>
      </c>
      <c r="F68" s="10">
        <f>IFERROR(VLOOKUP(A68,'Centre DW5'!$A$7:$N$163,6,FALSE),0)+
IFERROR(VLOOKUP(A68,'Centre WP5'!$A$7:$N$160,6,FALSE),0)+
IFERROR(VLOOKUP(A68,'Centre WR5'!$A$7:$N$160,6,FALSE),0)</f>
        <v>0</v>
      </c>
      <c r="G68" s="10">
        <f>IFERROR(VLOOKUP(A68,'Centre DW5'!$A$7:$N$163,7,FALSE),0)+
IFERROR(VLOOKUP(A68,'Centre WP5'!$A$7:$N$160,7,FALSE),0)+
IFERROR(VLOOKUP(A68,'Centre WR5'!$A$7:$N$160,7,FALSE),0)</f>
        <v>0</v>
      </c>
      <c r="H68" s="10">
        <f>IFERROR(VLOOKUP(A68,'Centre DW5'!$A$7:$N$163,8,FALSE),0)+
IFERROR(VLOOKUP(A68,'Centre WP5'!$A$7:$N$160,8,FALSE),0)+
IFERROR(VLOOKUP(A68,'Centre WR5'!$A$7:$N$160,8,FALSE),0)</f>
        <v>0</v>
      </c>
      <c r="I68" s="10">
        <f>IFERROR(VLOOKUP(A68,'Centre DW5'!$A$7:$N$163,9,FALSE),0)+
IFERROR(VLOOKUP(A68,'Centre WP5'!$A$7:$N$160,9,FALSE),0)+
IFERROR(VLOOKUP(A68,'Centre WR5'!$A$7:$N$160,9,FALSE),0)</f>
        <v>0</v>
      </c>
      <c r="J68" s="10">
        <f>IFERROR(VLOOKUP(A68,'Centre DW5'!$A$7:$N$163,10,FALSE),0)+
IFERROR(VLOOKUP(A68,'Centre WP5'!$A$7:$N$160,10,FALSE),0)+
IFERROR(VLOOKUP(A68,'Centre WR5'!$A$7:$N$160,10,FALSE),0)</f>
        <v>0</v>
      </c>
      <c r="K68" s="10">
        <f>IFERROR(VLOOKUP(A68,'Centre DW5'!$A$7:$N$163,11,FALSE),0)+
IFERROR(VLOOKUP(A68,'Centre WP5'!$A$7:$N$160,11,FALSE),0)+
IFERROR(VLOOKUP(A68,'Centre WR5'!$A$7:$N$160,11,FALSE),0)</f>
        <v>0</v>
      </c>
      <c r="L68" s="10">
        <f>IFERROR(VLOOKUP(A68,'Centre DW5'!$A$7:$N$163,12,FALSE),0)+
IFERROR(VLOOKUP(A68,'Centre WP5'!$A$7:$N$160,12,FALSE),0)+
IFERROR(VLOOKUP(A68,'Centre WR5'!$A$7:$N$160,12,FALSE),0)</f>
        <v>0</v>
      </c>
      <c r="M68" s="10">
        <f>IFERROR(VLOOKUP(A68,'Centre DW5'!$A$7:$N$163,13,FALSE),0)+
IFERROR(VLOOKUP(A68,'Centre WP5'!$A$7:$N$160,13,FALSE),0)+
IFERROR(VLOOKUP(A68,'Centre WR5'!$A$7:$N$160,13,FALSE),0)</f>
        <v>0</v>
      </c>
      <c r="N68" s="10">
        <f>IFERROR(VLOOKUP(A68,'Centre DW5'!$A$7:$N$163,14,FALSE),0)+
IFERROR(VLOOKUP(A68,'Centre WP5'!$A$7:$N$160,14,FALSE),0)+
IFERROR(VLOOKUP(A68,'Centre WR5'!$A$7:$N$160,14,FALSE),0)</f>
        <v>0</v>
      </c>
    </row>
    <row r="69" spans="1:14" outlineLevel="1" x14ac:dyDescent="0.2">
      <c r="A69" s="9" t="s">
        <v>317</v>
      </c>
      <c r="B69" s="1" t="s">
        <v>318</v>
      </c>
      <c r="C69" s="10">
        <f>IFERROR(VLOOKUP(A69,'Centre DW5'!$A$7:$N$163,3,FALSE),0)+
IFERROR(VLOOKUP(A69,'Centre WP5'!$A$7:$N$160,3,FALSE),0)+
IFERROR(VLOOKUP(A69,'Centre WR5'!$A$7:$N$160,3,FALSE),0)</f>
        <v>0</v>
      </c>
      <c r="D69" s="10">
        <f>IFERROR(VLOOKUP(A69,'Centre DW5'!$A$7:$N$163,4,FALSE),0)+
IFERROR(VLOOKUP(A69,'Centre WP5'!$A$7:$N$160,4,FALSE),0)+
IFERROR(VLOOKUP(A69,'Centre WR5'!$A$7:$N$160,4,FALSE),0)</f>
        <v>0</v>
      </c>
      <c r="E69" s="10">
        <f>IFERROR(VLOOKUP(A69,'Centre DW5'!$A$7:$N$163,5,FALSE),0)+
IFERROR(VLOOKUP(A69,'Centre WP5'!$A$7:$N$160,5,FALSE),0)+
IFERROR(VLOOKUP(A69,'Centre WR5'!$A$7:$N$160,5,FALSE),0)</f>
        <v>0</v>
      </c>
      <c r="F69" s="10">
        <f>IFERROR(VLOOKUP(A69,'Centre DW5'!$A$7:$N$163,6,FALSE),0)+
IFERROR(VLOOKUP(A69,'Centre WP5'!$A$7:$N$160,6,FALSE),0)+
IFERROR(VLOOKUP(A69,'Centre WR5'!$A$7:$N$160,6,FALSE),0)</f>
        <v>0</v>
      </c>
      <c r="G69" s="10">
        <f>IFERROR(VLOOKUP(A69,'Centre DW5'!$A$7:$N$163,7,FALSE),0)+
IFERROR(VLOOKUP(A69,'Centre WP5'!$A$7:$N$160,7,FALSE),0)+
IFERROR(VLOOKUP(A69,'Centre WR5'!$A$7:$N$160,7,FALSE),0)</f>
        <v>0</v>
      </c>
      <c r="H69" s="10">
        <f>IFERROR(VLOOKUP(A69,'Centre DW5'!$A$7:$N$163,8,FALSE),0)+
IFERROR(VLOOKUP(A69,'Centre WP5'!$A$7:$N$160,8,FALSE),0)+
IFERROR(VLOOKUP(A69,'Centre WR5'!$A$7:$N$160,8,FALSE),0)</f>
        <v>0</v>
      </c>
      <c r="I69" s="10">
        <f>IFERROR(VLOOKUP(A69,'Centre DW5'!$A$7:$N$163,9,FALSE),0)+
IFERROR(VLOOKUP(A69,'Centre WP5'!$A$7:$N$160,9,FALSE),0)+
IFERROR(VLOOKUP(A69,'Centre WR5'!$A$7:$N$160,9,FALSE),0)</f>
        <v>0</v>
      </c>
      <c r="J69" s="10">
        <f>IFERROR(VLOOKUP(A69,'Centre DW5'!$A$7:$N$163,10,FALSE),0)+
IFERROR(VLOOKUP(A69,'Centre WP5'!$A$7:$N$160,10,FALSE),0)+
IFERROR(VLOOKUP(A69,'Centre WR5'!$A$7:$N$160,10,FALSE),0)</f>
        <v>0</v>
      </c>
      <c r="K69" s="10">
        <f>IFERROR(VLOOKUP(A69,'Centre DW5'!$A$7:$N$163,11,FALSE),0)+
IFERROR(VLOOKUP(A69,'Centre WP5'!$A$7:$N$160,11,FALSE),0)+
IFERROR(VLOOKUP(A69,'Centre WR5'!$A$7:$N$160,11,FALSE),0)</f>
        <v>0</v>
      </c>
      <c r="L69" s="10">
        <f>IFERROR(VLOOKUP(A69,'Centre DW5'!$A$7:$N$163,12,FALSE),0)+
IFERROR(VLOOKUP(A69,'Centre WP5'!$A$7:$N$160,12,FALSE),0)+
IFERROR(VLOOKUP(A69,'Centre WR5'!$A$7:$N$160,12,FALSE),0)</f>
        <v>0</v>
      </c>
      <c r="M69" s="10">
        <f>IFERROR(VLOOKUP(A69,'Centre DW5'!$A$7:$N$163,13,FALSE),0)+
IFERROR(VLOOKUP(A69,'Centre WP5'!$A$7:$N$160,13,FALSE),0)+
IFERROR(VLOOKUP(A69,'Centre WR5'!$A$7:$N$160,13,FALSE),0)</f>
        <v>0</v>
      </c>
      <c r="N69" s="10">
        <f>IFERROR(VLOOKUP(A69,'Centre DW5'!$A$7:$N$163,14,FALSE),0)+
IFERROR(VLOOKUP(A69,'Centre WP5'!$A$7:$N$160,14,FALSE),0)+
IFERROR(VLOOKUP(A69,'Centre WR5'!$A$7:$N$160,14,FALSE),0)</f>
        <v>0</v>
      </c>
    </row>
    <row r="70" spans="1:14" outlineLevel="1" x14ac:dyDescent="0.2">
      <c r="A70" s="9" t="s">
        <v>129</v>
      </c>
      <c r="B70" s="1" t="s">
        <v>130</v>
      </c>
      <c r="C70" s="10">
        <f>IFERROR(VLOOKUP(A70,'Centre DW5'!$A$7:$N$163,3,FALSE),0)+
IFERROR(VLOOKUP(A70,'Centre WP5'!$A$7:$N$160,3,FALSE),0)+
IFERROR(VLOOKUP(A70,'Centre WR5'!$A$7:$N$160,3,FALSE),0)</f>
        <v>32.5</v>
      </c>
      <c r="D70" s="10">
        <f>IFERROR(VLOOKUP(A70,'Centre DW5'!$A$7:$N$163,4,FALSE),0)+
IFERROR(VLOOKUP(A70,'Centre WP5'!$A$7:$N$160,4,FALSE),0)+
IFERROR(VLOOKUP(A70,'Centre WR5'!$A$7:$N$160,4,FALSE),0)</f>
        <v>32.5</v>
      </c>
      <c r="E70" s="10">
        <f>IFERROR(VLOOKUP(A70,'Centre DW5'!$A$7:$N$163,5,FALSE),0)+
IFERROR(VLOOKUP(A70,'Centre WP5'!$A$7:$N$160,5,FALSE),0)+
IFERROR(VLOOKUP(A70,'Centre WR5'!$A$7:$N$160,5,FALSE),0)</f>
        <v>32.5</v>
      </c>
      <c r="F70" s="10">
        <f>IFERROR(VLOOKUP(A70,'Centre DW5'!$A$7:$N$163,6,FALSE),0)+
IFERROR(VLOOKUP(A70,'Centre WP5'!$A$7:$N$160,6,FALSE),0)+
IFERROR(VLOOKUP(A70,'Centre WR5'!$A$7:$N$160,6,FALSE),0)</f>
        <v>32.5</v>
      </c>
      <c r="G70" s="10">
        <f>IFERROR(VLOOKUP(A70,'Centre DW5'!$A$7:$N$163,7,FALSE),0)+
IFERROR(VLOOKUP(A70,'Centre WP5'!$A$7:$N$160,7,FALSE),0)+
IFERROR(VLOOKUP(A70,'Centre WR5'!$A$7:$N$160,7,FALSE),0)</f>
        <v>32.5</v>
      </c>
      <c r="H70" s="10">
        <f>IFERROR(VLOOKUP(A70,'Centre DW5'!$A$7:$N$163,8,FALSE),0)+
IFERROR(VLOOKUP(A70,'Centre WP5'!$A$7:$N$160,8,FALSE),0)+
IFERROR(VLOOKUP(A70,'Centre WR5'!$A$7:$N$160,8,FALSE),0)</f>
        <v>32.5</v>
      </c>
      <c r="I70" s="10">
        <f>IFERROR(VLOOKUP(A70,'Centre DW5'!$A$7:$N$163,9,FALSE),0)+
IFERROR(VLOOKUP(A70,'Centre WP5'!$A$7:$N$160,9,FALSE),0)+
IFERROR(VLOOKUP(A70,'Centre WR5'!$A$7:$N$160,9,FALSE),0)</f>
        <v>32.5</v>
      </c>
      <c r="J70" s="10">
        <f>IFERROR(VLOOKUP(A70,'Centre DW5'!$A$7:$N$163,10,FALSE),0)+
IFERROR(VLOOKUP(A70,'Centre WP5'!$A$7:$N$160,10,FALSE),0)+
IFERROR(VLOOKUP(A70,'Centre WR5'!$A$7:$N$160,10,FALSE),0)</f>
        <v>32.5</v>
      </c>
      <c r="K70" s="10">
        <f>IFERROR(VLOOKUP(A70,'Centre DW5'!$A$7:$N$163,11,FALSE),0)+
IFERROR(VLOOKUP(A70,'Centre WP5'!$A$7:$N$160,11,FALSE),0)+
IFERROR(VLOOKUP(A70,'Centre WR5'!$A$7:$N$160,11,FALSE),0)</f>
        <v>32.5</v>
      </c>
      <c r="L70" s="10">
        <f>IFERROR(VLOOKUP(A70,'Centre DW5'!$A$7:$N$163,12,FALSE),0)+
IFERROR(VLOOKUP(A70,'Centre WP5'!$A$7:$N$160,12,FALSE),0)+
IFERROR(VLOOKUP(A70,'Centre WR5'!$A$7:$N$160,12,FALSE),0)</f>
        <v>32.5</v>
      </c>
      <c r="M70" s="10">
        <f>IFERROR(VLOOKUP(A70,'Centre DW5'!$A$7:$N$163,13,FALSE),0)+
IFERROR(VLOOKUP(A70,'Centre WP5'!$A$7:$N$160,13,FALSE),0)+
IFERROR(VLOOKUP(A70,'Centre WR5'!$A$7:$N$160,13,FALSE),0)</f>
        <v>32.5</v>
      </c>
      <c r="N70" s="10">
        <f>IFERROR(VLOOKUP(A70,'Centre DW5'!$A$7:$N$163,14,FALSE),0)+
IFERROR(VLOOKUP(A70,'Centre WP5'!$A$7:$N$160,14,FALSE),0)+
IFERROR(VLOOKUP(A70,'Centre WR5'!$A$7:$N$160,14,FALSE),0)</f>
        <v>32.5</v>
      </c>
    </row>
    <row r="71" spans="1:14" outlineLevel="1" x14ac:dyDescent="0.2">
      <c r="A71" s="9" t="s">
        <v>319</v>
      </c>
      <c r="B71" s="1" t="s">
        <v>320</v>
      </c>
      <c r="C71" s="10">
        <f>IFERROR(VLOOKUP(A71,'Centre DW5'!$A$7:$N$163,3,FALSE),0)+
IFERROR(VLOOKUP(A71,'Centre WP5'!$A$7:$N$160,3,FALSE),0)+
IFERROR(VLOOKUP(A71,'Centre WR5'!$A$7:$N$160,3,FALSE),0)</f>
        <v>0</v>
      </c>
      <c r="D71" s="10">
        <f>IFERROR(VLOOKUP(A71,'Centre DW5'!$A$7:$N$163,4,FALSE),0)+
IFERROR(VLOOKUP(A71,'Centre WP5'!$A$7:$N$160,4,FALSE),0)+
IFERROR(VLOOKUP(A71,'Centre WR5'!$A$7:$N$160,4,FALSE),0)</f>
        <v>0</v>
      </c>
      <c r="E71" s="10">
        <f>IFERROR(VLOOKUP(A71,'Centre DW5'!$A$7:$N$163,5,FALSE),0)+
IFERROR(VLOOKUP(A71,'Centre WP5'!$A$7:$N$160,5,FALSE),0)+
IFERROR(VLOOKUP(A71,'Centre WR5'!$A$7:$N$160,5,FALSE),0)</f>
        <v>0</v>
      </c>
      <c r="F71" s="10">
        <f>IFERROR(VLOOKUP(A71,'Centre DW5'!$A$7:$N$163,6,FALSE),0)+
IFERROR(VLOOKUP(A71,'Centre WP5'!$A$7:$N$160,6,FALSE),0)+
IFERROR(VLOOKUP(A71,'Centre WR5'!$A$7:$N$160,6,FALSE),0)</f>
        <v>0</v>
      </c>
      <c r="G71" s="10">
        <f>IFERROR(VLOOKUP(A71,'Centre DW5'!$A$7:$N$163,7,FALSE),0)+
IFERROR(VLOOKUP(A71,'Centre WP5'!$A$7:$N$160,7,FALSE),0)+
IFERROR(VLOOKUP(A71,'Centre WR5'!$A$7:$N$160,7,FALSE),0)</f>
        <v>0</v>
      </c>
      <c r="H71" s="10">
        <f>IFERROR(VLOOKUP(A71,'Centre DW5'!$A$7:$N$163,8,FALSE),0)+
IFERROR(VLOOKUP(A71,'Centre WP5'!$A$7:$N$160,8,FALSE),0)+
IFERROR(VLOOKUP(A71,'Centre WR5'!$A$7:$N$160,8,FALSE),0)</f>
        <v>0</v>
      </c>
      <c r="I71" s="10">
        <f>IFERROR(VLOOKUP(A71,'Centre DW5'!$A$7:$N$163,9,FALSE),0)+
IFERROR(VLOOKUP(A71,'Centre WP5'!$A$7:$N$160,9,FALSE),0)+
IFERROR(VLOOKUP(A71,'Centre WR5'!$A$7:$N$160,9,FALSE),0)</f>
        <v>0</v>
      </c>
      <c r="J71" s="10">
        <f>IFERROR(VLOOKUP(A71,'Centre DW5'!$A$7:$N$163,10,FALSE),0)+
IFERROR(VLOOKUP(A71,'Centre WP5'!$A$7:$N$160,10,FALSE),0)+
IFERROR(VLOOKUP(A71,'Centre WR5'!$A$7:$N$160,10,FALSE),0)</f>
        <v>0</v>
      </c>
      <c r="K71" s="10">
        <f>IFERROR(VLOOKUP(A71,'Centre DW5'!$A$7:$N$163,11,FALSE),0)+
IFERROR(VLOOKUP(A71,'Centre WP5'!$A$7:$N$160,11,FALSE),0)+
IFERROR(VLOOKUP(A71,'Centre WR5'!$A$7:$N$160,11,FALSE),0)</f>
        <v>0</v>
      </c>
      <c r="L71" s="10">
        <f>IFERROR(VLOOKUP(A71,'Centre DW5'!$A$7:$N$163,12,FALSE),0)+
IFERROR(VLOOKUP(A71,'Centre WP5'!$A$7:$N$160,12,FALSE),0)+
IFERROR(VLOOKUP(A71,'Centre WR5'!$A$7:$N$160,12,FALSE),0)</f>
        <v>0</v>
      </c>
      <c r="M71" s="10">
        <f>IFERROR(VLOOKUP(A71,'Centre DW5'!$A$7:$N$163,13,FALSE),0)+
IFERROR(VLOOKUP(A71,'Centre WP5'!$A$7:$N$160,13,FALSE),0)+
IFERROR(VLOOKUP(A71,'Centre WR5'!$A$7:$N$160,13,FALSE),0)</f>
        <v>0</v>
      </c>
      <c r="N71" s="10">
        <f>IFERROR(VLOOKUP(A71,'Centre DW5'!$A$7:$N$163,14,FALSE),0)+
IFERROR(VLOOKUP(A71,'Centre WP5'!$A$7:$N$160,14,FALSE),0)+
IFERROR(VLOOKUP(A71,'Centre WR5'!$A$7:$N$160,14,FALSE),0)</f>
        <v>0</v>
      </c>
    </row>
    <row r="72" spans="1:14" outlineLevel="1" x14ac:dyDescent="0.2">
      <c r="A72" s="9" t="s">
        <v>131</v>
      </c>
      <c r="B72" s="1" t="s">
        <v>132</v>
      </c>
      <c r="C72" s="10">
        <f>IFERROR(VLOOKUP(A72,'Centre DW5'!$A$7:$N$163,3,FALSE),0)+
IFERROR(VLOOKUP(A72,'Centre WP5'!$A$7:$N$160,3,FALSE),0)+
IFERROR(VLOOKUP(A72,'Centre WR5'!$A$7:$N$160,3,FALSE),0)</f>
        <v>0</v>
      </c>
      <c r="D72" s="10">
        <f>IFERROR(VLOOKUP(A72,'Centre DW5'!$A$7:$N$163,4,FALSE),0)+
IFERROR(VLOOKUP(A72,'Centre WP5'!$A$7:$N$160,4,FALSE),0)+
IFERROR(VLOOKUP(A72,'Centre WR5'!$A$7:$N$160,4,FALSE),0)</f>
        <v>0</v>
      </c>
      <c r="E72" s="10">
        <f>IFERROR(VLOOKUP(A72,'Centre DW5'!$A$7:$N$163,5,FALSE),0)+
IFERROR(VLOOKUP(A72,'Centre WP5'!$A$7:$N$160,5,FALSE),0)+
IFERROR(VLOOKUP(A72,'Centre WR5'!$A$7:$N$160,5,FALSE),0)</f>
        <v>0</v>
      </c>
      <c r="F72" s="10">
        <f>IFERROR(VLOOKUP(A72,'Centre DW5'!$A$7:$N$163,6,FALSE),0)+
IFERROR(VLOOKUP(A72,'Centre WP5'!$A$7:$N$160,6,FALSE),0)+
IFERROR(VLOOKUP(A72,'Centre WR5'!$A$7:$N$160,6,FALSE),0)</f>
        <v>0</v>
      </c>
      <c r="G72" s="10">
        <f>IFERROR(VLOOKUP(A72,'Centre DW5'!$A$7:$N$163,7,FALSE),0)+
IFERROR(VLOOKUP(A72,'Centre WP5'!$A$7:$N$160,7,FALSE),0)+
IFERROR(VLOOKUP(A72,'Centre WR5'!$A$7:$N$160,7,FALSE),0)</f>
        <v>0</v>
      </c>
      <c r="H72" s="10">
        <f>IFERROR(VLOOKUP(A72,'Centre DW5'!$A$7:$N$163,8,FALSE),0)+
IFERROR(VLOOKUP(A72,'Centre WP5'!$A$7:$N$160,8,FALSE),0)+
IFERROR(VLOOKUP(A72,'Centre WR5'!$A$7:$N$160,8,FALSE),0)</f>
        <v>0</v>
      </c>
      <c r="I72" s="10">
        <f>IFERROR(VLOOKUP(A72,'Centre DW5'!$A$7:$N$163,9,FALSE),0)+
IFERROR(VLOOKUP(A72,'Centre WP5'!$A$7:$N$160,9,FALSE),0)+
IFERROR(VLOOKUP(A72,'Centre WR5'!$A$7:$N$160,9,FALSE),0)</f>
        <v>0</v>
      </c>
      <c r="J72" s="10">
        <f>IFERROR(VLOOKUP(A72,'Centre DW5'!$A$7:$N$163,10,FALSE),0)+
IFERROR(VLOOKUP(A72,'Centre WP5'!$A$7:$N$160,10,FALSE),0)+
IFERROR(VLOOKUP(A72,'Centre WR5'!$A$7:$N$160,10,FALSE),0)</f>
        <v>0</v>
      </c>
      <c r="K72" s="10">
        <f>IFERROR(VLOOKUP(A72,'Centre DW5'!$A$7:$N$163,11,FALSE),0)+
IFERROR(VLOOKUP(A72,'Centre WP5'!$A$7:$N$160,11,FALSE),0)+
IFERROR(VLOOKUP(A72,'Centre WR5'!$A$7:$N$160,11,FALSE),0)</f>
        <v>0</v>
      </c>
      <c r="L72" s="10">
        <f>IFERROR(VLOOKUP(A72,'Centre DW5'!$A$7:$N$163,12,FALSE),0)+
IFERROR(VLOOKUP(A72,'Centre WP5'!$A$7:$N$160,12,FALSE),0)+
IFERROR(VLOOKUP(A72,'Centre WR5'!$A$7:$N$160,12,FALSE),0)</f>
        <v>0</v>
      </c>
      <c r="M72" s="10">
        <f>IFERROR(VLOOKUP(A72,'Centre DW5'!$A$7:$N$163,13,FALSE),0)+
IFERROR(VLOOKUP(A72,'Centre WP5'!$A$7:$N$160,13,FALSE),0)+
IFERROR(VLOOKUP(A72,'Centre WR5'!$A$7:$N$160,13,FALSE),0)</f>
        <v>0</v>
      </c>
      <c r="N72" s="10">
        <f>IFERROR(VLOOKUP(A72,'Centre DW5'!$A$7:$N$163,14,FALSE),0)+
IFERROR(VLOOKUP(A72,'Centre WP5'!$A$7:$N$160,14,FALSE),0)+
IFERROR(VLOOKUP(A72,'Centre WR5'!$A$7:$N$160,14,FALSE),0)</f>
        <v>0</v>
      </c>
    </row>
    <row r="73" spans="1:14" outlineLevel="1" x14ac:dyDescent="0.2">
      <c r="A73" s="9" t="s">
        <v>321</v>
      </c>
      <c r="B73" s="1" t="s">
        <v>322</v>
      </c>
      <c r="C73" s="10">
        <f>IFERROR(VLOOKUP(A73,'Centre DW5'!$A$7:$N$163,3,FALSE),0)+
IFERROR(VLOOKUP(A73,'Centre WP5'!$A$7:$N$160,3,FALSE),0)+
IFERROR(VLOOKUP(A73,'Centre WR5'!$A$7:$N$160,3,FALSE),0)</f>
        <v>0.8</v>
      </c>
      <c r="D73" s="10">
        <f>IFERROR(VLOOKUP(A73,'Centre DW5'!$A$7:$N$163,4,FALSE),0)+
IFERROR(VLOOKUP(A73,'Centre WP5'!$A$7:$N$160,4,FALSE),0)+
IFERROR(VLOOKUP(A73,'Centre WR5'!$A$7:$N$160,4,FALSE),0)</f>
        <v>0.8</v>
      </c>
      <c r="E73" s="10">
        <f>IFERROR(VLOOKUP(A73,'Centre DW5'!$A$7:$N$163,5,FALSE),0)+
IFERROR(VLOOKUP(A73,'Centre WP5'!$A$7:$N$160,5,FALSE),0)+
IFERROR(VLOOKUP(A73,'Centre WR5'!$A$7:$N$160,5,FALSE),0)</f>
        <v>0.8</v>
      </c>
      <c r="F73" s="10">
        <f>IFERROR(VLOOKUP(A73,'Centre DW5'!$A$7:$N$163,6,FALSE),0)+
IFERROR(VLOOKUP(A73,'Centre WP5'!$A$7:$N$160,6,FALSE),0)+
IFERROR(VLOOKUP(A73,'Centre WR5'!$A$7:$N$160,6,FALSE),0)</f>
        <v>0.8</v>
      </c>
      <c r="G73" s="10">
        <f>IFERROR(VLOOKUP(A73,'Centre DW5'!$A$7:$N$163,7,FALSE),0)+
IFERROR(VLOOKUP(A73,'Centre WP5'!$A$7:$N$160,7,FALSE),0)+
IFERROR(VLOOKUP(A73,'Centre WR5'!$A$7:$N$160,7,FALSE),0)</f>
        <v>0.8</v>
      </c>
      <c r="H73" s="10">
        <f>IFERROR(VLOOKUP(A73,'Centre DW5'!$A$7:$N$163,8,FALSE),0)+
IFERROR(VLOOKUP(A73,'Centre WP5'!$A$7:$N$160,8,FALSE),0)+
IFERROR(VLOOKUP(A73,'Centre WR5'!$A$7:$N$160,8,FALSE),0)</f>
        <v>0.8</v>
      </c>
      <c r="I73" s="10">
        <f>IFERROR(VLOOKUP(A73,'Centre DW5'!$A$7:$N$163,9,FALSE),0)+
IFERROR(VLOOKUP(A73,'Centre WP5'!$A$7:$N$160,9,FALSE),0)+
IFERROR(VLOOKUP(A73,'Centre WR5'!$A$7:$N$160,9,FALSE),0)</f>
        <v>0.8</v>
      </c>
      <c r="J73" s="10">
        <f>IFERROR(VLOOKUP(A73,'Centre DW5'!$A$7:$N$163,10,FALSE),0)+
IFERROR(VLOOKUP(A73,'Centre WP5'!$A$7:$N$160,10,FALSE),0)+
IFERROR(VLOOKUP(A73,'Centre WR5'!$A$7:$N$160,10,FALSE),0)</f>
        <v>0.8</v>
      </c>
      <c r="K73" s="10">
        <f>IFERROR(VLOOKUP(A73,'Centre DW5'!$A$7:$N$163,11,FALSE),0)+
IFERROR(VLOOKUP(A73,'Centre WP5'!$A$7:$N$160,11,FALSE),0)+
IFERROR(VLOOKUP(A73,'Centre WR5'!$A$7:$N$160,11,FALSE),0)</f>
        <v>0.8</v>
      </c>
      <c r="L73" s="10">
        <f>IFERROR(VLOOKUP(A73,'Centre DW5'!$A$7:$N$163,12,FALSE),0)+
IFERROR(VLOOKUP(A73,'Centre WP5'!$A$7:$N$160,12,FALSE),0)+
IFERROR(VLOOKUP(A73,'Centre WR5'!$A$7:$N$160,12,FALSE),0)</f>
        <v>0.8</v>
      </c>
      <c r="M73" s="10">
        <f>IFERROR(VLOOKUP(A73,'Centre DW5'!$A$7:$N$163,13,FALSE),0)+
IFERROR(VLOOKUP(A73,'Centre WP5'!$A$7:$N$160,13,FALSE),0)+
IFERROR(VLOOKUP(A73,'Centre WR5'!$A$7:$N$160,13,FALSE),0)</f>
        <v>0.8</v>
      </c>
      <c r="N73" s="10">
        <f>IFERROR(VLOOKUP(A73,'Centre DW5'!$A$7:$N$163,14,FALSE),0)+
IFERROR(VLOOKUP(A73,'Centre WP5'!$A$7:$N$160,14,FALSE),0)+
IFERROR(VLOOKUP(A73,'Centre WR5'!$A$7:$N$160,14,FALSE),0)</f>
        <v>0.8</v>
      </c>
    </row>
    <row r="74" spans="1:14" outlineLevel="1" x14ac:dyDescent="0.2">
      <c r="A74" s="9" t="s">
        <v>323</v>
      </c>
      <c r="B74" s="1" t="s">
        <v>324</v>
      </c>
      <c r="C74" s="10">
        <f>IFERROR(VLOOKUP(A74,'Centre DW5'!$A$7:$N$163,3,FALSE),0)+
IFERROR(VLOOKUP(A74,'Centre WP5'!$A$7:$N$160,3,FALSE),0)+
IFERROR(VLOOKUP(A74,'Centre WR5'!$A$7:$N$160,3,FALSE),0)</f>
        <v>0</v>
      </c>
      <c r="D74" s="10">
        <f>IFERROR(VLOOKUP(A74,'Centre DW5'!$A$7:$N$163,4,FALSE),0)+
IFERROR(VLOOKUP(A74,'Centre WP5'!$A$7:$N$160,4,FALSE),0)+
IFERROR(VLOOKUP(A74,'Centre WR5'!$A$7:$N$160,4,FALSE),0)</f>
        <v>0</v>
      </c>
      <c r="E74" s="10">
        <f>IFERROR(VLOOKUP(A74,'Centre DW5'!$A$7:$N$163,5,FALSE),0)+
IFERROR(VLOOKUP(A74,'Centre WP5'!$A$7:$N$160,5,FALSE),0)+
IFERROR(VLOOKUP(A74,'Centre WR5'!$A$7:$N$160,5,FALSE),0)</f>
        <v>0</v>
      </c>
      <c r="F74" s="10">
        <f>IFERROR(VLOOKUP(A74,'Centre DW5'!$A$7:$N$163,6,FALSE),0)+
IFERROR(VLOOKUP(A74,'Centre WP5'!$A$7:$N$160,6,FALSE),0)+
IFERROR(VLOOKUP(A74,'Centre WR5'!$A$7:$N$160,6,FALSE),0)</f>
        <v>0</v>
      </c>
      <c r="G74" s="10">
        <f>IFERROR(VLOOKUP(A74,'Centre DW5'!$A$7:$N$163,7,FALSE),0)+
IFERROR(VLOOKUP(A74,'Centre WP5'!$A$7:$N$160,7,FALSE),0)+
IFERROR(VLOOKUP(A74,'Centre WR5'!$A$7:$N$160,7,FALSE),0)</f>
        <v>0</v>
      </c>
      <c r="H74" s="10">
        <f>IFERROR(VLOOKUP(A74,'Centre DW5'!$A$7:$N$163,8,FALSE),0)+
IFERROR(VLOOKUP(A74,'Centre WP5'!$A$7:$N$160,8,FALSE),0)+
IFERROR(VLOOKUP(A74,'Centre WR5'!$A$7:$N$160,8,FALSE),0)</f>
        <v>0</v>
      </c>
      <c r="I74" s="10">
        <f>IFERROR(VLOOKUP(A74,'Centre DW5'!$A$7:$N$163,9,FALSE),0)+
IFERROR(VLOOKUP(A74,'Centre WP5'!$A$7:$N$160,9,FALSE),0)+
IFERROR(VLOOKUP(A74,'Centre WR5'!$A$7:$N$160,9,FALSE),0)</f>
        <v>0</v>
      </c>
      <c r="J74" s="10">
        <f>IFERROR(VLOOKUP(A74,'Centre DW5'!$A$7:$N$163,10,FALSE),0)+
IFERROR(VLOOKUP(A74,'Centre WP5'!$A$7:$N$160,10,FALSE),0)+
IFERROR(VLOOKUP(A74,'Centre WR5'!$A$7:$N$160,10,FALSE),0)</f>
        <v>0</v>
      </c>
      <c r="K74" s="10">
        <f>IFERROR(VLOOKUP(A74,'Centre DW5'!$A$7:$N$163,11,FALSE),0)+
IFERROR(VLOOKUP(A74,'Centre WP5'!$A$7:$N$160,11,FALSE),0)+
IFERROR(VLOOKUP(A74,'Centre WR5'!$A$7:$N$160,11,FALSE),0)</f>
        <v>0</v>
      </c>
      <c r="L74" s="10">
        <f>IFERROR(VLOOKUP(A74,'Centre DW5'!$A$7:$N$163,12,FALSE),0)+
IFERROR(VLOOKUP(A74,'Centre WP5'!$A$7:$N$160,12,FALSE),0)+
IFERROR(VLOOKUP(A74,'Centre WR5'!$A$7:$N$160,12,FALSE),0)</f>
        <v>0</v>
      </c>
      <c r="M74" s="10">
        <f>IFERROR(VLOOKUP(A74,'Centre DW5'!$A$7:$N$163,13,FALSE),0)+
IFERROR(VLOOKUP(A74,'Centre WP5'!$A$7:$N$160,13,FALSE),0)+
IFERROR(VLOOKUP(A74,'Centre WR5'!$A$7:$N$160,13,FALSE),0)</f>
        <v>0</v>
      </c>
      <c r="N74" s="10">
        <f>IFERROR(VLOOKUP(A74,'Centre DW5'!$A$7:$N$163,14,FALSE),0)+
IFERROR(VLOOKUP(A74,'Centre WP5'!$A$7:$N$160,14,FALSE),0)+
IFERROR(VLOOKUP(A74,'Centre WR5'!$A$7:$N$160,14,FALSE),0)</f>
        <v>0</v>
      </c>
    </row>
    <row r="75" spans="1:14" outlineLevel="1" x14ac:dyDescent="0.2">
      <c r="A75" s="9" t="s">
        <v>325</v>
      </c>
      <c r="B75" s="1" t="s">
        <v>326</v>
      </c>
      <c r="C75" s="10">
        <f>IFERROR(VLOOKUP(A75,'Centre DW5'!$A$7:$N$163,3,FALSE),0)+
IFERROR(VLOOKUP(A75,'Centre WP5'!$A$7:$N$160,3,FALSE),0)+
IFERROR(VLOOKUP(A75,'Centre WR5'!$A$7:$N$160,3,FALSE),0)</f>
        <v>0</v>
      </c>
      <c r="D75" s="10">
        <f>IFERROR(VLOOKUP(A75,'Centre DW5'!$A$7:$N$163,4,FALSE),0)+
IFERROR(VLOOKUP(A75,'Centre WP5'!$A$7:$N$160,4,FALSE),0)+
IFERROR(VLOOKUP(A75,'Centre WR5'!$A$7:$N$160,4,FALSE),0)</f>
        <v>0</v>
      </c>
      <c r="E75" s="10">
        <f>IFERROR(VLOOKUP(A75,'Centre DW5'!$A$7:$N$163,5,FALSE),0)+
IFERROR(VLOOKUP(A75,'Centre WP5'!$A$7:$N$160,5,FALSE),0)+
IFERROR(VLOOKUP(A75,'Centre WR5'!$A$7:$N$160,5,FALSE),0)</f>
        <v>0</v>
      </c>
      <c r="F75" s="10">
        <f>IFERROR(VLOOKUP(A75,'Centre DW5'!$A$7:$N$163,6,FALSE),0)+
IFERROR(VLOOKUP(A75,'Centre WP5'!$A$7:$N$160,6,FALSE),0)+
IFERROR(VLOOKUP(A75,'Centre WR5'!$A$7:$N$160,6,FALSE),0)</f>
        <v>0</v>
      </c>
      <c r="G75" s="10">
        <f>IFERROR(VLOOKUP(A75,'Centre DW5'!$A$7:$N$163,7,FALSE),0)+
IFERROR(VLOOKUP(A75,'Centre WP5'!$A$7:$N$160,7,FALSE),0)+
IFERROR(VLOOKUP(A75,'Centre WR5'!$A$7:$N$160,7,FALSE),0)</f>
        <v>0</v>
      </c>
      <c r="H75" s="10">
        <f>IFERROR(VLOOKUP(A75,'Centre DW5'!$A$7:$N$163,8,FALSE),0)+
IFERROR(VLOOKUP(A75,'Centre WP5'!$A$7:$N$160,8,FALSE),0)+
IFERROR(VLOOKUP(A75,'Centre WR5'!$A$7:$N$160,8,FALSE),0)</f>
        <v>0</v>
      </c>
      <c r="I75" s="10">
        <f>IFERROR(VLOOKUP(A75,'Centre DW5'!$A$7:$N$163,9,FALSE),0)+
IFERROR(VLOOKUP(A75,'Centre WP5'!$A$7:$N$160,9,FALSE),0)+
IFERROR(VLOOKUP(A75,'Centre WR5'!$A$7:$N$160,9,FALSE),0)</f>
        <v>0</v>
      </c>
      <c r="J75" s="10">
        <f>IFERROR(VLOOKUP(A75,'Centre DW5'!$A$7:$N$163,10,FALSE),0)+
IFERROR(VLOOKUP(A75,'Centre WP5'!$A$7:$N$160,10,FALSE),0)+
IFERROR(VLOOKUP(A75,'Centre WR5'!$A$7:$N$160,10,FALSE),0)</f>
        <v>0</v>
      </c>
      <c r="K75" s="10">
        <f>IFERROR(VLOOKUP(A75,'Centre DW5'!$A$7:$N$163,11,FALSE),0)+
IFERROR(VLOOKUP(A75,'Centre WP5'!$A$7:$N$160,11,FALSE),0)+
IFERROR(VLOOKUP(A75,'Centre WR5'!$A$7:$N$160,11,FALSE),0)</f>
        <v>0</v>
      </c>
      <c r="L75" s="10">
        <f>IFERROR(VLOOKUP(A75,'Centre DW5'!$A$7:$N$163,12,FALSE),0)+
IFERROR(VLOOKUP(A75,'Centre WP5'!$A$7:$N$160,12,FALSE),0)+
IFERROR(VLOOKUP(A75,'Centre WR5'!$A$7:$N$160,12,FALSE),0)</f>
        <v>0</v>
      </c>
      <c r="M75" s="10">
        <f>IFERROR(VLOOKUP(A75,'Centre DW5'!$A$7:$N$163,13,FALSE),0)+
IFERROR(VLOOKUP(A75,'Centre WP5'!$A$7:$N$160,13,FALSE),0)+
IFERROR(VLOOKUP(A75,'Centre WR5'!$A$7:$N$160,13,FALSE),0)</f>
        <v>0</v>
      </c>
      <c r="N75" s="10">
        <f>IFERROR(VLOOKUP(A75,'Centre DW5'!$A$7:$N$163,14,FALSE),0)+
IFERROR(VLOOKUP(A75,'Centre WP5'!$A$7:$N$160,14,FALSE),0)+
IFERROR(VLOOKUP(A75,'Centre WR5'!$A$7:$N$160,14,FALSE),0)</f>
        <v>0</v>
      </c>
    </row>
    <row r="76" spans="1:14" x14ac:dyDescent="0.2">
      <c r="A76" s="48" t="s">
        <v>133</v>
      </c>
      <c r="B76" s="49" t="s">
        <v>134</v>
      </c>
      <c r="C76" s="50">
        <f>SUM(C77:C83)</f>
        <v>26.899999999999995</v>
      </c>
      <c r="D76" s="50">
        <f t="shared" ref="D76:N76" si="11">SUM(D77:D83)</f>
        <v>26.899999999999995</v>
      </c>
      <c r="E76" s="50">
        <f t="shared" si="11"/>
        <v>26.899999999999995</v>
      </c>
      <c r="F76" s="50">
        <f t="shared" si="11"/>
        <v>26.899999999999995</v>
      </c>
      <c r="G76" s="50">
        <f t="shared" si="11"/>
        <v>26.899999999999995</v>
      </c>
      <c r="H76" s="50">
        <f t="shared" si="11"/>
        <v>26.899999999999995</v>
      </c>
      <c r="I76" s="50">
        <f t="shared" si="11"/>
        <v>26.899999999999995</v>
      </c>
      <c r="J76" s="50">
        <f t="shared" si="11"/>
        <v>26.899999999999995</v>
      </c>
      <c r="K76" s="50">
        <f t="shared" si="11"/>
        <v>26.899999999999995</v>
      </c>
      <c r="L76" s="50">
        <f t="shared" si="11"/>
        <v>26.899999999999995</v>
      </c>
      <c r="M76" s="50">
        <f t="shared" si="11"/>
        <v>26.899999999999995</v>
      </c>
      <c r="N76" s="50">
        <f t="shared" si="11"/>
        <v>26.899999999999995</v>
      </c>
    </row>
    <row r="77" spans="1:14" outlineLevel="1" x14ac:dyDescent="0.2">
      <c r="A77" s="9" t="s">
        <v>327</v>
      </c>
      <c r="B77" s="1" t="s">
        <v>328</v>
      </c>
      <c r="C77" s="10">
        <f>IFERROR(VLOOKUP(A77,'Centre DW5'!$A$7:$N$163,3,FALSE),0)+
IFERROR(VLOOKUP(A77,'Centre WP5'!$A$7:$N$160,3,FALSE),0)+
IFERROR(VLOOKUP(A77,'Centre WR5'!$A$7:$N$160,3,FALSE),0)</f>
        <v>0</v>
      </c>
      <c r="D77" s="10">
        <f>IFERROR(VLOOKUP(A77,'Centre DW5'!$A$7:$N$163,4,FALSE),0)+
IFERROR(VLOOKUP(A77,'Centre WP5'!$A$7:$N$160,4,FALSE),0)+
IFERROR(VLOOKUP(A77,'Centre WR5'!$A$7:$N$160,4,FALSE),0)</f>
        <v>0</v>
      </c>
      <c r="E77" s="10">
        <f>IFERROR(VLOOKUP(A77,'Centre DW5'!$A$7:$N$163,5,FALSE),0)+
IFERROR(VLOOKUP(A77,'Centre WP5'!$A$7:$N$160,5,FALSE),0)+
IFERROR(VLOOKUP(A77,'Centre WR5'!$A$7:$N$160,5,FALSE),0)</f>
        <v>0</v>
      </c>
      <c r="F77" s="10">
        <f>IFERROR(VLOOKUP(A77,'Centre DW5'!$A$7:$N$163,6,FALSE),0)+
IFERROR(VLOOKUP(A77,'Centre WP5'!$A$7:$N$160,6,FALSE),0)+
IFERROR(VLOOKUP(A77,'Centre WR5'!$A$7:$N$160,6,FALSE),0)</f>
        <v>0</v>
      </c>
      <c r="G77" s="10">
        <f>IFERROR(VLOOKUP(A77,'Centre DW5'!$A$7:$N$163,7,FALSE),0)+
IFERROR(VLOOKUP(A77,'Centre WP5'!$A$7:$N$160,7,FALSE),0)+
IFERROR(VLOOKUP(A77,'Centre WR5'!$A$7:$N$160,7,FALSE),0)</f>
        <v>0</v>
      </c>
      <c r="H77" s="10">
        <f>IFERROR(VLOOKUP(A77,'Centre DW5'!$A$7:$N$163,8,FALSE),0)+
IFERROR(VLOOKUP(A77,'Centre WP5'!$A$7:$N$160,8,FALSE),0)+
IFERROR(VLOOKUP(A77,'Centre WR5'!$A$7:$N$160,8,FALSE),0)</f>
        <v>0</v>
      </c>
      <c r="I77" s="10">
        <f>IFERROR(VLOOKUP(A77,'Centre DW5'!$A$7:$N$163,9,FALSE),0)+
IFERROR(VLOOKUP(A77,'Centre WP5'!$A$7:$N$160,9,FALSE),0)+
IFERROR(VLOOKUP(A77,'Centre WR5'!$A$7:$N$160,9,FALSE),0)</f>
        <v>0</v>
      </c>
      <c r="J77" s="10">
        <f>IFERROR(VLOOKUP(A77,'Centre DW5'!$A$7:$N$163,10,FALSE),0)+
IFERROR(VLOOKUP(A77,'Centre WP5'!$A$7:$N$160,10,FALSE),0)+
IFERROR(VLOOKUP(A77,'Centre WR5'!$A$7:$N$160,10,FALSE),0)</f>
        <v>0</v>
      </c>
      <c r="K77" s="10">
        <f>IFERROR(VLOOKUP(A77,'Centre DW5'!$A$7:$N$163,11,FALSE),0)+
IFERROR(VLOOKUP(A77,'Centre WP5'!$A$7:$N$160,11,FALSE),0)+
IFERROR(VLOOKUP(A77,'Centre WR5'!$A$7:$N$160,11,FALSE),0)</f>
        <v>0</v>
      </c>
      <c r="L77" s="10">
        <f>IFERROR(VLOOKUP(A77,'Centre DW5'!$A$7:$N$163,12,FALSE),0)+
IFERROR(VLOOKUP(A77,'Centre WP5'!$A$7:$N$160,12,FALSE),0)+
IFERROR(VLOOKUP(A77,'Centre WR5'!$A$7:$N$160,12,FALSE),0)</f>
        <v>0</v>
      </c>
      <c r="M77" s="10">
        <f>IFERROR(VLOOKUP(A77,'Centre DW5'!$A$7:$N$163,13,FALSE),0)+
IFERROR(VLOOKUP(A77,'Centre WP5'!$A$7:$N$160,13,FALSE),0)+
IFERROR(VLOOKUP(A77,'Centre WR5'!$A$7:$N$160,13,FALSE),0)</f>
        <v>0</v>
      </c>
      <c r="N77" s="10">
        <f>IFERROR(VLOOKUP(A77,'Centre DW5'!$A$7:$N$163,14,FALSE),0)+
IFERROR(VLOOKUP(A77,'Centre WP5'!$A$7:$N$160,14,FALSE),0)+
IFERROR(VLOOKUP(A77,'Centre WR5'!$A$7:$N$160,14,FALSE),0)</f>
        <v>0</v>
      </c>
    </row>
    <row r="78" spans="1:14" outlineLevel="1" x14ac:dyDescent="0.2">
      <c r="A78" s="9" t="s">
        <v>329</v>
      </c>
      <c r="B78" s="1" t="s">
        <v>330</v>
      </c>
      <c r="C78" s="10">
        <f>IFERROR(VLOOKUP(A78,'Centre DW5'!$A$7:$N$163,3,FALSE),0)+
IFERROR(VLOOKUP(A78,'Centre WP5'!$A$7:$N$160,3,FALSE),0)+
IFERROR(VLOOKUP(A78,'Centre WR5'!$A$7:$N$160,3,FALSE),0)</f>
        <v>20.9</v>
      </c>
      <c r="D78" s="10">
        <f>IFERROR(VLOOKUP(A78,'Centre DW5'!$A$7:$N$163,4,FALSE),0)+
IFERROR(VLOOKUP(A78,'Centre WP5'!$A$7:$N$160,4,FALSE),0)+
IFERROR(VLOOKUP(A78,'Centre WR5'!$A$7:$N$160,4,FALSE),0)</f>
        <v>20.9</v>
      </c>
      <c r="E78" s="10">
        <f>IFERROR(VLOOKUP(A78,'Centre DW5'!$A$7:$N$163,5,FALSE),0)+
IFERROR(VLOOKUP(A78,'Centre WP5'!$A$7:$N$160,5,FALSE),0)+
IFERROR(VLOOKUP(A78,'Centre WR5'!$A$7:$N$160,5,FALSE),0)</f>
        <v>20.9</v>
      </c>
      <c r="F78" s="10">
        <f>IFERROR(VLOOKUP(A78,'Centre DW5'!$A$7:$N$163,6,FALSE),0)+
IFERROR(VLOOKUP(A78,'Centre WP5'!$A$7:$N$160,6,FALSE),0)+
IFERROR(VLOOKUP(A78,'Centre WR5'!$A$7:$N$160,6,FALSE),0)</f>
        <v>20.9</v>
      </c>
      <c r="G78" s="10">
        <f>IFERROR(VLOOKUP(A78,'Centre DW5'!$A$7:$N$163,7,FALSE),0)+
IFERROR(VLOOKUP(A78,'Centre WP5'!$A$7:$N$160,7,FALSE),0)+
IFERROR(VLOOKUP(A78,'Centre WR5'!$A$7:$N$160,7,FALSE),0)</f>
        <v>20.9</v>
      </c>
      <c r="H78" s="10">
        <f>IFERROR(VLOOKUP(A78,'Centre DW5'!$A$7:$N$163,8,FALSE),0)+
IFERROR(VLOOKUP(A78,'Centre WP5'!$A$7:$N$160,8,FALSE),0)+
IFERROR(VLOOKUP(A78,'Centre WR5'!$A$7:$N$160,8,FALSE),0)</f>
        <v>20.9</v>
      </c>
      <c r="I78" s="10">
        <f>IFERROR(VLOOKUP(A78,'Centre DW5'!$A$7:$N$163,9,FALSE),0)+
IFERROR(VLOOKUP(A78,'Centre WP5'!$A$7:$N$160,9,FALSE),0)+
IFERROR(VLOOKUP(A78,'Centre WR5'!$A$7:$N$160,9,FALSE),0)</f>
        <v>20.9</v>
      </c>
      <c r="J78" s="10">
        <f>IFERROR(VLOOKUP(A78,'Centre DW5'!$A$7:$N$163,10,FALSE),0)+
IFERROR(VLOOKUP(A78,'Centre WP5'!$A$7:$N$160,10,FALSE),0)+
IFERROR(VLOOKUP(A78,'Centre WR5'!$A$7:$N$160,10,FALSE),0)</f>
        <v>20.9</v>
      </c>
      <c r="K78" s="10">
        <f>IFERROR(VLOOKUP(A78,'Centre DW5'!$A$7:$N$163,11,FALSE),0)+
IFERROR(VLOOKUP(A78,'Centre WP5'!$A$7:$N$160,11,FALSE),0)+
IFERROR(VLOOKUP(A78,'Centre WR5'!$A$7:$N$160,11,FALSE),0)</f>
        <v>20.9</v>
      </c>
      <c r="L78" s="10">
        <f>IFERROR(VLOOKUP(A78,'Centre DW5'!$A$7:$N$163,12,FALSE),0)+
IFERROR(VLOOKUP(A78,'Centre WP5'!$A$7:$N$160,12,FALSE),0)+
IFERROR(VLOOKUP(A78,'Centre WR5'!$A$7:$N$160,12,FALSE),0)</f>
        <v>20.9</v>
      </c>
      <c r="M78" s="10">
        <f>IFERROR(VLOOKUP(A78,'Centre DW5'!$A$7:$N$163,13,FALSE),0)+
IFERROR(VLOOKUP(A78,'Centre WP5'!$A$7:$N$160,13,FALSE),0)+
IFERROR(VLOOKUP(A78,'Centre WR5'!$A$7:$N$160,13,FALSE),0)</f>
        <v>20.9</v>
      </c>
      <c r="N78" s="10">
        <f>IFERROR(VLOOKUP(A78,'Centre DW5'!$A$7:$N$163,14,FALSE),0)+
IFERROR(VLOOKUP(A78,'Centre WP5'!$A$7:$N$160,14,FALSE),0)+
IFERROR(VLOOKUP(A78,'Centre WR5'!$A$7:$N$160,14,FALSE),0)</f>
        <v>20.9</v>
      </c>
    </row>
    <row r="79" spans="1:14" outlineLevel="1" x14ac:dyDescent="0.2">
      <c r="A79" s="9" t="s">
        <v>331</v>
      </c>
      <c r="B79" s="1" t="s">
        <v>332</v>
      </c>
      <c r="C79" s="10">
        <f>IFERROR(VLOOKUP(A79,'Centre DW5'!$A$7:$N$163,3,FALSE),0)+
IFERROR(VLOOKUP(A79,'Centre WP5'!$A$7:$N$160,3,FALSE),0)+
IFERROR(VLOOKUP(A79,'Centre WR5'!$A$7:$N$160,3,FALSE),0)</f>
        <v>1.2</v>
      </c>
      <c r="D79" s="10">
        <f>IFERROR(VLOOKUP(A79,'Centre DW5'!$A$7:$N$163,4,FALSE),0)+
IFERROR(VLOOKUP(A79,'Centre WP5'!$A$7:$N$160,4,FALSE),0)+
IFERROR(VLOOKUP(A79,'Centre WR5'!$A$7:$N$160,4,FALSE),0)</f>
        <v>1.2</v>
      </c>
      <c r="E79" s="10">
        <f>IFERROR(VLOOKUP(A79,'Centre DW5'!$A$7:$N$163,5,FALSE),0)+
IFERROR(VLOOKUP(A79,'Centre WP5'!$A$7:$N$160,5,FALSE),0)+
IFERROR(VLOOKUP(A79,'Centre WR5'!$A$7:$N$160,5,FALSE),0)</f>
        <v>1.2</v>
      </c>
      <c r="F79" s="10">
        <f>IFERROR(VLOOKUP(A79,'Centre DW5'!$A$7:$N$163,6,FALSE),0)+
IFERROR(VLOOKUP(A79,'Centre WP5'!$A$7:$N$160,6,FALSE),0)+
IFERROR(VLOOKUP(A79,'Centre WR5'!$A$7:$N$160,6,FALSE),0)</f>
        <v>1.2</v>
      </c>
      <c r="G79" s="10">
        <f>IFERROR(VLOOKUP(A79,'Centre DW5'!$A$7:$N$163,7,FALSE),0)+
IFERROR(VLOOKUP(A79,'Centre WP5'!$A$7:$N$160,7,FALSE),0)+
IFERROR(VLOOKUP(A79,'Centre WR5'!$A$7:$N$160,7,FALSE),0)</f>
        <v>1.2</v>
      </c>
      <c r="H79" s="10">
        <f>IFERROR(VLOOKUP(A79,'Centre DW5'!$A$7:$N$163,8,FALSE),0)+
IFERROR(VLOOKUP(A79,'Centre WP5'!$A$7:$N$160,8,FALSE),0)+
IFERROR(VLOOKUP(A79,'Centre WR5'!$A$7:$N$160,8,FALSE),0)</f>
        <v>1.2</v>
      </c>
      <c r="I79" s="10">
        <f>IFERROR(VLOOKUP(A79,'Centre DW5'!$A$7:$N$163,9,FALSE),0)+
IFERROR(VLOOKUP(A79,'Centre WP5'!$A$7:$N$160,9,FALSE),0)+
IFERROR(VLOOKUP(A79,'Centre WR5'!$A$7:$N$160,9,FALSE),0)</f>
        <v>1.2</v>
      </c>
      <c r="J79" s="10">
        <f>IFERROR(VLOOKUP(A79,'Centre DW5'!$A$7:$N$163,10,FALSE),0)+
IFERROR(VLOOKUP(A79,'Centre WP5'!$A$7:$N$160,10,FALSE),0)+
IFERROR(VLOOKUP(A79,'Centre WR5'!$A$7:$N$160,10,FALSE),0)</f>
        <v>1.2</v>
      </c>
      <c r="K79" s="10">
        <f>IFERROR(VLOOKUP(A79,'Centre DW5'!$A$7:$N$163,11,FALSE),0)+
IFERROR(VLOOKUP(A79,'Centre WP5'!$A$7:$N$160,11,FALSE),0)+
IFERROR(VLOOKUP(A79,'Centre WR5'!$A$7:$N$160,11,FALSE),0)</f>
        <v>1.2</v>
      </c>
      <c r="L79" s="10">
        <f>IFERROR(VLOOKUP(A79,'Centre DW5'!$A$7:$N$163,12,FALSE),0)+
IFERROR(VLOOKUP(A79,'Centre WP5'!$A$7:$N$160,12,FALSE),0)+
IFERROR(VLOOKUP(A79,'Centre WR5'!$A$7:$N$160,12,FALSE),0)</f>
        <v>1.2</v>
      </c>
      <c r="M79" s="10">
        <f>IFERROR(VLOOKUP(A79,'Centre DW5'!$A$7:$N$163,13,FALSE),0)+
IFERROR(VLOOKUP(A79,'Centre WP5'!$A$7:$N$160,13,FALSE),0)+
IFERROR(VLOOKUP(A79,'Centre WR5'!$A$7:$N$160,13,FALSE),0)</f>
        <v>1.2</v>
      </c>
      <c r="N79" s="10">
        <f>IFERROR(VLOOKUP(A79,'Centre DW5'!$A$7:$N$163,14,FALSE),0)+
IFERROR(VLOOKUP(A79,'Centre WP5'!$A$7:$N$160,14,FALSE),0)+
IFERROR(VLOOKUP(A79,'Centre WR5'!$A$7:$N$160,14,FALSE),0)</f>
        <v>1.2</v>
      </c>
    </row>
    <row r="80" spans="1:14" outlineLevel="1" x14ac:dyDescent="0.2">
      <c r="A80" s="9" t="s">
        <v>135</v>
      </c>
      <c r="B80" s="1" t="s">
        <v>136</v>
      </c>
      <c r="C80" s="10">
        <f>IFERROR(VLOOKUP(A80,'Centre DW5'!$A$7:$N$163,3,FALSE),0)+
IFERROR(VLOOKUP(A80,'Centre WP5'!$A$7:$N$160,3,FALSE),0)+
IFERROR(VLOOKUP(A80,'Centre WR5'!$A$7:$N$160,3,FALSE),0)</f>
        <v>0</v>
      </c>
      <c r="D80" s="10">
        <f>IFERROR(VLOOKUP(A80,'Centre DW5'!$A$7:$N$163,4,FALSE),0)+
IFERROR(VLOOKUP(A80,'Centre WP5'!$A$7:$N$160,4,FALSE),0)+
IFERROR(VLOOKUP(A80,'Centre WR5'!$A$7:$N$160,4,FALSE),0)</f>
        <v>0</v>
      </c>
      <c r="E80" s="10">
        <f>IFERROR(VLOOKUP(A80,'Centre DW5'!$A$7:$N$163,5,FALSE),0)+
IFERROR(VLOOKUP(A80,'Centre WP5'!$A$7:$N$160,5,FALSE),0)+
IFERROR(VLOOKUP(A80,'Centre WR5'!$A$7:$N$160,5,FALSE),0)</f>
        <v>0</v>
      </c>
      <c r="F80" s="10">
        <f>IFERROR(VLOOKUP(A80,'Centre DW5'!$A$7:$N$163,6,FALSE),0)+
IFERROR(VLOOKUP(A80,'Centre WP5'!$A$7:$N$160,6,FALSE),0)+
IFERROR(VLOOKUP(A80,'Centre WR5'!$A$7:$N$160,6,FALSE),0)</f>
        <v>0</v>
      </c>
      <c r="G80" s="10">
        <f>IFERROR(VLOOKUP(A80,'Centre DW5'!$A$7:$N$163,7,FALSE),0)+
IFERROR(VLOOKUP(A80,'Centre WP5'!$A$7:$N$160,7,FALSE),0)+
IFERROR(VLOOKUP(A80,'Centre WR5'!$A$7:$N$160,7,FALSE),0)</f>
        <v>0</v>
      </c>
      <c r="H80" s="10">
        <f>IFERROR(VLOOKUP(A80,'Centre DW5'!$A$7:$N$163,8,FALSE),0)+
IFERROR(VLOOKUP(A80,'Centre WP5'!$A$7:$N$160,8,FALSE),0)+
IFERROR(VLOOKUP(A80,'Centre WR5'!$A$7:$N$160,8,FALSE),0)</f>
        <v>0</v>
      </c>
      <c r="I80" s="10">
        <f>IFERROR(VLOOKUP(A80,'Centre DW5'!$A$7:$N$163,9,FALSE),0)+
IFERROR(VLOOKUP(A80,'Centre WP5'!$A$7:$N$160,9,FALSE),0)+
IFERROR(VLOOKUP(A80,'Centre WR5'!$A$7:$N$160,9,FALSE),0)</f>
        <v>0</v>
      </c>
      <c r="J80" s="10">
        <f>IFERROR(VLOOKUP(A80,'Centre DW5'!$A$7:$N$163,10,FALSE),0)+
IFERROR(VLOOKUP(A80,'Centre WP5'!$A$7:$N$160,10,FALSE),0)+
IFERROR(VLOOKUP(A80,'Centre WR5'!$A$7:$N$160,10,FALSE),0)</f>
        <v>0</v>
      </c>
      <c r="K80" s="10">
        <f>IFERROR(VLOOKUP(A80,'Centre DW5'!$A$7:$N$163,11,FALSE),0)+
IFERROR(VLOOKUP(A80,'Centre WP5'!$A$7:$N$160,11,FALSE),0)+
IFERROR(VLOOKUP(A80,'Centre WR5'!$A$7:$N$160,11,FALSE),0)</f>
        <v>0</v>
      </c>
      <c r="L80" s="10">
        <f>IFERROR(VLOOKUP(A80,'Centre DW5'!$A$7:$N$163,12,FALSE),0)+
IFERROR(VLOOKUP(A80,'Centre WP5'!$A$7:$N$160,12,FALSE),0)+
IFERROR(VLOOKUP(A80,'Centre WR5'!$A$7:$N$160,12,FALSE),0)</f>
        <v>0</v>
      </c>
      <c r="M80" s="10">
        <f>IFERROR(VLOOKUP(A80,'Centre DW5'!$A$7:$N$163,13,FALSE),0)+
IFERROR(VLOOKUP(A80,'Centre WP5'!$A$7:$N$160,13,FALSE),0)+
IFERROR(VLOOKUP(A80,'Centre WR5'!$A$7:$N$160,13,FALSE),0)</f>
        <v>0</v>
      </c>
      <c r="N80" s="10">
        <f>IFERROR(VLOOKUP(A80,'Centre DW5'!$A$7:$N$163,14,FALSE),0)+
IFERROR(VLOOKUP(A80,'Centre WP5'!$A$7:$N$160,14,FALSE),0)+
IFERROR(VLOOKUP(A80,'Centre WR5'!$A$7:$N$160,14,FALSE),0)</f>
        <v>0</v>
      </c>
    </row>
    <row r="81" spans="1:14" outlineLevel="1" x14ac:dyDescent="0.2">
      <c r="A81" s="9" t="s">
        <v>333</v>
      </c>
      <c r="B81" s="1" t="s">
        <v>334</v>
      </c>
      <c r="C81" s="10">
        <f>IFERROR(VLOOKUP(A81,'Centre DW5'!$A$7:$N$163,3,FALSE),0)+
IFERROR(VLOOKUP(A81,'Centre WP5'!$A$7:$N$160,3,FALSE),0)+
IFERROR(VLOOKUP(A81,'Centre WR5'!$A$7:$N$160,3,FALSE),0)</f>
        <v>0.2</v>
      </c>
      <c r="D81" s="10">
        <f>IFERROR(VLOOKUP(A81,'Centre DW5'!$A$7:$N$163,4,FALSE),0)+
IFERROR(VLOOKUP(A81,'Centre WP5'!$A$7:$N$160,4,FALSE),0)+
IFERROR(VLOOKUP(A81,'Centre WR5'!$A$7:$N$160,4,FALSE),0)</f>
        <v>0.2</v>
      </c>
      <c r="E81" s="10">
        <f>IFERROR(VLOOKUP(A81,'Centre DW5'!$A$7:$N$163,5,FALSE),0)+
IFERROR(VLOOKUP(A81,'Centre WP5'!$A$7:$N$160,5,FALSE),0)+
IFERROR(VLOOKUP(A81,'Centre WR5'!$A$7:$N$160,5,FALSE),0)</f>
        <v>0.2</v>
      </c>
      <c r="F81" s="10">
        <f>IFERROR(VLOOKUP(A81,'Centre DW5'!$A$7:$N$163,6,FALSE),0)+
IFERROR(VLOOKUP(A81,'Centre WP5'!$A$7:$N$160,6,FALSE),0)+
IFERROR(VLOOKUP(A81,'Centre WR5'!$A$7:$N$160,6,FALSE),0)</f>
        <v>0.2</v>
      </c>
      <c r="G81" s="10">
        <f>IFERROR(VLOOKUP(A81,'Centre DW5'!$A$7:$N$163,7,FALSE),0)+
IFERROR(VLOOKUP(A81,'Centre WP5'!$A$7:$N$160,7,FALSE),0)+
IFERROR(VLOOKUP(A81,'Centre WR5'!$A$7:$N$160,7,FALSE),0)</f>
        <v>0.2</v>
      </c>
      <c r="H81" s="10">
        <f>IFERROR(VLOOKUP(A81,'Centre DW5'!$A$7:$N$163,8,FALSE),0)+
IFERROR(VLOOKUP(A81,'Centre WP5'!$A$7:$N$160,8,FALSE),0)+
IFERROR(VLOOKUP(A81,'Centre WR5'!$A$7:$N$160,8,FALSE),0)</f>
        <v>0.2</v>
      </c>
      <c r="I81" s="10">
        <f>IFERROR(VLOOKUP(A81,'Centre DW5'!$A$7:$N$163,9,FALSE),0)+
IFERROR(VLOOKUP(A81,'Centre WP5'!$A$7:$N$160,9,FALSE),0)+
IFERROR(VLOOKUP(A81,'Centre WR5'!$A$7:$N$160,9,FALSE),0)</f>
        <v>0.2</v>
      </c>
      <c r="J81" s="10">
        <f>IFERROR(VLOOKUP(A81,'Centre DW5'!$A$7:$N$163,10,FALSE),0)+
IFERROR(VLOOKUP(A81,'Centre WP5'!$A$7:$N$160,10,FALSE),0)+
IFERROR(VLOOKUP(A81,'Centre WR5'!$A$7:$N$160,10,FALSE),0)</f>
        <v>0.2</v>
      </c>
      <c r="K81" s="10">
        <f>IFERROR(VLOOKUP(A81,'Centre DW5'!$A$7:$N$163,11,FALSE),0)+
IFERROR(VLOOKUP(A81,'Centre WP5'!$A$7:$N$160,11,FALSE),0)+
IFERROR(VLOOKUP(A81,'Centre WR5'!$A$7:$N$160,11,FALSE),0)</f>
        <v>0.2</v>
      </c>
      <c r="L81" s="10">
        <f>IFERROR(VLOOKUP(A81,'Centre DW5'!$A$7:$N$163,12,FALSE),0)+
IFERROR(VLOOKUP(A81,'Centre WP5'!$A$7:$N$160,12,FALSE),0)+
IFERROR(VLOOKUP(A81,'Centre WR5'!$A$7:$N$160,12,FALSE),0)</f>
        <v>0.2</v>
      </c>
      <c r="M81" s="10">
        <f>IFERROR(VLOOKUP(A81,'Centre DW5'!$A$7:$N$163,13,FALSE),0)+
IFERROR(VLOOKUP(A81,'Centre WP5'!$A$7:$N$160,13,FALSE),0)+
IFERROR(VLOOKUP(A81,'Centre WR5'!$A$7:$N$160,13,FALSE),0)</f>
        <v>0.2</v>
      </c>
      <c r="N81" s="10">
        <f>IFERROR(VLOOKUP(A81,'Centre DW5'!$A$7:$N$163,14,FALSE),0)+
IFERROR(VLOOKUP(A81,'Centre WP5'!$A$7:$N$160,14,FALSE),0)+
IFERROR(VLOOKUP(A81,'Centre WR5'!$A$7:$N$160,14,FALSE),0)</f>
        <v>0.2</v>
      </c>
    </row>
    <row r="82" spans="1:14" outlineLevel="1" x14ac:dyDescent="0.2">
      <c r="A82" s="9" t="s">
        <v>335</v>
      </c>
      <c r="B82" s="1" t="s">
        <v>336</v>
      </c>
      <c r="C82" s="10">
        <f>IFERROR(VLOOKUP(A82,'Centre DW5'!$A$7:$N$163,3,FALSE),0)+
IFERROR(VLOOKUP(A82,'Centre WP5'!$A$7:$N$160,3,FALSE),0)+
IFERROR(VLOOKUP(A82,'Centre WR5'!$A$7:$N$160,3,FALSE),0)</f>
        <v>3.9</v>
      </c>
      <c r="D82" s="10">
        <f>IFERROR(VLOOKUP(A82,'Centre DW5'!$A$7:$N$163,4,FALSE),0)+
IFERROR(VLOOKUP(A82,'Centre WP5'!$A$7:$N$160,4,FALSE),0)+
IFERROR(VLOOKUP(A82,'Centre WR5'!$A$7:$N$160,4,FALSE),0)</f>
        <v>3.9</v>
      </c>
      <c r="E82" s="10">
        <f>IFERROR(VLOOKUP(A82,'Centre DW5'!$A$7:$N$163,5,FALSE),0)+
IFERROR(VLOOKUP(A82,'Centre WP5'!$A$7:$N$160,5,FALSE),0)+
IFERROR(VLOOKUP(A82,'Centre WR5'!$A$7:$N$160,5,FALSE),0)</f>
        <v>3.9</v>
      </c>
      <c r="F82" s="10">
        <f>IFERROR(VLOOKUP(A82,'Centre DW5'!$A$7:$N$163,6,FALSE),0)+
IFERROR(VLOOKUP(A82,'Centre WP5'!$A$7:$N$160,6,FALSE),0)+
IFERROR(VLOOKUP(A82,'Centre WR5'!$A$7:$N$160,6,FALSE),0)</f>
        <v>3.9</v>
      </c>
      <c r="G82" s="10">
        <f>IFERROR(VLOOKUP(A82,'Centre DW5'!$A$7:$N$163,7,FALSE),0)+
IFERROR(VLOOKUP(A82,'Centre WP5'!$A$7:$N$160,7,FALSE),0)+
IFERROR(VLOOKUP(A82,'Centre WR5'!$A$7:$N$160,7,FALSE),0)</f>
        <v>3.9</v>
      </c>
      <c r="H82" s="10">
        <f>IFERROR(VLOOKUP(A82,'Centre DW5'!$A$7:$N$163,8,FALSE),0)+
IFERROR(VLOOKUP(A82,'Centre WP5'!$A$7:$N$160,8,FALSE),0)+
IFERROR(VLOOKUP(A82,'Centre WR5'!$A$7:$N$160,8,FALSE),0)</f>
        <v>3.9</v>
      </c>
      <c r="I82" s="10">
        <f>IFERROR(VLOOKUP(A82,'Centre DW5'!$A$7:$N$163,9,FALSE),0)+
IFERROR(VLOOKUP(A82,'Centre WP5'!$A$7:$N$160,9,FALSE),0)+
IFERROR(VLOOKUP(A82,'Centre WR5'!$A$7:$N$160,9,FALSE),0)</f>
        <v>3.9</v>
      </c>
      <c r="J82" s="10">
        <f>IFERROR(VLOOKUP(A82,'Centre DW5'!$A$7:$N$163,10,FALSE),0)+
IFERROR(VLOOKUP(A82,'Centre WP5'!$A$7:$N$160,10,FALSE),0)+
IFERROR(VLOOKUP(A82,'Centre WR5'!$A$7:$N$160,10,FALSE),0)</f>
        <v>3.9</v>
      </c>
      <c r="K82" s="10">
        <f>IFERROR(VLOOKUP(A82,'Centre DW5'!$A$7:$N$163,11,FALSE),0)+
IFERROR(VLOOKUP(A82,'Centre WP5'!$A$7:$N$160,11,FALSE),0)+
IFERROR(VLOOKUP(A82,'Centre WR5'!$A$7:$N$160,11,FALSE),0)</f>
        <v>3.9</v>
      </c>
      <c r="L82" s="10">
        <f>IFERROR(VLOOKUP(A82,'Centre DW5'!$A$7:$N$163,12,FALSE),0)+
IFERROR(VLOOKUP(A82,'Centre WP5'!$A$7:$N$160,12,FALSE),0)+
IFERROR(VLOOKUP(A82,'Centre WR5'!$A$7:$N$160,12,FALSE),0)</f>
        <v>3.9</v>
      </c>
      <c r="M82" s="10">
        <f>IFERROR(VLOOKUP(A82,'Centre DW5'!$A$7:$N$163,13,FALSE),0)+
IFERROR(VLOOKUP(A82,'Centre WP5'!$A$7:$N$160,13,FALSE),0)+
IFERROR(VLOOKUP(A82,'Centre WR5'!$A$7:$N$160,13,FALSE),0)</f>
        <v>3.9</v>
      </c>
      <c r="N82" s="10">
        <f>IFERROR(VLOOKUP(A82,'Centre DW5'!$A$7:$N$163,14,FALSE),0)+
IFERROR(VLOOKUP(A82,'Centre WP5'!$A$7:$N$160,14,FALSE),0)+
IFERROR(VLOOKUP(A82,'Centre WR5'!$A$7:$N$160,14,FALSE),0)</f>
        <v>3.9</v>
      </c>
    </row>
    <row r="83" spans="1:14" outlineLevel="1" x14ac:dyDescent="0.2">
      <c r="A83" s="9" t="s">
        <v>337</v>
      </c>
      <c r="B83" s="1" t="s">
        <v>338</v>
      </c>
      <c r="C83" s="10">
        <f>IFERROR(VLOOKUP(A83,'Centre DW5'!$A$7:$N$163,3,FALSE),0)+
IFERROR(VLOOKUP(A83,'Centre WP5'!$A$7:$N$160,3,FALSE),0)+
IFERROR(VLOOKUP(A83,'Centre WR5'!$A$7:$N$160,3,FALSE),0)</f>
        <v>0.7</v>
      </c>
      <c r="D83" s="10">
        <f>IFERROR(VLOOKUP(A83,'Centre DW5'!$A$7:$N$163,4,FALSE),0)+
IFERROR(VLOOKUP(A83,'Centre WP5'!$A$7:$N$160,4,FALSE),0)+
IFERROR(VLOOKUP(A83,'Centre WR5'!$A$7:$N$160,4,FALSE),0)</f>
        <v>0.7</v>
      </c>
      <c r="E83" s="10">
        <f>IFERROR(VLOOKUP(A83,'Centre DW5'!$A$7:$N$163,5,FALSE),0)+
IFERROR(VLOOKUP(A83,'Centre WP5'!$A$7:$N$160,5,FALSE),0)+
IFERROR(VLOOKUP(A83,'Centre WR5'!$A$7:$N$160,5,FALSE),0)</f>
        <v>0.7</v>
      </c>
      <c r="F83" s="10">
        <f>IFERROR(VLOOKUP(A83,'Centre DW5'!$A$7:$N$163,6,FALSE),0)+
IFERROR(VLOOKUP(A83,'Centre WP5'!$A$7:$N$160,6,FALSE),0)+
IFERROR(VLOOKUP(A83,'Centre WR5'!$A$7:$N$160,6,FALSE),0)</f>
        <v>0.7</v>
      </c>
      <c r="G83" s="10">
        <f>IFERROR(VLOOKUP(A83,'Centre DW5'!$A$7:$N$163,7,FALSE),0)+
IFERROR(VLOOKUP(A83,'Centre WP5'!$A$7:$N$160,7,FALSE),0)+
IFERROR(VLOOKUP(A83,'Centre WR5'!$A$7:$N$160,7,FALSE),0)</f>
        <v>0.7</v>
      </c>
      <c r="H83" s="10">
        <f>IFERROR(VLOOKUP(A83,'Centre DW5'!$A$7:$N$163,8,FALSE),0)+
IFERROR(VLOOKUP(A83,'Centre WP5'!$A$7:$N$160,8,FALSE),0)+
IFERROR(VLOOKUP(A83,'Centre WR5'!$A$7:$N$160,8,FALSE),0)</f>
        <v>0.7</v>
      </c>
      <c r="I83" s="10">
        <f>IFERROR(VLOOKUP(A83,'Centre DW5'!$A$7:$N$163,9,FALSE),0)+
IFERROR(VLOOKUP(A83,'Centre WP5'!$A$7:$N$160,9,FALSE),0)+
IFERROR(VLOOKUP(A83,'Centre WR5'!$A$7:$N$160,9,FALSE),0)</f>
        <v>0.7</v>
      </c>
      <c r="J83" s="10">
        <f>IFERROR(VLOOKUP(A83,'Centre DW5'!$A$7:$N$163,10,FALSE),0)+
IFERROR(VLOOKUP(A83,'Centre WP5'!$A$7:$N$160,10,FALSE),0)+
IFERROR(VLOOKUP(A83,'Centre WR5'!$A$7:$N$160,10,FALSE),0)</f>
        <v>0.7</v>
      </c>
      <c r="K83" s="10">
        <f>IFERROR(VLOOKUP(A83,'Centre DW5'!$A$7:$N$163,11,FALSE),0)+
IFERROR(VLOOKUP(A83,'Centre WP5'!$A$7:$N$160,11,FALSE),0)+
IFERROR(VLOOKUP(A83,'Centre WR5'!$A$7:$N$160,11,FALSE),0)</f>
        <v>0.7</v>
      </c>
      <c r="L83" s="10">
        <f>IFERROR(VLOOKUP(A83,'Centre DW5'!$A$7:$N$163,12,FALSE),0)+
IFERROR(VLOOKUP(A83,'Centre WP5'!$A$7:$N$160,12,FALSE),0)+
IFERROR(VLOOKUP(A83,'Centre WR5'!$A$7:$N$160,12,FALSE),0)</f>
        <v>0.7</v>
      </c>
      <c r="M83" s="10">
        <f>IFERROR(VLOOKUP(A83,'Centre DW5'!$A$7:$N$163,13,FALSE),0)+
IFERROR(VLOOKUP(A83,'Centre WP5'!$A$7:$N$160,13,FALSE),0)+
IFERROR(VLOOKUP(A83,'Centre WR5'!$A$7:$N$160,13,FALSE),0)</f>
        <v>0.7</v>
      </c>
      <c r="N83" s="10">
        <f>IFERROR(VLOOKUP(A83,'Centre DW5'!$A$7:$N$163,14,FALSE),0)+
IFERROR(VLOOKUP(A83,'Centre WP5'!$A$7:$N$160,14,FALSE),0)+
IFERROR(VLOOKUP(A83,'Centre WR5'!$A$7:$N$160,14,FALSE),0)</f>
        <v>0.7</v>
      </c>
    </row>
    <row r="84" spans="1:14" x14ac:dyDescent="0.2">
      <c r="A84" s="48" t="s">
        <v>137</v>
      </c>
      <c r="B84" s="49" t="s">
        <v>138</v>
      </c>
      <c r="C84" s="50">
        <f>SUM(C85:C91)</f>
        <v>5.3000000000000007</v>
      </c>
      <c r="D84" s="50">
        <f t="shared" ref="D84:N84" si="12">SUM(D85:D91)</f>
        <v>5.3000000000000007</v>
      </c>
      <c r="E84" s="50">
        <f t="shared" si="12"/>
        <v>6.3000000000000007</v>
      </c>
      <c r="F84" s="50">
        <f t="shared" si="12"/>
        <v>5.3000000000000007</v>
      </c>
      <c r="G84" s="50">
        <f t="shared" si="12"/>
        <v>5.6000000000000005</v>
      </c>
      <c r="H84" s="50">
        <f t="shared" si="12"/>
        <v>5.3000000000000007</v>
      </c>
      <c r="I84" s="50">
        <f t="shared" si="12"/>
        <v>5.3000000000000007</v>
      </c>
      <c r="J84" s="50">
        <f t="shared" si="12"/>
        <v>5.3000000000000007</v>
      </c>
      <c r="K84" s="50">
        <f t="shared" si="12"/>
        <v>5.3000000000000007</v>
      </c>
      <c r="L84" s="50">
        <f t="shared" si="12"/>
        <v>5.3000000000000007</v>
      </c>
      <c r="M84" s="50">
        <f t="shared" si="12"/>
        <v>5.3000000000000007</v>
      </c>
      <c r="N84" s="50">
        <f t="shared" si="12"/>
        <v>5.3000000000000007</v>
      </c>
    </row>
    <row r="85" spans="1:14" outlineLevel="1" x14ac:dyDescent="0.2">
      <c r="A85" s="9" t="s">
        <v>339</v>
      </c>
      <c r="B85" s="1" t="s">
        <v>340</v>
      </c>
      <c r="C85" s="10">
        <f>IFERROR(VLOOKUP(A85,'Centre DW5'!$A$7:$N$163,3,FALSE),0)+
IFERROR(VLOOKUP(A85,'Centre WP5'!$A$7:$N$160,3,FALSE),0)+
IFERROR(VLOOKUP(A85,'Centre WR5'!$A$7:$N$160,3,FALSE),0)</f>
        <v>2.5</v>
      </c>
      <c r="D85" s="10">
        <f>IFERROR(VLOOKUP(A85,'Centre DW5'!$A$7:$N$163,4,FALSE),0)+
IFERROR(VLOOKUP(A85,'Centre WP5'!$A$7:$N$160,4,FALSE),0)+
IFERROR(VLOOKUP(A85,'Centre WR5'!$A$7:$N$160,4,FALSE),0)</f>
        <v>2.5</v>
      </c>
      <c r="E85" s="10">
        <f>IFERROR(VLOOKUP(A85,'Centre DW5'!$A$7:$N$163,5,FALSE),0)+
IFERROR(VLOOKUP(A85,'Centre WP5'!$A$7:$N$160,5,FALSE),0)+
IFERROR(VLOOKUP(A85,'Centre WR5'!$A$7:$N$160,5,FALSE),0)</f>
        <v>2.5</v>
      </c>
      <c r="F85" s="10">
        <f>IFERROR(VLOOKUP(A85,'Centre DW5'!$A$7:$N$163,6,FALSE),0)+
IFERROR(VLOOKUP(A85,'Centre WP5'!$A$7:$N$160,6,FALSE),0)+
IFERROR(VLOOKUP(A85,'Centre WR5'!$A$7:$N$160,6,FALSE),0)</f>
        <v>2.5</v>
      </c>
      <c r="G85" s="10">
        <f>IFERROR(VLOOKUP(A85,'Centre DW5'!$A$7:$N$163,7,FALSE),0)+
IFERROR(VLOOKUP(A85,'Centre WP5'!$A$7:$N$160,7,FALSE),0)+
IFERROR(VLOOKUP(A85,'Centre WR5'!$A$7:$N$160,7,FALSE),0)</f>
        <v>2.5</v>
      </c>
      <c r="H85" s="10">
        <f>IFERROR(VLOOKUP(A85,'Centre DW5'!$A$7:$N$163,8,FALSE),0)+
IFERROR(VLOOKUP(A85,'Centre WP5'!$A$7:$N$160,8,FALSE),0)+
IFERROR(VLOOKUP(A85,'Centre WR5'!$A$7:$N$160,8,FALSE),0)</f>
        <v>2.5</v>
      </c>
      <c r="I85" s="10">
        <f>IFERROR(VLOOKUP(A85,'Centre DW5'!$A$7:$N$163,9,FALSE),0)+
IFERROR(VLOOKUP(A85,'Centre WP5'!$A$7:$N$160,9,FALSE),0)+
IFERROR(VLOOKUP(A85,'Centre WR5'!$A$7:$N$160,9,FALSE),0)</f>
        <v>2.5</v>
      </c>
      <c r="J85" s="10">
        <f>IFERROR(VLOOKUP(A85,'Centre DW5'!$A$7:$N$163,10,FALSE),0)+
IFERROR(VLOOKUP(A85,'Centre WP5'!$A$7:$N$160,10,FALSE),0)+
IFERROR(VLOOKUP(A85,'Centre WR5'!$A$7:$N$160,10,FALSE),0)</f>
        <v>2.5</v>
      </c>
      <c r="K85" s="10">
        <f>IFERROR(VLOOKUP(A85,'Centre DW5'!$A$7:$N$163,11,FALSE),0)+
IFERROR(VLOOKUP(A85,'Centre WP5'!$A$7:$N$160,11,FALSE),0)+
IFERROR(VLOOKUP(A85,'Centre WR5'!$A$7:$N$160,11,FALSE),0)</f>
        <v>2.5</v>
      </c>
      <c r="L85" s="10">
        <f>IFERROR(VLOOKUP(A85,'Centre DW5'!$A$7:$N$163,12,FALSE),0)+
IFERROR(VLOOKUP(A85,'Centre WP5'!$A$7:$N$160,12,FALSE),0)+
IFERROR(VLOOKUP(A85,'Centre WR5'!$A$7:$N$160,12,FALSE),0)</f>
        <v>2.5</v>
      </c>
      <c r="M85" s="10">
        <f>IFERROR(VLOOKUP(A85,'Centre DW5'!$A$7:$N$163,13,FALSE),0)+
IFERROR(VLOOKUP(A85,'Centre WP5'!$A$7:$N$160,13,FALSE),0)+
IFERROR(VLOOKUP(A85,'Centre WR5'!$A$7:$N$160,13,FALSE),0)</f>
        <v>2.5</v>
      </c>
      <c r="N85" s="10">
        <f>IFERROR(VLOOKUP(A85,'Centre DW5'!$A$7:$N$163,14,FALSE),0)+
IFERROR(VLOOKUP(A85,'Centre WP5'!$A$7:$N$160,14,FALSE),0)+
IFERROR(VLOOKUP(A85,'Centre WR5'!$A$7:$N$160,14,FALSE),0)</f>
        <v>2.5</v>
      </c>
    </row>
    <row r="86" spans="1:14" outlineLevel="1" x14ac:dyDescent="0.2">
      <c r="A86" s="9" t="s">
        <v>341</v>
      </c>
      <c r="B86" s="1" t="s">
        <v>342</v>
      </c>
      <c r="C86" s="10">
        <f>IFERROR(VLOOKUP(A86,'Centre DW5'!$A$7:$N$163,3,FALSE),0)+
IFERROR(VLOOKUP(A86,'Centre WP5'!$A$7:$N$160,3,FALSE),0)+
IFERROR(VLOOKUP(A86,'Centre WR5'!$A$7:$N$160,3,FALSE),0)</f>
        <v>1.1000000000000001</v>
      </c>
      <c r="D86" s="10">
        <f>IFERROR(VLOOKUP(A86,'Centre DW5'!$A$7:$N$163,4,FALSE),0)+
IFERROR(VLOOKUP(A86,'Centre WP5'!$A$7:$N$160,4,FALSE),0)+
IFERROR(VLOOKUP(A86,'Centre WR5'!$A$7:$N$160,4,FALSE),0)</f>
        <v>1.1000000000000001</v>
      </c>
      <c r="E86" s="10">
        <f>IFERROR(VLOOKUP(A86,'Centre DW5'!$A$7:$N$163,5,FALSE),0)+
IFERROR(VLOOKUP(A86,'Centre WP5'!$A$7:$N$160,5,FALSE),0)+
IFERROR(VLOOKUP(A86,'Centre WR5'!$A$7:$N$160,5,FALSE),0)</f>
        <v>1.1000000000000001</v>
      </c>
      <c r="F86" s="10">
        <f>IFERROR(VLOOKUP(A86,'Centre DW5'!$A$7:$N$163,6,FALSE),0)+
IFERROR(VLOOKUP(A86,'Centre WP5'!$A$7:$N$160,6,FALSE),0)+
IFERROR(VLOOKUP(A86,'Centre WR5'!$A$7:$N$160,6,FALSE),0)</f>
        <v>1.1000000000000001</v>
      </c>
      <c r="G86" s="10">
        <f>IFERROR(VLOOKUP(A86,'Centre DW5'!$A$7:$N$163,7,FALSE),0)+
IFERROR(VLOOKUP(A86,'Centre WP5'!$A$7:$N$160,7,FALSE),0)+
IFERROR(VLOOKUP(A86,'Centre WR5'!$A$7:$N$160,7,FALSE),0)</f>
        <v>1.1000000000000001</v>
      </c>
      <c r="H86" s="10">
        <f>IFERROR(VLOOKUP(A86,'Centre DW5'!$A$7:$N$163,8,FALSE),0)+
IFERROR(VLOOKUP(A86,'Centre WP5'!$A$7:$N$160,8,FALSE),0)+
IFERROR(VLOOKUP(A86,'Centre WR5'!$A$7:$N$160,8,FALSE),0)</f>
        <v>1.1000000000000001</v>
      </c>
      <c r="I86" s="10">
        <f>IFERROR(VLOOKUP(A86,'Centre DW5'!$A$7:$N$163,9,FALSE),0)+
IFERROR(VLOOKUP(A86,'Centre WP5'!$A$7:$N$160,9,FALSE),0)+
IFERROR(VLOOKUP(A86,'Centre WR5'!$A$7:$N$160,9,FALSE),0)</f>
        <v>1.1000000000000001</v>
      </c>
      <c r="J86" s="10">
        <f>IFERROR(VLOOKUP(A86,'Centre DW5'!$A$7:$N$163,10,FALSE),0)+
IFERROR(VLOOKUP(A86,'Centre WP5'!$A$7:$N$160,10,FALSE),0)+
IFERROR(VLOOKUP(A86,'Centre WR5'!$A$7:$N$160,10,FALSE),0)</f>
        <v>1.1000000000000001</v>
      </c>
      <c r="K86" s="10">
        <f>IFERROR(VLOOKUP(A86,'Centre DW5'!$A$7:$N$163,11,FALSE),0)+
IFERROR(VLOOKUP(A86,'Centre WP5'!$A$7:$N$160,11,FALSE),0)+
IFERROR(VLOOKUP(A86,'Centre WR5'!$A$7:$N$160,11,FALSE),0)</f>
        <v>1.1000000000000001</v>
      </c>
      <c r="L86" s="10">
        <f>IFERROR(VLOOKUP(A86,'Centre DW5'!$A$7:$N$163,12,FALSE),0)+
IFERROR(VLOOKUP(A86,'Centre WP5'!$A$7:$N$160,12,FALSE),0)+
IFERROR(VLOOKUP(A86,'Centre WR5'!$A$7:$N$160,12,FALSE),0)</f>
        <v>1.1000000000000001</v>
      </c>
      <c r="M86" s="10">
        <f>IFERROR(VLOOKUP(A86,'Centre DW5'!$A$7:$N$163,13,FALSE),0)+
IFERROR(VLOOKUP(A86,'Centre WP5'!$A$7:$N$160,13,FALSE),0)+
IFERROR(VLOOKUP(A86,'Centre WR5'!$A$7:$N$160,13,FALSE),0)</f>
        <v>1.1000000000000001</v>
      </c>
      <c r="N86" s="10">
        <f>IFERROR(VLOOKUP(A86,'Centre DW5'!$A$7:$N$163,14,FALSE),0)+
IFERROR(VLOOKUP(A86,'Centre WP5'!$A$7:$N$160,14,FALSE),0)+
IFERROR(VLOOKUP(A86,'Centre WR5'!$A$7:$N$160,14,FALSE),0)</f>
        <v>1.1000000000000001</v>
      </c>
    </row>
    <row r="87" spans="1:14" outlineLevel="1" x14ac:dyDescent="0.2">
      <c r="A87" s="9" t="s">
        <v>343</v>
      </c>
      <c r="B87" s="1" t="s">
        <v>344</v>
      </c>
      <c r="C87" s="10">
        <f>IFERROR(VLOOKUP(A87,'Centre DW5'!$A$7:$N$163,3,FALSE),0)+
IFERROR(VLOOKUP(A87,'Centre WP5'!$A$7:$N$160,3,FALSE),0)+
IFERROR(VLOOKUP(A87,'Centre WR5'!$A$7:$N$160,3,FALSE),0)</f>
        <v>0.6</v>
      </c>
      <c r="D87" s="10">
        <f>IFERROR(VLOOKUP(A87,'Centre DW5'!$A$7:$N$163,4,FALSE),0)+
IFERROR(VLOOKUP(A87,'Centre WP5'!$A$7:$N$160,4,FALSE),0)+
IFERROR(VLOOKUP(A87,'Centre WR5'!$A$7:$N$160,4,FALSE),0)</f>
        <v>0.6</v>
      </c>
      <c r="E87" s="10">
        <f>IFERROR(VLOOKUP(A87,'Centre DW5'!$A$7:$N$163,5,FALSE),0)+
IFERROR(VLOOKUP(A87,'Centre WP5'!$A$7:$N$160,5,FALSE),0)+
IFERROR(VLOOKUP(A87,'Centre WR5'!$A$7:$N$160,5,FALSE),0)</f>
        <v>0.6</v>
      </c>
      <c r="F87" s="10">
        <f>IFERROR(VLOOKUP(A87,'Centre DW5'!$A$7:$N$163,6,FALSE),0)+
IFERROR(VLOOKUP(A87,'Centre WP5'!$A$7:$N$160,6,FALSE),0)+
IFERROR(VLOOKUP(A87,'Centre WR5'!$A$7:$N$160,6,FALSE),0)</f>
        <v>0.6</v>
      </c>
      <c r="G87" s="10">
        <f>IFERROR(VLOOKUP(A87,'Centre DW5'!$A$7:$N$163,7,FALSE),0)+
IFERROR(VLOOKUP(A87,'Centre WP5'!$A$7:$N$160,7,FALSE),0)+
IFERROR(VLOOKUP(A87,'Centre WR5'!$A$7:$N$160,7,FALSE),0)</f>
        <v>0.6</v>
      </c>
      <c r="H87" s="10">
        <f>IFERROR(VLOOKUP(A87,'Centre DW5'!$A$7:$N$163,8,FALSE),0)+
IFERROR(VLOOKUP(A87,'Centre WP5'!$A$7:$N$160,8,FALSE),0)+
IFERROR(VLOOKUP(A87,'Centre WR5'!$A$7:$N$160,8,FALSE),0)</f>
        <v>0.6</v>
      </c>
      <c r="I87" s="10">
        <f>IFERROR(VLOOKUP(A87,'Centre DW5'!$A$7:$N$163,9,FALSE),0)+
IFERROR(VLOOKUP(A87,'Centre WP5'!$A$7:$N$160,9,FALSE),0)+
IFERROR(VLOOKUP(A87,'Centre WR5'!$A$7:$N$160,9,FALSE),0)</f>
        <v>0.6</v>
      </c>
      <c r="J87" s="10">
        <f>IFERROR(VLOOKUP(A87,'Centre DW5'!$A$7:$N$163,10,FALSE),0)+
IFERROR(VLOOKUP(A87,'Centre WP5'!$A$7:$N$160,10,FALSE),0)+
IFERROR(VLOOKUP(A87,'Centre WR5'!$A$7:$N$160,10,FALSE),0)</f>
        <v>0.6</v>
      </c>
      <c r="K87" s="10">
        <f>IFERROR(VLOOKUP(A87,'Centre DW5'!$A$7:$N$163,11,FALSE),0)+
IFERROR(VLOOKUP(A87,'Centre WP5'!$A$7:$N$160,11,FALSE),0)+
IFERROR(VLOOKUP(A87,'Centre WR5'!$A$7:$N$160,11,FALSE),0)</f>
        <v>0.6</v>
      </c>
      <c r="L87" s="10">
        <f>IFERROR(VLOOKUP(A87,'Centre DW5'!$A$7:$N$163,12,FALSE),0)+
IFERROR(VLOOKUP(A87,'Centre WP5'!$A$7:$N$160,12,FALSE),0)+
IFERROR(VLOOKUP(A87,'Centre WR5'!$A$7:$N$160,12,FALSE),0)</f>
        <v>0.6</v>
      </c>
      <c r="M87" s="10">
        <f>IFERROR(VLOOKUP(A87,'Centre DW5'!$A$7:$N$163,13,FALSE),0)+
IFERROR(VLOOKUP(A87,'Centre WP5'!$A$7:$N$160,13,FALSE),0)+
IFERROR(VLOOKUP(A87,'Centre WR5'!$A$7:$N$160,13,FALSE),0)</f>
        <v>0.6</v>
      </c>
      <c r="N87" s="10">
        <f>IFERROR(VLOOKUP(A87,'Centre DW5'!$A$7:$N$163,14,FALSE),0)+
IFERROR(VLOOKUP(A87,'Centre WP5'!$A$7:$N$160,14,FALSE),0)+
IFERROR(VLOOKUP(A87,'Centre WR5'!$A$7:$N$160,14,FALSE),0)</f>
        <v>0.6</v>
      </c>
    </row>
    <row r="88" spans="1:14" outlineLevel="1" x14ac:dyDescent="0.2">
      <c r="A88" s="9" t="s">
        <v>345</v>
      </c>
      <c r="B88" s="1" t="s">
        <v>346</v>
      </c>
      <c r="C88" s="10">
        <f>IFERROR(VLOOKUP(A88,'Centre DW5'!$A$7:$N$163,3,FALSE),0)+
IFERROR(VLOOKUP(A88,'Centre WP5'!$A$7:$N$160,3,FALSE),0)+
IFERROR(VLOOKUP(A88,'Centre WR5'!$A$7:$N$160,3,FALSE),0)</f>
        <v>0</v>
      </c>
      <c r="D88" s="10">
        <f>IFERROR(VLOOKUP(A88,'Centre DW5'!$A$7:$N$163,4,FALSE),0)+
IFERROR(VLOOKUP(A88,'Centre WP5'!$A$7:$N$160,4,FALSE),0)+
IFERROR(VLOOKUP(A88,'Centre WR5'!$A$7:$N$160,4,FALSE),0)</f>
        <v>0</v>
      </c>
      <c r="E88" s="10">
        <f>IFERROR(VLOOKUP(A88,'Centre DW5'!$A$7:$N$163,5,FALSE),0)+
IFERROR(VLOOKUP(A88,'Centre WP5'!$A$7:$N$160,5,FALSE),0)+
IFERROR(VLOOKUP(A88,'Centre WR5'!$A$7:$N$160,5,FALSE),0)</f>
        <v>0</v>
      </c>
      <c r="F88" s="10">
        <f>IFERROR(VLOOKUP(A88,'Centre DW5'!$A$7:$N$163,6,FALSE),0)+
IFERROR(VLOOKUP(A88,'Centre WP5'!$A$7:$N$160,6,FALSE),0)+
IFERROR(VLOOKUP(A88,'Centre WR5'!$A$7:$N$160,6,FALSE),0)</f>
        <v>0</v>
      </c>
      <c r="G88" s="10">
        <f>IFERROR(VLOOKUP(A88,'Centre DW5'!$A$7:$N$163,7,FALSE),0)+
IFERROR(VLOOKUP(A88,'Centre WP5'!$A$7:$N$160,7,FALSE),0)+
IFERROR(VLOOKUP(A88,'Centre WR5'!$A$7:$N$160,7,FALSE),0)</f>
        <v>0</v>
      </c>
      <c r="H88" s="10">
        <f>IFERROR(VLOOKUP(A88,'Centre DW5'!$A$7:$N$163,8,FALSE),0)+
IFERROR(VLOOKUP(A88,'Centre WP5'!$A$7:$N$160,8,FALSE),0)+
IFERROR(VLOOKUP(A88,'Centre WR5'!$A$7:$N$160,8,FALSE),0)</f>
        <v>0</v>
      </c>
      <c r="I88" s="10">
        <f>IFERROR(VLOOKUP(A88,'Centre DW5'!$A$7:$N$163,9,FALSE),0)+
IFERROR(VLOOKUP(A88,'Centre WP5'!$A$7:$N$160,9,FALSE),0)+
IFERROR(VLOOKUP(A88,'Centre WR5'!$A$7:$N$160,9,FALSE),0)</f>
        <v>0</v>
      </c>
      <c r="J88" s="10">
        <f>IFERROR(VLOOKUP(A88,'Centre DW5'!$A$7:$N$163,10,FALSE),0)+
IFERROR(VLOOKUP(A88,'Centre WP5'!$A$7:$N$160,10,FALSE),0)+
IFERROR(VLOOKUP(A88,'Centre WR5'!$A$7:$N$160,10,FALSE),0)</f>
        <v>0</v>
      </c>
      <c r="K88" s="10">
        <f>IFERROR(VLOOKUP(A88,'Centre DW5'!$A$7:$N$163,11,FALSE),0)+
IFERROR(VLOOKUP(A88,'Centre WP5'!$A$7:$N$160,11,FALSE),0)+
IFERROR(VLOOKUP(A88,'Centre WR5'!$A$7:$N$160,11,FALSE),0)</f>
        <v>0</v>
      </c>
      <c r="L88" s="10">
        <f>IFERROR(VLOOKUP(A88,'Centre DW5'!$A$7:$N$163,12,FALSE),0)+
IFERROR(VLOOKUP(A88,'Centre WP5'!$A$7:$N$160,12,FALSE),0)+
IFERROR(VLOOKUP(A88,'Centre WR5'!$A$7:$N$160,12,FALSE),0)</f>
        <v>0</v>
      </c>
      <c r="M88" s="10">
        <f>IFERROR(VLOOKUP(A88,'Centre DW5'!$A$7:$N$163,13,FALSE),0)+
IFERROR(VLOOKUP(A88,'Centre WP5'!$A$7:$N$160,13,FALSE),0)+
IFERROR(VLOOKUP(A88,'Centre WR5'!$A$7:$N$160,13,FALSE),0)</f>
        <v>0</v>
      </c>
      <c r="N88" s="10">
        <f>IFERROR(VLOOKUP(A88,'Centre DW5'!$A$7:$N$163,14,FALSE),0)+
IFERROR(VLOOKUP(A88,'Centre WP5'!$A$7:$N$160,14,FALSE),0)+
IFERROR(VLOOKUP(A88,'Centre WR5'!$A$7:$N$160,14,FALSE),0)</f>
        <v>0</v>
      </c>
    </row>
    <row r="89" spans="1:14" outlineLevel="1" x14ac:dyDescent="0.2">
      <c r="A89" s="9" t="s">
        <v>347</v>
      </c>
      <c r="B89" s="1" t="s">
        <v>348</v>
      </c>
      <c r="C89" s="10">
        <f>IFERROR(VLOOKUP(A89,'Centre DW5'!$A$7:$N$163,3,FALSE),0)+
IFERROR(VLOOKUP(A89,'Centre WP5'!$A$7:$N$160,3,FALSE),0)+
IFERROR(VLOOKUP(A89,'Centre WR5'!$A$7:$N$160,3,FALSE),0)</f>
        <v>1.1000000000000001</v>
      </c>
      <c r="D89" s="10">
        <f>IFERROR(VLOOKUP(A89,'Centre DW5'!$A$7:$N$163,4,FALSE),0)+
IFERROR(VLOOKUP(A89,'Centre WP5'!$A$7:$N$160,4,FALSE),0)+
IFERROR(VLOOKUP(A89,'Centre WR5'!$A$7:$N$160,4,FALSE),0)</f>
        <v>1.1000000000000001</v>
      </c>
      <c r="E89" s="10">
        <f>IFERROR(VLOOKUP(A89,'Centre DW5'!$A$7:$N$163,5,FALSE),0)+
IFERROR(VLOOKUP(A89,'Centre WP5'!$A$7:$N$160,5,FALSE),0)+
IFERROR(VLOOKUP(A89,'Centre WR5'!$A$7:$N$160,5,FALSE),0)</f>
        <v>1.1000000000000001</v>
      </c>
      <c r="F89" s="10">
        <f>IFERROR(VLOOKUP(A89,'Centre DW5'!$A$7:$N$163,6,FALSE),0)+
IFERROR(VLOOKUP(A89,'Centre WP5'!$A$7:$N$160,6,FALSE),0)+
IFERROR(VLOOKUP(A89,'Centre WR5'!$A$7:$N$160,6,FALSE),0)</f>
        <v>1.1000000000000001</v>
      </c>
      <c r="G89" s="10">
        <f>IFERROR(VLOOKUP(A89,'Centre DW5'!$A$7:$N$163,7,FALSE),0)+
IFERROR(VLOOKUP(A89,'Centre WP5'!$A$7:$N$160,7,FALSE),0)+
IFERROR(VLOOKUP(A89,'Centre WR5'!$A$7:$N$160,7,FALSE),0)</f>
        <v>1.1000000000000001</v>
      </c>
      <c r="H89" s="10">
        <f>IFERROR(VLOOKUP(A89,'Centre DW5'!$A$7:$N$163,8,FALSE),0)+
IFERROR(VLOOKUP(A89,'Centre WP5'!$A$7:$N$160,8,FALSE),0)+
IFERROR(VLOOKUP(A89,'Centre WR5'!$A$7:$N$160,8,FALSE),0)</f>
        <v>1.1000000000000001</v>
      </c>
      <c r="I89" s="10">
        <f>IFERROR(VLOOKUP(A89,'Centre DW5'!$A$7:$N$163,9,FALSE),0)+
IFERROR(VLOOKUP(A89,'Centre WP5'!$A$7:$N$160,9,FALSE),0)+
IFERROR(VLOOKUP(A89,'Centre WR5'!$A$7:$N$160,9,FALSE),0)</f>
        <v>1.1000000000000001</v>
      </c>
      <c r="J89" s="10">
        <f>IFERROR(VLOOKUP(A89,'Centre DW5'!$A$7:$N$163,10,FALSE),0)+
IFERROR(VLOOKUP(A89,'Centre WP5'!$A$7:$N$160,10,FALSE),0)+
IFERROR(VLOOKUP(A89,'Centre WR5'!$A$7:$N$160,10,FALSE),0)</f>
        <v>1.1000000000000001</v>
      </c>
      <c r="K89" s="10">
        <f>IFERROR(VLOOKUP(A89,'Centre DW5'!$A$7:$N$163,11,FALSE),0)+
IFERROR(VLOOKUP(A89,'Centre WP5'!$A$7:$N$160,11,FALSE),0)+
IFERROR(VLOOKUP(A89,'Centre WR5'!$A$7:$N$160,11,FALSE),0)</f>
        <v>1.1000000000000001</v>
      </c>
      <c r="L89" s="10">
        <f>IFERROR(VLOOKUP(A89,'Centre DW5'!$A$7:$N$163,12,FALSE),0)+
IFERROR(VLOOKUP(A89,'Centre WP5'!$A$7:$N$160,12,FALSE),0)+
IFERROR(VLOOKUP(A89,'Centre WR5'!$A$7:$N$160,12,FALSE),0)</f>
        <v>1.1000000000000001</v>
      </c>
      <c r="M89" s="10">
        <f>IFERROR(VLOOKUP(A89,'Centre DW5'!$A$7:$N$163,13,FALSE),0)+
IFERROR(VLOOKUP(A89,'Centre WP5'!$A$7:$N$160,13,FALSE),0)+
IFERROR(VLOOKUP(A89,'Centre WR5'!$A$7:$N$160,13,FALSE),0)</f>
        <v>1.1000000000000001</v>
      </c>
      <c r="N89" s="10">
        <f>IFERROR(VLOOKUP(A89,'Centre DW5'!$A$7:$N$163,14,FALSE),0)+
IFERROR(VLOOKUP(A89,'Centre WP5'!$A$7:$N$160,14,FALSE),0)+
IFERROR(VLOOKUP(A89,'Centre WR5'!$A$7:$N$160,14,FALSE),0)</f>
        <v>1.1000000000000001</v>
      </c>
    </row>
    <row r="90" spans="1:14" outlineLevel="1" x14ac:dyDescent="0.2">
      <c r="A90" s="9" t="s">
        <v>349</v>
      </c>
      <c r="B90" s="1" t="s">
        <v>350</v>
      </c>
      <c r="C90" s="10">
        <f>IFERROR(VLOOKUP(A90,'Centre DW5'!$A$7:$N$163,3,FALSE),0)+
IFERROR(VLOOKUP(A90,'Centre WP5'!$A$7:$N$160,3,FALSE),0)+
IFERROR(VLOOKUP(A90,'Centre WR5'!$A$7:$N$160,3,FALSE),0)</f>
        <v>0</v>
      </c>
      <c r="D90" s="10">
        <f>IFERROR(VLOOKUP(A90,'Centre DW5'!$A$7:$N$163,4,FALSE),0)+
IFERROR(VLOOKUP(A90,'Centre WP5'!$A$7:$N$160,4,FALSE),0)+
IFERROR(VLOOKUP(A90,'Centre WR5'!$A$7:$N$160,4,FALSE),0)</f>
        <v>0</v>
      </c>
      <c r="E90" s="10">
        <f>IFERROR(VLOOKUP(A90,'Centre DW5'!$A$7:$N$163,5,FALSE),0)+
IFERROR(VLOOKUP(A90,'Centre WP5'!$A$7:$N$160,5,FALSE),0)+
IFERROR(VLOOKUP(A90,'Centre WR5'!$A$7:$N$160,5,FALSE),0)</f>
        <v>0</v>
      </c>
      <c r="F90" s="10">
        <f>IFERROR(VLOOKUP(A90,'Centre DW5'!$A$7:$N$163,6,FALSE),0)+
IFERROR(VLOOKUP(A90,'Centre WP5'!$A$7:$N$160,6,FALSE),0)+
IFERROR(VLOOKUP(A90,'Centre WR5'!$A$7:$N$160,6,FALSE),0)</f>
        <v>0</v>
      </c>
      <c r="G90" s="10">
        <f>IFERROR(VLOOKUP(A90,'Centre DW5'!$A$7:$N$163,7,FALSE),0)+
IFERROR(VLOOKUP(A90,'Centre WP5'!$A$7:$N$160,7,FALSE),0)+
IFERROR(VLOOKUP(A90,'Centre WR5'!$A$7:$N$160,7,FALSE),0)</f>
        <v>0</v>
      </c>
      <c r="H90" s="10">
        <f>IFERROR(VLOOKUP(A90,'Centre DW5'!$A$7:$N$163,8,FALSE),0)+
IFERROR(VLOOKUP(A90,'Centre WP5'!$A$7:$N$160,8,FALSE),0)+
IFERROR(VLOOKUP(A90,'Centre WR5'!$A$7:$N$160,8,FALSE),0)</f>
        <v>0</v>
      </c>
      <c r="I90" s="10">
        <f>IFERROR(VLOOKUP(A90,'Centre DW5'!$A$7:$N$163,9,FALSE),0)+
IFERROR(VLOOKUP(A90,'Centre WP5'!$A$7:$N$160,9,FALSE),0)+
IFERROR(VLOOKUP(A90,'Centre WR5'!$A$7:$N$160,9,FALSE),0)</f>
        <v>0</v>
      </c>
      <c r="J90" s="10">
        <f>IFERROR(VLOOKUP(A90,'Centre DW5'!$A$7:$N$163,10,FALSE),0)+
IFERROR(VLOOKUP(A90,'Centre WP5'!$A$7:$N$160,10,FALSE),0)+
IFERROR(VLOOKUP(A90,'Centre WR5'!$A$7:$N$160,10,FALSE),0)</f>
        <v>0</v>
      </c>
      <c r="K90" s="10">
        <f>IFERROR(VLOOKUP(A90,'Centre DW5'!$A$7:$N$163,11,FALSE),0)+
IFERROR(VLOOKUP(A90,'Centre WP5'!$A$7:$N$160,11,FALSE),0)+
IFERROR(VLOOKUP(A90,'Centre WR5'!$A$7:$N$160,11,FALSE),0)</f>
        <v>0</v>
      </c>
      <c r="L90" s="10">
        <f>IFERROR(VLOOKUP(A90,'Centre DW5'!$A$7:$N$163,12,FALSE),0)+
IFERROR(VLOOKUP(A90,'Centre WP5'!$A$7:$N$160,12,FALSE),0)+
IFERROR(VLOOKUP(A90,'Centre WR5'!$A$7:$N$160,12,FALSE),0)</f>
        <v>0</v>
      </c>
      <c r="M90" s="10">
        <f>IFERROR(VLOOKUP(A90,'Centre DW5'!$A$7:$N$163,13,FALSE),0)+
IFERROR(VLOOKUP(A90,'Centre WP5'!$A$7:$N$160,13,FALSE),0)+
IFERROR(VLOOKUP(A90,'Centre WR5'!$A$7:$N$160,13,FALSE),0)</f>
        <v>0</v>
      </c>
      <c r="N90" s="10">
        <f>IFERROR(VLOOKUP(A90,'Centre DW5'!$A$7:$N$163,14,FALSE),0)+
IFERROR(VLOOKUP(A90,'Centre WP5'!$A$7:$N$160,14,FALSE),0)+
IFERROR(VLOOKUP(A90,'Centre WR5'!$A$7:$N$160,14,FALSE),0)</f>
        <v>0</v>
      </c>
    </row>
    <row r="91" spans="1:14" outlineLevel="1" x14ac:dyDescent="0.2">
      <c r="A91" s="9" t="s">
        <v>351</v>
      </c>
      <c r="B91" s="1" t="s">
        <v>352</v>
      </c>
      <c r="C91" s="10">
        <f>IFERROR(VLOOKUP(A91,'Centre DW5'!$A$7:$N$163,3,FALSE),0)+
IFERROR(VLOOKUP(A91,'Centre WP5'!$A$7:$N$160,3,FALSE),0)+
IFERROR(VLOOKUP(A91,'Centre WR5'!$A$7:$N$160,3,FALSE),0)</f>
        <v>0</v>
      </c>
      <c r="D91" s="10">
        <f>IFERROR(VLOOKUP(A91,'Centre DW5'!$A$7:$N$163,4,FALSE),0)+
IFERROR(VLOOKUP(A91,'Centre WP5'!$A$7:$N$160,4,FALSE),0)+
IFERROR(VLOOKUP(A91,'Centre WR5'!$A$7:$N$160,4,FALSE),0)</f>
        <v>0</v>
      </c>
      <c r="E91" s="10">
        <f>IFERROR(VLOOKUP(A91,'Centre DW5'!$A$7:$N$163,5,FALSE),0)+
IFERROR(VLOOKUP(A91,'Centre WP5'!$A$7:$N$160,5,FALSE),0)+
IFERROR(VLOOKUP(A91,'Centre WR5'!$A$7:$N$160,5,FALSE),0)</f>
        <v>1</v>
      </c>
      <c r="F91" s="10">
        <f>IFERROR(VLOOKUP(A91,'Centre DW5'!$A$7:$N$163,6,FALSE),0)+
IFERROR(VLOOKUP(A91,'Centre WP5'!$A$7:$N$160,6,FALSE),0)+
IFERROR(VLOOKUP(A91,'Centre WR5'!$A$7:$N$160,6,FALSE),0)</f>
        <v>0</v>
      </c>
      <c r="G91" s="10">
        <f>IFERROR(VLOOKUP(A91,'Centre DW5'!$A$7:$N$163,7,FALSE),0)+
IFERROR(VLOOKUP(A91,'Centre WP5'!$A$7:$N$160,7,FALSE),0)+
IFERROR(VLOOKUP(A91,'Centre WR5'!$A$7:$N$160,7,FALSE),0)</f>
        <v>0.3</v>
      </c>
      <c r="H91" s="10">
        <f>IFERROR(VLOOKUP(A91,'Centre DW5'!$A$7:$N$163,8,FALSE),0)+
IFERROR(VLOOKUP(A91,'Centre WP5'!$A$7:$N$160,8,FALSE),0)+
IFERROR(VLOOKUP(A91,'Centre WR5'!$A$7:$N$160,8,FALSE),0)</f>
        <v>0</v>
      </c>
      <c r="I91" s="10">
        <f>IFERROR(VLOOKUP(A91,'Centre DW5'!$A$7:$N$163,9,FALSE),0)+
IFERROR(VLOOKUP(A91,'Centre WP5'!$A$7:$N$160,9,FALSE),0)+
IFERROR(VLOOKUP(A91,'Centre WR5'!$A$7:$N$160,9,FALSE),0)</f>
        <v>0</v>
      </c>
      <c r="J91" s="10">
        <f>IFERROR(VLOOKUP(A91,'Centre DW5'!$A$7:$N$163,10,FALSE),0)+
IFERROR(VLOOKUP(A91,'Centre WP5'!$A$7:$N$160,10,FALSE),0)+
IFERROR(VLOOKUP(A91,'Centre WR5'!$A$7:$N$160,10,FALSE),0)</f>
        <v>0</v>
      </c>
      <c r="K91" s="10">
        <f>IFERROR(VLOOKUP(A91,'Centre DW5'!$A$7:$N$163,11,FALSE),0)+
IFERROR(VLOOKUP(A91,'Centre WP5'!$A$7:$N$160,11,FALSE),0)+
IFERROR(VLOOKUP(A91,'Centre WR5'!$A$7:$N$160,11,FALSE),0)</f>
        <v>0</v>
      </c>
      <c r="L91" s="10">
        <f>IFERROR(VLOOKUP(A91,'Centre DW5'!$A$7:$N$163,12,FALSE),0)+
IFERROR(VLOOKUP(A91,'Centre WP5'!$A$7:$N$160,12,FALSE),0)+
IFERROR(VLOOKUP(A91,'Centre WR5'!$A$7:$N$160,12,FALSE),0)</f>
        <v>0</v>
      </c>
      <c r="M91" s="10">
        <f>IFERROR(VLOOKUP(A91,'Centre DW5'!$A$7:$N$163,13,FALSE),0)+
IFERROR(VLOOKUP(A91,'Centre WP5'!$A$7:$N$160,13,FALSE),0)+
IFERROR(VLOOKUP(A91,'Centre WR5'!$A$7:$N$160,13,FALSE),0)</f>
        <v>0</v>
      </c>
      <c r="N91" s="10">
        <f>IFERROR(VLOOKUP(A91,'Centre DW5'!$A$7:$N$163,14,FALSE),0)+
IFERROR(VLOOKUP(A91,'Centre WP5'!$A$7:$N$160,14,FALSE),0)+
IFERROR(VLOOKUP(A91,'Centre WR5'!$A$7:$N$160,14,FALSE),0)</f>
        <v>0</v>
      </c>
    </row>
    <row r="92" spans="1:14" x14ac:dyDescent="0.2">
      <c r="A92" s="48" t="s">
        <v>139</v>
      </c>
      <c r="B92" s="49" t="s">
        <v>140</v>
      </c>
      <c r="C92" s="50">
        <f>+C93</f>
        <v>0</v>
      </c>
      <c r="D92" s="50">
        <f t="shared" ref="D92:N92" si="13">+D93</f>
        <v>0</v>
      </c>
      <c r="E92" s="50">
        <f t="shared" si="13"/>
        <v>0</v>
      </c>
      <c r="F92" s="50">
        <f t="shared" si="13"/>
        <v>0</v>
      </c>
      <c r="G92" s="50">
        <f t="shared" si="13"/>
        <v>0</v>
      </c>
      <c r="H92" s="50">
        <f t="shared" si="13"/>
        <v>0</v>
      </c>
      <c r="I92" s="50">
        <f t="shared" si="13"/>
        <v>0</v>
      </c>
      <c r="J92" s="50">
        <f t="shared" si="13"/>
        <v>0</v>
      </c>
      <c r="K92" s="50">
        <f t="shared" si="13"/>
        <v>0</v>
      </c>
      <c r="L92" s="50">
        <f t="shared" si="13"/>
        <v>0</v>
      </c>
      <c r="M92" s="50">
        <f t="shared" si="13"/>
        <v>0</v>
      </c>
      <c r="N92" s="50">
        <f t="shared" si="13"/>
        <v>0</v>
      </c>
    </row>
    <row r="93" spans="1:14" outlineLevel="1" x14ac:dyDescent="0.2">
      <c r="A93" s="9" t="s">
        <v>353</v>
      </c>
      <c r="B93" s="1" t="s">
        <v>354</v>
      </c>
      <c r="C93" s="10">
        <f>IFERROR(VLOOKUP(A93,'Centre DW5'!$A$7:$N$163,3,FALSE),0)+
IFERROR(VLOOKUP(A93,'Centre WP5'!$A$7:$N$160,3,FALSE),0)+
IFERROR(VLOOKUP(A93,'Centre WR5'!$A$7:$N$160,3,FALSE),0)</f>
        <v>0</v>
      </c>
      <c r="D93" s="10">
        <f>IFERROR(VLOOKUP(A93,'Centre DW5'!$A$7:$N$163,4,FALSE),0)+
IFERROR(VLOOKUP(A93,'Centre WP5'!$A$7:$N$160,4,FALSE),0)+
IFERROR(VLOOKUP(A93,'Centre WR5'!$A$7:$N$160,4,FALSE),0)</f>
        <v>0</v>
      </c>
      <c r="E93" s="10">
        <f>IFERROR(VLOOKUP(A93,'Centre DW5'!$A$7:$N$163,5,FALSE),0)+
IFERROR(VLOOKUP(A93,'Centre WP5'!$A$7:$N$160,5,FALSE),0)+
IFERROR(VLOOKUP(A93,'Centre WR5'!$A$7:$N$160,5,FALSE),0)</f>
        <v>0</v>
      </c>
      <c r="F93" s="10">
        <f>IFERROR(VLOOKUP(A93,'Centre DW5'!$A$7:$N$163,6,FALSE),0)+
IFERROR(VLOOKUP(A93,'Centre WP5'!$A$7:$N$160,6,FALSE),0)+
IFERROR(VLOOKUP(A93,'Centre WR5'!$A$7:$N$160,6,FALSE),0)</f>
        <v>0</v>
      </c>
      <c r="G93" s="10">
        <f>IFERROR(VLOOKUP(A93,'Centre DW5'!$A$7:$N$163,7,FALSE),0)+
IFERROR(VLOOKUP(A93,'Centre WP5'!$A$7:$N$160,7,FALSE),0)+
IFERROR(VLOOKUP(A93,'Centre WR5'!$A$7:$N$160,7,FALSE),0)</f>
        <v>0</v>
      </c>
      <c r="H93" s="10">
        <f>IFERROR(VLOOKUP(A93,'Centre DW5'!$A$7:$N$163,8,FALSE),0)+
IFERROR(VLOOKUP(A93,'Centre WP5'!$A$7:$N$160,8,FALSE),0)+
IFERROR(VLOOKUP(A93,'Centre WR5'!$A$7:$N$160,8,FALSE),0)</f>
        <v>0</v>
      </c>
      <c r="I93" s="10">
        <f>IFERROR(VLOOKUP(A93,'Centre DW5'!$A$7:$N$163,9,FALSE),0)+
IFERROR(VLOOKUP(A93,'Centre WP5'!$A$7:$N$160,9,FALSE),0)+
IFERROR(VLOOKUP(A93,'Centre WR5'!$A$7:$N$160,9,FALSE),0)</f>
        <v>0</v>
      </c>
      <c r="J93" s="10">
        <f>IFERROR(VLOOKUP(A93,'Centre DW5'!$A$7:$N$163,10,FALSE),0)+
IFERROR(VLOOKUP(A93,'Centre WP5'!$A$7:$N$160,10,FALSE),0)+
IFERROR(VLOOKUP(A93,'Centre WR5'!$A$7:$N$160,10,FALSE),0)</f>
        <v>0</v>
      </c>
      <c r="K93" s="10">
        <f>IFERROR(VLOOKUP(A93,'Centre DW5'!$A$7:$N$163,11,FALSE),0)+
IFERROR(VLOOKUP(A93,'Centre WP5'!$A$7:$N$160,11,FALSE),0)+
IFERROR(VLOOKUP(A93,'Centre WR5'!$A$7:$N$160,11,FALSE),0)</f>
        <v>0</v>
      </c>
      <c r="L93" s="10">
        <f>IFERROR(VLOOKUP(A93,'Centre DW5'!$A$7:$N$163,12,FALSE),0)+
IFERROR(VLOOKUP(A93,'Centre WP5'!$A$7:$N$160,12,FALSE),0)+
IFERROR(VLOOKUP(A93,'Centre WR5'!$A$7:$N$160,12,FALSE),0)</f>
        <v>0</v>
      </c>
      <c r="M93" s="10">
        <f>IFERROR(VLOOKUP(A93,'Centre DW5'!$A$7:$N$163,13,FALSE),0)+
IFERROR(VLOOKUP(A93,'Centre WP5'!$A$7:$N$160,13,FALSE),0)+
IFERROR(VLOOKUP(A93,'Centre WR5'!$A$7:$N$160,13,FALSE),0)</f>
        <v>0</v>
      </c>
      <c r="N93" s="10">
        <f>IFERROR(VLOOKUP(A93,'Centre DW5'!$A$7:$N$163,14,FALSE),0)+
IFERROR(VLOOKUP(A93,'Centre WP5'!$A$7:$N$160,14,FALSE),0)+
IFERROR(VLOOKUP(A93,'Centre WR5'!$A$7:$N$160,14,FALSE),0)</f>
        <v>0</v>
      </c>
    </row>
    <row r="94" spans="1:14" x14ac:dyDescent="0.2">
      <c r="A94" s="48" t="s">
        <v>141</v>
      </c>
      <c r="B94" s="49" t="s">
        <v>142</v>
      </c>
      <c r="C94" s="50">
        <f>IFERROR(VLOOKUP(A94,'Centre DW5'!$A$7:$N$163,3,FALSE),0)+
IFERROR(VLOOKUP(A94,'Centre WP5'!$A$7:$N$160,3,FALSE),0)+
IFERROR(VLOOKUP(A94,'Centre WR5'!$A$7:$N$160,3,FALSE),0)</f>
        <v>0</v>
      </c>
      <c r="D94" s="50">
        <f>IFERROR(VLOOKUP(A94,'Centre DW5'!$A$7:$N$163,4,FALSE),0)+
IFERROR(VLOOKUP(A94,'Centre WP5'!$A$7:$N$160,4,FALSE),0)+
IFERROR(VLOOKUP(A94,'Centre WR5'!$A$7:$N$160,4,FALSE),0)</f>
        <v>0</v>
      </c>
      <c r="E94" s="50">
        <f>IFERROR(VLOOKUP(A94,'Centre DW5'!$A$7:$N$163,5,FALSE),0)+
IFERROR(VLOOKUP(A94,'Centre WP5'!$A$7:$N$160,5,FALSE),0)+
IFERROR(VLOOKUP(A94,'Centre WR5'!$A$7:$N$160,5,FALSE),0)</f>
        <v>0</v>
      </c>
      <c r="F94" s="50">
        <f>IFERROR(VLOOKUP(A94,'Centre DW5'!$A$7:$N$163,6,FALSE),0)+
IFERROR(VLOOKUP(A94,'Centre WP5'!$A$7:$N$160,6,FALSE),0)+
IFERROR(VLOOKUP(A94,'Centre WR5'!$A$7:$N$160,6,FALSE),0)</f>
        <v>0</v>
      </c>
      <c r="G94" s="50">
        <f>IFERROR(VLOOKUP(A94,'Centre DW5'!$A$7:$N$163,7,FALSE),0)+
IFERROR(VLOOKUP(A94,'Centre WP5'!$A$7:$N$160,7,FALSE),0)+
IFERROR(VLOOKUP(A94,'Centre WR5'!$A$7:$N$160,7,FALSE),0)</f>
        <v>0</v>
      </c>
      <c r="H94" s="50">
        <f>IFERROR(VLOOKUP(A94,'Centre DW5'!$A$7:$N$163,8,FALSE),0)+
IFERROR(VLOOKUP(A94,'Centre WP5'!$A$7:$N$160,8,FALSE),0)+
IFERROR(VLOOKUP(A94,'Centre WR5'!$A$7:$N$160,8,FALSE),0)</f>
        <v>0</v>
      </c>
      <c r="I94" s="50">
        <f>IFERROR(VLOOKUP(A94,'Centre DW5'!$A$7:$N$163,9,FALSE),0)+
IFERROR(VLOOKUP(A94,'Centre WP5'!$A$7:$N$160,9,FALSE),0)+
IFERROR(VLOOKUP(A94,'Centre WR5'!$A$7:$N$160,9,FALSE),0)</f>
        <v>0</v>
      </c>
      <c r="J94" s="50">
        <f>IFERROR(VLOOKUP(A94,'Centre DW5'!$A$7:$N$163,10,FALSE),0)+
IFERROR(VLOOKUP(A94,'Centre WP5'!$A$7:$N$160,10,FALSE),0)+
IFERROR(VLOOKUP(A94,'Centre WR5'!$A$7:$N$160,10,FALSE),0)</f>
        <v>0</v>
      </c>
      <c r="K94" s="50">
        <f>IFERROR(VLOOKUP(A94,'Centre DW5'!$A$7:$N$163,11,FALSE),0)+
IFERROR(VLOOKUP(A94,'Centre WP5'!$A$7:$N$160,11,FALSE),0)+
IFERROR(VLOOKUP(A94,'Centre WR5'!$A$7:$N$160,11,FALSE),0)</f>
        <v>0</v>
      </c>
      <c r="L94" s="50">
        <f>IFERROR(VLOOKUP(A94,'Centre DW5'!$A$7:$N$163,12,FALSE),0)+
IFERROR(VLOOKUP(A94,'Centre WP5'!$A$7:$N$160,12,FALSE),0)+
IFERROR(VLOOKUP(A94,'Centre WR5'!$A$7:$N$160,12,FALSE),0)</f>
        <v>0</v>
      </c>
      <c r="M94" s="50">
        <f>IFERROR(VLOOKUP(A94,'Centre DW5'!$A$7:$N$163,13,FALSE),0)+
IFERROR(VLOOKUP(A94,'Centre WP5'!$A$7:$N$160,13,FALSE),0)+
IFERROR(VLOOKUP(A94,'Centre WR5'!$A$7:$N$160,13,FALSE),0)</f>
        <v>0</v>
      </c>
      <c r="N94" s="50">
        <f>IFERROR(VLOOKUP(A94,'Centre DW5'!$A$7:$N$163,14,FALSE),0)+
IFERROR(VLOOKUP(A94,'Centre WP5'!$A$7:$N$160,14,FALSE),0)+
IFERROR(VLOOKUP(A94,'Centre WR5'!$A$7:$N$160,14,FALSE),0)</f>
        <v>0</v>
      </c>
    </row>
    <row r="95" spans="1:14" x14ac:dyDescent="0.2">
      <c r="A95" s="48" t="s">
        <v>143</v>
      </c>
      <c r="B95" s="49" t="s">
        <v>144</v>
      </c>
      <c r="C95" s="50">
        <f>SUM(C96:C102)</f>
        <v>138</v>
      </c>
      <c r="D95" s="50">
        <f t="shared" ref="D95:N95" si="14">SUM(D96:D102)</f>
        <v>140.80000000000001</v>
      </c>
      <c r="E95" s="50">
        <f t="shared" si="14"/>
        <v>141</v>
      </c>
      <c r="F95" s="50">
        <f t="shared" si="14"/>
        <v>162.70000000000002</v>
      </c>
      <c r="G95" s="50">
        <f t="shared" si="14"/>
        <v>137</v>
      </c>
      <c r="H95" s="50">
        <f t="shared" si="14"/>
        <v>141.80000000000001</v>
      </c>
      <c r="I95" s="50">
        <f t="shared" si="14"/>
        <v>142.80000000000001</v>
      </c>
      <c r="J95" s="50">
        <f t="shared" si="14"/>
        <v>138</v>
      </c>
      <c r="K95" s="50">
        <f t="shared" si="14"/>
        <v>163.70000000000002</v>
      </c>
      <c r="L95" s="50">
        <f t="shared" si="14"/>
        <v>135</v>
      </c>
      <c r="M95" s="50">
        <f t="shared" si="14"/>
        <v>139.80000000000001</v>
      </c>
      <c r="N95" s="50">
        <f t="shared" si="14"/>
        <v>146.69999999999999</v>
      </c>
    </row>
    <row r="96" spans="1:14" outlineLevel="1" x14ac:dyDescent="0.2">
      <c r="A96" s="9" t="s">
        <v>145</v>
      </c>
      <c r="B96" s="1" t="s">
        <v>146</v>
      </c>
      <c r="C96" s="10">
        <f>IFERROR(VLOOKUP(A96,'Centre DW5'!$A$7:$N$163,3,FALSE),0)+
IFERROR(VLOOKUP(A96,'Centre WP5'!$A$7:$N$160,3,FALSE),0)+
IFERROR(VLOOKUP(A96,'Centre WR5'!$A$7:$N$160,3,FALSE),0)</f>
        <v>87</v>
      </c>
      <c r="D96" s="10">
        <f>IFERROR(VLOOKUP(A96,'Centre DW5'!$A$7:$N$163,4,FALSE),0)+
IFERROR(VLOOKUP(A96,'Centre WP5'!$A$7:$N$160,4,FALSE),0)+
IFERROR(VLOOKUP(A96,'Centre WR5'!$A$7:$N$160,4,FALSE),0)</f>
        <v>87</v>
      </c>
      <c r="E96" s="10">
        <f>IFERROR(VLOOKUP(A96,'Centre DW5'!$A$7:$N$163,5,FALSE),0)+
IFERROR(VLOOKUP(A96,'Centre WP5'!$A$7:$N$160,5,FALSE),0)+
IFERROR(VLOOKUP(A96,'Centre WR5'!$A$7:$N$160,5,FALSE),0)</f>
        <v>87</v>
      </c>
      <c r="F96" s="10">
        <f>IFERROR(VLOOKUP(A96,'Centre DW5'!$A$7:$N$163,6,FALSE),0)+
IFERROR(VLOOKUP(A96,'Centre WP5'!$A$7:$N$160,6,FALSE),0)+
IFERROR(VLOOKUP(A96,'Centre WR5'!$A$7:$N$160,6,FALSE),0)</f>
        <v>87</v>
      </c>
      <c r="G96" s="10">
        <f>IFERROR(VLOOKUP(A96,'Centre DW5'!$A$7:$N$163,7,FALSE),0)+
IFERROR(VLOOKUP(A96,'Centre WP5'!$A$7:$N$160,7,FALSE),0)+
IFERROR(VLOOKUP(A96,'Centre WR5'!$A$7:$N$160,7,FALSE),0)</f>
        <v>87</v>
      </c>
      <c r="H96" s="10">
        <f>IFERROR(VLOOKUP(A96,'Centre DW5'!$A$7:$N$163,8,FALSE),0)+
IFERROR(VLOOKUP(A96,'Centre WP5'!$A$7:$N$160,8,FALSE),0)+
IFERROR(VLOOKUP(A96,'Centre WR5'!$A$7:$N$160,8,FALSE),0)</f>
        <v>87</v>
      </c>
      <c r="I96" s="10">
        <f>IFERROR(VLOOKUP(A96,'Centre DW5'!$A$7:$N$163,9,FALSE),0)+
IFERROR(VLOOKUP(A96,'Centre WP5'!$A$7:$N$160,9,FALSE),0)+
IFERROR(VLOOKUP(A96,'Centre WR5'!$A$7:$N$160,9,FALSE),0)</f>
        <v>87</v>
      </c>
      <c r="J96" s="10">
        <f>IFERROR(VLOOKUP(A96,'Centre DW5'!$A$7:$N$163,10,FALSE),0)+
IFERROR(VLOOKUP(A96,'Centre WP5'!$A$7:$N$160,10,FALSE),0)+
IFERROR(VLOOKUP(A96,'Centre WR5'!$A$7:$N$160,10,FALSE),0)</f>
        <v>87</v>
      </c>
      <c r="K96" s="10">
        <f>IFERROR(VLOOKUP(A96,'Centre DW5'!$A$7:$N$163,11,FALSE),0)+
IFERROR(VLOOKUP(A96,'Centre WP5'!$A$7:$N$160,11,FALSE),0)+
IFERROR(VLOOKUP(A96,'Centre WR5'!$A$7:$N$160,11,FALSE),0)</f>
        <v>87</v>
      </c>
      <c r="L96" s="10">
        <f>IFERROR(VLOOKUP(A96,'Centre DW5'!$A$7:$N$163,12,FALSE),0)+
IFERROR(VLOOKUP(A96,'Centre WP5'!$A$7:$N$160,12,FALSE),0)+
IFERROR(VLOOKUP(A96,'Centre WR5'!$A$7:$N$160,12,FALSE),0)</f>
        <v>87</v>
      </c>
      <c r="M96" s="10">
        <f>IFERROR(VLOOKUP(A96,'Centre DW5'!$A$7:$N$163,13,FALSE),0)+
IFERROR(VLOOKUP(A96,'Centre WP5'!$A$7:$N$160,13,FALSE),0)+
IFERROR(VLOOKUP(A96,'Centre WR5'!$A$7:$N$160,13,FALSE),0)</f>
        <v>87</v>
      </c>
      <c r="N96" s="10">
        <f>IFERROR(VLOOKUP(A96,'Centre DW5'!$A$7:$N$163,14,FALSE),0)+
IFERROR(VLOOKUP(A96,'Centre WP5'!$A$7:$N$160,14,FALSE),0)+
IFERROR(VLOOKUP(A96,'Centre WR5'!$A$7:$N$160,14,FALSE),0)</f>
        <v>87</v>
      </c>
    </row>
    <row r="97" spans="1:14" outlineLevel="1" x14ac:dyDescent="0.2">
      <c r="A97" s="9" t="s">
        <v>147</v>
      </c>
      <c r="B97" s="1" t="s">
        <v>148</v>
      </c>
      <c r="C97" s="10">
        <f>IFERROR(VLOOKUP(A97,'Centre DW5'!$A$7:$N$163,3,FALSE),0)+
IFERROR(VLOOKUP(A97,'Centre WP5'!$A$7:$N$160,3,FALSE),0)+
IFERROR(VLOOKUP(A97,'Centre WR5'!$A$7:$N$160,3,FALSE),0)</f>
        <v>0.2</v>
      </c>
      <c r="D97" s="10">
        <f>IFERROR(VLOOKUP(A97,'Centre DW5'!$A$7:$N$163,4,FALSE),0)+
IFERROR(VLOOKUP(A97,'Centre WP5'!$A$7:$N$160,4,FALSE),0)+
IFERROR(VLOOKUP(A97,'Centre WR5'!$A$7:$N$160,4,FALSE),0)</f>
        <v>0</v>
      </c>
      <c r="E97" s="10">
        <f>IFERROR(VLOOKUP(A97,'Centre DW5'!$A$7:$N$163,5,FALSE),0)+
IFERROR(VLOOKUP(A97,'Centre WP5'!$A$7:$N$160,5,FALSE),0)+
IFERROR(VLOOKUP(A97,'Centre WR5'!$A$7:$N$160,5,FALSE),0)</f>
        <v>0.2</v>
      </c>
      <c r="F97" s="10">
        <f>IFERROR(VLOOKUP(A97,'Centre DW5'!$A$7:$N$163,6,FALSE),0)+
IFERROR(VLOOKUP(A97,'Centre WP5'!$A$7:$N$160,6,FALSE),0)+
IFERROR(VLOOKUP(A97,'Centre WR5'!$A$7:$N$160,6,FALSE),0)</f>
        <v>0</v>
      </c>
      <c r="G97" s="10">
        <f>IFERROR(VLOOKUP(A97,'Centre DW5'!$A$7:$N$163,7,FALSE),0)+
IFERROR(VLOOKUP(A97,'Centre WP5'!$A$7:$N$160,7,FALSE),0)+
IFERROR(VLOOKUP(A97,'Centre WR5'!$A$7:$N$160,7,FALSE),0)</f>
        <v>0.2</v>
      </c>
      <c r="H97" s="10">
        <f>IFERROR(VLOOKUP(A97,'Centre DW5'!$A$7:$N$163,8,FALSE),0)+
IFERROR(VLOOKUP(A97,'Centre WP5'!$A$7:$N$160,8,FALSE),0)+
IFERROR(VLOOKUP(A97,'Centre WR5'!$A$7:$N$160,8,FALSE),0)</f>
        <v>2</v>
      </c>
      <c r="I97" s="10">
        <f>IFERROR(VLOOKUP(A97,'Centre DW5'!$A$7:$N$163,9,FALSE),0)+
IFERROR(VLOOKUP(A97,'Centre WP5'!$A$7:$N$160,9,FALSE),0)+
IFERROR(VLOOKUP(A97,'Centre WR5'!$A$7:$N$160,9,FALSE),0)</f>
        <v>0.2</v>
      </c>
      <c r="J97" s="10">
        <f>IFERROR(VLOOKUP(A97,'Centre DW5'!$A$7:$N$163,10,FALSE),0)+
IFERROR(VLOOKUP(A97,'Centre WP5'!$A$7:$N$160,10,FALSE),0)+
IFERROR(VLOOKUP(A97,'Centre WR5'!$A$7:$N$160,10,FALSE),0)</f>
        <v>0.2</v>
      </c>
      <c r="K97" s="10">
        <f>IFERROR(VLOOKUP(A97,'Centre DW5'!$A$7:$N$163,11,FALSE),0)+
IFERROR(VLOOKUP(A97,'Centre WP5'!$A$7:$N$160,11,FALSE),0)+
IFERROR(VLOOKUP(A97,'Centre WR5'!$A$7:$N$160,11,FALSE),0)</f>
        <v>0</v>
      </c>
      <c r="L97" s="10">
        <f>IFERROR(VLOOKUP(A97,'Centre DW5'!$A$7:$N$163,12,FALSE),0)+
IFERROR(VLOOKUP(A97,'Centre WP5'!$A$7:$N$160,12,FALSE),0)+
IFERROR(VLOOKUP(A97,'Centre WR5'!$A$7:$N$160,12,FALSE),0)</f>
        <v>0.2</v>
      </c>
      <c r="M97" s="10">
        <f>IFERROR(VLOOKUP(A97,'Centre DW5'!$A$7:$N$163,13,FALSE),0)+
IFERROR(VLOOKUP(A97,'Centre WP5'!$A$7:$N$160,13,FALSE),0)+
IFERROR(VLOOKUP(A97,'Centre WR5'!$A$7:$N$160,13,FALSE),0)</f>
        <v>2</v>
      </c>
      <c r="N97" s="10">
        <f>IFERROR(VLOOKUP(A97,'Centre DW5'!$A$7:$N$163,14,FALSE),0)+
IFERROR(VLOOKUP(A97,'Centre WP5'!$A$7:$N$160,14,FALSE),0)+
IFERROR(VLOOKUP(A97,'Centre WR5'!$A$7:$N$160,14,FALSE),0)</f>
        <v>0.2</v>
      </c>
    </row>
    <row r="98" spans="1:14" outlineLevel="1" x14ac:dyDescent="0.2">
      <c r="A98" s="9" t="s">
        <v>149</v>
      </c>
      <c r="B98" s="1" t="s">
        <v>150</v>
      </c>
      <c r="C98" s="10">
        <f>IFERROR(VLOOKUP(A98,'Centre DW5'!$A$7:$N$163,3,FALSE),0)+
IFERROR(VLOOKUP(A98,'Centre WP5'!$A$7:$N$160,3,FALSE),0)+
IFERROR(VLOOKUP(A98,'Centre WR5'!$A$7:$N$160,3,FALSE),0)</f>
        <v>22</v>
      </c>
      <c r="D98" s="10">
        <f>IFERROR(VLOOKUP(A98,'Centre DW5'!$A$7:$N$163,4,FALSE),0)+
IFERROR(VLOOKUP(A98,'Centre WP5'!$A$7:$N$160,4,FALSE),0)+
IFERROR(VLOOKUP(A98,'Centre WR5'!$A$7:$N$160,4,FALSE),0)</f>
        <v>22</v>
      </c>
      <c r="E98" s="10">
        <f>IFERROR(VLOOKUP(A98,'Centre DW5'!$A$7:$N$163,5,FALSE),0)+
IFERROR(VLOOKUP(A98,'Centre WP5'!$A$7:$N$160,5,FALSE),0)+
IFERROR(VLOOKUP(A98,'Centre WR5'!$A$7:$N$160,5,FALSE),0)</f>
        <v>22</v>
      </c>
      <c r="F98" s="10">
        <f>IFERROR(VLOOKUP(A98,'Centre DW5'!$A$7:$N$163,6,FALSE),0)+
IFERROR(VLOOKUP(A98,'Centre WP5'!$A$7:$N$160,6,FALSE),0)+
IFERROR(VLOOKUP(A98,'Centre WR5'!$A$7:$N$160,6,FALSE),0)</f>
        <v>37.4</v>
      </c>
      <c r="G98" s="10">
        <f>IFERROR(VLOOKUP(A98,'Centre DW5'!$A$7:$N$163,7,FALSE),0)+
IFERROR(VLOOKUP(A98,'Centre WP5'!$A$7:$N$160,7,FALSE),0)+
IFERROR(VLOOKUP(A98,'Centre WR5'!$A$7:$N$160,7,FALSE),0)</f>
        <v>22</v>
      </c>
      <c r="H98" s="10">
        <f>IFERROR(VLOOKUP(A98,'Centre DW5'!$A$7:$N$163,8,FALSE),0)+
IFERROR(VLOOKUP(A98,'Centre WP5'!$A$7:$N$160,8,FALSE),0)+
IFERROR(VLOOKUP(A98,'Centre WR5'!$A$7:$N$160,8,FALSE),0)</f>
        <v>22</v>
      </c>
      <c r="I98" s="10">
        <f>IFERROR(VLOOKUP(A98,'Centre DW5'!$A$7:$N$163,9,FALSE),0)+
IFERROR(VLOOKUP(A98,'Centre WP5'!$A$7:$N$160,9,FALSE),0)+
IFERROR(VLOOKUP(A98,'Centre WR5'!$A$7:$N$160,9,FALSE),0)</f>
        <v>22</v>
      </c>
      <c r="J98" s="10">
        <f>IFERROR(VLOOKUP(A98,'Centre DW5'!$A$7:$N$163,10,FALSE),0)+
IFERROR(VLOOKUP(A98,'Centre WP5'!$A$7:$N$160,10,FALSE),0)+
IFERROR(VLOOKUP(A98,'Centre WR5'!$A$7:$N$160,10,FALSE),0)</f>
        <v>22</v>
      </c>
      <c r="K98" s="10">
        <f>IFERROR(VLOOKUP(A98,'Centre DW5'!$A$7:$N$163,11,FALSE),0)+
IFERROR(VLOOKUP(A98,'Centre WP5'!$A$7:$N$160,11,FALSE),0)+
IFERROR(VLOOKUP(A98,'Centre WR5'!$A$7:$N$160,11,FALSE),0)</f>
        <v>37.4</v>
      </c>
      <c r="L98" s="10">
        <f>IFERROR(VLOOKUP(A98,'Centre DW5'!$A$7:$N$163,12,FALSE),0)+
IFERROR(VLOOKUP(A98,'Centre WP5'!$A$7:$N$160,12,FALSE),0)+
IFERROR(VLOOKUP(A98,'Centre WR5'!$A$7:$N$160,12,FALSE),0)</f>
        <v>22</v>
      </c>
      <c r="M98" s="10">
        <f>IFERROR(VLOOKUP(A98,'Centre DW5'!$A$7:$N$163,13,FALSE),0)+
IFERROR(VLOOKUP(A98,'Centre WP5'!$A$7:$N$160,13,FALSE),0)+
IFERROR(VLOOKUP(A98,'Centre WR5'!$A$7:$N$160,13,FALSE),0)</f>
        <v>22</v>
      </c>
      <c r="N98" s="10">
        <f>IFERROR(VLOOKUP(A98,'Centre DW5'!$A$7:$N$163,14,FALSE),0)+
IFERROR(VLOOKUP(A98,'Centre WP5'!$A$7:$N$160,14,FALSE),0)+
IFERROR(VLOOKUP(A98,'Centre WR5'!$A$7:$N$160,14,FALSE),0)</f>
        <v>22</v>
      </c>
    </row>
    <row r="99" spans="1:14" outlineLevel="1" x14ac:dyDescent="0.2">
      <c r="A99" s="9" t="s">
        <v>151</v>
      </c>
      <c r="B99" s="1" t="s">
        <v>152</v>
      </c>
      <c r="C99" s="10">
        <f>IFERROR(VLOOKUP(A99,'Centre DW5'!$A$7:$N$163,3,FALSE),0)+
IFERROR(VLOOKUP(A99,'Centre WP5'!$A$7:$N$160,3,FALSE),0)+
IFERROR(VLOOKUP(A99,'Centre WR5'!$A$7:$N$160,3,FALSE),0)</f>
        <v>1.1000000000000001</v>
      </c>
      <c r="D99" s="10">
        <f>IFERROR(VLOOKUP(A99,'Centre DW5'!$A$7:$N$163,4,FALSE),0)+
IFERROR(VLOOKUP(A99,'Centre WP5'!$A$7:$N$160,4,FALSE),0)+
IFERROR(VLOOKUP(A99,'Centre WR5'!$A$7:$N$160,4,FALSE),0)</f>
        <v>1.1000000000000001</v>
      </c>
      <c r="E99" s="10">
        <f>IFERROR(VLOOKUP(A99,'Centre DW5'!$A$7:$N$163,5,FALSE),0)+
IFERROR(VLOOKUP(A99,'Centre WP5'!$A$7:$N$160,5,FALSE),0)+
IFERROR(VLOOKUP(A99,'Centre WR5'!$A$7:$N$160,5,FALSE),0)</f>
        <v>1.1000000000000001</v>
      </c>
      <c r="F99" s="10">
        <f>IFERROR(VLOOKUP(A99,'Centre DW5'!$A$7:$N$163,6,FALSE),0)+
IFERROR(VLOOKUP(A99,'Centre WP5'!$A$7:$N$160,6,FALSE),0)+
IFERROR(VLOOKUP(A99,'Centre WR5'!$A$7:$N$160,6,FALSE),0)</f>
        <v>2</v>
      </c>
      <c r="G99" s="10">
        <f>IFERROR(VLOOKUP(A99,'Centre DW5'!$A$7:$N$163,7,FALSE),0)+
IFERROR(VLOOKUP(A99,'Centre WP5'!$A$7:$N$160,7,FALSE),0)+
IFERROR(VLOOKUP(A99,'Centre WR5'!$A$7:$N$160,7,FALSE),0)</f>
        <v>1.1000000000000001</v>
      </c>
      <c r="H99" s="10">
        <f>IFERROR(VLOOKUP(A99,'Centre DW5'!$A$7:$N$163,8,FALSE),0)+
IFERROR(VLOOKUP(A99,'Centre WP5'!$A$7:$N$160,8,FALSE),0)+
IFERROR(VLOOKUP(A99,'Centre WR5'!$A$7:$N$160,8,FALSE),0)</f>
        <v>1.1000000000000001</v>
      </c>
      <c r="I99" s="10">
        <f>IFERROR(VLOOKUP(A99,'Centre DW5'!$A$7:$N$163,9,FALSE),0)+
IFERROR(VLOOKUP(A99,'Centre WP5'!$A$7:$N$160,9,FALSE),0)+
IFERROR(VLOOKUP(A99,'Centre WR5'!$A$7:$N$160,9,FALSE),0)</f>
        <v>1.1000000000000001</v>
      </c>
      <c r="J99" s="10">
        <f>IFERROR(VLOOKUP(A99,'Centre DW5'!$A$7:$N$163,10,FALSE),0)+
IFERROR(VLOOKUP(A99,'Centre WP5'!$A$7:$N$160,10,FALSE),0)+
IFERROR(VLOOKUP(A99,'Centre WR5'!$A$7:$N$160,10,FALSE),0)</f>
        <v>1.1000000000000001</v>
      </c>
      <c r="K99" s="10">
        <f>IFERROR(VLOOKUP(A99,'Centre DW5'!$A$7:$N$163,11,FALSE),0)+
IFERROR(VLOOKUP(A99,'Centre WP5'!$A$7:$N$160,11,FALSE),0)+
IFERROR(VLOOKUP(A99,'Centre WR5'!$A$7:$N$160,11,FALSE),0)</f>
        <v>2</v>
      </c>
      <c r="L99" s="10">
        <f>IFERROR(VLOOKUP(A99,'Centre DW5'!$A$7:$N$163,12,FALSE),0)+
IFERROR(VLOOKUP(A99,'Centre WP5'!$A$7:$N$160,12,FALSE),0)+
IFERROR(VLOOKUP(A99,'Centre WR5'!$A$7:$N$160,12,FALSE),0)</f>
        <v>1.1000000000000001</v>
      </c>
      <c r="M99" s="10">
        <f>IFERROR(VLOOKUP(A99,'Centre DW5'!$A$7:$N$163,13,FALSE),0)+
IFERROR(VLOOKUP(A99,'Centre WP5'!$A$7:$N$160,13,FALSE),0)+
IFERROR(VLOOKUP(A99,'Centre WR5'!$A$7:$N$160,13,FALSE),0)</f>
        <v>1.1000000000000001</v>
      </c>
      <c r="N99" s="10">
        <f>IFERROR(VLOOKUP(A99,'Centre DW5'!$A$7:$N$163,14,FALSE),0)+
IFERROR(VLOOKUP(A99,'Centre WP5'!$A$7:$N$160,14,FALSE),0)+
IFERROR(VLOOKUP(A99,'Centre WR5'!$A$7:$N$160,14,FALSE),0)</f>
        <v>1.1000000000000001</v>
      </c>
    </row>
    <row r="100" spans="1:14" outlineLevel="1" x14ac:dyDescent="0.2">
      <c r="A100" s="9" t="s">
        <v>355</v>
      </c>
      <c r="B100" s="1" t="s">
        <v>356</v>
      </c>
      <c r="C100" s="10">
        <f>IFERROR(VLOOKUP(A100,'Centre DW5'!$A$7:$N$163,3,FALSE),0)+
IFERROR(VLOOKUP(A100,'Centre WP5'!$A$7:$N$160,3,FALSE),0)+
IFERROR(VLOOKUP(A100,'Centre WR5'!$A$7:$N$160,3,FALSE),0)</f>
        <v>7.7</v>
      </c>
      <c r="D100" s="10">
        <f>IFERROR(VLOOKUP(A100,'Centre DW5'!$A$7:$N$163,4,FALSE),0)+
IFERROR(VLOOKUP(A100,'Centre WP5'!$A$7:$N$160,4,FALSE),0)+
IFERROR(VLOOKUP(A100,'Centre WR5'!$A$7:$N$160,4,FALSE),0)</f>
        <v>8.6999999999999993</v>
      </c>
      <c r="E100" s="10">
        <f>IFERROR(VLOOKUP(A100,'Centre DW5'!$A$7:$N$163,5,FALSE),0)+
IFERROR(VLOOKUP(A100,'Centre WP5'!$A$7:$N$160,5,FALSE),0)+
IFERROR(VLOOKUP(A100,'Centre WR5'!$A$7:$N$160,5,FALSE),0)</f>
        <v>8.6999999999999993</v>
      </c>
      <c r="F100" s="10">
        <f>IFERROR(VLOOKUP(A100,'Centre DW5'!$A$7:$N$163,6,FALSE),0)+
IFERROR(VLOOKUP(A100,'Centre WP5'!$A$7:$N$160,6,FALSE),0)+
IFERROR(VLOOKUP(A100,'Centre WR5'!$A$7:$N$160,6,FALSE),0)</f>
        <v>7.7</v>
      </c>
      <c r="G100" s="10">
        <f>IFERROR(VLOOKUP(A100,'Centre DW5'!$A$7:$N$163,7,FALSE),0)+
IFERROR(VLOOKUP(A100,'Centre WP5'!$A$7:$N$160,7,FALSE),0)+
IFERROR(VLOOKUP(A100,'Centre WR5'!$A$7:$N$160,7,FALSE),0)</f>
        <v>4.7</v>
      </c>
      <c r="H100" s="10">
        <f>IFERROR(VLOOKUP(A100,'Centre DW5'!$A$7:$N$163,8,FALSE),0)+
IFERROR(VLOOKUP(A100,'Centre WP5'!$A$7:$N$160,8,FALSE),0)+
IFERROR(VLOOKUP(A100,'Centre WR5'!$A$7:$N$160,8,FALSE),0)</f>
        <v>7.7</v>
      </c>
      <c r="I100" s="10">
        <f>IFERROR(VLOOKUP(A100,'Centre DW5'!$A$7:$N$163,9,FALSE),0)+
IFERROR(VLOOKUP(A100,'Centre WP5'!$A$7:$N$160,9,FALSE),0)+
IFERROR(VLOOKUP(A100,'Centre WR5'!$A$7:$N$160,9,FALSE),0)</f>
        <v>6.7</v>
      </c>
      <c r="J100" s="10">
        <f>IFERROR(VLOOKUP(A100,'Centre DW5'!$A$7:$N$163,10,FALSE),0)+
IFERROR(VLOOKUP(A100,'Centre WP5'!$A$7:$N$160,10,FALSE),0)+
IFERROR(VLOOKUP(A100,'Centre WR5'!$A$7:$N$160,10,FALSE),0)</f>
        <v>5.7</v>
      </c>
      <c r="K100" s="10">
        <f>IFERROR(VLOOKUP(A100,'Centre DW5'!$A$7:$N$163,11,FALSE),0)+
IFERROR(VLOOKUP(A100,'Centre WP5'!$A$7:$N$160,11,FALSE),0)+
IFERROR(VLOOKUP(A100,'Centre WR5'!$A$7:$N$160,11,FALSE),0)</f>
        <v>8.6999999999999993</v>
      </c>
      <c r="L100" s="10">
        <f>IFERROR(VLOOKUP(A100,'Centre DW5'!$A$7:$N$163,12,FALSE),0)+
IFERROR(VLOOKUP(A100,'Centre WP5'!$A$7:$N$160,12,FALSE),0)+
IFERROR(VLOOKUP(A100,'Centre WR5'!$A$7:$N$160,12,FALSE),0)</f>
        <v>2.7</v>
      </c>
      <c r="M100" s="10">
        <f>IFERROR(VLOOKUP(A100,'Centre DW5'!$A$7:$N$163,13,FALSE),0)+
IFERROR(VLOOKUP(A100,'Centre WP5'!$A$7:$N$160,13,FALSE),0)+
IFERROR(VLOOKUP(A100,'Centre WR5'!$A$7:$N$160,13,FALSE),0)</f>
        <v>5.7</v>
      </c>
      <c r="N100" s="10">
        <f>IFERROR(VLOOKUP(A100,'Centre DW5'!$A$7:$N$163,14,FALSE),0)+
IFERROR(VLOOKUP(A100,'Centre WP5'!$A$7:$N$160,14,FALSE),0)+
IFERROR(VLOOKUP(A100,'Centre WR5'!$A$7:$N$160,14,FALSE),0)</f>
        <v>9.6999999999999993</v>
      </c>
    </row>
    <row r="101" spans="1:14" outlineLevel="1" x14ac:dyDescent="0.2">
      <c r="A101" s="9" t="s">
        <v>153</v>
      </c>
      <c r="B101" s="1" t="s">
        <v>154</v>
      </c>
      <c r="C101" s="10">
        <f>IFERROR(VLOOKUP(A101,'Centre DW5'!$A$7:$N$163,3,FALSE),0)+
IFERROR(VLOOKUP(A101,'Centre WP5'!$A$7:$N$160,3,FALSE),0)+
IFERROR(VLOOKUP(A101,'Centre WR5'!$A$7:$N$160,3,FALSE),0)</f>
        <v>18.5</v>
      </c>
      <c r="D101" s="10">
        <f>IFERROR(VLOOKUP(A101,'Centre DW5'!$A$7:$N$163,4,FALSE),0)+
IFERROR(VLOOKUP(A101,'Centre WP5'!$A$7:$N$160,4,FALSE),0)+
IFERROR(VLOOKUP(A101,'Centre WR5'!$A$7:$N$160,4,FALSE),0)</f>
        <v>18.5</v>
      </c>
      <c r="E101" s="10">
        <f>IFERROR(VLOOKUP(A101,'Centre DW5'!$A$7:$N$163,5,FALSE),0)+
IFERROR(VLOOKUP(A101,'Centre WP5'!$A$7:$N$160,5,FALSE),0)+
IFERROR(VLOOKUP(A101,'Centre WR5'!$A$7:$N$160,5,FALSE),0)</f>
        <v>18.5</v>
      </c>
      <c r="F101" s="10">
        <f>IFERROR(VLOOKUP(A101,'Centre DW5'!$A$7:$N$163,6,FALSE),0)+
IFERROR(VLOOKUP(A101,'Centre WP5'!$A$7:$N$160,6,FALSE),0)+
IFERROR(VLOOKUP(A101,'Centre WR5'!$A$7:$N$160,6,FALSE),0)</f>
        <v>21.3</v>
      </c>
      <c r="G101" s="10">
        <f>IFERROR(VLOOKUP(A101,'Centre DW5'!$A$7:$N$163,7,FALSE),0)+
IFERROR(VLOOKUP(A101,'Centre WP5'!$A$7:$N$160,7,FALSE),0)+
IFERROR(VLOOKUP(A101,'Centre WR5'!$A$7:$N$160,7,FALSE),0)</f>
        <v>18.5</v>
      </c>
      <c r="H101" s="10">
        <f>IFERROR(VLOOKUP(A101,'Centre DW5'!$A$7:$N$163,8,FALSE),0)+
IFERROR(VLOOKUP(A101,'Centre WP5'!$A$7:$N$160,8,FALSE),0)+
IFERROR(VLOOKUP(A101,'Centre WR5'!$A$7:$N$160,8,FALSE),0)</f>
        <v>18.5</v>
      </c>
      <c r="I101" s="10">
        <f>IFERROR(VLOOKUP(A101,'Centre DW5'!$A$7:$N$163,9,FALSE),0)+
IFERROR(VLOOKUP(A101,'Centre WP5'!$A$7:$N$160,9,FALSE),0)+
IFERROR(VLOOKUP(A101,'Centre WR5'!$A$7:$N$160,9,FALSE),0)</f>
        <v>18.5</v>
      </c>
      <c r="J101" s="10">
        <f>IFERROR(VLOOKUP(A101,'Centre DW5'!$A$7:$N$163,10,FALSE),0)+
IFERROR(VLOOKUP(A101,'Centre WP5'!$A$7:$N$160,10,FALSE),0)+
IFERROR(VLOOKUP(A101,'Centre WR5'!$A$7:$N$160,10,FALSE),0)</f>
        <v>18.5</v>
      </c>
      <c r="K101" s="10">
        <f>IFERROR(VLOOKUP(A101,'Centre DW5'!$A$7:$N$163,11,FALSE),0)+
IFERROR(VLOOKUP(A101,'Centre WP5'!$A$7:$N$160,11,FALSE),0)+
IFERROR(VLOOKUP(A101,'Centre WR5'!$A$7:$N$160,11,FALSE),0)</f>
        <v>21.3</v>
      </c>
      <c r="L101" s="10">
        <f>IFERROR(VLOOKUP(A101,'Centre DW5'!$A$7:$N$163,12,FALSE),0)+
IFERROR(VLOOKUP(A101,'Centre WP5'!$A$7:$N$160,12,FALSE),0)+
IFERROR(VLOOKUP(A101,'Centre WR5'!$A$7:$N$160,12,FALSE),0)</f>
        <v>18.5</v>
      </c>
      <c r="M101" s="10">
        <f>IFERROR(VLOOKUP(A101,'Centre DW5'!$A$7:$N$163,13,FALSE),0)+
IFERROR(VLOOKUP(A101,'Centre WP5'!$A$7:$N$160,13,FALSE),0)+
IFERROR(VLOOKUP(A101,'Centre WR5'!$A$7:$N$160,13,FALSE),0)</f>
        <v>18.5</v>
      </c>
      <c r="N101" s="10">
        <f>IFERROR(VLOOKUP(A101,'Centre DW5'!$A$7:$N$163,14,FALSE),0)+
IFERROR(VLOOKUP(A101,'Centre WP5'!$A$7:$N$160,14,FALSE),0)+
IFERROR(VLOOKUP(A101,'Centre WR5'!$A$7:$N$160,14,FALSE),0)</f>
        <v>18.5</v>
      </c>
    </row>
    <row r="102" spans="1:14" outlineLevel="1" x14ac:dyDescent="0.2">
      <c r="A102" s="9" t="s">
        <v>155</v>
      </c>
      <c r="B102" s="1" t="s">
        <v>156</v>
      </c>
      <c r="C102" s="10">
        <f>IFERROR(VLOOKUP(A102,'Centre DW5'!$A$7:$N$163,3,FALSE),0)+
IFERROR(VLOOKUP(A102,'Centre WP5'!$A$7:$N$160,3,FALSE),0)+
IFERROR(VLOOKUP(A102,'Centre WR5'!$A$7:$N$160,3,FALSE),0)</f>
        <v>1.5</v>
      </c>
      <c r="D102" s="10">
        <f>IFERROR(VLOOKUP(A102,'Centre DW5'!$A$7:$N$163,4,FALSE),0)+
IFERROR(VLOOKUP(A102,'Centre WP5'!$A$7:$N$160,4,FALSE),0)+
IFERROR(VLOOKUP(A102,'Centre WR5'!$A$7:$N$160,4,FALSE),0)</f>
        <v>3.5</v>
      </c>
      <c r="E102" s="10">
        <f>IFERROR(VLOOKUP(A102,'Centre DW5'!$A$7:$N$163,5,FALSE),0)+
IFERROR(VLOOKUP(A102,'Centre WP5'!$A$7:$N$160,5,FALSE),0)+
IFERROR(VLOOKUP(A102,'Centre WR5'!$A$7:$N$160,5,FALSE),0)</f>
        <v>3.5</v>
      </c>
      <c r="F102" s="10">
        <f>IFERROR(VLOOKUP(A102,'Centre DW5'!$A$7:$N$163,6,FALSE),0)+
IFERROR(VLOOKUP(A102,'Centre WP5'!$A$7:$N$160,6,FALSE),0)+
IFERROR(VLOOKUP(A102,'Centre WR5'!$A$7:$N$160,6,FALSE),0)</f>
        <v>7.3</v>
      </c>
      <c r="G102" s="10">
        <f>IFERROR(VLOOKUP(A102,'Centre DW5'!$A$7:$N$163,7,FALSE),0)+
IFERROR(VLOOKUP(A102,'Centre WP5'!$A$7:$N$160,7,FALSE),0)+
IFERROR(VLOOKUP(A102,'Centre WR5'!$A$7:$N$160,7,FALSE),0)</f>
        <v>3.5</v>
      </c>
      <c r="H102" s="10">
        <f>IFERROR(VLOOKUP(A102,'Centre DW5'!$A$7:$N$163,8,FALSE),0)+
IFERROR(VLOOKUP(A102,'Centre WP5'!$A$7:$N$160,8,FALSE),0)+
IFERROR(VLOOKUP(A102,'Centre WR5'!$A$7:$N$160,8,FALSE),0)</f>
        <v>3.5</v>
      </c>
      <c r="I102" s="10">
        <f>IFERROR(VLOOKUP(A102,'Centre DW5'!$A$7:$N$163,9,FALSE),0)+
IFERROR(VLOOKUP(A102,'Centre WP5'!$A$7:$N$160,9,FALSE),0)+
IFERROR(VLOOKUP(A102,'Centre WR5'!$A$7:$N$160,9,FALSE),0)</f>
        <v>7.3</v>
      </c>
      <c r="J102" s="10">
        <f>IFERROR(VLOOKUP(A102,'Centre DW5'!$A$7:$N$163,10,FALSE),0)+
IFERROR(VLOOKUP(A102,'Centre WP5'!$A$7:$N$160,10,FALSE),0)+
IFERROR(VLOOKUP(A102,'Centre WR5'!$A$7:$N$160,10,FALSE),0)</f>
        <v>3.5</v>
      </c>
      <c r="K102" s="10">
        <f>IFERROR(VLOOKUP(A102,'Centre DW5'!$A$7:$N$163,11,FALSE),0)+
IFERROR(VLOOKUP(A102,'Centre WP5'!$A$7:$N$160,11,FALSE),0)+
IFERROR(VLOOKUP(A102,'Centre WR5'!$A$7:$N$160,11,FALSE),0)</f>
        <v>7.3</v>
      </c>
      <c r="L102" s="10">
        <f>IFERROR(VLOOKUP(A102,'Centre DW5'!$A$7:$N$163,12,FALSE),0)+
IFERROR(VLOOKUP(A102,'Centre WP5'!$A$7:$N$160,12,FALSE),0)+
IFERROR(VLOOKUP(A102,'Centre WR5'!$A$7:$N$160,12,FALSE),0)</f>
        <v>3.5</v>
      </c>
      <c r="M102" s="10">
        <f>IFERROR(VLOOKUP(A102,'Centre DW5'!$A$7:$N$163,13,FALSE),0)+
IFERROR(VLOOKUP(A102,'Centre WP5'!$A$7:$N$160,13,FALSE),0)+
IFERROR(VLOOKUP(A102,'Centre WR5'!$A$7:$N$160,13,FALSE),0)</f>
        <v>3.5</v>
      </c>
      <c r="N102" s="10">
        <f>IFERROR(VLOOKUP(A102,'Centre DW5'!$A$7:$N$163,14,FALSE),0)+
IFERROR(VLOOKUP(A102,'Centre WP5'!$A$7:$N$160,14,FALSE),0)+
IFERROR(VLOOKUP(A102,'Centre WR5'!$A$7:$N$160,14,FALSE),0)</f>
        <v>8.1999999999999993</v>
      </c>
    </row>
    <row r="103" spans="1:14" x14ac:dyDescent="0.2">
      <c r="A103" s="48" t="s">
        <v>157</v>
      </c>
      <c r="B103" s="49" t="s">
        <v>158</v>
      </c>
      <c r="C103" s="50">
        <f>+C104</f>
        <v>3.5</v>
      </c>
      <c r="D103" s="50">
        <f t="shared" ref="D103:N103" si="15">+D104</f>
        <v>8.1</v>
      </c>
      <c r="E103" s="50">
        <f t="shared" si="15"/>
        <v>-0.69999999999999973</v>
      </c>
      <c r="F103" s="50">
        <f t="shared" si="15"/>
        <v>0.8</v>
      </c>
      <c r="G103" s="50">
        <f t="shared" si="15"/>
        <v>3.3</v>
      </c>
      <c r="H103" s="50">
        <f t="shared" si="15"/>
        <v>1.9000000000000001</v>
      </c>
      <c r="I103" s="50">
        <f t="shared" si="15"/>
        <v>9.1999999999999993</v>
      </c>
      <c r="J103" s="50">
        <f t="shared" si="15"/>
        <v>-0.69999999999999973</v>
      </c>
      <c r="K103" s="50">
        <f t="shared" si="15"/>
        <v>0.8</v>
      </c>
      <c r="L103" s="50">
        <f t="shared" si="15"/>
        <v>3.3</v>
      </c>
      <c r="M103" s="50">
        <f t="shared" si="15"/>
        <v>1.9000000000000001</v>
      </c>
      <c r="N103" s="50">
        <f t="shared" si="15"/>
        <v>9.1999999999999993</v>
      </c>
    </row>
    <row r="104" spans="1:14" outlineLevel="1" x14ac:dyDescent="0.2">
      <c r="A104" s="9" t="s">
        <v>159</v>
      </c>
      <c r="B104" s="1" t="s">
        <v>160</v>
      </c>
      <c r="C104" s="10">
        <f>IFERROR(VLOOKUP(A104,'Centre DW5'!$A$7:$N$163,3,FALSE),0)+
IFERROR(VLOOKUP(A104,'Centre WP5'!$A$7:$N$160,3,FALSE),0)+
IFERROR(VLOOKUP(A104,'Centre WR5'!$A$7:$N$160,3,FALSE),0)</f>
        <v>3.5</v>
      </c>
      <c r="D104" s="10">
        <f>IFERROR(VLOOKUP(A104,'Centre DW5'!$A$7:$N$163,4,FALSE),0)+
IFERROR(VLOOKUP(A104,'Centre WP5'!$A$7:$N$160,4,FALSE),0)+
IFERROR(VLOOKUP(A104,'Centre WR5'!$A$7:$N$160,4,FALSE),0)</f>
        <v>8.1</v>
      </c>
      <c r="E104" s="10">
        <f>IFERROR(VLOOKUP(A104,'Centre DW5'!$A$7:$N$163,5,FALSE),0)+
IFERROR(VLOOKUP(A104,'Centre WP5'!$A$7:$N$160,5,FALSE),0)+
IFERROR(VLOOKUP(A104,'Centre WR5'!$A$7:$N$160,5,FALSE),0)</f>
        <v>-0.69999999999999973</v>
      </c>
      <c r="F104" s="10">
        <f>IFERROR(VLOOKUP(A104,'Centre DW5'!$A$7:$N$163,6,FALSE),0)+
IFERROR(VLOOKUP(A104,'Centre WP5'!$A$7:$N$160,6,FALSE),0)+
IFERROR(VLOOKUP(A104,'Centre WR5'!$A$7:$N$160,6,FALSE),0)</f>
        <v>0.8</v>
      </c>
      <c r="G104" s="10">
        <f>IFERROR(VLOOKUP(A104,'Centre DW5'!$A$7:$N$163,7,FALSE),0)+
IFERROR(VLOOKUP(A104,'Centre WP5'!$A$7:$N$160,7,FALSE),0)+
IFERROR(VLOOKUP(A104,'Centre WR5'!$A$7:$N$160,7,FALSE),0)</f>
        <v>3.3</v>
      </c>
      <c r="H104" s="10">
        <f>IFERROR(VLOOKUP(A104,'Centre DW5'!$A$7:$N$163,8,FALSE),0)+
IFERROR(VLOOKUP(A104,'Centre WP5'!$A$7:$N$160,8,FALSE),0)+
IFERROR(VLOOKUP(A104,'Centre WR5'!$A$7:$N$160,8,FALSE),0)</f>
        <v>1.9000000000000001</v>
      </c>
      <c r="I104" s="10">
        <f>IFERROR(VLOOKUP(A104,'Centre DW5'!$A$7:$N$163,9,FALSE),0)+
IFERROR(VLOOKUP(A104,'Centre WP5'!$A$7:$N$160,9,FALSE),0)+
IFERROR(VLOOKUP(A104,'Centre WR5'!$A$7:$N$160,9,FALSE),0)</f>
        <v>9.1999999999999993</v>
      </c>
      <c r="J104" s="10">
        <f>IFERROR(VLOOKUP(A104,'Centre DW5'!$A$7:$N$163,10,FALSE),0)+
IFERROR(VLOOKUP(A104,'Centre WP5'!$A$7:$N$160,10,FALSE),0)+
IFERROR(VLOOKUP(A104,'Centre WR5'!$A$7:$N$160,10,FALSE),0)</f>
        <v>-0.69999999999999973</v>
      </c>
      <c r="K104" s="10">
        <f>IFERROR(VLOOKUP(A104,'Centre DW5'!$A$7:$N$163,11,FALSE),0)+
IFERROR(VLOOKUP(A104,'Centre WP5'!$A$7:$N$160,11,FALSE),0)+
IFERROR(VLOOKUP(A104,'Centre WR5'!$A$7:$N$160,11,FALSE),0)</f>
        <v>0.8</v>
      </c>
      <c r="L104" s="10">
        <f>IFERROR(VLOOKUP(A104,'Centre DW5'!$A$7:$N$163,12,FALSE),0)+
IFERROR(VLOOKUP(A104,'Centre WP5'!$A$7:$N$160,12,FALSE),0)+
IFERROR(VLOOKUP(A104,'Centre WR5'!$A$7:$N$160,12,FALSE),0)</f>
        <v>3.3</v>
      </c>
      <c r="M104" s="10">
        <f>IFERROR(VLOOKUP(A104,'Centre DW5'!$A$7:$N$163,13,FALSE),0)+
IFERROR(VLOOKUP(A104,'Centre WP5'!$A$7:$N$160,13,FALSE),0)+
IFERROR(VLOOKUP(A104,'Centre WR5'!$A$7:$N$160,13,FALSE),0)</f>
        <v>1.9000000000000001</v>
      </c>
      <c r="N104" s="10">
        <f>IFERROR(VLOOKUP(A104,'Centre DW5'!$A$7:$N$163,14,FALSE),0)+
IFERROR(VLOOKUP(A104,'Centre WP5'!$A$7:$N$160,14,FALSE),0)+
IFERROR(VLOOKUP(A104,'Centre WR5'!$A$7:$N$160,14,FALSE),0)</f>
        <v>9.1999999999999993</v>
      </c>
    </row>
    <row r="105" spans="1:14" x14ac:dyDescent="0.2">
      <c r="A105" s="52"/>
      <c r="B105" s="52" t="s">
        <v>165</v>
      </c>
      <c r="C105" s="53">
        <f>+C35+C56+C63+C67+C76+C84+C92+C94+C95+C103</f>
        <v>512.29999999999995</v>
      </c>
      <c r="D105" s="53">
        <f t="shared" ref="D105:N105" si="16">+D35+D56+D63+D67+D76+D84+D92+D94+D95+D103</f>
        <v>519</v>
      </c>
      <c r="E105" s="53">
        <f t="shared" si="16"/>
        <v>504.9</v>
      </c>
      <c r="F105" s="53">
        <f t="shared" si="16"/>
        <v>551.70000000000005</v>
      </c>
      <c r="G105" s="53">
        <f t="shared" si="16"/>
        <v>514.6</v>
      </c>
      <c r="H105" s="53">
        <f t="shared" si="16"/>
        <v>488.6</v>
      </c>
      <c r="I105" s="53">
        <f t="shared" si="16"/>
        <v>522.10000000000014</v>
      </c>
      <c r="J105" s="53">
        <f t="shared" si="16"/>
        <v>483.90000000000003</v>
      </c>
      <c r="K105" s="53">
        <f t="shared" si="16"/>
        <v>541.70000000000005</v>
      </c>
      <c r="L105" s="53">
        <f t="shared" si="16"/>
        <v>505.80000000000007</v>
      </c>
      <c r="M105" s="53">
        <f t="shared" si="16"/>
        <v>482.6</v>
      </c>
      <c r="N105" s="53">
        <f t="shared" si="16"/>
        <v>536.40000000000009</v>
      </c>
    </row>
    <row r="106" spans="1:14" x14ac:dyDescent="0.2">
      <c r="A106" s="51"/>
      <c r="B106" s="51" t="s">
        <v>166</v>
      </c>
      <c r="C106" s="19">
        <f t="shared" ref="C106:N106" si="17">+C33-C105</f>
        <v>219.90000000000009</v>
      </c>
      <c r="D106" s="19">
        <f t="shared" si="17"/>
        <v>154.20000000000005</v>
      </c>
      <c r="E106" s="19">
        <f t="shared" si="17"/>
        <v>205.30000000000007</v>
      </c>
      <c r="F106" s="19">
        <f t="shared" si="17"/>
        <v>123.5</v>
      </c>
      <c r="G106" s="19">
        <f t="shared" si="17"/>
        <v>202.60000000000002</v>
      </c>
      <c r="H106" s="19">
        <f t="shared" si="17"/>
        <v>199.60000000000002</v>
      </c>
      <c r="I106" s="19">
        <f t="shared" si="17"/>
        <v>213.09999999999991</v>
      </c>
      <c r="J106" s="19">
        <f t="shared" si="17"/>
        <v>232.3</v>
      </c>
      <c r="K106" s="19">
        <f t="shared" si="17"/>
        <v>141.5</v>
      </c>
      <c r="L106" s="19">
        <f t="shared" si="17"/>
        <v>151.39999999999998</v>
      </c>
      <c r="M106" s="19">
        <f t="shared" si="17"/>
        <v>198.60000000000002</v>
      </c>
      <c r="N106" s="19">
        <f t="shared" si="17"/>
        <v>164.19999999999993</v>
      </c>
    </row>
    <row r="107" spans="1:14" x14ac:dyDescent="0.2">
      <c r="A107" s="48" t="s">
        <v>167</v>
      </c>
      <c r="B107" s="49" t="s">
        <v>168</v>
      </c>
      <c r="C107" s="50">
        <f>SUM(C108:C123)</f>
        <v>112.30000000000001</v>
      </c>
      <c r="D107" s="50">
        <f t="shared" ref="D107:N107" si="18">SUM(D108:D123)</f>
        <v>111</v>
      </c>
      <c r="E107" s="50">
        <f t="shared" si="18"/>
        <v>80.800000000000011</v>
      </c>
      <c r="F107" s="50">
        <f t="shared" si="18"/>
        <v>79.700000000000017</v>
      </c>
      <c r="G107" s="50">
        <f t="shared" si="18"/>
        <v>97</v>
      </c>
      <c r="H107" s="50">
        <f t="shared" si="18"/>
        <v>113.6</v>
      </c>
      <c r="I107" s="50">
        <f t="shared" si="18"/>
        <v>81.900000000000006</v>
      </c>
      <c r="J107" s="50">
        <f t="shared" si="18"/>
        <v>88.800000000000011</v>
      </c>
      <c r="K107" s="50">
        <f t="shared" si="18"/>
        <v>91.700000000000031</v>
      </c>
      <c r="L107" s="50">
        <f t="shared" si="18"/>
        <v>90.000000000000014</v>
      </c>
      <c r="M107" s="50">
        <f t="shared" si="18"/>
        <v>85.600000000000009</v>
      </c>
      <c r="N107" s="50">
        <f t="shared" si="18"/>
        <v>108.9</v>
      </c>
    </row>
    <row r="108" spans="1:14" outlineLevel="1" x14ac:dyDescent="0.2">
      <c r="A108" s="9" t="s">
        <v>169</v>
      </c>
      <c r="B108" s="1" t="s">
        <v>170</v>
      </c>
      <c r="C108" s="10">
        <f>IFERROR(VLOOKUP(A108,'Centre DW5'!$A$7:$N$163,3,FALSE),0)+
IFERROR(VLOOKUP(A108,'Centre WP5'!$A$7:$N$160,3,FALSE),0)+
IFERROR(VLOOKUP(A108,'Centre WR5'!$A$7:$N$160,3,FALSE),0)</f>
        <v>3.2</v>
      </c>
      <c r="D108" s="10">
        <f>IFERROR(VLOOKUP(A108,'Centre DW5'!$A$7:$N$163,4,FALSE),0)+
IFERROR(VLOOKUP(A108,'Centre WP5'!$A$7:$N$160,4,FALSE),0)+
IFERROR(VLOOKUP(A108,'Centre WR5'!$A$7:$N$160,4,FALSE),0)</f>
        <v>3.2</v>
      </c>
      <c r="E108" s="10">
        <f>IFERROR(VLOOKUP(A108,'Centre DW5'!$A$7:$N$163,5,FALSE),0)+
IFERROR(VLOOKUP(A108,'Centre WP5'!$A$7:$N$160,5,FALSE),0)+
IFERROR(VLOOKUP(A108,'Centre WR5'!$A$7:$N$160,5,FALSE),0)</f>
        <v>3.1</v>
      </c>
      <c r="F108" s="10">
        <f>IFERROR(VLOOKUP(A108,'Centre DW5'!$A$7:$N$163,6,FALSE),0)+
IFERROR(VLOOKUP(A108,'Centre WP5'!$A$7:$N$160,6,FALSE),0)+
IFERROR(VLOOKUP(A108,'Centre WR5'!$A$7:$N$160,6,FALSE),0)</f>
        <v>4.2</v>
      </c>
      <c r="G108" s="10">
        <f>IFERROR(VLOOKUP(A108,'Centre DW5'!$A$7:$N$163,7,FALSE),0)+
IFERROR(VLOOKUP(A108,'Centre WP5'!$A$7:$N$160,7,FALSE),0)+
IFERROR(VLOOKUP(A108,'Centre WR5'!$A$7:$N$160,7,FALSE),0)</f>
        <v>4.3</v>
      </c>
      <c r="H108" s="10">
        <f>IFERROR(VLOOKUP(A108,'Centre DW5'!$A$7:$N$163,8,FALSE),0)+
IFERROR(VLOOKUP(A108,'Centre WP5'!$A$7:$N$160,8,FALSE),0)+
IFERROR(VLOOKUP(A108,'Centre WR5'!$A$7:$N$160,8,FALSE),0)</f>
        <v>4.0999999999999996</v>
      </c>
      <c r="I108" s="10">
        <f>IFERROR(VLOOKUP(A108,'Centre DW5'!$A$7:$N$163,9,FALSE),0)+
IFERROR(VLOOKUP(A108,'Centre WP5'!$A$7:$N$160,9,FALSE),0)+
IFERROR(VLOOKUP(A108,'Centre WR5'!$A$7:$N$160,9,FALSE),0)</f>
        <v>7.5</v>
      </c>
      <c r="J108" s="10">
        <f>IFERROR(VLOOKUP(A108,'Centre DW5'!$A$7:$N$163,10,FALSE),0)+
IFERROR(VLOOKUP(A108,'Centre WP5'!$A$7:$N$160,10,FALSE),0)+
IFERROR(VLOOKUP(A108,'Centre WR5'!$A$7:$N$160,10,FALSE),0)</f>
        <v>3.1</v>
      </c>
      <c r="K108" s="10">
        <f>IFERROR(VLOOKUP(A108,'Centre DW5'!$A$7:$N$163,11,FALSE),0)+
IFERROR(VLOOKUP(A108,'Centre WP5'!$A$7:$N$160,11,FALSE),0)+
IFERROR(VLOOKUP(A108,'Centre WR5'!$A$7:$N$160,11,FALSE),0)</f>
        <v>4.2</v>
      </c>
      <c r="L108" s="10">
        <f>IFERROR(VLOOKUP(A108,'Centre DW5'!$A$7:$N$163,12,FALSE),0)+
IFERROR(VLOOKUP(A108,'Centre WP5'!$A$7:$N$160,12,FALSE),0)+
IFERROR(VLOOKUP(A108,'Centre WR5'!$A$7:$N$160,12,FALSE),0)</f>
        <v>4.3</v>
      </c>
      <c r="M108" s="10">
        <f>IFERROR(VLOOKUP(A108,'Centre DW5'!$A$7:$N$163,13,FALSE),0)+
IFERROR(VLOOKUP(A108,'Centre WP5'!$A$7:$N$160,13,FALSE),0)+
IFERROR(VLOOKUP(A108,'Centre WR5'!$A$7:$N$160,13,FALSE),0)</f>
        <v>4.0999999999999996</v>
      </c>
      <c r="N108" s="10">
        <f>IFERROR(VLOOKUP(A108,'Centre DW5'!$A$7:$N$163,14,FALSE),0)+
IFERROR(VLOOKUP(A108,'Centre WP5'!$A$7:$N$160,14,FALSE),0)+
IFERROR(VLOOKUP(A108,'Centre WR5'!$A$7:$N$160,14,FALSE),0)</f>
        <v>7.5</v>
      </c>
    </row>
    <row r="109" spans="1:14" outlineLevel="1" x14ac:dyDescent="0.2">
      <c r="A109" s="9" t="s">
        <v>171</v>
      </c>
      <c r="B109" s="1" t="s">
        <v>172</v>
      </c>
      <c r="C109" s="10">
        <f>IFERROR(VLOOKUP(A109,'Centre DW5'!$A$7:$N$163,3,FALSE),0)+
IFERROR(VLOOKUP(A109,'Centre WP5'!$A$7:$N$160,3,FALSE),0)+
IFERROR(VLOOKUP(A109,'Centre WR5'!$A$7:$N$160,3,FALSE),0)</f>
        <v>9</v>
      </c>
      <c r="D109" s="10">
        <f>IFERROR(VLOOKUP(A109,'Centre DW5'!$A$7:$N$163,4,FALSE),0)+
IFERROR(VLOOKUP(A109,'Centre WP5'!$A$7:$N$160,4,FALSE),0)+
IFERROR(VLOOKUP(A109,'Centre WR5'!$A$7:$N$160,4,FALSE),0)</f>
        <v>9</v>
      </c>
      <c r="E109" s="10">
        <f>IFERROR(VLOOKUP(A109,'Centre DW5'!$A$7:$N$163,5,FALSE),0)+
IFERROR(VLOOKUP(A109,'Centre WP5'!$A$7:$N$160,5,FALSE),0)+
IFERROR(VLOOKUP(A109,'Centre WR5'!$A$7:$N$160,5,FALSE),0)</f>
        <v>9</v>
      </c>
      <c r="F109" s="10">
        <f>IFERROR(VLOOKUP(A109,'Centre DW5'!$A$7:$N$163,6,FALSE),0)+
IFERROR(VLOOKUP(A109,'Centre WP5'!$A$7:$N$160,6,FALSE),0)+
IFERROR(VLOOKUP(A109,'Centre WR5'!$A$7:$N$160,6,FALSE),0)</f>
        <v>9</v>
      </c>
      <c r="G109" s="10">
        <f>IFERROR(VLOOKUP(A109,'Centre DW5'!$A$7:$N$163,7,FALSE),0)+
IFERROR(VLOOKUP(A109,'Centre WP5'!$A$7:$N$160,7,FALSE),0)+
IFERROR(VLOOKUP(A109,'Centre WR5'!$A$7:$N$160,7,FALSE),0)</f>
        <v>9</v>
      </c>
      <c r="H109" s="10">
        <f>IFERROR(VLOOKUP(A109,'Centre DW5'!$A$7:$N$163,8,FALSE),0)+
IFERROR(VLOOKUP(A109,'Centre WP5'!$A$7:$N$160,8,FALSE),0)+
IFERROR(VLOOKUP(A109,'Centre WR5'!$A$7:$N$160,8,FALSE),0)</f>
        <v>9</v>
      </c>
      <c r="I109" s="10">
        <f>IFERROR(VLOOKUP(A109,'Centre DW5'!$A$7:$N$163,9,FALSE),0)+
IFERROR(VLOOKUP(A109,'Centre WP5'!$A$7:$N$160,9,FALSE),0)+
IFERROR(VLOOKUP(A109,'Centre WR5'!$A$7:$N$160,9,FALSE),0)</f>
        <v>9</v>
      </c>
      <c r="J109" s="10">
        <f>IFERROR(VLOOKUP(A109,'Centre DW5'!$A$7:$N$163,10,FALSE),0)+
IFERROR(VLOOKUP(A109,'Centre WP5'!$A$7:$N$160,10,FALSE),0)+
IFERROR(VLOOKUP(A109,'Centre WR5'!$A$7:$N$160,10,FALSE),0)</f>
        <v>9</v>
      </c>
      <c r="K109" s="10">
        <f>IFERROR(VLOOKUP(A109,'Centre DW5'!$A$7:$N$163,11,FALSE),0)+
IFERROR(VLOOKUP(A109,'Centre WP5'!$A$7:$N$160,11,FALSE),0)+
IFERROR(VLOOKUP(A109,'Centre WR5'!$A$7:$N$160,11,FALSE),0)</f>
        <v>9</v>
      </c>
      <c r="L109" s="10">
        <f>IFERROR(VLOOKUP(A109,'Centre DW5'!$A$7:$N$163,12,FALSE),0)+
IFERROR(VLOOKUP(A109,'Centre WP5'!$A$7:$N$160,12,FALSE),0)+
IFERROR(VLOOKUP(A109,'Centre WR5'!$A$7:$N$160,12,FALSE),0)</f>
        <v>9</v>
      </c>
      <c r="M109" s="10">
        <f>IFERROR(VLOOKUP(A109,'Centre DW5'!$A$7:$N$163,13,FALSE),0)+
IFERROR(VLOOKUP(A109,'Centre WP5'!$A$7:$N$160,13,FALSE),0)+
IFERROR(VLOOKUP(A109,'Centre WR5'!$A$7:$N$160,13,FALSE),0)</f>
        <v>9</v>
      </c>
      <c r="N109" s="10">
        <f>IFERROR(VLOOKUP(A109,'Centre DW5'!$A$7:$N$163,14,FALSE),0)+
IFERROR(VLOOKUP(A109,'Centre WP5'!$A$7:$N$160,14,FALSE),0)+
IFERROR(VLOOKUP(A109,'Centre WR5'!$A$7:$N$160,14,FALSE),0)</f>
        <v>9</v>
      </c>
    </row>
    <row r="110" spans="1:14" outlineLevel="1" x14ac:dyDescent="0.2">
      <c r="A110" s="9" t="s">
        <v>173</v>
      </c>
      <c r="B110" s="1" t="s">
        <v>174</v>
      </c>
      <c r="C110" s="10">
        <f>IFERROR(VLOOKUP(A110,'Centre DW5'!$A$7:$N$163,3,FALSE),0)+
IFERROR(VLOOKUP(A110,'Centre WP5'!$A$7:$N$160,3,FALSE),0)+
IFERROR(VLOOKUP(A110,'Centre WR5'!$A$7:$N$160,3,FALSE),0)</f>
        <v>0</v>
      </c>
      <c r="D110" s="10">
        <f>IFERROR(VLOOKUP(A110,'Centre DW5'!$A$7:$N$163,4,FALSE),0)+
IFERROR(VLOOKUP(A110,'Centre WP5'!$A$7:$N$160,4,FALSE),0)+
IFERROR(VLOOKUP(A110,'Centre WR5'!$A$7:$N$160,4,FALSE),0)</f>
        <v>0</v>
      </c>
      <c r="E110" s="10">
        <f>IFERROR(VLOOKUP(A110,'Centre DW5'!$A$7:$N$163,5,FALSE),0)+
IFERROR(VLOOKUP(A110,'Centre WP5'!$A$7:$N$160,5,FALSE),0)+
IFERROR(VLOOKUP(A110,'Centre WR5'!$A$7:$N$160,5,FALSE),0)</f>
        <v>0</v>
      </c>
      <c r="F110" s="10">
        <f>IFERROR(VLOOKUP(A110,'Centre DW5'!$A$7:$N$163,6,FALSE),0)+
IFERROR(VLOOKUP(A110,'Centre WP5'!$A$7:$N$160,6,FALSE),0)+
IFERROR(VLOOKUP(A110,'Centre WR5'!$A$7:$N$160,6,FALSE),0)</f>
        <v>0</v>
      </c>
      <c r="G110" s="10">
        <f>IFERROR(VLOOKUP(A110,'Centre DW5'!$A$7:$N$163,7,FALSE),0)+
IFERROR(VLOOKUP(A110,'Centre WP5'!$A$7:$N$160,7,FALSE),0)+
IFERROR(VLOOKUP(A110,'Centre WR5'!$A$7:$N$160,7,FALSE),0)</f>
        <v>0</v>
      </c>
      <c r="H110" s="10">
        <f>IFERROR(VLOOKUP(A110,'Centre DW5'!$A$7:$N$163,8,FALSE),0)+
IFERROR(VLOOKUP(A110,'Centre WP5'!$A$7:$N$160,8,FALSE),0)+
IFERROR(VLOOKUP(A110,'Centre WR5'!$A$7:$N$160,8,FALSE),0)</f>
        <v>0</v>
      </c>
      <c r="I110" s="10">
        <f>IFERROR(VLOOKUP(A110,'Centre DW5'!$A$7:$N$163,9,FALSE),0)+
IFERROR(VLOOKUP(A110,'Centre WP5'!$A$7:$N$160,9,FALSE),0)+
IFERROR(VLOOKUP(A110,'Centre WR5'!$A$7:$N$160,9,FALSE),0)</f>
        <v>0</v>
      </c>
      <c r="J110" s="10">
        <f>IFERROR(VLOOKUP(A110,'Centre DW5'!$A$7:$N$163,10,FALSE),0)+
IFERROR(VLOOKUP(A110,'Centre WP5'!$A$7:$N$160,10,FALSE),0)+
IFERROR(VLOOKUP(A110,'Centre WR5'!$A$7:$N$160,10,FALSE),0)</f>
        <v>0</v>
      </c>
      <c r="K110" s="10">
        <f>IFERROR(VLOOKUP(A110,'Centre DW5'!$A$7:$N$163,11,FALSE),0)+
IFERROR(VLOOKUP(A110,'Centre WP5'!$A$7:$N$160,11,FALSE),0)+
IFERROR(VLOOKUP(A110,'Centre WR5'!$A$7:$N$160,11,FALSE),0)</f>
        <v>0</v>
      </c>
      <c r="L110" s="10">
        <f>IFERROR(VLOOKUP(A110,'Centre DW5'!$A$7:$N$163,12,FALSE),0)+
IFERROR(VLOOKUP(A110,'Centre WP5'!$A$7:$N$160,12,FALSE),0)+
IFERROR(VLOOKUP(A110,'Centre WR5'!$A$7:$N$160,12,FALSE),0)</f>
        <v>0</v>
      </c>
      <c r="M110" s="10">
        <f>IFERROR(VLOOKUP(A110,'Centre DW5'!$A$7:$N$163,13,FALSE),0)+
IFERROR(VLOOKUP(A110,'Centre WP5'!$A$7:$N$160,13,FALSE),0)+
IFERROR(VLOOKUP(A110,'Centre WR5'!$A$7:$N$160,13,FALSE),0)</f>
        <v>0</v>
      </c>
      <c r="N110" s="10">
        <f>IFERROR(VLOOKUP(A110,'Centre DW5'!$A$7:$N$163,14,FALSE),0)+
IFERROR(VLOOKUP(A110,'Centre WP5'!$A$7:$N$160,14,FALSE),0)+
IFERROR(VLOOKUP(A110,'Centre WR5'!$A$7:$N$160,14,FALSE),0)</f>
        <v>0</v>
      </c>
    </row>
    <row r="111" spans="1:14" outlineLevel="1" x14ac:dyDescent="0.2">
      <c r="A111" s="9" t="s">
        <v>175</v>
      </c>
      <c r="B111" s="1" t="s">
        <v>176</v>
      </c>
      <c r="C111" s="10">
        <f>IFERROR(VLOOKUP(A111,'Centre DW5'!$A$7:$N$163,3,FALSE),0)+
IFERROR(VLOOKUP(A111,'Centre WP5'!$A$7:$N$160,3,FALSE),0)+
IFERROR(VLOOKUP(A111,'Centre WR5'!$A$7:$N$160,3,FALSE),0)</f>
        <v>74</v>
      </c>
      <c r="D111" s="10">
        <f>IFERROR(VLOOKUP(A111,'Centre DW5'!$A$7:$N$163,4,FALSE),0)+
IFERROR(VLOOKUP(A111,'Centre WP5'!$A$7:$N$160,4,FALSE),0)+
IFERROR(VLOOKUP(A111,'Centre WR5'!$A$7:$N$160,4,FALSE),0)</f>
        <v>72</v>
      </c>
      <c r="E111" s="10">
        <f>IFERROR(VLOOKUP(A111,'Centre DW5'!$A$7:$N$163,5,FALSE),0)+
IFERROR(VLOOKUP(A111,'Centre WP5'!$A$7:$N$160,5,FALSE),0)+
IFERROR(VLOOKUP(A111,'Centre WR5'!$A$7:$N$160,5,FALSE),0)</f>
        <v>39</v>
      </c>
      <c r="F111" s="10">
        <f>IFERROR(VLOOKUP(A111,'Centre DW5'!$A$7:$N$163,6,FALSE),0)+
IFERROR(VLOOKUP(A111,'Centre WP5'!$A$7:$N$160,6,FALSE),0)+
IFERROR(VLOOKUP(A111,'Centre WR5'!$A$7:$N$160,6,FALSE),0)</f>
        <v>33</v>
      </c>
      <c r="G111" s="10">
        <f>IFERROR(VLOOKUP(A111,'Centre DW5'!$A$7:$N$163,7,FALSE),0)+
IFERROR(VLOOKUP(A111,'Centre WP5'!$A$7:$N$160,7,FALSE),0)+
IFERROR(VLOOKUP(A111,'Centre WR5'!$A$7:$N$160,7,FALSE),0)</f>
        <v>48</v>
      </c>
      <c r="H111" s="10">
        <f>IFERROR(VLOOKUP(A111,'Centre DW5'!$A$7:$N$163,8,FALSE),0)+
IFERROR(VLOOKUP(A111,'Centre WP5'!$A$7:$N$160,8,FALSE),0)+
IFERROR(VLOOKUP(A111,'Centre WR5'!$A$7:$N$160,8,FALSE),0)</f>
        <v>70</v>
      </c>
      <c r="I111" s="10">
        <f>IFERROR(VLOOKUP(A111,'Centre DW5'!$A$7:$N$163,9,FALSE),0)+
IFERROR(VLOOKUP(A111,'Centre WP5'!$A$7:$N$160,9,FALSE),0)+
IFERROR(VLOOKUP(A111,'Centre WR5'!$A$7:$N$160,9,FALSE),0)</f>
        <v>36</v>
      </c>
      <c r="J111" s="10">
        <f>IFERROR(VLOOKUP(A111,'Centre DW5'!$A$7:$N$163,10,FALSE),0)+
IFERROR(VLOOKUP(A111,'Centre WP5'!$A$7:$N$160,10,FALSE),0)+
IFERROR(VLOOKUP(A111,'Centre WR5'!$A$7:$N$160,10,FALSE),0)</f>
        <v>47</v>
      </c>
      <c r="K111" s="10">
        <f>IFERROR(VLOOKUP(A111,'Centre DW5'!$A$7:$N$163,11,FALSE),0)+
IFERROR(VLOOKUP(A111,'Centre WP5'!$A$7:$N$160,11,FALSE),0)+
IFERROR(VLOOKUP(A111,'Centre WR5'!$A$7:$N$160,11,FALSE),0)</f>
        <v>45</v>
      </c>
      <c r="L111" s="10">
        <f>IFERROR(VLOOKUP(A111,'Centre DW5'!$A$7:$N$163,12,FALSE),0)+
IFERROR(VLOOKUP(A111,'Centre WP5'!$A$7:$N$160,12,FALSE),0)+
IFERROR(VLOOKUP(A111,'Centre WR5'!$A$7:$N$160,12,FALSE),0)</f>
        <v>41</v>
      </c>
      <c r="M111" s="10">
        <f>IFERROR(VLOOKUP(A111,'Centre DW5'!$A$7:$N$163,13,FALSE),0)+
IFERROR(VLOOKUP(A111,'Centre WP5'!$A$7:$N$160,13,FALSE),0)+
IFERROR(VLOOKUP(A111,'Centre WR5'!$A$7:$N$160,13,FALSE),0)</f>
        <v>42</v>
      </c>
      <c r="N111" s="10">
        <f>IFERROR(VLOOKUP(A111,'Centre DW5'!$A$7:$N$163,14,FALSE),0)+
IFERROR(VLOOKUP(A111,'Centre WP5'!$A$7:$N$160,14,FALSE),0)+
IFERROR(VLOOKUP(A111,'Centre WR5'!$A$7:$N$160,14,FALSE),0)</f>
        <v>63</v>
      </c>
    </row>
    <row r="112" spans="1:14" outlineLevel="1" x14ac:dyDescent="0.2">
      <c r="A112" s="9" t="s">
        <v>177</v>
      </c>
      <c r="B112" s="1" t="s">
        <v>178</v>
      </c>
      <c r="C112" s="10">
        <f>IFERROR(VLOOKUP(A112,'Centre DW5'!$A$7:$N$163,3,FALSE),0)+
IFERROR(VLOOKUP(A112,'Centre WP5'!$A$7:$N$160,3,FALSE),0)+
IFERROR(VLOOKUP(A112,'Centre WR5'!$A$7:$N$160,3,FALSE),0)</f>
        <v>4.0999999999999996</v>
      </c>
      <c r="D112" s="10">
        <f>IFERROR(VLOOKUP(A112,'Centre DW5'!$A$7:$N$163,4,FALSE),0)+
IFERROR(VLOOKUP(A112,'Centre WP5'!$A$7:$N$160,4,FALSE),0)+
IFERROR(VLOOKUP(A112,'Centre WR5'!$A$7:$N$160,4,FALSE),0)</f>
        <v>4.0999999999999996</v>
      </c>
      <c r="E112" s="10">
        <f>IFERROR(VLOOKUP(A112,'Centre DW5'!$A$7:$N$163,5,FALSE),0)+
IFERROR(VLOOKUP(A112,'Centre WP5'!$A$7:$N$160,5,FALSE),0)+
IFERROR(VLOOKUP(A112,'Centre WR5'!$A$7:$N$160,5,FALSE),0)</f>
        <v>4.0999999999999996</v>
      </c>
      <c r="F112" s="10">
        <f>IFERROR(VLOOKUP(A112,'Centre DW5'!$A$7:$N$163,6,FALSE),0)+
IFERROR(VLOOKUP(A112,'Centre WP5'!$A$7:$N$160,6,FALSE),0)+
IFERROR(VLOOKUP(A112,'Centre WR5'!$A$7:$N$160,6,FALSE),0)</f>
        <v>4.0999999999999996</v>
      </c>
      <c r="G112" s="10">
        <f>IFERROR(VLOOKUP(A112,'Centre DW5'!$A$7:$N$163,7,FALSE),0)+
IFERROR(VLOOKUP(A112,'Centre WP5'!$A$7:$N$160,7,FALSE),0)+
IFERROR(VLOOKUP(A112,'Centre WR5'!$A$7:$N$160,7,FALSE),0)</f>
        <v>4.0999999999999996</v>
      </c>
      <c r="H112" s="10">
        <f>IFERROR(VLOOKUP(A112,'Centre DW5'!$A$7:$N$163,8,FALSE),0)+
IFERROR(VLOOKUP(A112,'Centre WP5'!$A$7:$N$160,8,FALSE),0)+
IFERROR(VLOOKUP(A112,'Centre WR5'!$A$7:$N$160,8,FALSE),0)</f>
        <v>4.0999999999999996</v>
      </c>
      <c r="I112" s="10">
        <f>IFERROR(VLOOKUP(A112,'Centre DW5'!$A$7:$N$163,9,FALSE),0)+
IFERROR(VLOOKUP(A112,'Centre WP5'!$A$7:$N$160,9,FALSE),0)+
IFERROR(VLOOKUP(A112,'Centre WR5'!$A$7:$N$160,9,FALSE),0)</f>
        <v>4.0999999999999996</v>
      </c>
      <c r="J112" s="10">
        <f>IFERROR(VLOOKUP(A112,'Centre DW5'!$A$7:$N$163,10,FALSE),0)+
IFERROR(VLOOKUP(A112,'Centre WP5'!$A$7:$N$160,10,FALSE),0)+
IFERROR(VLOOKUP(A112,'Centre WR5'!$A$7:$N$160,10,FALSE),0)</f>
        <v>4.0999999999999996</v>
      </c>
      <c r="K112" s="10">
        <f>IFERROR(VLOOKUP(A112,'Centre DW5'!$A$7:$N$163,11,FALSE),0)+
IFERROR(VLOOKUP(A112,'Centre WP5'!$A$7:$N$160,11,FALSE),0)+
IFERROR(VLOOKUP(A112,'Centre WR5'!$A$7:$N$160,11,FALSE),0)</f>
        <v>4.0999999999999996</v>
      </c>
      <c r="L112" s="10">
        <f>IFERROR(VLOOKUP(A112,'Centre DW5'!$A$7:$N$163,12,FALSE),0)+
IFERROR(VLOOKUP(A112,'Centre WP5'!$A$7:$N$160,12,FALSE),0)+
IFERROR(VLOOKUP(A112,'Centre WR5'!$A$7:$N$160,12,FALSE),0)</f>
        <v>4.0999999999999996</v>
      </c>
      <c r="M112" s="10">
        <f>IFERROR(VLOOKUP(A112,'Centre DW5'!$A$7:$N$163,13,FALSE),0)+
IFERROR(VLOOKUP(A112,'Centre WP5'!$A$7:$N$160,13,FALSE),0)+
IFERROR(VLOOKUP(A112,'Centre WR5'!$A$7:$N$160,13,FALSE),0)</f>
        <v>4.0999999999999996</v>
      </c>
      <c r="N112" s="10">
        <f>IFERROR(VLOOKUP(A112,'Centre DW5'!$A$7:$N$163,14,FALSE),0)+
IFERROR(VLOOKUP(A112,'Centre WP5'!$A$7:$N$160,14,FALSE),0)+
IFERROR(VLOOKUP(A112,'Centre WR5'!$A$7:$N$160,14,FALSE),0)</f>
        <v>4.0999999999999996</v>
      </c>
    </row>
    <row r="113" spans="1:14" outlineLevel="1" x14ac:dyDescent="0.2">
      <c r="A113" s="9" t="s">
        <v>179</v>
      </c>
      <c r="B113" s="1" t="s">
        <v>180</v>
      </c>
      <c r="C113" s="10">
        <f>IFERROR(VLOOKUP(A113,'Centre DW5'!$A$7:$N$163,3,FALSE),0)+
IFERROR(VLOOKUP(A113,'Centre WP5'!$A$7:$N$160,3,FALSE),0)+
IFERROR(VLOOKUP(A113,'Centre WR5'!$A$7:$N$160,3,FALSE),0)</f>
        <v>0</v>
      </c>
      <c r="D113" s="10">
        <f>IFERROR(VLOOKUP(A113,'Centre DW5'!$A$7:$N$163,4,FALSE),0)+
IFERROR(VLOOKUP(A113,'Centre WP5'!$A$7:$N$160,4,FALSE),0)+
IFERROR(VLOOKUP(A113,'Centre WR5'!$A$7:$N$160,4,FALSE),0)</f>
        <v>0</v>
      </c>
      <c r="E113" s="10">
        <f>IFERROR(VLOOKUP(A113,'Centre DW5'!$A$7:$N$163,5,FALSE),0)+
IFERROR(VLOOKUP(A113,'Centre WP5'!$A$7:$N$160,5,FALSE),0)+
IFERROR(VLOOKUP(A113,'Centre WR5'!$A$7:$N$160,5,FALSE),0)</f>
        <v>0</v>
      </c>
      <c r="F113" s="10">
        <f>IFERROR(VLOOKUP(A113,'Centre DW5'!$A$7:$N$163,6,FALSE),0)+
IFERROR(VLOOKUP(A113,'Centre WP5'!$A$7:$N$160,6,FALSE),0)+
IFERROR(VLOOKUP(A113,'Centre WR5'!$A$7:$N$160,6,FALSE),0)</f>
        <v>0</v>
      </c>
      <c r="G113" s="10">
        <f>IFERROR(VLOOKUP(A113,'Centre DW5'!$A$7:$N$163,7,FALSE),0)+
IFERROR(VLOOKUP(A113,'Centre WP5'!$A$7:$N$160,7,FALSE),0)+
IFERROR(VLOOKUP(A113,'Centre WR5'!$A$7:$N$160,7,FALSE),0)</f>
        <v>0</v>
      </c>
      <c r="H113" s="10">
        <f>IFERROR(VLOOKUP(A113,'Centre DW5'!$A$7:$N$163,8,FALSE),0)+
IFERROR(VLOOKUP(A113,'Centre WP5'!$A$7:$N$160,8,FALSE),0)+
IFERROR(VLOOKUP(A113,'Centre WR5'!$A$7:$N$160,8,FALSE),0)</f>
        <v>0</v>
      </c>
      <c r="I113" s="10">
        <f>IFERROR(VLOOKUP(A113,'Centre DW5'!$A$7:$N$163,9,FALSE),0)+
IFERROR(VLOOKUP(A113,'Centre WP5'!$A$7:$N$160,9,FALSE),0)+
IFERROR(VLOOKUP(A113,'Centre WR5'!$A$7:$N$160,9,FALSE),0)</f>
        <v>0</v>
      </c>
      <c r="J113" s="10">
        <f>IFERROR(VLOOKUP(A113,'Centre DW5'!$A$7:$N$163,10,FALSE),0)+
IFERROR(VLOOKUP(A113,'Centre WP5'!$A$7:$N$160,10,FALSE),0)+
IFERROR(VLOOKUP(A113,'Centre WR5'!$A$7:$N$160,10,FALSE),0)</f>
        <v>0</v>
      </c>
      <c r="K113" s="10">
        <f>IFERROR(VLOOKUP(A113,'Centre DW5'!$A$7:$N$163,11,FALSE),0)+
IFERROR(VLOOKUP(A113,'Centre WP5'!$A$7:$N$160,11,FALSE),0)+
IFERROR(VLOOKUP(A113,'Centre WR5'!$A$7:$N$160,11,FALSE),0)</f>
        <v>0</v>
      </c>
      <c r="L113" s="10">
        <f>IFERROR(VLOOKUP(A113,'Centre DW5'!$A$7:$N$163,12,FALSE),0)+
IFERROR(VLOOKUP(A113,'Centre WP5'!$A$7:$N$160,12,FALSE),0)+
IFERROR(VLOOKUP(A113,'Centre WR5'!$A$7:$N$160,12,FALSE),0)</f>
        <v>0</v>
      </c>
      <c r="M113" s="10">
        <f>IFERROR(VLOOKUP(A113,'Centre DW5'!$A$7:$N$163,13,FALSE),0)+
IFERROR(VLOOKUP(A113,'Centre WP5'!$A$7:$N$160,13,FALSE),0)+
IFERROR(VLOOKUP(A113,'Centre WR5'!$A$7:$N$160,13,FALSE),0)</f>
        <v>0</v>
      </c>
      <c r="N113" s="10">
        <f>IFERROR(VLOOKUP(A113,'Centre DW5'!$A$7:$N$163,14,FALSE),0)+
IFERROR(VLOOKUP(A113,'Centre WP5'!$A$7:$N$160,14,FALSE),0)+
IFERROR(VLOOKUP(A113,'Centre WR5'!$A$7:$N$160,14,FALSE),0)</f>
        <v>0</v>
      </c>
    </row>
    <row r="114" spans="1:14" outlineLevel="1" x14ac:dyDescent="0.2">
      <c r="A114" s="9" t="s">
        <v>181</v>
      </c>
      <c r="B114" s="1" t="s">
        <v>182</v>
      </c>
      <c r="C114" s="10">
        <f>IFERROR(VLOOKUP(A114,'Centre DW5'!$A$7:$N$163,3,FALSE),0)+
IFERROR(VLOOKUP(A114,'Centre WP5'!$A$7:$N$160,3,FALSE),0)+
IFERROR(VLOOKUP(A114,'Centre WR5'!$A$7:$N$160,3,FALSE),0)</f>
        <v>12.5</v>
      </c>
      <c r="D114" s="10">
        <f>IFERROR(VLOOKUP(A114,'Centre DW5'!$A$7:$N$163,4,FALSE),0)+
IFERROR(VLOOKUP(A114,'Centre WP5'!$A$7:$N$160,4,FALSE),0)+
IFERROR(VLOOKUP(A114,'Centre WR5'!$A$7:$N$160,4,FALSE),0)</f>
        <v>12.5</v>
      </c>
      <c r="E114" s="10">
        <f>IFERROR(VLOOKUP(A114,'Centre DW5'!$A$7:$N$163,5,FALSE),0)+
IFERROR(VLOOKUP(A114,'Centre WP5'!$A$7:$N$160,5,FALSE),0)+
IFERROR(VLOOKUP(A114,'Centre WR5'!$A$7:$N$160,5,FALSE),0)</f>
        <v>12.5</v>
      </c>
      <c r="F114" s="10">
        <f>IFERROR(VLOOKUP(A114,'Centre DW5'!$A$7:$N$163,6,FALSE),0)+
IFERROR(VLOOKUP(A114,'Centre WP5'!$A$7:$N$160,6,FALSE),0)+
IFERROR(VLOOKUP(A114,'Centre WR5'!$A$7:$N$160,6,FALSE),0)</f>
        <v>12.5</v>
      </c>
      <c r="G114" s="10">
        <f>IFERROR(VLOOKUP(A114,'Centre DW5'!$A$7:$N$163,7,FALSE),0)+
IFERROR(VLOOKUP(A114,'Centre WP5'!$A$7:$N$160,7,FALSE),0)+
IFERROR(VLOOKUP(A114,'Centre WR5'!$A$7:$N$160,7,FALSE),0)</f>
        <v>12.5</v>
      </c>
      <c r="H114" s="10">
        <f>IFERROR(VLOOKUP(A114,'Centre DW5'!$A$7:$N$163,8,FALSE),0)+
IFERROR(VLOOKUP(A114,'Centre WP5'!$A$7:$N$160,8,FALSE),0)+
IFERROR(VLOOKUP(A114,'Centre WR5'!$A$7:$N$160,8,FALSE),0)</f>
        <v>12.5</v>
      </c>
      <c r="I114" s="10">
        <f>IFERROR(VLOOKUP(A114,'Centre DW5'!$A$7:$N$163,9,FALSE),0)+
IFERROR(VLOOKUP(A114,'Centre WP5'!$A$7:$N$160,9,FALSE),0)+
IFERROR(VLOOKUP(A114,'Centre WR5'!$A$7:$N$160,9,FALSE),0)</f>
        <v>12.5</v>
      </c>
      <c r="J114" s="10">
        <f>IFERROR(VLOOKUP(A114,'Centre DW5'!$A$7:$N$163,10,FALSE),0)+
IFERROR(VLOOKUP(A114,'Centre WP5'!$A$7:$N$160,10,FALSE),0)+
IFERROR(VLOOKUP(A114,'Centre WR5'!$A$7:$N$160,10,FALSE),0)</f>
        <v>12.5</v>
      </c>
      <c r="K114" s="10">
        <f>IFERROR(VLOOKUP(A114,'Centre DW5'!$A$7:$N$163,11,FALSE),0)+
IFERROR(VLOOKUP(A114,'Centre WP5'!$A$7:$N$160,11,FALSE),0)+
IFERROR(VLOOKUP(A114,'Centre WR5'!$A$7:$N$160,11,FALSE),0)</f>
        <v>12.5</v>
      </c>
      <c r="L114" s="10">
        <f>IFERROR(VLOOKUP(A114,'Centre DW5'!$A$7:$N$163,12,FALSE),0)+
IFERROR(VLOOKUP(A114,'Centre WP5'!$A$7:$N$160,12,FALSE),0)+
IFERROR(VLOOKUP(A114,'Centre WR5'!$A$7:$N$160,12,FALSE),0)</f>
        <v>12.5</v>
      </c>
      <c r="M114" s="10">
        <f>IFERROR(VLOOKUP(A114,'Centre DW5'!$A$7:$N$163,13,FALSE),0)+
IFERROR(VLOOKUP(A114,'Centre WP5'!$A$7:$N$160,13,FALSE),0)+
IFERROR(VLOOKUP(A114,'Centre WR5'!$A$7:$N$160,13,FALSE),0)</f>
        <v>12.5</v>
      </c>
      <c r="N114" s="10">
        <f>IFERROR(VLOOKUP(A114,'Centre DW5'!$A$7:$N$163,14,FALSE),0)+
IFERROR(VLOOKUP(A114,'Centre WP5'!$A$7:$N$160,14,FALSE),0)+
IFERROR(VLOOKUP(A114,'Centre WR5'!$A$7:$N$160,14,FALSE),0)</f>
        <v>12.5</v>
      </c>
    </row>
    <row r="115" spans="1:14" outlineLevel="1" x14ac:dyDescent="0.2">
      <c r="A115" s="9" t="s">
        <v>183</v>
      </c>
      <c r="B115" s="1" t="s">
        <v>184</v>
      </c>
      <c r="C115" s="10">
        <f>IFERROR(VLOOKUP(A115,'Centre DW5'!$A$7:$N$163,3,FALSE),0)+
IFERROR(VLOOKUP(A115,'Centre WP5'!$A$7:$N$160,3,FALSE),0)+
IFERROR(VLOOKUP(A115,'Centre WR5'!$A$7:$N$160,3,FALSE),0)</f>
        <v>0</v>
      </c>
      <c r="D115" s="10">
        <f>IFERROR(VLOOKUP(A115,'Centre DW5'!$A$7:$N$163,4,FALSE),0)+
IFERROR(VLOOKUP(A115,'Centre WP5'!$A$7:$N$160,4,FALSE),0)+
IFERROR(VLOOKUP(A115,'Centre WR5'!$A$7:$N$160,4,FALSE),0)</f>
        <v>0.6</v>
      </c>
      <c r="E115" s="10">
        <f>IFERROR(VLOOKUP(A115,'Centre DW5'!$A$7:$N$163,5,FALSE),0)+
IFERROR(VLOOKUP(A115,'Centre WP5'!$A$7:$N$160,5,FALSE),0)+
IFERROR(VLOOKUP(A115,'Centre WR5'!$A$7:$N$160,5,FALSE),0)</f>
        <v>3.6</v>
      </c>
      <c r="F115" s="10">
        <f>IFERROR(VLOOKUP(A115,'Centre DW5'!$A$7:$N$163,6,FALSE),0)+
IFERROR(VLOOKUP(A115,'Centre WP5'!$A$7:$N$160,6,FALSE),0)+
IFERROR(VLOOKUP(A115,'Centre WR5'!$A$7:$N$160,6,FALSE),0)</f>
        <v>6.9</v>
      </c>
      <c r="G115" s="10">
        <f>IFERROR(VLOOKUP(A115,'Centre DW5'!$A$7:$N$163,7,FALSE),0)+
IFERROR(VLOOKUP(A115,'Centre WP5'!$A$7:$N$160,7,FALSE),0)+
IFERROR(VLOOKUP(A115,'Centre WR5'!$A$7:$N$160,7,FALSE),0)</f>
        <v>9</v>
      </c>
      <c r="H115" s="10">
        <f>IFERROR(VLOOKUP(A115,'Centre DW5'!$A$7:$N$163,8,FALSE),0)+
IFERROR(VLOOKUP(A115,'Centre WP5'!$A$7:$N$160,8,FALSE),0)+
IFERROR(VLOOKUP(A115,'Centre WR5'!$A$7:$N$160,8,FALSE),0)</f>
        <v>4.5</v>
      </c>
      <c r="I115" s="10">
        <f>IFERROR(VLOOKUP(A115,'Centre DW5'!$A$7:$N$163,9,FALSE),0)+
IFERROR(VLOOKUP(A115,'Centre WP5'!$A$7:$N$160,9,FALSE),0)+
IFERROR(VLOOKUP(A115,'Centre WR5'!$A$7:$N$160,9,FALSE),0)</f>
        <v>2.6</v>
      </c>
      <c r="J115" s="10">
        <f>IFERROR(VLOOKUP(A115,'Centre DW5'!$A$7:$N$163,10,FALSE),0)+
IFERROR(VLOOKUP(A115,'Centre WP5'!$A$7:$N$160,10,FALSE),0)+
IFERROR(VLOOKUP(A115,'Centre WR5'!$A$7:$N$160,10,FALSE),0)</f>
        <v>3.6</v>
      </c>
      <c r="K115" s="10">
        <f>IFERROR(VLOOKUP(A115,'Centre DW5'!$A$7:$N$163,11,FALSE),0)+
IFERROR(VLOOKUP(A115,'Centre WP5'!$A$7:$N$160,11,FALSE),0)+
IFERROR(VLOOKUP(A115,'Centre WR5'!$A$7:$N$160,11,FALSE),0)</f>
        <v>6.9</v>
      </c>
      <c r="L115" s="10">
        <f>IFERROR(VLOOKUP(A115,'Centre DW5'!$A$7:$N$163,12,FALSE),0)+
IFERROR(VLOOKUP(A115,'Centre WP5'!$A$7:$N$160,12,FALSE),0)+
IFERROR(VLOOKUP(A115,'Centre WR5'!$A$7:$N$160,12,FALSE),0)</f>
        <v>9</v>
      </c>
      <c r="M115" s="10">
        <f>IFERROR(VLOOKUP(A115,'Centre DW5'!$A$7:$N$163,13,FALSE),0)+
IFERROR(VLOOKUP(A115,'Centre WP5'!$A$7:$N$160,13,FALSE),0)+
IFERROR(VLOOKUP(A115,'Centre WR5'!$A$7:$N$160,13,FALSE),0)</f>
        <v>4.5</v>
      </c>
      <c r="N115" s="10">
        <f>IFERROR(VLOOKUP(A115,'Centre DW5'!$A$7:$N$163,14,FALSE),0)+
IFERROR(VLOOKUP(A115,'Centre WP5'!$A$7:$N$160,14,FALSE),0)+
IFERROR(VLOOKUP(A115,'Centre WR5'!$A$7:$N$160,14,FALSE),0)</f>
        <v>2.6</v>
      </c>
    </row>
    <row r="116" spans="1:14" outlineLevel="1" x14ac:dyDescent="0.2">
      <c r="A116" s="9" t="s">
        <v>185</v>
      </c>
      <c r="B116" s="1" t="s">
        <v>186</v>
      </c>
      <c r="C116" s="10">
        <f>IFERROR(VLOOKUP(A116,'Centre DW5'!$A$7:$N$163,3,FALSE),0)+
IFERROR(VLOOKUP(A116,'Centre WP5'!$A$7:$N$160,3,FALSE),0)+
IFERROR(VLOOKUP(A116,'Centre WR5'!$A$7:$N$160,3,FALSE),0)</f>
        <v>2.2999999999999998</v>
      </c>
      <c r="D116" s="10">
        <f>IFERROR(VLOOKUP(A116,'Centre DW5'!$A$7:$N$163,4,FALSE),0)+
IFERROR(VLOOKUP(A116,'Centre WP5'!$A$7:$N$160,4,FALSE),0)+
IFERROR(VLOOKUP(A116,'Centre WR5'!$A$7:$N$160,4,FALSE),0)</f>
        <v>2.2999999999999998</v>
      </c>
      <c r="E116" s="10">
        <f>IFERROR(VLOOKUP(A116,'Centre DW5'!$A$7:$N$163,5,FALSE),0)+
IFERROR(VLOOKUP(A116,'Centre WP5'!$A$7:$N$160,5,FALSE),0)+
IFERROR(VLOOKUP(A116,'Centre WR5'!$A$7:$N$160,5,FALSE),0)</f>
        <v>2.2999999999999998</v>
      </c>
      <c r="F116" s="10">
        <f>IFERROR(VLOOKUP(A116,'Centre DW5'!$A$7:$N$163,6,FALSE),0)+
IFERROR(VLOOKUP(A116,'Centre WP5'!$A$7:$N$160,6,FALSE),0)+
IFERROR(VLOOKUP(A116,'Centre WR5'!$A$7:$N$160,6,FALSE),0)</f>
        <v>2.2999999999999998</v>
      </c>
      <c r="G116" s="10">
        <f>IFERROR(VLOOKUP(A116,'Centre DW5'!$A$7:$N$163,7,FALSE),0)+
IFERROR(VLOOKUP(A116,'Centre WP5'!$A$7:$N$160,7,FALSE),0)+
IFERROR(VLOOKUP(A116,'Centre WR5'!$A$7:$N$160,7,FALSE),0)</f>
        <v>2.2999999999999998</v>
      </c>
      <c r="H116" s="10">
        <f>IFERROR(VLOOKUP(A116,'Centre DW5'!$A$7:$N$163,8,FALSE),0)+
IFERROR(VLOOKUP(A116,'Centre WP5'!$A$7:$N$160,8,FALSE),0)+
IFERROR(VLOOKUP(A116,'Centre WR5'!$A$7:$N$160,8,FALSE),0)</f>
        <v>2.2999999999999998</v>
      </c>
      <c r="I116" s="10">
        <f>IFERROR(VLOOKUP(A116,'Centre DW5'!$A$7:$N$163,9,FALSE),0)+
IFERROR(VLOOKUP(A116,'Centre WP5'!$A$7:$N$160,9,FALSE),0)+
IFERROR(VLOOKUP(A116,'Centre WR5'!$A$7:$N$160,9,FALSE),0)</f>
        <v>2.2999999999999998</v>
      </c>
      <c r="J116" s="10">
        <f>IFERROR(VLOOKUP(A116,'Centre DW5'!$A$7:$N$163,10,FALSE),0)+
IFERROR(VLOOKUP(A116,'Centre WP5'!$A$7:$N$160,10,FALSE),0)+
IFERROR(VLOOKUP(A116,'Centre WR5'!$A$7:$N$160,10,FALSE),0)</f>
        <v>2.2999999999999998</v>
      </c>
      <c r="K116" s="10">
        <f>IFERROR(VLOOKUP(A116,'Centre DW5'!$A$7:$N$163,11,FALSE),0)+
IFERROR(VLOOKUP(A116,'Centre WP5'!$A$7:$N$160,11,FALSE),0)+
IFERROR(VLOOKUP(A116,'Centre WR5'!$A$7:$N$160,11,FALSE),0)</f>
        <v>2.2999999999999998</v>
      </c>
      <c r="L116" s="10">
        <f>IFERROR(VLOOKUP(A116,'Centre DW5'!$A$7:$N$163,12,FALSE),0)+
IFERROR(VLOOKUP(A116,'Centre WP5'!$A$7:$N$160,12,FALSE),0)+
IFERROR(VLOOKUP(A116,'Centre WR5'!$A$7:$N$160,12,FALSE),0)</f>
        <v>2.2999999999999998</v>
      </c>
      <c r="M116" s="10">
        <f>IFERROR(VLOOKUP(A116,'Centre DW5'!$A$7:$N$163,13,FALSE),0)+
IFERROR(VLOOKUP(A116,'Centre WP5'!$A$7:$N$160,13,FALSE),0)+
IFERROR(VLOOKUP(A116,'Centre WR5'!$A$7:$N$160,13,FALSE),0)</f>
        <v>2.2999999999999998</v>
      </c>
      <c r="N116" s="10">
        <f>IFERROR(VLOOKUP(A116,'Centre DW5'!$A$7:$N$163,14,FALSE),0)+
IFERROR(VLOOKUP(A116,'Centre WP5'!$A$7:$N$160,14,FALSE),0)+
IFERROR(VLOOKUP(A116,'Centre WR5'!$A$7:$N$160,14,FALSE),0)</f>
        <v>2.2999999999999998</v>
      </c>
    </row>
    <row r="117" spans="1:14" outlineLevel="1" x14ac:dyDescent="0.2">
      <c r="A117" s="9" t="s">
        <v>187</v>
      </c>
      <c r="B117" s="1" t="s">
        <v>184</v>
      </c>
      <c r="C117" s="10">
        <f>IFERROR(VLOOKUP(A117,'Centre DW5'!$A$7:$N$163,3,FALSE),0)+
IFERROR(VLOOKUP(A117,'Centre WP5'!$A$7:$N$160,3,FALSE),0)+
IFERROR(VLOOKUP(A117,'Centre WR5'!$A$7:$N$160,3,FALSE),0)</f>
        <v>0.4</v>
      </c>
      <c r="D117" s="10">
        <f>IFERROR(VLOOKUP(A117,'Centre DW5'!$A$7:$N$163,4,FALSE),0)+
IFERROR(VLOOKUP(A117,'Centre WP5'!$A$7:$N$160,4,FALSE),0)+
IFERROR(VLOOKUP(A117,'Centre WR5'!$A$7:$N$160,4,FALSE),0)</f>
        <v>0.4</v>
      </c>
      <c r="E117" s="10">
        <f>IFERROR(VLOOKUP(A117,'Centre DW5'!$A$7:$N$163,5,FALSE),0)+
IFERROR(VLOOKUP(A117,'Centre WP5'!$A$7:$N$160,5,FALSE),0)+
IFERROR(VLOOKUP(A117,'Centre WR5'!$A$7:$N$160,5,FALSE),0)</f>
        <v>0.4</v>
      </c>
      <c r="F117" s="10">
        <f>IFERROR(VLOOKUP(A117,'Centre DW5'!$A$7:$N$163,6,FALSE),0)+
IFERROR(VLOOKUP(A117,'Centre WP5'!$A$7:$N$160,6,FALSE),0)+
IFERROR(VLOOKUP(A117,'Centre WR5'!$A$7:$N$160,6,FALSE),0)</f>
        <v>0.4</v>
      </c>
      <c r="G117" s="10">
        <f>IFERROR(VLOOKUP(A117,'Centre DW5'!$A$7:$N$163,7,FALSE),0)+
IFERROR(VLOOKUP(A117,'Centre WP5'!$A$7:$N$160,7,FALSE),0)+
IFERROR(VLOOKUP(A117,'Centre WR5'!$A$7:$N$160,7,FALSE),0)</f>
        <v>0.4</v>
      </c>
      <c r="H117" s="10">
        <f>IFERROR(VLOOKUP(A117,'Centre DW5'!$A$7:$N$163,8,FALSE),0)+
IFERROR(VLOOKUP(A117,'Centre WP5'!$A$7:$N$160,8,FALSE),0)+
IFERROR(VLOOKUP(A117,'Centre WR5'!$A$7:$N$160,8,FALSE),0)</f>
        <v>0.4</v>
      </c>
      <c r="I117" s="10">
        <f>IFERROR(VLOOKUP(A117,'Centre DW5'!$A$7:$N$163,9,FALSE),0)+
IFERROR(VLOOKUP(A117,'Centre WP5'!$A$7:$N$160,9,FALSE),0)+
IFERROR(VLOOKUP(A117,'Centre WR5'!$A$7:$N$160,9,FALSE),0)</f>
        <v>0.4</v>
      </c>
      <c r="J117" s="10">
        <f>IFERROR(VLOOKUP(A117,'Centre DW5'!$A$7:$N$163,10,FALSE),0)+
IFERROR(VLOOKUP(A117,'Centre WP5'!$A$7:$N$160,10,FALSE),0)+
IFERROR(VLOOKUP(A117,'Centre WR5'!$A$7:$N$160,10,FALSE),0)</f>
        <v>0.4</v>
      </c>
      <c r="K117" s="10">
        <f>IFERROR(VLOOKUP(A117,'Centre DW5'!$A$7:$N$163,11,FALSE),0)+
IFERROR(VLOOKUP(A117,'Centre WP5'!$A$7:$N$160,11,FALSE),0)+
IFERROR(VLOOKUP(A117,'Centre WR5'!$A$7:$N$160,11,FALSE),0)</f>
        <v>0.4</v>
      </c>
      <c r="L117" s="10">
        <f>IFERROR(VLOOKUP(A117,'Centre DW5'!$A$7:$N$163,12,FALSE),0)+
IFERROR(VLOOKUP(A117,'Centre WP5'!$A$7:$N$160,12,FALSE),0)+
IFERROR(VLOOKUP(A117,'Centre WR5'!$A$7:$N$160,12,FALSE),0)</f>
        <v>0.4</v>
      </c>
      <c r="M117" s="10">
        <f>IFERROR(VLOOKUP(A117,'Centre DW5'!$A$7:$N$163,13,FALSE),0)+
IFERROR(VLOOKUP(A117,'Centre WP5'!$A$7:$N$160,13,FALSE),0)+
IFERROR(VLOOKUP(A117,'Centre WR5'!$A$7:$N$160,13,FALSE),0)</f>
        <v>0.4</v>
      </c>
      <c r="N117" s="10">
        <f>IFERROR(VLOOKUP(A117,'Centre DW5'!$A$7:$N$163,14,FALSE),0)+
IFERROR(VLOOKUP(A117,'Centre WP5'!$A$7:$N$160,14,FALSE),0)+
IFERROR(VLOOKUP(A117,'Centre WR5'!$A$7:$N$160,14,FALSE),0)</f>
        <v>0.4</v>
      </c>
    </row>
    <row r="118" spans="1:14" outlineLevel="1" x14ac:dyDescent="0.2">
      <c r="A118" s="9" t="s">
        <v>188</v>
      </c>
      <c r="B118" s="1" t="s">
        <v>189</v>
      </c>
      <c r="C118" s="10">
        <f>IFERROR(VLOOKUP(A118,'Centre DW5'!$A$7:$N$163,3,FALSE),0)+
IFERROR(VLOOKUP(A118,'Centre WP5'!$A$7:$N$160,3,FALSE),0)+
IFERROR(VLOOKUP(A118,'Centre WR5'!$A$7:$N$160,3,FALSE),0)</f>
        <v>1.9</v>
      </c>
      <c r="D118" s="10">
        <f>IFERROR(VLOOKUP(A118,'Centre DW5'!$A$7:$N$163,4,FALSE),0)+
IFERROR(VLOOKUP(A118,'Centre WP5'!$A$7:$N$160,4,FALSE),0)+
IFERROR(VLOOKUP(A118,'Centre WR5'!$A$7:$N$160,4,FALSE),0)</f>
        <v>1.9</v>
      </c>
      <c r="E118" s="10">
        <f>IFERROR(VLOOKUP(A118,'Centre DW5'!$A$7:$N$163,5,FALSE),0)+
IFERROR(VLOOKUP(A118,'Centre WP5'!$A$7:$N$160,5,FALSE),0)+
IFERROR(VLOOKUP(A118,'Centre WR5'!$A$7:$N$160,5,FALSE),0)</f>
        <v>1.9</v>
      </c>
      <c r="F118" s="10">
        <f>IFERROR(VLOOKUP(A118,'Centre DW5'!$A$7:$N$163,6,FALSE),0)+
IFERROR(VLOOKUP(A118,'Centre WP5'!$A$7:$N$160,6,FALSE),0)+
IFERROR(VLOOKUP(A118,'Centre WR5'!$A$7:$N$160,6,FALSE),0)</f>
        <v>1.9</v>
      </c>
      <c r="G118" s="10">
        <f>IFERROR(VLOOKUP(A118,'Centre DW5'!$A$7:$N$163,7,FALSE),0)+
IFERROR(VLOOKUP(A118,'Centre WP5'!$A$7:$N$160,7,FALSE),0)+
IFERROR(VLOOKUP(A118,'Centre WR5'!$A$7:$N$160,7,FALSE),0)</f>
        <v>1.9</v>
      </c>
      <c r="H118" s="10">
        <f>IFERROR(VLOOKUP(A118,'Centre DW5'!$A$7:$N$163,8,FALSE),0)+
IFERROR(VLOOKUP(A118,'Centre WP5'!$A$7:$N$160,8,FALSE),0)+
IFERROR(VLOOKUP(A118,'Centre WR5'!$A$7:$N$160,8,FALSE),0)</f>
        <v>1.9</v>
      </c>
      <c r="I118" s="10">
        <f>IFERROR(VLOOKUP(A118,'Centre DW5'!$A$7:$N$163,9,FALSE),0)+
IFERROR(VLOOKUP(A118,'Centre WP5'!$A$7:$N$160,9,FALSE),0)+
IFERROR(VLOOKUP(A118,'Centre WR5'!$A$7:$N$160,9,FALSE),0)</f>
        <v>1.9</v>
      </c>
      <c r="J118" s="10">
        <f>IFERROR(VLOOKUP(A118,'Centre DW5'!$A$7:$N$163,10,FALSE),0)+
IFERROR(VLOOKUP(A118,'Centre WP5'!$A$7:$N$160,10,FALSE),0)+
IFERROR(VLOOKUP(A118,'Centre WR5'!$A$7:$N$160,10,FALSE),0)</f>
        <v>1.9</v>
      </c>
      <c r="K118" s="10">
        <f>IFERROR(VLOOKUP(A118,'Centre DW5'!$A$7:$N$163,11,FALSE),0)+
IFERROR(VLOOKUP(A118,'Centre WP5'!$A$7:$N$160,11,FALSE),0)+
IFERROR(VLOOKUP(A118,'Centre WR5'!$A$7:$N$160,11,FALSE),0)</f>
        <v>1.9</v>
      </c>
      <c r="L118" s="10">
        <f>IFERROR(VLOOKUP(A118,'Centre DW5'!$A$7:$N$163,12,FALSE),0)+
IFERROR(VLOOKUP(A118,'Centre WP5'!$A$7:$N$160,12,FALSE),0)+
IFERROR(VLOOKUP(A118,'Centre WR5'!$A$7:$N$160,12,FALSE),0)</f>
        <v>1.9</v>
      </c>
      <c r="M118" s="10">
        <f>IFERROR(VLOOKUP(A118,'Centre DW5'!$A$7:$N$163,13,FALSE),0)+
IFERROR(VLOOKUP(A118,'Centre WP5'!$A$7:$N$160,13,FALSE),0)+
IFERROR(VLOOKUP(A118,'Centre WR5'!$A$7:$N$160,13,FALSE),0)</f>
        <v>1.9</v>
      </c>
      <c r="N118" s="10">
        <f>IFERROR(VLOOKUP(A118,'Centre DW5'!$A$7:$N$163,14,FALSE),0)+
IFERROR(VLOOKUP(A118,'Centre WP5'!$A$7:$N$160,14,FALSE),0)+
IFERROR(VLOOKUP(A118,'Centre WR5'!$A$7:$N$160,14,FALSE),0)</f>
        <v>1.9</v>
      </c>
    </row>
    <row r="119" spans="1:14" outlineLevel="1" x14ac:dyDescent="0.2">
      <c r="A119" s="9" t="s">
        <v>190</v>
      </c>
      <c r="B119" s="1" t="s">
        <v>191</v>
      </c>
      <c r="C119" s="10">
        <f>IFERROR(VLOOKUP(A119,'Centre DW5'!$A$7:$N$163,3,FALSE),0)+
IFERROR(VLOOKUP(A119,'Centre WP5'!$A$7:$N$160,3,FALSE),0)+
IFERROR(VLOOKUP(A119,'Centre WR5'!$A$7:$N$160,3,FALSE),0)</f>
        <v>1</v>
      </c>
      <c r="D119" s="10">
        <f>IFERROR(VLOOKUP(A119,'Centre DW5'!$A$7:$N$163,4,FALSE),0)+
IFERROR(VLOOKUP(A119,'Centre WP5'!$A$7:$N$160,4,FALSE),0)+
IFERROR(VLOOKUP(A119,'Centre WR5'!$A$7:$N$160,4,FALSE),0)</f>
        <v>1</v>
      </c>
      <c r="E119" s="10">
        <f>IFERROR(VLOOKUP(A119,'Centre DW5'!$A$7:$N$163,5,FALSE),0)+
IFERROR(VLOOKUP(A119,'Centre WP5'!$A$7:$N$160,5,FALSE),0)+
IFERROR(VLOOKUP(A119,'Centre WR5'!$A$7:$N$160,5,FALSE),0)</f>
        <v>1</v>
      </c>
      <c r="F119" s="10">
        <f>IFERROR(VLOOKUP(A119,'Centre DW5'!$A$7:$N$163,6,FALSE),0)+
IFERROR(VLOOKUP(A119,'Centre WP5'!$A$7:$N$160,6,FALSE),0)+
IFERROR(VLOOKUP(A119,'Centre WR5'!$A$7:$N$160,6,FALSE),0)</f>
        <v>1</v>
      </c>
      <c r="G119" s="10">
        <f>IFERROR(VLOOKUP(A119,'Centre DW5'!$A$7:$N$163,7,FALSE),0)+
IFERROR(VLOOKUP(A119,'Centre WP5'!$A$7:$N$160,7,FALSE),0)+
IFERROR(VLOOKUP(A119,'Centre WR5'!$A$7:$N$160,7,FALSE),0)</f>
        <v>1</v>
      </c>
      <c r="H119" s="10">
        <f>IFERROR(VLOOKUP(A119,'Centre DW5'!$A$7:$N$163,8,FALSE),0)+
IFERROR(VLOOKUP(A119,'Centre WP5'!$A$7:$N$160,8,FALSE),0)+
IFERROR(VLOOKUP(A119,'Centre WR5'!$A$7:$N$160,8,FALSE),0)</f>
        <v>1</v>
      </c>
      <c r="I119" s="10">
        <f>IFERROR(VLOOKUP(A119,'Centre DW5'!$A$7:$N$163,9,FALSE),0)+
IFERROR(VLOOKUP(A119,'Centre WP5'!$A$7:$N$160,9,FALSE),0)+
IFERROR(VLOOKUP(A119,'Centre WR5'!$A$7:$N$160,9,FALSE),0)</f>
        <v>1</v>
      </c>
      <c r="J119" s="10">
        <f>IFERROR(VLOOKUP(A119,'Centre DW5'!$A$7:$N$163,10,FALSE),0)+
IFERROR(VLOOKUP(A119,'Centre WP5'!$A$7:$N$160,10,FALSE),0)+
IFERROR(VLOOKUP(A119,'Centre WR5'!$A$7:$N$160,10,FALSE),0)</f>
        <v>1</v>
      </c>
      <c r="K119" s="10">
        <f>IFERROR(VLOOKUP(A119,'Centre DW5'!$A$7:$N$163,11,FALSE),0)+
IFERROR(VLOOKUP(A119,'Centre WP5'!$A$7:$N$160,11,FALSE),0)+
IFERROR(VLOOKUP(A119,'Centre WR5'!$A$7:$N$160,11,FALSE),0)</f>
        <v>1</v>
      </c>
      <c r="L119" s="10">
        <f>IFERROR(VLOOKUP(A119,'Centre DW5'!$A$7:$N$163,12,FALSE),0)+
IFERROR(VLOOKUP(A119,'Centre WP5'!$A$7:$N$160,12,FALSE),0)+
IFERROR(VLOOKUP(A119,'Centre WR5'!$A$7:$N$160,12,FALSE),0)</f>
        <v>1</v>
      </c>
      <c r="M119" s="10">
        <f>IFERROR(VLOOKUP(A119,'Centre DW5'!$A$7:$N$163,13,FALSE),0)+
IFERROR(VLOOKUP(A119,'Centre WP5'!$A$7:$N$160,13,FALSE),0)+
IFERROR(VLOOKUP(A119,'Centre WR5'!$A$7:$N$160,13,FALSE),0)</f>
        <v>1</v>
      </c>
      <c r="N119" s="10">
        <f>IFERROR(VLOOKUP(A119,'Centre DW5'!$A$7:$N$163,14,FALSE),0)+
IFERROR(VLOOKUP(A119,'Centre WP5'!$A$7:$N$160,14,FALSE),0)+
IFERROR(VLOOKUP(A119,'Centre WR5'!$A$7:$N$160,14,FALSE),0)</f>
        <v>1</v>
      </c>
    </row>
    <row r="120" spans="1:14" outlineLevel="1" x14ac:dyDescent="0.2">
      <c r="A120" s="9" t="s">
        <v>192</v>
      </c>
      <c r="B120" s="1" t="s">
        <v>193</v>
      </c>
      <c r="C120" s="10">
        <f>IFERROR(VLOOKUP(A120,'Centre DW5'!$A$7:$N$163,3,FALSE),0)+
IFERROR(VLOOKUP(A120,'Centre WP5'!$A$7:$N$160,3,FALSE),0)+
IFERROR(VLOOKUP(A120,'Centre WR5'!$A$7:$N$160,3,FALSE),0)</f>
        <v>0</v>
      </c>
      <c r="D120" s="10">
        <f>IFERROR(VLOOKUP(A120,'Centre DW5'!$A$7:$N$163,4,FALSE),0)+
IFERROR(VLOOKUP(A120,'Centre WP5'!$A$7:$N$160,4,FALSE),0)+
IFERROR(VLOOKUP(A120,'Centre WR5'!$A$7:$N$160,4,FALSE),0)</f>
        <v>0</v>
      </c>
      <c r="E120" s="10">
        <f>IFERROR(VLOOKUP(A120,'Centre DW5'!$A$7:$N$163,5,FALSE),0)+
IFERROR(VLOOKUP(A120,'Centre WP5'!$A$7:$N$160,5,FALSE),0)+
IFERROR(VLOOKUP(A120,'Centre WR5'!$A$7:$N$160,5,FALSE),0)</f>
        <v>0</v>
      </c>
      <c r="F120" s="10">
        <f>IFERROR(VLOOKUP(A120,'Centre DW5'!$A$7:$N$163,6,FALSE),0)+
IFERROR(VLOOKUP(A120,'Centre WP5'!$A$7:$N$160,6,FALSE),0)+
IFERROR(VLOOKUP(A120,'Centre WR5'!$A$7:$N$160,6,FALSE),0)</f>
        <v>0</v>
      </c>
      <c r="G120" s="10">
        <f>IFERROR(VLOOKUP(A120,'Centre DW5'!$A$7:$N$163,7,FALSE),0)+
IFERROR(VLOOKUP(A120,'Centre WP5'!$A$7:$N$160,7,FALSE),0)+
IFERROR(VLOOKUP(A120,'Centre WR5'!$A$7:$N$160,7,FALSE),0)</f>
        <v>0</v>
      </c>
      <c r="H120" s="10">
        <f>IFERROR(VLOOKUP(A120,'Centre DW5'!$A$7:$N$163,8,FALSE),0)+
IFERROR(VLOOKUP(A120,'Centre WP5'!$A$7:$N$160,8,FALSE),0)+
IFERROR(VLOOKUP(A120,'Centre WR5'!$A$7:$N$160,8,FALSE),0)</f>
        <v>0</v>
      </c>
      <c r="I120" s="10">
        <f>IFERROR(VLOOKUP(A120,'Centre DW5'!$A$7:$N$163,9,FALSE),0)+
IFERROR(VLOOKUP(A120,'Centre WP5'!$A$7:$N$160,9,FALSE),0)+
IFERROR(VLOOKUP(A120,'Centre WR5'!$A$7:$N$160,9,FALSE),0)</f>
        <v>0</v>
      </c>
      <c r="J120" s="10">
        <f>IFERROR(VLOOKUP(A120,'Centre DW5'!$A$7:$N$163,10,FALSE),0)+
IFERROR(VLOOKUP(A120,'Centre WP5'!$A$7:$N$160,10,FALSE),0)+
IFERROR(VLOOKUP(A120,'Centre WR5'!$A$7:$N$160,10,FALSE),0)</f>
        <v>0</v>
      </c>
      <c r="K120" s="10">
        <f>IFERROR(VLOOKUP(A120,'Centre DW5'!$A$7:$N$163,11,FALSE),0)+
IFERROR(VLOOKUP(A120,'Centre WP5'!$A$7:$N$160,11,FALSE),0)+
IFERROR(VLOOKUP(A120,'Centre WR5'!$A$7:$N$160,11,FALSE),0)</f>
        <v>0</v>
      </c>
      <c r="L120" s="10">
        <f>IFERROR(VLOOKUP(A120,'Centre DW5'!$A$7:$N$163,12,FALSE),0)+
IFERROR(VLOOKUP(A120,'Centre WP5'!$A$7:$N$160,12,FALSE),0)+
IFERROR(VLOOKUP(A120,'Centre WR5'!$A$7:$N$160,12,FALSE),0)</f>
        <v>0</v>
      </c>
      <c r="M120" s="10">
        <f>IFERROR(VLOOKUP(A120,'Centre DW5'!$A$7:$N$163,13,FALSE),0)+
IFERROR(VLOOKUP(A120,'Centre WP5'!$A$7:$N$160,13,FALSE),0)+
IFERROR(VLOOKUP(A120,'Centre WR5'!$A$7:$N$160,13,FALSE),0)</f>
        <v>0</v>
      </c>
      <c r="N120" s="10">
        <f>IFERROR(VLOOKUP(A120,'Centre DW5'!$A$7:$N$163,14,FALSE),0)+
IFERROR(VLOOKUP(A120,'Centre WP5'!$A$7:$N$160,14,FALSE),0)+
IFERROR(VLOOKUP(A120,'Centre WR5'!$A$7:$N$160,14,FALSE),0)</f>
        <v>0</v>
      </c>
    </row>
    <row r="121" spans="1:14" outlineLevel="1" x14ac:dyDescent="0.2">
      <c r="A121" s="9" t="s">
        <v>194</v>
      </c>
      <c r="B121" s="1" t="s">
        <v>195</v>
      </c>
      <c r="C121" s="10">
        <f>IFERROR(VLOOKUP(A121,'Centre DW5'!$A$7:$N$163,3,FALSE),0)+
IFERROR(VLOOKUP(A121,'Centre WP5'!$A$7:$N$160,3,FALSE),0)+
IFERROR(VLOOKUP(A121,'Centre WR5'!$A$7:$N$160,3,FALSE),0)</f>
        <v>2.2000000000000002</v>
      </c>
      <c r="D121" s="10">
        <f>IFERROR(VLOOKUP(A121,'Centre DW5'!$A$7:$N$163,4,FALSE),0)+
IFERROR(VLOOKUP(A121,'Centre WP5'!$A$7:$N$160,4,FALSE),0)+
IFERROR(VLOOKUP(A121,'Centre WR5'!$A$7:$N$160,4,FALSE),0)</f>
        <v>2.2000000000000002</v>
      </c>
      <c r="E121" s="10">
        <f>IFERROR(VLOOKUP(A121,'Centre DW5'!$A$7:$N$163,5,FALSE),0)+
IFERROR(VLOOKUP(A121,'Centre WP5'!$A$7:$N$160,5,FALSE),0)+
IFERROR(VLOOKUP(A121,'Centre WR5'!$A$7:$N$160,5,FALSE),0)</f>
        <v>2.2000000000000002</v>
      </c>
      <c r="F121" s="10">
        <f>IFERROR(VLOOKUP(A121,'Centre DW5'!$A$7:$N$163,6,FALSE),0)+
IFERROR(VLOOKUP(A121,'Centre WP5'!$A$7:$N$160,6,FALSE),0)+
IFERROR(VLOOKUP(A121,'Centre WR5'!$A$7:$N$160,6,FALSE),0)</f>
        <v>2.2000000000000002</v>
      </c>
      <c r="G121" s="10">
        <f>IFERROR(VLOOKUP(A121,'Centre DW5'!$A$7:$N$163,7,FALSE),0)+
IFERROR(VLOOKUP(A121,'Centre WP5'!$A$7:$N$160,7,FALSE),0)+
IFERROR(VLOOKUP(A121,'Centre WR5'!$A$7:$N$160,7,FALSE),0)</f>
        <v>2.2000000000000002</v>
      </c>
      <c r="H121" s="10">
        <f>IFERROR(VLOOKUP(A121,'Centre DW5'!$A$7:$N$163,8,FALSE),0)+
IFERROR(VLOOKUP(A121,'Centre WP5'!$A$7:$N$160,8,FALSE),0)+
IFERROR(VLOOKUP(A121,'Centre WR5'!$A$7:$N$160,8,FALSE),0)</f>
        <v>2.2000000000000002</v>
      </c>
      <c r="I121" s="10">
        <f>IFERROR(VLOOKUP(A121,'Centre DW5'!$A$7:$N$163,9,FALSE),0)+
IFERROR(VLOOKUP(A121,'Centre WP5'!$A$7:$N$160,9,FALSE),0)+
IFERROR(VLOOKUP(A121,'Centre WR5'!$A$7:$N$160,9,FALSE),0)</f>
        <v>2.2000000000000002</v>
      </c>
      <c r="J121" s="10">
        <f>IFERROR(VLOOKUP(A121,'Centre DW5'!$A$7:$N$163,10,FALSE),0)+
IFERROR(VLOOKUP(A121,'Centre WP5'!$A$7:$N$160,10,FALSE),0)+
IFERROR(VLOOKUP(A121,'Centre WR5'!$A$7:$N$160,10,FALSE),0)</f>
        <v>2.2000000000000002</v>
      </c>
      <c r="K121" s="10">
        <f>IFERROR(VLOOKUP(A121,'Centre DW5'!$A$7:$N$163,11,FALSE),0)+
IFERROR(VLOOKUP(A121,'Centre WP5'!$A$7:$N$160,11,FALSE),0)+
IFERROR(VLOOKUP(A121,'Centre WR5'!$A$7:$N$160,11,FALSE),0)</f>
        <v>2.2000000000000002</v>
      </c>
      <c r="L121" s="10">
        <f>IFERROR(VLOOKUP(A121,'Centre DW5'!$A$7:$N$163,12,FALSE),0)+
IFERROR(VLOOKUP(A121,'Centre WP5'!$A$7:$N$160,12,FALSE),0)+
IFERROR(VLOOKUP(A121,'Centre WR5'!$A$7:$N$160,12,FALSE),0)</f>
        <v>2.2000000000000002</v>
      </c>
      <c r="M121" s="10">
        <f>IFERROR(VLOOKUP(A121,'Centre DW5'!$A$7:$N$163,13,FALSE),0)+
IFERROR(VLOOKUP(A121,'Centre WP5'!$A$7:$N$160,13,FALSE),0)+
IFERROR(VLOOKUP(A121,'Centre WR5'!$A$7:$N$160,13,FALSE),0)</f>
        <v>2.2000000000000002</v>
      </c>
      <c r="N121" s="10">
        <f>IFERROR(VLOOKUP(A121,'Centre DW5'!$A$7:$N$163,14,FALSE),0)+
IFERROR(VLOOKUP(A121,'Centre WP5'!$A$7:$N$160,14,FALSE),0)+
IFERROR(VLOOKUP(A121,'Centre WR5'!$A$7:$N$160,14,FALSE),0)</f>
        <v>2.2000000000000002</v>
      </c>
    </row>
    <row r="122" spans="1:14" outlineLevel="1" x14ac:dyDescent="0.2">
      <c r="A122" s="9" t="s">
        <v>196</v>
      </c>
      <c r="B122" s="1" t="s">
        <v>197</v>
      </c>
      <c r="C122" s="10">
        <f>IFERROR(VLOOKUP(A122,'Centre DW5'!$A$7:$N$163,3,FALSE),0)+
IFERROR(VLOOKUP(A122,'Centre WP5'!$A$7:$N$160,3,FALSE),0)+
IFERROR(VLOOKUP(A122,'Centre WR5'!$A$7:$N$160,3,FALSE),0)</f>
        <v>0</v>
      </c>
      <c r="D122" s="10">
        <f>IFERROR(VLOOKUP(A122,'Centre DW5'!$A$7:$N$163,4,FALSE),0)+
IFERROR(VLOOKUP(A122,'Centre WP5'!$A$7:$N$160,4,FALSE),0)+
IFERROR(VLOOKUP(A122,'Centre WR5'!$A$7:$N$160,4,FALSE),0)</f>
        <v>0</v>
      </c>
      <c r="E122" s="10">
        <f>IFERROR(VLOOKUP(A122,'Centre DW5'!$A$7:$N$163,5,FALSE),0)+
IFERROR(VLOOKUP(A122,'Centre WP5'!$A$7:$N$160,5,FALSE),0)+
IFERROR(VLOOKUP(A122,'Centre WR5'!$A$7:$N$160,5,FALSE),0)</f>
        <v>0</v>
      </c>
      <c r="F122" s="10">
        <f>IFERROR(VLOOKUP(A122,'Centre DW5'!$A$7:$N$163,6,FALSE),0)+
IFERROR(VLOOKUP(A122,'Centre WP5'!$A$7:$N$160,6,FALSE),0)+
IFERROR(VLOOKUP(A122,'Centre WR5'!$A$7:$N$160,6,FALSE),0)</f>
        <v>0</v>
      </c>
      <c r="G122" s="10">
        <f>IFERROR(VLOOKUP(A122,'Centre DW5'!$A$7:$N$163,7,FALSE),0)+
IFERROR(VLOOKUP(A122,'Centre WP5'!$A$7:$N$160,7,FALSE),0)+
IFERROR(VLOOKUP(A122,'Centre WR5'!$A$7:$N$160,7,FALSE),0)</f>
        <v>0</v>
      </c>
      <c r="H122" s="10">
        <f>IFERROR(VLOOKUP(A122,'Centre DW5'!$A$7:$N$163,8,FALSE),0)+
IFERROR(VLOOKUP(A122,'Centre WP5'!$A$7:$N$160,8,FALSE),0)+
IFERROR(VLOOKUP(A122,'Centre WR5'!$A$7:$N$160,8,FALSE),0)</f>
        <v>0</v>
      </c>
      <c r="I122" s="10">
        <f>IFERROR(VLOOKUP(A122,'Centre DW5'!$A$7:$N$163,9,FALSE),0)+
IFERROR(VLOOKUP(A122,'Centre WP5'!$A$7:$N$160,9,FALSE),0)+
IFERROR(VLOOKUP(A122,'Centre WR5'!$A$7:$N$160,9,FALSE),0)</f>
        <v>0</v>
      </c>
      <c r="J122" s="10">
        <f>IFERROR(VLOOKUP(A122,'Centre DW5'!$A$7:$N$163,10,FALSE),0)+
IFERROR(VLOOKUP(A122,'Centre WP5'!$A$7:$N$160,10,FALSE),0)+
IFERROR(VLOOKUP(A122,'Centre WR5'!$A$7:$N$160,10,FALSE),0)</f>
        <v>0</v>
      </c>
      <c r="K122" s="10">
        <f>IFERROR(VLOOKUP(A122,'Centre DW5'!$A$7:$N$163,11,FALSE),0)+
IFERROR(VLOOKUP(A122,'Centre WP5'!$A$7:$N$160,11,FALSE),0)+
IFERROR(VLOOKUP(A122,'Centre WR5'!$A$7:$N$160,11,FALSE),0)</f>
        <v>0</v>
      </c>
      <c r="L122" s="10">
        <f>IFERROR(VLOOKUP(A122,'Centre DW5'!$A$7:$N$163,12,FALSE),0)+
IFERROR(VLOOKUP(A122,'Centre WP5'!$A$7:$N$160,12,FALSE),0)+
IFERROR(VLOOKUP(A122,'Centre WR5'!$A$7:$N$160,12,FALSE),0)</f>
        <v>0</v>
      </c>
      <c r="M122" s="10">
        <f>IFERROR(VLOOKUP(A122,'Centre DW5'!$A$7:$N$163,13,FALSE),0)+
IFERROR(VLOOKUP(A122,'Centre WP5'!$A$7:$N$160,13,FALSE),0)+
IFERROR(VLOOKUP(A122,'Centre WR5'!$A$7:$N$160,13,FALSE),0)</f>
        <v>0</v>
      </c>
      <c r="N122" s="10">
        <f>IFERROR(VLOOKUP(A122,'Centre DW5'!$A$7:$N$163,14,FALSE),0)+
IFERROR(VLOOKUP(A122,'Centre WP5'!$A$7:$N$160,14,FALSE),0)+
IFERROR(VLOOKUP(A122,'Centre WR5'!$A$7:$N$160,14,FALSE),0)</f>
        <v>0</v>
      </c>
    </row>
    <row r="123" spans="1:14" outlineLevel="1" x14ac:dyDescent="0.2">
      <c r="A123" s="9" t="s">
        <v>198</v>
      </c>
      <c r="B123" s="1" t="s">
        <v>199</v>
      </c>
      <c r="C123" s="10">
        <f>IFERROR(VLOOKUP(A123,'Centre DW5'!$A$7:$N$163,3,FALSE),0)+
IFERROR(VLOOKUP(A123,'Centre WP5'!$A$7:$N$160,3,FALSE),0)+
IFERROR(VLOOKUP(A123,'Centre WR5'!$A$7:$N$160,3,FALSE),0)</f>
        <v>1.7</v>
      </c>
      <c r="D123" s="10">
        <f>IFERROR(VLOOKUP(A123,'Centre DW5'!$A$7:$N$163,4,FALSE),0)+
IFERROR(VLOOKUP(A123,'Centre WP5'!$A$7:$N$160,4,FALSE),0)+
IFERROR(VLOOKUP(A123,'Centre WR5'!$A$7:$N$160,4,FALSE),0)</f>
        <v>1.8</v>
      </c>
      <c r="E123" s="10">
        <f>IFERROR(VLOOKUP(A123,'Centre DW5'!$A$7:$N$163,5,FALSE),0)+
IFERROR(VLOOKUP(A123,'Centre WP5'!$A$7:$N$160,5,FALSE),0)+
IFERROR(VLOOKUP(A123,'Centre WR5'!$A$7:$N$160,5,FALSE),0)</f>
        <v>1.7</v>
      </c>
      <c r="F123" s="10">
        <f>IFERROR(VLOOKUP(A123,'Centre DW5'!$A$7:$N$163,6,FALSE),0)+
IFERROR(VLOOKUP(A123,'Centre WP5'!$A$7:$N$160,6,FALSE),0)+
IFERROR(VLOOKUP(A123,'Centre WR5'!$A$7:$N$160,6,FALSE),0)</f>
        <v>2.2000000000000002</v>
      </c>
      <c r="G123" s="10">
        <f>IFERROR(VLOOKUP(A123,'Centre DW5'!$A$7:$N$163,7,FALSE),0)+
IFERROR(VLOOKUP(A123,'Centre WP5'!$A$7:$N$160,7,FALSE),0)+
IFERROR(VLOOKUP(A123,'Centre WR5'!$A$7:$N$160,7,FALSE),0)</f>
        <v>2.2999999999999998</v>
      </c>
      <c r="H123" s="10">
        <f>IFERROR(VLOOKUP(A123,'Centre DW5'!$A$7:$N$163,8,FALSE),0)+
IFERROR(VLOOKUP(A123,'Centre WP5'!$A$7:$N$160,8,FALSE),0)+
IFERROR(VLOOKUP(A123,'Centre WR5'!$A$7:$N$160,8,FALSE),0)</f>
        <v>1.6</v>
      </c>
      <c r="I123" s="10">
        <f>IFERROR(VLOOKUP(A123,'Centre DW5'!$A$7:$N$163,9,FALSE),0)+
IFERROR(VLOOKUP(A123,'Centre WP5'!$A$7:$N$160,9,FALSE),0)+
IFERROR(VLOOKUP(A123,'Centre WR5'!$A$7:$N$160,9,FALSE),0)</f>
        <v>2.4</v>
      </c>
      <c r="J123" s="10">
        <f>IFERROR(VLOOKUP(A123,'Centre DW5'!$A$7:$N$163,10,FALSE),0)+
IFERROR(VLOOKUP(A123,'Centre WP5'!$A$7:$N$160,10,FALSE),0)+
IFERROR(VLOOKUP(A123,'Centre WR5'!$A$7:$N$160,10,FALSE),0)</f>
        <v>1.7</v>
      </c>
      <c r="K123" s="10">
        <f>IFERROR(VLOOKUP(A123,'Centre DW5'!$A$7:$N$163,11,FALSE),0)+
IFERROR(VLOOKUP(A123,'Centre WP5'!$A$7:$N$160,11,FALSE),0)+
IFERROR(VLOOKUP(A123,'Centre WR5'!$A$7:$N$160,11,FALSE),0)</f>
        <v>2.2000000000000002</v>
      </c>
      <c r="L123" s="10">
        <f>IFERROR(VLOOKUP(A123,'Centre DW5'!$A$7:$N$163,12,FALSE),0)+
IFERROR(VLOOKUP(A123,'Centre WP5'!$A$7:$N$160,12,FALSE),0)+
IFERROR(VLOOKUP(A123,'Centre WR5'!$A$7:$N$160,12,FALSE),0)</f>
        <v>2.2999999999999998</v>
      </c>
      <c r="M123" s="10">
        <f>IFERROR(VLOOKUP(A123,'Centre DW5'!$A$7:$N$163,13,FALSE),0)+
IFERROR(VLOOKUP(A123,'Centre WP5'!$A$7:$N$160,13,FALSE),0)+
IFERROR(VLOOKUP(A123,'Centre WR5'!$A$7:$N$160,13,FALSE),0)</f>
        <v>1.6</v>
      </c>
      <c r="N123" s="10">
        <f>IFERROR(VLOOKUP(A123,'Centre DW5'!$A$7:$N$163,14,FALSE),0)+
IFERROR(VLOOKUP(A123,'Centre WP5'!$A$7:$N$160,14,FALSE),0)+
IFERROR(VLOOKUP(A123,'Centre WR5'!$A$7:$N$160,14,FALSE),0)</f>
        <v>2.4</v>
      </c>
    </row>
    <row r="124" spans="1:14" x14ac:dyDescent="0.2">
      <c r="A124" s="48" t="s">
        <v>200</v>
      </c>
      <c r="B124" s="49" t="s">
        <v>201</v>
      </c>
      <c r="C124" s="50">
        <f>SUM(C125:C136)</f>
        <v>9.0229999999999997</v>
      </c>
      <c r="D124" s="50">
        <f t="shared" ref="D124:N124" si="19">SUM(D125:D136)</f>
        <v>9.0229999999999997</v>
      </c>
      <c r="E124" s="50">
        <f t="shared" si="19"/>
        <v>9.0229999999999997</v>
      </c>
      <c r="F124" s="50">
        <f t="shared" si="19"/>
        <v>9.0229999999999997</v>
      </c>
      <c r="G124" s="50">
        <f t="shared" si="19"/>
        <v>9.0229999999999997</v>
      </c>
      <c r="H124" s="50">
        <f t="shared" si="19"/>
        <v>9.0229999999999997</v>
      </c>
      <c r="I124" s="50">
        <f t="shared" si="19"/>
        <v>9.0229999999999997</v>
      </c>
      <c r="J124" s="50">
        <f t="shared" si="19"/>
        <v>9.0229999999999997</v>
      </c>
      <c r="K124" s="50">
        <f t="shared" si="19"/>
        <v>9.0229999999999997</v>
      </c>
      <c r="L124" s="50">
        <f t="shared" si="19"/>
        <v>9.0229999999999997</v>
      </c>
      <c r="M124" s="50">
        <f t="shared" si="19"/>
        <v>9.1229999999999993</v>
      </c>
      <c r="N124" s="50">
        <f t="shared" si="19"/>
        <v>9.0229999999999997</v>
      </c>
    </row>
    <row r="125" spans="1:14" outlineLevel="1" x14ac:dyDescent="0.2">
      <c r="A125" s="9" t="s">
        <v>202</v>
      </c>
      <c r="B125" s="1" t="s">
        <v>203</v>
      </c>
      <c r="C125" s="10">
        <f>IFERROR(VLOOKUP(A125,'Centre DW5'!$A$7:$N$163,3,FALSE),0)+
IFERROR(VLOOKUP(A125,'Centre WP5'!$A$7:$N$160,3,FALSE),0)+
IFERROR(VLOOKUP(A125,'Centre WR5'!$A$7:$N$160,3,FALSE),0)</f>
        <v>0</v>
      </c>
      <c r="D125" s="10">
        <f>IFERROR(VLOOKUP(A125,'Centre DW5'!$A$7:$N$163,4,FALSE),0)+
IFERROR(VLOOKUP(A125,'Centre WP5'!$A$7:$N$160,4,FALSE),0)+
IFERROR(VLOOKUP(A125,'Centre WR5'!$A$7:$N$160,4,FALSE),0)</f>
        <v>0</v>
      </c>
      <c r="E125" s="10">
        <f>IFERROR(VLOOKUP(A125,'Centre DW5'!$A$7:$N$163,5,FALSE),0)+
IFERROR(VLOOKUP(A125,'Centre WP5'!$A$7:$N$160,5,FALSE),0)+
IFERROR(VLOOKUP(A125,'Centre WR5'!$A$7:$N$160,5,FALSE),0)</f>
        <v>0</v>
      </c>
      <c r="F125" s="10">
        <f>IFERROR(VLOOKUP(A125,'Centre DW5'!$A$7:$N$163,6,FALSE),0)+
IFERROR(VLOOKUP(A125,'Centre WP5'!$A$7:$N$160,6,FALSE),0)+
IFERROR(VLOOKUP(A125,'Centre WR5'!$A$7:$N$160,6,FALSE),0)</f>
        <v>0</v>
      </c>
      <c r="G125" s="10">
        <f>IFERROR(VLOOKUP(A125,'Centre DW5'!$A$7:$N$163,7,FALSE),0)+
IFERROR(VLOOKUP(A125,'Centre WP5'!$A$7:$N$160,7,FALSE),0)+
IFERROR(VLOOKUP(A125,'Centre WR5'!$A$7:$N$160,7,FALSE),0)</f>
        <v>0</v>
      </c>
      <c r="H125" s="10">
        <f>IFERROR(VLOOKUP(A125,'Centre DW5'!$A$7:$N$163,8,FALSE),0)+
IFERROR(VLOOKUP(A125,'Centre WP5'!$A$7:$N$160,8,FALSE),0)+
IFERROR(VLOOKUP(A125,'Centre WR5'!$A$7:$N$160,8,FALSE),0)</f>
        <v>0</v>
      </c>
      <c r="I125" s="10">
        <f>IFERROR(VLOOKUP(A125,'Centre DW5'!$A$7:$N$163,9,FALSE),0)+
IFERROR(VLOOKUP(A125,'Centre WP5'!$A$7:$N$160,9,FALSE),0)+
IFERROR(VLOOKUP(A125,'Centre WR5'!$A$7:$N$160,9,FALSE),0)</f>
        <v>0</v>
      </c>
      <c r="J125" s="10">
        <f>IFERROR(VLOOKUP(A125,'Centre DW5'!$A$7:$N$163,10,FALSE),0)+
IFERROR(VLOOKUP(A125,'Centre WP5'!$A$7:$N$160,10,FALSE),0)+
IFERROR(VLOOKUP(A125,'Centre WR5'!$A$7:$N$160,10,FALSE),0)</f>
        <v>0</v>
      </c>
      <c r="K125" s="10">
        <f>IFERROR(VLOOKUP(A125,'Centre DW5'!$A$7:$N$163,11,FALSE),0)+
IFERROR(VLOOKUP(A125,'Centre WP5'!$A$7:$N$160,11,FALSE),0)+
IFERROR(VLOOKUP(A125,'Centre WR5'!$A$7:$N$160,11,FALSE),0)</f>
        <v>0</v>
      </c>
      <c r="L125" s="10">
        <f>IFERROR(VLOOKUP(A125,'Centre DW5'!$A$7:$N$163,12,FALSE),0)+
IFERROR(VLOOKUP(A125,'Centre WP5'!$A$7:$N$160,12,FALSE),0)+
IFERROR(VLOOKUP(A125,'Centre WR5'!$A$7:$N$160,12,FALSE),0)</f>
        <v>0</v>
      </c>
      <c r="M125" s="10">
        <f>IFERROR(VLOOKUP(A125,'Centre DW5'!$A$7:$N$163,13,FALSE),0)+
IFERROR(VLOOKUP(A125,'Centre WP5'!$A$7:$N$160,13,FALSE),0)+
IFERROR(VLOOKUP(A125,'Centre WR5'!$A$7:$N$160,13,FALSE),0)</f>
        <v>0</v>
      </c>
      <c r="N125" s="10">
        <f>IFERROR(VLOOKUP(A125,'Centre DW5'!$A$7:$N$163,14,FALSE),0)+
IFERROR(VLOOKUP(A125,'Centre WP5'!$A$7:$N$160,14,FALSE),0)+
IFERROR(VLOOKUP(A125,'Centre WR5'!$A$7:$N$160,14,FALSE),0)</f>
        <v>0</v>
      </c>
    </row>
    <row r="126" spans="1:14" outlineLevel="1" x14ac:dyDescent="0.2">
      <c r="A126" s="9" t="s">
        <v>204</v>
      </c>
      <c r="B126" s="1" t="s">
        <v>205</v>
      </c>
      <c r="C126" s="10">
        <f>IFERROR(VLOOKUP(A126,'Centre DW5'!$A$7:$N$163,3,FALSE),0)+
IFERROR(VLOOKUP(A126,'Centre WP5'!$A$7:$N$160,3,FALSE),0)+
IFERROR(VLOOKUP(A126,'Centre WR5'!$A$7:$N$160,3,FALSE),0)</f>
        <v>0</v>
      </c>
      <c r="D126" s="10">
        <f>IFERROR(VLOOKUP(A126,'Centre DW5'!$A$7:$N$163,4,FALSE),0)+
IFERROR(VLOOKUP(A126,'Centre WP5'!$A$7:$N$160,4,FALSE),0)+
IFERROR(VLOOKUP(A126,'Centre WR5'!$A$7:$N$160,4,FALSE),0)</f>
        <v>0</v>
      </c>
      <c r="E126" s="10">
        <f>IFERROR(VLOOKUP(A126,'Centre DW5'!$A$7:$N$163,5,FALSE),0)+
IFERROR(VLOOKUP(A126,'Centre WP5'!$A$7:$N$160,5,FALSE),0)+
IFERROR(VLOOKUP(A126,'Centre WR5'!$A$7:$N$160,5,FALSE),0)</f>
        <v>0</v>
      </c>
      <c r="F126" s="10">
        <f>IFERROR(VLOOKUP(A126,'Centre DW5'!$A$7:$N$163,6,FALSE),0)+
IFERROR(VLOOKUP(A126,'Centre WP5'!$A$7:$N$160,6,FALSE),0)+
IFERROR(VLOOKUP(A126,'Centre WR5'!$A$7:$N$160,6,FALSE),0)</f>
        <v>0</v>
      </c>
      <c r="G126" s="10">
        <f>IFERROR(VLOOKUP(A126,'Centre DW5'!$A$7:$N$163,7,FALSE),0)+
IFERROR(VLOOKUP(A126,'Centre WP5'!$A$7:$N$160,7,FALSE),0)+
IFERROR(VLOOKUP(A126,'Centre WR5'!$A$7:$N$160,7,FALSE),0)</f>
        <v>0</v>
      </c>
      <c r="H126" s="10">
        <f>IFERROR(VLOOKUP(A126,'Centre DW5'!$A$7:$N$163,8,FALSE),0)+
IFERROR(VLOOKUP(A126,'Centre WP5'!$A$7:$N$160,8,FALSE),0)+
IFERROR(VLOOKUP(A126,'Centre WR5'!$A$7:$N$160,8,FALSE),0)</f>
        <v>0</v>
      </c>
      <c r="I126" s="10">
        <f>IFERROR(VLOOKUP(A126,'Centre DW5'!$A$7:$N$163,9,FALSE),0)+
IFERROR(VLOOKUP(A126,'Centre WP5'!$A$7:$N$160,9,FALSE),0)+
IFERROR(VLOOKUP(A126,'Centre WR5'!$A$7:$N$160,9,FALSE),0)</f>
        <v>0</v>
      </c>
      <c r="J126" s="10">
        <f>IFERROR(VLOOKUP(A126,'Centre DW5'!$A$7:$N$163,10,FALSE),0)+
IFERROR(VLOOKUP(A126,'Centre WP5'!$A$7:$N$160,10,FALSE),0)+
IFERROR(VLOOKUP(A126,'Centre WR5'!$A$7:$N$160,10,FALSE),0)</f>
        <v>0</v>
      </c>
      <c r="K126" s="10">
        <f>IFERROR(VLOOKUP(A126,'Centre DW5'!$A$7:$N$163,11,FALSE),0)+
IFERROR(VLOOKUP(A126,'Centre WP5'!$A$7:$N$160,11,FALSE),0)+
IFERROR(VLOOKUP(A126,'Centre WR5'!$A$7:$N$160,11,FALSE),0)</f>
        <v>0</v>
      </c>
      <c r="L126" s="10">
        <f>IFERROR(VLOOKUP(A126,'Centre DW5'!$A$7:$N$163,12,FALSE),0)+
IFERROR(VLOOKUP(A126,'Centre WP5'!$A$7:$N$160,12,FALSE),0)+
IFERROR(VLOOKUP(A126,'Centre WR5'!$A$7:$N$160,12,FALSE),0)</f>
        <v>0</v>
      </c>
      <c r="M126" s="10">
        <f>IFERROR(VLOOKUP(A126,'Centre DW5'!$A$7:$N$163,13,FALSE),0)+
IFERROR(VLOOKUP(A126,'Centre WP5'!$A$7:$N$160,13,FALSE),0)+
IFERROR(VLOOKUP(A126,'Centre WR5'!$A$7:$N$160,13,FALSE),0)</f>
        <v>0</v>
      </c>
      <c r="N126" s="10">
        <f>IFERROR(VLOOKUP(A126,'Centre DW5'!$A$7:$N$163,14,FALSE),0)+
IFERROR(VLOOKUP(A126,'Centre WP5'!$A$7:$N$160,14,FALSE),0)+
IFERROR(VLOOKUP(A126,'Centre WR5'!$A$7:$N$160,14,FALSE),0)</f>
        <v>0</v>
      </c>
    </row>
    <row r="127" spans="1:14" outlineLevel="1" x14ac:dyDescent="0.2">
      <c r="A127" s="9" t="s">
        <v>206</v>
      </c>
      <c r="B127" s="1" t="s">
        <v>207</v>
      </c>
      <c r="C127" s="10">
        <f>IFERROR(VLOOKUP(A127,'Centre DW5'!$A$7:$N$163,3,FALSE),0)+
IFERROR(VLOOKUP(A127,'Centre WP5'!$A$7:$N$160,3,FALSE),0)+
IFERROR(VLOOKUP(A127,'Centre WR5'!$A$7:$N$160,3,FALSE),0)</f>
        <v>0.32300000000000001</v>
      </c>
      <c r="D127" s="10">
        <f>IFERROR(VLOOKUP(A127,'Centre DW5'!$A$7:$N$163,4,FALSE),0)+
IFERROR(VLOOKUP(A127,'Centre WP5'!$A$7:$N$160,4,FALSE),0)+
IFERROR(VLOOKUP(A127,'Centre WR5'!$A$7:$N$160,4,FALSE),0)</f>
        <v>0.32300000000000001</v>
      </c>
      <c r="E127" s="10">
        <f>IFERROR(VLOOKUP(A127,'Centre DW5'!$A$7:$N$163,5,FALSE),0)+
IFERROR(VLOOKUP(A127,'Centre WP5'!$A$7:$N$160,5,FALSE),0)+
IFERROR(VLOOKUP(A127,'Centre WR5'!$A$7:$N$160,5,FALSE),0)</f>
        <v>0.32300000000000001</v>
      </c>
      <c r="F127" s="10">
        <f>IFERROR(VLOOKUP(A127,'Centre DW5'!$A$7:$N$163,6,FALSE),0)+
IFERROR(VLOOKUP(A127,'Centre WP5'!$A$7:$N$160,6,FALSE),0)+
IFERROR(VLOOKUP(A127,'Centre WR5'!$A$7:$N$160,6,FALSE),0)</f>
        <v>0.32300000000000001</v>
      </c>
      <c r="G127" s="10">
        <f>IFERROR(VLOOKUP(A127,'Centre DW5'!$A$7:$N$163,7,FALSE),0)+
IFERROR(VLOOKUP(A127,'Centre WP5'!$A$7:$N$160,7,FALSE),0)+
IFERROR(VLOOKUP(A127,'Centre WR5'!$A$7:$N$160,7,FALSE),0)</f>
        <v>0.32300000000000001</v>
      </c>
      <c r="H127" s="10">
        <f>IFERROR(VLOOKUP(A127,'Centre DW5'!$A$7:$N$163,8,FALSE),0)+
IFERROR(VLOOKUP(A127,'Centre WP5'!$A$7:$N$160,8,FALSE),0)+
IFERROR(VLOOKUP(A127,'Centre WR5'!$A$7:$N$160,8,FALSE),0)</f>
        <v>0.32300000000000001</v>
      </c>
      <c r="I127" s="10">
        <f>IFERROR(VLOOKUP(A127,'Centre DW5'!$A$7:$N$163,9,FALSE),0)+
IFERROR(VLOOKUP(A127,'Centre WP5'!$A$7:$N$160,9,FALSE),0)+
IFERROR(VLOOKUP(A127,'Centre WR5'!$A$7:$N$160,9,FALSE),0)</f>
        <v>0.32300000000000001</v>
      </c>
      <c r="J127" s="10">
        <f>IFERROR(VLOOKUP(A127,'Centre DW5'!$A$7:$N$163,10,FALSE),0)+
IFERROR(VLOOKUP(A127,'Centre WP5'!$A$7:$N$160,10,FALSE),0)+
IFERROR(VLOOKUP(A127,'Centre WR5'!$A$7:$N$160,10,FALSE),0)</f>
        <v>0.32300000000000001</v>
      </c>
      <c r="K127" s="10">
        <f>IFERROR(VLOOKUP(A127,'Centre DW5'!$A$7:$N$163,11,FALSE),0)+
IFERROR(VLOOKUP(A127,'Centre WP5'!$A$7:$N$160,11,FALSE),0)+
IFERROR(VLOOKUP(A127,'Centre WR5'!$A$7:$N$160,11,FALSE),0)</f>
        <v>0.32300000000000001</v>
      </c>
      <c r="L127" s="10">
        <f>IFERROR(VLOOKUP(A127,'Centre DW5'!$A$7:$N$163,12,FALSE),0)+
IFERROR(VLOOKUP(A127,'Centre WP5'!$A$7:$N$160,12,FALSE),0)+
IFERROR(VLOOKUP(A127,'Centre WR5'!$A$7:$N$160,12,FALSE),0)</f>
        <v>0.32300000000000001</v>
      </c>
      <c r="M127" s="10">
        <f>IFERROR(VLOOKUP(A127,'Centre DW5'!$A$7:$N$163,13,FALSE),0)+
IFERROR(VLOOKUP(A127,'Centre WP5'!$A$7:$N$160,13,FALSE),0)+
IFERROR(VLOOKUP(A127,'Centre WR5'!$A$7:$N$160,13,FALSE),0)</f>
        <v>0.32300000000000001</v>
      </c>
      <c r="N127" s="10">
        <f>IFERROR(VLOOKUP(A127,'Centre DW5'!$A$7:$N$163,14,FALSE),0)+
IFERROR(VLOOKUP(A127,'Centre WP5'!$A$7:$N$160,14,FALSE),0)+
IFERROR(VLOOKUP(A127,'Centre WR5'!$A$7:$N$160,14,FALSE),0)</f>
        <v>0.32300000000000001</v>
      </c>
    </row>
    <row r="128" spans="1:14" outlineLevel="1" x14ac:dyDescent="0.2">
      <c r="A128" s="9" t="s">
        <v>208</v>
      </c>
      <c r="B128" s="1" t="s">
        <v>209</v>
      </c>
      <c r="C128" s="10">
        <f>IFERROR(VLOOKUP(A128,'Centre DW5'!$A$7:$N$163,3,FALSE),0)+
IFERROR(VLOOKUP(A128,'Centre WP5'!$A$7:$N$160,3,FALSE),0)+
IFERROR(VLOOKUP(A128,'Centre WR5'!$A$7:$N$160,3,FALSE),0)</f>
        <v>0</v>
      </c>
      <c r="D128" s="10">
        <f>IFERROR(VLOOKUP(A128,'Centre DW5'!$A$7:$N$163,4,FALSE),0)+
IFERROR(VLOOKUP(A128,'Centre WP5'!$A$7:$N$160,4,FALSE),0)+
IFERROR(VLOOKUP(A128,'Centre WR5'!$A$7:$N$160,4,FALSE),0)</f>
        <v>0</v>
      </c>
      <c r="E128" s="10">
        <f>IFERROR(VLOOKUP(A128,'Centre DW5'!$A$7:$N$163,5,FALSE),0)+
IFERROR(VLOOKUP(A128,'Centre WP5'!$A$7:$N$160,5,FALSE),0)+
IFERROR(VLOOKUP(A128,'Centre WR5'!$A$7:$N$160,5,FALSE),0)</f>
        <v>0</v>
      </c>
      <c r="F128" s="10">
        <f>IFERROR(VLOOKUP(A128,'Centre DW5'!$A$7:$N$163,6,FALSE),0)+
IFERROR(VLOOKUP(A128,'Centre WP5'!$A$7:$N$160,6,FALSE),0)+
IFERROR(VLOOKUP(A128,'Centre WR5'!$A$7:$N$160,6,FALSE),0)</f>
        <v>0</v>
      </c>
      <c r="G128" s="10">
        <f>IFERROR(VLOOKUP(A128,'Centre DW5'!$A$7:$N$163,7,FALSE),0)+
IFERROR(VLOOKUP(A128,'Centre WP5'!$A$7:$N$160,7,FALSE),0)+
IFERROR(VLOOKUP(A128,'Centre WR5'!$A$7:$N$160,7,FALSE),0)</f>
        <v>0</v>
      </c>
      <c r="H128" s="10">
        <f>IFERROR(VLOOKUP(A128,'Centre DW5'!$A$7:$N$163,8,FALSE),0)+
IFERROR(VLOOKUP(A128,'Centre WP5'!$A$7:$N$160,8,FALSE),0)+
IFERROR(VLOOKUP(A128,'Centre WR5'!$A$7:$N$160,8,FALSE),0)</f>
        <v>0</v>
      </c>
      <c r="I128" s="10">
        <f>IFERROR(VLOOKUP(A128,'Centre DW5'!$A$7:$N$163,9,FALSE),0)+
IFERROR(VLOOKUP(A128,'Centre WP5'!$A$7:$N$160,9,FALSE),0)+
IFERROR(VLOOKUP(A128,'Centre WR5'!$A$7:$N$160,9,FALSE),0)</f>
        <v>0</v>
      </c>
      <c r="J128" s="10">
        <f>IFERROR(VLOOKUP(A128,'Centre DW5'!$A$7:$N$163,10,FALSE),0)+
IFERROR(VLOOKUP(A128,'Centre WP5'!$A$7:$N$160,10,FALSE),0)+
IFERROR(VLOOKUP(A128,'Centre WR5'!$A$7:$N$160,10,FALSE),0)</f>
        <v>0</v>
      </c>
      <c r="K128" s="10">
        <f>IFERROR(VLOOKUP(A128,'Centre DW5'!$A$7:$N$163,11,FALSE),0)+
IFERROR(VLOOKUP(A128,'Centre WP5'!$A$7:$N$160,11,FALSE),0)+
IFERROR(VLOOKUP(A128,'Centre WR5'!$A$7:$N$160,11,FALSE),0)</f>
        <v>0</v>
      </c>
      <c r="L128" s="10">
        <f>IFERROR(VLOOKUP(A128,'Centre DW5'!$A$7:$N$163,12,FALSE),0)+
IFERROR(VLOOKUP(A128,'Centre WP5'!$A$7:$N$160,12,FALSE),0)+
IFERROR(VLOOKUP(A128,'Centre WR5'!$A$7:$N$160,12,FALSE),0)</f>
        <v>0</v>
      </c>
      <c r="M128" s="10">
        <f>IFERROR(VLOOKUP(A128,'Centre DW5'!$A$7:$N$163,13,FALSE),0)+
IFERROR(VLOOKUP(A128,'Centre WP5'!$A$7:$N$160,13,FALSE),0)+
IFERROR(VLOOKUP(A128,'Centre WR5'!$A$7:$N$160,13,FALSE),0)</f>
        <v>0</v>
      </c>
      <c r="N128" s="10">
        <f>IFERROR(VLOOKUP(A128,'Centre DW5'!$A$7:$N$163,14,FALSE),0)+
IFERROR(VLOOKUP(A128,'Centre WP5'!$A$7:$N$160,14,FALSE),0)+
IFERROR(VLOOKUP(A128,'Centre WR5'!$A$7:$N$160,14,FALSE),0)</f>
        <v>0</v>
      </c>
    </row>
    <row r="129" spans="1:14" outlineLevel="1" x14ac:dyDescent="0.2">
      <c r="A129" s="9" t="s">
        <v>210</v>
      </c>
      <c r="B129" s="1" t="s">
        <v>211</v>
      </c>
      <c r="C129" s="10">
        <f>IFERROR(VLOOKUP(A129,'Centre DW5'!$A$7:$N$163,3,FALSE),0)+
IFERROR(VLOOKUP(A129,'Centre WP5'!$A$7:$N$160,3,FALSE),0)+
IFERROR(VLOOKUP(A129,'Centre WR5'!$A$7:$N$160,3,FALSE),0)</f>
        <v>0.7</v>
      </c>
      <c r="D129" s="10">
        <f>IFERROR(VLOOKUP(A129,'Centre DW5'!$A$7:$N$163,4,FALSE),0)+
IFERROR(VLOOKUP(A129,'Centre WP5'!$A$7:$N$160,4,FALSE),0)+
IFERROR(VLOOKUP(A129,'Centre WR5'!$A$7:$N$160,4,FALSE),0)</f>
        <v>0.7</v>
      </c>
      <c r="E129" s="10">
        <f>IFERROR(VLOOKUP(A129,'Centre DW5'!$A$7:$N$163,5,FALSE),0)+
IFERROR(VLOOKUP(A129,'Centre WP5'!$A$7:$N$160,5,FALSE),0)+
IFERROR(VLOOKUP(A129,'Centre WR5'!$A$7:$N$160,5,FALSE),0)</f>
        <v>0.7</v>
      </c>
      <c r="F129" s="10">
        <f>IFERROR(VLOOKUP(A129,'Centre DW5'!$A$7:$N$163,6,FALSE),0)+
IFERROR(VLOOKUP(A129,'Centre WP5'!$A$7:$N$160,6,FALSE),0)+
IFERROR(VLOOKUP(A129,'Centre WR5'!$A$7:$N$160,6,FALSE),0)</f>
        <v>0.7</v>
      </c>
      <c r="G129" s="10">
        <f>IFERROR(VLOOKUP(A129,'Centre DW5'!$A$7:$N$163,7,FALSE),0)+
IFERROR(VLOOKUP(A129,'Centre WP5'!$A$7:$N$160,7,FALSE),0)+
IFERROR(VLOOKUP(A129,'Centre WR5'!$A$7:$N$160,7,FALSE),0)</f>
        <v>0.7</v>
      </c>
      <c r="H129" s="10">
        <f>IFERROR(VLOOKUP(A129,'Centre DW5'!$A$7:$N$163,8,FALSE),0)+
IFERROR(VLOOKUP(A129,'Centre WP5'!$A$7:$N$160,8,FALSE),0)+
IFERROR(VLOOKUP(A129,'Centre WR5'!$A$7:$N$160,8,FALSE),0)</f>
        <v>0.7</v>
      </c>
      <c r="I129" s="10">
        <f>IFERROR(VLOOKUP(A129,'Centre DW5'!$A$7:$N$163,9,FALSE),0)+
IFERROR(VLOOKUP(A129,'Centre WP5'!$A$7:$N$160,9,FALSE),0)+
IFERROR(VLOOKUP(A129,'Centre WR5'!$A$7:$N$160,9,FALSE),0)</f>
        <v>0.7</v>
      </c>
      <c r="J129" s="10">
        <f>IFERROR(VLOOKUP(A129,'Centre DW5'!$A$7:$N$163,10,FALSE),0)+
IFERROR(VLOOKUP(A129,'Centre WP5'!$A$7:$N$160,10,FALSE),0)+
IFERROR(VLOOKUP(A129,'Centre WR5'!$A$7:$N$160,10,FALSE),0)</f>
        <v>0.7</v>
      </c>
      <c r="K129" s="10">
        <f>IFERROR(VLOOKUP(A129,'Centre DW5'!$A$7:$N$163,11,FALSE),0)+
IFERROR(VLOOKUP(A129,'Centre WP5'!$A$7:$N$160,11,FALSE),0)+
IFERROR(VLOOKUP(A129,'Centre WR5'!$A$7:$N$160,11,FALSE),0)</f>
        <v>0.7</v>
      </c>
      <c r="L129" s="10">
        <f>IFERROR(VLOOKUP(A129,'Centre DW5'!$A$7:$N$163,12,FALSE),0)+
IFERROR(VLOOKUP(A129,'Centre WP5'!$A$7:$N$160,12,FALSE),0)+
IFERROR(VLOOKUP(A129,'Centre WR5'!$A$7:$N$160,12,FALSE),0)</f>
        <v>0.7</v>
      </c>
      <c r="M129" s="10">
        <f>IFERROR(VLOOKUP(A129,'Centre DW5'!$A$7:$N$163,13,FALSE),0)+
IFERROR(VLOOKUP(A129,'Centre WP5'!$A$7:$N$160,13,FALSE),0)+
IFERROR(VLOOKUP(A129,'Centre WR5'!$A$7:$N$160,13,FALSE),0)</f>
        <v>0.7</v>
      </c>
      <c r="N129" s="10">
        <f>IFERROR(VLOOKUP(A129,'Centre DW5'!$A$7:$N$163,14,FALSE),0)+
IFERROR(VLOOKUP(A129,'Centre WP5'!$A$7:$N$160,14,FALSE),0)+
IFERROR(VLOOKUP(A129,'Centre WR5'!$A$7:$N$160,14,FALSE),0)</f>
        <v>0.7</v>
      </c>
    </row>
    <row r="130" spans="1:14" outlineLevel="1" x14ac:dyDescent="0.2">
      <c r="A130" s="9" t="s">
        <v>212</v>
      </c>
      <c r="B130" s="1" t="s">
        <v>213</v>
      </c>
      <c r="C130" s="10">
        <f>IFERROR(VLOOKUP(A130,'Centre DW5'!$A$7:$N$163,3,FALSE),0)+
IFERROR(VLOOKUP(A130,'Centre WP5'!$A$7:$N$160,3,FALSE),0)+
IFERROR(VLOOKUP(A130,'Centre WR5'!$A$7:$N$160,3,FALSE),0)</f>
        <v>0</v>
      </c>
      <c r="D130" s="10">
        <f>IFERROR(VLOOKUP(A130,'Centre DW5'!$A$7:$N$163,4,FALSE),0)+
IFERROR(VLOOKUP(A130,'Centre WP5'!$A$7:$N$160,4,FALSE),0)+
IFERROR(VLOOKUP(A130,'Centre WR5'!$A$7:$N$160,4,FALSE),0)</f>
        <v>0</v>
      </c>
      <c r="E130" s="10">
        <f>IFERROR(VLOOKUP(A130,'Centre DW5'!$A$7:$N$163,5,FALSE),0)+
IFERROR(VLOOKUP(A130,'Centre WP5'!$A$7:$N$160,5,FALSE),0)+
IFERROR(VLOOKUP(A130,'Centre WR5'!$A$7:$N$160,5,FALSE),0)</f>
        <v>0</v>
      </c>
      <c r="F130" s="10">
        <f>IFERROR(VLOOKUP(A130,'Centre DW5'!$A$7:$N$163,6,FALSE),0)+
IFERROR(VLOOKUP(A130,'Centre WP5'!$A$7:$N$160,6,FALSE),0)+
IFERROR(VLOOKUP(A130,'Centre WR5'!$A$7:$N$160,6,FALSE),0)</f>
        <v>0</v>
      </c>
      <c r="G130" s="10">
        <f>IFERROR(VLOOKUP(A130,'Centre DW5'!$A$7:$N$163,7,FALSE),0)+
IFERROR(VLOOKUP(A130,'Centre WP5'!$A$7:$N$160,7,FALSE),0)+
IFERROR(VLOOKUP(A130,'Centre WR5'!$A$7:$N$160,7,FALSE),0)</f>
        <v>0</v>
      </c>
      <c r="H130" s="10">
        <f>IFERROR(VLOOKUP(A130,'Centre DW5'!$A$7:$N$163,8,FALSE),0)+
IFERROR(VLOOKUP(A130,'Centre WP5'!$A$7:$N$160,8,FALSE),0)+
IFERROR(VLOOKUP(A130,'Centre WR5'!$A$7:$N$160,8,FALSE),0)</f>
        <v>0</v>
      </c>
      <c r="I130" s="10">
        <f>IFERROR(VLOOKUP(A130,'Centre DW5'!$A$7:$N$163,9,FALSE),0)+
IFERROR(VLOOKUP(A130,'Centre WP5'!$A$7:$N$160,9,FALSE),0)+
IFERROR(VLOOKUP(A130,'Centre WR5'!$A$7:$N$160,9,FALSE),0)</f>
        <v>0</v>
      </c>
      <c r="J130" s="10">
        <f>IFERROR(VLOOKUP(A130,'Centre DW5'!$A$7:$N$163,10,FALSE),0)+
IFERROR(VLOOKUP(A130,'Centre WP5'!$A$7:$N$160,10,FALSE),0)+
IFERROR(VLOOKUP(A130,'Centre WR5'!$A$7:$N$160,10,FALSE),0)</f>
        <v>0</v>
      </c>
      <c r="K130" s="10">
        <f>IFERROR(VLOOKUP(A130,'Centre DW5'!$A$7:$N$163,11,FALSE),0)+
IFERROR(VLOOKUP(A130,'Centre WP5'!$A$7:$N$160,11,FALSE),0)+
IFERROR(VLOOKUP(A130,'Centre WR5'!$A$7:$N$160,11,FALSE),0)</f>
        <v>0</v>
      </c>
      <c r="L130" s="10">
        <f>IFERROR(VLOOKUP(A130,'Centre DW5'!$A$7:$N$163,12,FALSE),0)+
IFERROR(VLOOKUP(A130,'Centre WP5'!$A$7:$N$160,12,FALSE),0)+
IFERROR(VLOOKUP(A130,'Centre WR5'!$A$7:$N$160,12,FALSE),0)</f>
        <v>0</v>
      </c>
      <c r="M130" s="10">
        <f>IFERROR(VLOOKUP(A130,'Centre DW5'!$A$7:$N$163,13,FALSE),0)+
IFERROR(VLOOKUP(A130,'Centre WP5'!$A$7:$N$160,13,FALSE),0)+
IFERROR(VLOOKUP(A130,'Centre WR5'!$A$7:$N$160,13,FALSE),0)</f>
        <v>0</v>
      </c>
      <c r="N130" s="10">
        <f>IFERROR(VLOOKUP(A130,'Centre DW5'!$A$7:$N$163,14,FALSE),0)+
IFERROR(VLOOKUP(A130,'Centre WP5'!$A$7:$N$160,14,FALSE),0)+
IFERROR(VLOOKUP(A130,'Centre WR5'!$A$7:$N$160,14,FALSE),0)</f>
        <v>0</v>
      </c>
    </row>
    <row r="131" spans="1:14" outlineLevel="1" x14ac:dyDescent="0.2">
      <c r="A131" s="9" t="s">
        <v>214</v>
      </c>
      <c r="B131" s="1" t="s">
        <v>215</v>
      </c>
      <c r="C131" s="10">
        <f>IFERROR(VLOOKUP(A131,'Centre DW5'!$A$7:$N$163,3,FALSE),0)+
IFERROR(VLOOKUP(A131,'Centre WP5'!$A$7:$N$160,3,FALSE),0)+
IFERROR(VLOOKUP(A131,'Centre WR5'!$A$7:$N$160,3,FALSE),0)</f>
        <v>0</v>
      </c>
      <c r="D131" s="10">
        <f>IFERROR(VLOOKUP(A131,'Centre DW5'!$A$7:$N$163,4,FALSE),0)+
IFERROR(VLOOKUP(A131,'Centre WP5'!$A$7:$N$160,4,FALSE),0)+
IFERROR(VLOOKUP(A131,'Centre WR5'!$A$7:$N$160,4,FALSE),0)</f>
        <v>0</v>
      </c>
      <c r="E131" s="10">
        <f>IFERROR(VLOOKUP(A131,'Centre DW5'!$A$7:$N$163,5,FALSE),0)+
IFERROR(VLOOKUP(A131,'Centre WP5'!$A$7:$N$160,5,FALSE),0)+
IFERROR(VLOOKUP(A131,'Centre WR5'!$A$7:$N$160,5,FALSE),0)</f>
        <v>0</v>
      </c>
      <c r="F131" s="10">
        <f>IFERROR(VLOOKUP(A131,'Centre DW5'!$A$7:$N$163,6,FALSE),0)+
IFERROR(VLOOKUP(A131,'Centre WP5'!$A$7:$N$160,6,FALSE),0)+
IFERROR(VLOOKUP(A131,'Centre WR5'!$A$7:$N$160,6,FALSE),0)</f>
        <v>0</v>
      </c>
      <c r="G131" s="10">
        <f>IFERROR(VLOOKUP(A131,'Centre DW5'!$A$7:$N$163,7,FALSE),0)+
IFERROR(VLOOKUP(A131,'Centre WP5'!$A$7:$N$160,7,FALSE),0)+
IFERROR(VLOOKUP(A131,'Centre WR5'!$A$7:$N$160,7,FALSE),0)</f>
        <v>0</v>
      </c>
      <c r="H131" s="10">
        <f>IFERROR(VLOOKUP(A131,'Centre DW5'!$A$7:$N$163,8,FALSE),0)+
IFERROR(VLOOKUP(A131,'Centre WP5'!$A$7:$N$160,8,FALSE),0)+
IFERROR(VLOOKUP(A131,'Centre WR5'!$A$7:$N$160,8,FALSE),0)</f>
        <v>0</v>
      </c>
      <c r="I131" s="10">
        <f>IFERROR(VLOOKUP(A131,'Centre DW5'!$A$7:$N$163,9,FALSE),0)+
IFERROR(VLOOKUP(A131,'Centre WP5'!$A$7:$N$160,9,FALSE),0)+
IFERROR(VLOOKUP(A131,'Centre WR5'!$A$7:$N$160,9,FALSE),0)</f>
        <v>0</v>
      </c>
      <c r="J131" s="10">
        <f>IFERROR(VLOOKUP(A131,'Centre DW5'!$A$7:$N$163,10,FALSE),0)+
IFERROR(VLOOKUP(A131,'Centre WP5'!$A$7:$N$160,10,FALSE),0)+
IFERROR(VLOOKUP(A131,'Centre WR5'!$A$7:$N$160,10,FALSE),0)</f>
        <v>0</v>
      </c>
      <c r="K131" s="10">
        <f>IFERROR(VLOOKUP(A131,'Centre DW5'!$A$7:$N$163,11,FALSE),0)+
IFERROR(VLOOKUP(A131,'Centre WP5'!$A$7:$N$160,11,FALSE),0)+
IFERROR(VLOOKUP(A131,'Centre WR5'!$A$7:$N$160,11,FALSE),0)</f>
        <v>0</v>
      </c>
      <c r="L131" s="10">
        <f>IFERROR(VLOOKUP(A131,'Centre DW5'!$A$7:$N$163,12,FALSE),0)+
IFERROR(VLOOKUP(A131,'Centre WP5'!$A$7:$N$160,12,FALSE),0)+
IFERROR(VLOOKUP(A131,'Centre WR5'!$A$7:$N$160,12,FALSE),0)</f>
        <v>0</v>
      </c>
      <c r="M131" s="10">
        <f>IFERROR(VLOOKUP(A131,'Centre DW5'!$A$7:$N$163,13,FALSE),0)+
IFERROR(VLOOKUP(A131,'Centre WP5'!$A$7:$N$160,13,FALSE),0)+
IFERROR(VLOOKUP(A131,'Centre WR5'!$A$7:$N$160,13,FALSE),0)</f>
        <v>0</v>
      </c>
      <c r="N131" s="10">
        <f>IFERROR(VLOOKUP(A131,'Centre DW5'!$A$7:$N$163,14,FALSE),0)+
IFERROR(VLOOKUP(A131,'Centre WP5'!$A$7:$N$160,14,FALSE),0)+
IFERROR(VLOOKUP(A131,'Centre WR5'!$A$7:$N$160,14,FALSE),0)</f>
        <v>0</v>
      </c>
    </row>
    <row r="132" spans="1:14" outlineLevel="1" x14ac:dyDescent="0.2">
      <c r="A132" s="9" t="s">
        <v>216</v>
      </c>
      <c r="B132" s="1" t="s">
        <v>217</v>
      </c>
      <c r="C132" s="10">
        <f>IFERROR(VLOOKUP(A132,'Centre DW5'!$A$7:$N$163,3,FALSE),0)+
IFERROR(VLOOKUP(A132,'Centre WP5'!$A$7:$N$160,3,FALSE),0)+
IFERROR(VLOOKUP(A132,'Centre WR5'!$A$7:$N$160,3,FALSE),0)</f>
        <v>2.7</v>
      </c>
      <c r="D132" s="10">
        <f>IFERROR(VLOOKUP(A132,'Centre DW5'!$A$7:$N$163,4,FALSE),0)+
IFERROR(VLOOKUP(A132,'Centre WP5'!$A$7:$N$160,4,FALSE),0)+
IFERROR(VLOOKUP(A132,'Centre WR5'!$A$7:$N$160,4,FALSE),0)</f>
        <v>2.7</v>
      </c>
      <c r="E132" s="10">
        <f>IFERROR(VLOOKUP(A132,'Centre DW5'!$A$7:$N$163,5,FALSE),0)+
IFERROR(VLOOKUP(A132,'Centre WP5'!$A$7:$N$160,5,FALSE),0)+
IFERROR(VLOOKUP(A132,'Centre WR5'!$A$7:$N$160,5,FALSE),0)</f>
        <v>2.7</v>
      </c>
      <c r="F132" s="10">
        <f>IFERROR(VLOOKUP(A132,'Centre DW5'!$A$7:$N$163,6,FALSE),0)+
IFERROR(VLOOKUP(A132,'Centre WP5'!$A$7:$N$160,6,FALSE),0)+
IFERROR(VLOOKUP(A132,'Centre WR5'!$A$7:$N$160,6,FALSE),0)</f>
        <v>2.7</v>
      </c>
      <c r="G132" s="10">
        <f>IFERROR(VLOOKUP(A132,'Centre DW5'!$A$7:$N$163,7,FALSE),0)+
IFERROR(VLOOKUP(A132,'Centre WP5'!$A$7:$N$160,7,FALSE),0)+
IFERROR(VLOOKUP(A132,'Centre WR5'!$A$7:$N$160,7,FALSE),0)</f>
        <v>2.7</v>
      </c>
      <c r="H132" s="10">
        <f>IFERROR(VLOOKUP(A132,'Centre DW5'!$A$7:$N$163,8,FALSE),0)+
IFERROR(VLOOKUP(A132,'Centre WP5'!$A$7:$N$160,8,FALSE),0)+
IFERROR(VLOOKUP(A132,'Centre WR5'!$A$7:$N$160,8,FALSE),0)</f>
        <v>2.7</v>
      </c>
      <c r="I132" s="10">
        <f>IFERROR(VLOOKUP(A132,'Centre DW5'!$A$7:$N$163,9,FALSE),0)+
IFERROR(VLOOKUP(A132,'Centre WP5'!$A$7:$N$160,9,FALSE),0)+
IFERROR(VLOOKUP(A132,'Centre WR5'!$A$7:$N$160,9,FALSE),0)</f>
        <v>2.7</v>
      </c>
      <c r="J132" s="10">
        <f>IFERROR(VLOOKUP(A132,'Centre DW5'!$A$7:$N$163,10,FALSE),0)+
IFERROR(VLOOKUP(A132,'Centre WP5'!$A$7:$N$160,10,FALSE),0)+
IFERROR(VLOOKUP(A132,'Centre WR5'!$A$7:$N$160,10,FALSE),0)</f>
        <v>2.7</v>
      </c>
      <c r="K132" s="10">
        <f>IFERROR(VLOOKUP(A132,'Centre DW5'!$A$7:$N$163,11,FALSE),0)+
IFERROR(VLOOKUP(A132,'Centre WP5'!$A$7:$N$160,11,FALSE),0)+
IFERROR(VLOOKUP(A132,'Centre WR5'!$A$7:$N$160,11,FALSE),0)</f>
        <v>2.7</v>
      </c>
      <c r="L132" s="10">
        <f>IFERROR(VLOOKUP(A132,'Centre DW5'!$A$7:$N$163,12,FALSE),0)+
IFERROR(VLOOKUP(A132,'Centre WP5'!$A$7:$N$160,12,FALSE),0)+
IFERROR(VLOOKUP(A132,'Centre WR5'!$A$7:$N$160,12,FALSE),0)</f>
        <v>2.7</v>
      </c>
      <c r="M132" s="10">
        <f>IFERROR(VLOOKUP(A132,'Centre DW5'!$A$7:$N$163,13,FALSE),0)+
IFERROR(VLOOKUP(A132,'Centre WP5'!$A$7:$N$160,13,FALSE),0)+
IFERROR(VLOOKUP(A132,'Centre WR5'!$A$7:$N$160,13,FALSE),0)</f>
        <v>2.7</v>
      </c>
      <c r="N132" s="10">
        <f>IFERROR(VLOOKUP(A132,'Centre DW5'!$A$7:$N$163,14,FALSE),0)+
IFERROR(VLOOKUP(A132,'Centre WP5'!$A$7:$N$160,14,FALSE),0)+
IFERROR(VLOOKUP(A132,'Centre WR5'!$A$7:$N$160,14,FALSE),0)</f>
        <v>2.7</v>
      </c>
    </row>
    <row r="133" spans="1:14" outlineLevel="1" x14ac:dyDescent="0.2">
      <c r="A133" s="9" t="s">
        <v>218</v>
      </c>
      <c r="B133" s="1" t="s">
        <v>219</v>
      </c>
      <c r="C133" s="10">
        <f>IFERROR(VLOOKUP(A133,'Centre DW5'!$A$7:$N$163,3,FALSE),0)+
IFERROR(VLOOKUP(A133,'Centre WP5'!$A$7:$N$160,3,FALSE),0)+
IFERROR(VLOOKUP(A133,'Centre WR5'!$A$7:$N$160,3,FALSE),0)</f>
        <v>5.3</v>
      </c>
      <c r="D133" s="10">
        <f>IFERROR(VLOOKUP(A133,'Centre DW5'!$A$7:$N$163,4,FALSE),0)+
IFERROR(VLOOKUP(A133,'Centre WP5'!$A$7:$N$160,4,FALSE),0)+
IFERROR(VLOOKUP(A133,'Centre WR5'!$A$7:$N$160,4,FALSE),0)</f>
        <v>5.3</v>
      </c>
      <c r="E133" s="10">
        <f>IFERROR(VLOOKUP(A133,'Centre DW5'!$A$7:$N$163,5,FALSE),0)+
IFERROR(VLOOKUP(A133,'Centre WP5'!$A$7:$N$160,5,FALSE),0)+
IFERROR(VLOOKUP(A133,'Centre WR5'!$A$7:$N$160,5,FALSE),0)</f>
        <v>5.3</v>
      </c>
      <c r="F133" s="10">
        <f>IFERROR(VLOOKUP(A133,'Centre DW5'!$A$7:$N$163,6,FALSE),0)+
IFERROR(VLOOKUP(A133,'Centre WP5'!$A$7:$N$160,6,FALSE),0)+
IFERROR(VLOOKUP(A133,'Centre WR5'!$A$7:$N$160,6,FALSE),0)</f>
        <v>5.3</v>
      </c>
      <c r="G133" s="10">
        <f>IFERROR(VLOOKUP(A133,'Centre DW5'!$A$7:$N$163,7,FALSE),0)+
IFERROR(VLOOKUP(A133,'Centre WP5'!$A$7:$N$160,7,FALSE),0)+
IFERROR(VLOOKUP(A133,'Centre WR5'!$A$7:$N$160,7,FALSE),0)</f>
        <v>5.3</v>
      </c>
      <c r="H133" s="10">
        <f>IFERROR(VLOOKUP(A133,'Centre DW5'!$A$7:$N$163,8,FALSE),0)+
IFERROR(VLOOKUP(A133,'Centre WP5'!$A$7:$N$160,8,FALSE),0)+
IFERROR(VLOOKUP(A133,'Centre WR5'!$A$7:$N$160,8,FALSE),0)</f>
        <v>5.3</v>
      </c>
      <c r="I133" s="10">
        <f>IFERROR(VLOOKUP(A133,'Centre DW5'!$A$7:$N$163,9,FALSE),0)+
IFERROR(VLOOKUP(A133,'Centre WP5'!$A$7:$N$160,9,FALSE),0)+
IFERROR(VLOOKUP(A133,'Centre WR5'!$A$7:$N$160,9,FALSE),0)</f>
        <v>5.3</v>
      </c>
      <c r="J133" s="10">
        <f>IFERROR(VLOOKUP(A133,'Centre DW5'!$A$7:$N$163,10,FALSE),0)+
IFERROR(VLOOKUP(A133,'Centre WP5'!$A$7:$N$160,10,FALSE),0)+
IFERROR(VLOOKUP(A133,'Centre WR5'!$A$7:$N$160,10,FALSE),0)</f>
        <v>5.3</v>
      </c>
      <c r="K133" s="10">
        <f>IFERROR(VLOOKUP(A133,'Centre DW5'!$A$7:$N$163,11,FALSE),0)+
IFERROR(VLOOKUP(A133,'Centre WP5'!$A$7:$N$160,11,FALSE),0)+
IFERROR(VLOOKUP(A133,'Centre WR5'!$A$7:$N$160,11,FALSE),0)</f>
        <v>5.3</v>
      </c>
      <c r="L133" s="10">
        <f>IFERROR(VLOOKUP(A133,'Centre DW5'!$A$7:$N$163,12,FALSE),0)+
IFERROR(VLOOKUP(A133,'Centre WP5'!$A$7:$N$160,12,FALSE),0)+
IFERROR(VLOOKUP(A133,'Centre WR5'!$A$7:$N$160,12,FALSE),0)</f>
        <v>5.3</v>
      </c>
      <c r="M133" s="10">
        <f>IFERROR(VLOOKUP(A133,'Centre DW5'!$A$7:$N$163,13,FALSE),0)+
IFERROR(VLOOKUP(A133,'Centre WP5'!$A$7:$N$160,13,FALSE),0)+
IFERROR(VLOOKUP(A133,'Centre WR5'!$A$7:$N$160,13,FALSE),0)</f>
        <v>5.3</v>
      </c>
      <c r="N133" s="10">
        <f>IFERROR(VLOOKUP(A133,'Centre DW5'!$A$7:$N$163,14,FALSE),0)+
IFERROR(VLOOKUP(A133,'Centre WP5'!$A$7:$N$160,14,FALSE),0)+
IFERROR(VLOOKUP(A133,'Centre WR5'!$A$7:$N$160,14,FALSE),0)</f>
        <v>5.3</v>
      </c>
    </row>
    <row r="134" spans="1:14" outlineLevel="1" x14ac:dyDescent="0.2">
      <c r="A134" s="9" t="s">
        <v>220</v>
      </c>
      <c r="B134" s="1" t="s">
        <v>221</v>
      </c>
      <c r="C134" s="10">
        <f>IFERROR(VLOOKUP(A134,'Centre DW5'!$A$7:$N$163,3,FALSE),0)+
IFERROR(VLOOKUP(A134,'Centre WP5'!$A$7:$N$160,3,FALSE),0)+
IFERROR(VLOOKUP(A134,'Centre WR5'!$A$7:$N$160,3,FALSE),0)</f>
        <v>0</v>
      </c>
      <c r="D134" s="10">
        <f>IFERROR(VLOOKUP(A134,'Centre DW5'!$A$7:$N$163,4,FALSE),0)+
IFERROR(VLOOKUP(A134,'Centre WP5'!$A$7:$N$160,4,FALSE),0)+
IFERROR(VLOOKUP(A134,'Centre WR5'!$A$7:$N$160,4,FALSE),0)</f>
        <v>0</v>
      </c>
      <c r="E134" s="10">
        <f>IFERROR(VLOOKUP(A134,'Centre DW5'!$A$7:$N$163,5,FALSE),0)+
IFERROR(VLOOKUP(A134,'Centre WP5'!$A$7:$N$160,5,FALSE),0)+
IFERROR(VLOOKUP(A134,'Centre WR5'!$A$7:$N$160,5,FALSE),0)</f>
        <v>0</v>
      </c>
      <c r="F134" s="10">
        <f>IFERROR(VLOOKUP(A134,'Centre DW5'!$A$7:$N$163,6,FALSE),0)+
IFERROR(VLOOKUP(A134,'Centre WP5'!$A$7:$N$160,6,FALSE),0)+
IFERROR(VLOOKUP(A134,'Centre WR5'!$A$7:$N$160,6,FALSE),0)</f>
        <v>0</v>
      </c>
      <c r="G134" s="10">
        <f>IFERROR(VLOOKUP(A134,'Centre DW5'!$A$7:$N$163,7,FALSE),0)+
IFERROR(VLOOKUP(A134,'Centre WP5'!$A$7:$N$160,7,FALSE),0)+
IFERROR(VLOOKUP(A134,'Centre WR5'!$A$7:$N$160,7,FALSE),0)</f>
        <v>0</v>
      </c>
      <c r="H134" s="10">
        <f>IFERROR(VLOOKUP(A134,'Centre DW5'!$A$7:$N$163,8,FALSE),0)+
IFERROR(VLOOKUP(A134,'Centre WP5'!$A$7:$N$160,8,FALSE),0)+
IFERROR(VLOOKUP(A134,'Centre WR5'!$A$7:$N$160,8,FALSE),0)</f>
        <v>0</v>
      </c>
      <c r="I134" s="10">
        <f>IFERROR(VLOOKUP(A134,'Centre DW5'!$A$7:$N$163,9,FALSE),0)+
IFERROR(VLOOKUP(A134,'Centre WP5'!$A$7:$N$160,9,FALSE),0)+
IFERROR(VLOOKUP(A134,'Centre WR5'!$A$7:$N$160,9,FALSE),0)</f>
        <v>0</v>
      </c>
      <c r="J134" s="10">
        <f>IFERROR(VLOOKUP(A134,'Centre DW5'!$A$7:$N$163,10,FALSE),0)+
IFERROR(VLOOKUP(A134,'Centre WP5'!$A$7:$N$160,10,FALSE),0)+
IFERROR(VLOOKUP(A134,'Centre WR5'!$A$7:$N$160,10,FALSE),0)</f>
        <v>0</v>
      </c>
      <c r="K134" s="10">
        <f>IFERROR(VLOOKUP(A134,'Centre DW5'!$A$7:$N$163,11,FALSE),0)+
IFERROR(VLOOKUP(A134,'Centre WP5'!$A$7:$N$160,11,FALSE),0)+
IFERROR(VLOOKUP(A134,'Centre WR5'!$A$7:$N$160,11,FALSE),0)</f>
        <v>0</v>
      </c>
      <c r="L134" s="10">
        <f>IFERROR(VLOOKUP(A134,'Centre DW5'!$A$7:$N$163,12,FALSE),0)+
IFERROR(VLOOKUP(A134,'Centre WP5'!$A$7:$N$160,12,FALSE),0)+
IFERROR(VLOOKUP(A134,'Centre WR5'!$A$7:$N$160,12,FALSE),0)</f>
        <v>0</v>
      </c>
      <c r="M134" s="10">
        <f>IFERROR(VLOOKUP(A134,'Centre DW5'!$A$7:$N$163,13,FALSE),0)+
IFERROR(VLOOKUP(A134,'Centre WP5'!$A$7:$N$160,13,FALSE),0)+
IFERROR(VLOOKUP(A134,'Centre WR5'!$A$7:$N$160,13,FALSE),0)</f>
        <v>0</v>
      </c>
      <c r="N134" s="10">
        <f>IFERROR(VLOOKUP(A134,'Centre DW5'!$A$7:$N$163,14,FALSE),0)+
IFERROR(VLOOKUP(A134,'Centre WP5'!$A$7:$N$160,14,FALSE),0)+
IFERROR(VLOOKUP(A134,'Centre WR5'!$A$7:$N$160,14,FALSE),0)</f>
        <v>0</v>
      </c>
    </row>
    <row r="135" spans="1:14" outlineLevel="1" x14ac:dyDescent="0.2">
      <c r="A135" s="9" t="s">
        <v>222</v>
      </c>
      <c r="B135" s="1" t="s">
        <v>223</v>
      </c>
      <c r="C135" s="10">
        <f>IFERROR(VLOOKUP(A135,'Centre DW5'!$A$7:$N$163,3,FALSE),0)+
IFERROR(VLOOKUP(A135,'Centre WP5'!$A$7:$N$160,3,FALSE),0)+
IFERROR(VLOOKUP(A135,'Centre WR5'!$A$7:$N$160,3,FALSE),0)</f>
        <v>0</v>
      </c>
      <c r="D135" s="10">
        <f>IFERROR(VLOOKUP(A135,'Centre DW5'!$A$7:$N$163,4,FALSE),0)+
IFERROR(VLOOKUP(A135,'Centre WP5'!$A$7:$N$160,4,FALSE),0)+
IFERROR(VLOOKUP(A135,'Centre WR5'!$A$7:$N$160,4,FALSE),0)</f>
        <v>0</v>
      </c>
      <c r="E135" s="10">
        <f>IFERROR(VLOOKUP(A135,'Centre DW5'!$A$7:$N$163,5,FALSE),0)+
IFERROR(VLOOKUP(A135,'Centre WP5'!$A$7:$N$160,5,FALSE),0)+
IFERROR(VLOOKUP(A135,'Centre WR5'!$A$7:$N$160,5,FALSE),0)</f>
        <v>0</v>
      </c>
      <c r="F135" s="10">
        <f>IFERROR(VLOOKUP(A135,'Centre DW5'!$A$7:$N$163,6,FALSE),0)+
IFERROR(VLOOKUP(A135,'Centre WP5'!$A$7:$N$160,6,FALSE),0)+
IFERROR(VLOOKUP(A135,'Centre WR5'!$A$7:$N$160,6,FALSE),0)</f>
        <v>0</v>
      </c>
      <c r="G135" s="10">
        <f>IFERROR(VLOOKUP(A135,'Centre DW5'!$A$7:$N$163,7,FALSE),0)+
IFERROR(VLOOKUP(A135,'Centre WP5'!$A$7:$N$160,7,FALSE),0)+
IFERROR(VLOOKUP(A135,'Centre WR5'!$A$7:$N$160,7,FALSE),0)</f>
        <v>0</v>
      </c>
      <c r="H135" s="10">
        <f>IFERROR(VLOOKUP(A135,'Centre DW5'!$A$7:$N$163,8,FALSE),0)+
IFERROR(VLOOKUP(A135,'Centre WP5'!$A$7:$N$160,8,FALSE),0)+
IFERROR(VLOOKUP(A135,'Centre WR5'!$A$7:$N$160,8,FALSE),0)</f>
        <v>0</v>
      </c>
      <c r="I135" s="10">
        <f>IFERROR(VLOOKUP(A135,'Centre DW5'!$A$7:$N$163,9,FALSE),0)+
IFERROR(VLOOKUP(A135,'Centre WP5'!$A$7:$N$160,9,FALSE),0)+
IFERROR(VLOOKUP(A135,'Centre WR5'!$A$7:$N$160,9,FALSE),0)</f>
        <v>0</v>
      </c>
      <c r="J135" s="10">
        <f>IFERROR(VLOOKUP(A135,'Centre DW5'!$A$7:$N$163,10,FALSE),0)+
IFERROR(VLOOKUP(A135,'Centre WP5'!$A$7:$N$160,10,FALSE),0)+
IFERROR(VLOOKUP(A135,'Centre WR5'!$A$7:$N$160,10,FALSE),0)</f>
        <v>0</v>
      </c>
      <c r="K135" s="10">
        <f>IFERROR(VLOOKUP(A135,'Centre DW5'!$A$7:$N$163,11,FALSE),0)+
IFERROR(VLOOKUP(A135,'Centre WP5'!$A$7:$N$160,11,FALSE),0)+
IFERROR(VLOOKUP(A135,'Centre WR5'!$A$7:$N$160,11,FALSE),0)</f>
        <v>0</v>
      </c>
      <c r="L135" s="10">
        <f>IFERROR(VLOOKUP(A135,'Centre DW5'!$A$7:$N$163,12,FALSE),0)+
IFERROR(VLOOKUP(A135,'Centre WP5'!$A$7:$N$160,12,FALSE),0)+
IFERROR(VLOOKUP(A135,'Centre WR5'!$A$7:$N$160,12,FALSE),0)</f>
        <v>0</v>
      </c>
      <c r="M135" s="10">
        <f>IFERROR(VLOOKUP(A135,'Centre DW5'!$A$7:$N$163,13,FALSE),0)+
IFERROR(VLOOKUP(A135,'Centre WP5'!$A$7:$N$160,13,FALSE),0)+
IFERROR(VLOOKUP(A135,'Centre WR5'!$A$7:$N$160,13,FALSE),0)</f>
        <v>0</v>
      </c>
      <c r="N135" s="10">
        <f>IFERROR(VLOOKUP(A135,'Centre DW5'!$A$7:$N$163,14,FALSE),0)+
IFERROR(VLOOKUP(A135,'Centre WP5'!$A$7:$N$160,14,FALSE),0)+
IFERROR(VLOOKUP(A135,'Centre WR5'!$A$7:$N$160,14,FALSE),0)</f>
        <v>0</v>
      </c>
    </row>
    <row r="136" spans="1:14" outlineLevel="1" x14ac:dyDescent="0.2">
      <c r="A136" s="9" t="s">
        <v>224</v>
      </c>
      <c r="B136" s="1" t="s">
        <v>225</v>
      </c>
      <c r="C136" s="10">
        <f>IFERROR(VLOOKUP(A136,'Centre DW5'!$A$7:$N$163,3,FALSE),0)+
IFERROR(VLOOKUP(A136,'Centre WP5'!$A$7:$N$160,3,FALSE),0)+
IFERROR(VLOOKUP(A136,'Centre WR5'!$A$7:$N$160,3,FALSE),0)</f>
        <v>0</v>
      </c>
      <c r="D136" s="10">
        <f>IFERROR(VLOOKUP(A136,'Centre DW5'!$A$7:$N$163,4,FALSE),0)+
IFERROR(VLOOKUP(A136,'Centre WP5'!$A$7:$N$160,4,FALSE),0)+
IFERROR(VLOOKUP(A136,'Centre WR5'!$A$7:$N$160,4,FALSE),0)</f>
        <v>0</v>
      </c>
      <c r="E136" s="10">
        <f>IFERROR(VLOOKUP(A136,'Centre DW5'!$A$7:$N$163,5,FALSE),0)+
IFERROR(VLOOKUP(A136,'Centre WP5'!$A$7:$N$160,5,FALSE),0)+
IFERROR(VLOOKUP(A136,'Centre WR5'!$A$7:$N$160,5,FALSE),0)</f>
        <v>0</v>
      </c>
      <c r="F136" s="10">
        <f>IFERROR(VLOOKUP(A136,'Centre DW5'!$A$7:$N$163,6,FALSE),0)+
IFERROR(VLOOKUP(A136,'Centre WP5'!$A$7:$N$160,6,FALSE),0)+
IFERROR(VLOOKUP(A136,'Centre WR5'!$A$7:$N$160,6,FALSE),0)</f>
        <v>0</v>
      </c>
      <c r="G136" s="10">
        <f>IFERROR(VLOOKUP(A136,'Centre DW5'!$A$7:$N$163,7,FALSE),0)+
IFERROR(VLOOKUP(A136,'Centre WP5'!$A$7:$N$160,7,FALSE),0)+
IFERROR(VLOOKUP(A136,'Centre WR5'!$A$7:$N$160,7,FALSE),0)</f>
        <v>0</v>
      </c>
      <c r="H136" s="10">
        <f>IFERROR(VLOOKUP(A136,'Centre DW5'!$A$7:$N$163,8,FALSE),0)+
IFERROR(VLOOKUP(A136,'Centre WP5'!$A$7:$N$160,8,FALSE),0)+
IFERROR(VLOOKUP(A136,'Centre WR5'!$A$7:$N$160,8,FALSE),0)</f>
        <v>0</v>
      </c>
      <c r="I136" s="10">
        <f>IFERROR(VLOOKUP(A136,'Centre DW5'!$A$7:$N$163,9,FALSE),0)+
IFERROR(VLOOKUP(A136,'Centre WP5'!$A$7:$N$160,9,FALSE),0)+
IFERROR(VLOOKUP(A136,'Centre WR5'!$A$7:$N$160,9,FALSE),0)</f>
        <v>0</v>
      </c>
      <c r="J136" s="10">
        <f>IFERROR(VLOOKUP(A136,'Centre DW5'!$A$7:$N$163,10,FALSE),0)+
IFERROR(VLOOKUP(A136,'Centre WP5'!$A$7:$N$160,10,FALSE),0)+
IFERROR(VLOOKUP(A136,'Centre WR5'!$A$7:$N$160,10,FALSE),0)</f>
        <v>0</v>
      </c>
      <c r="K136" s="10">
        <f>IFERROR(VLOOKUP(A136,'Centre DW5'!$A$7:$N$163,11,FALSE),0)+
IFERROR(VLOOKUP(A136,'Centre WP5'!$A$7:$N$160,11,FALSE),0)+
IFERROR(VLOOKUP(A136,'Centre WR5'!$A$7:$N$160,11,FALSE),0)</f>
        <v>0</v>
      </c>
      <c r="L136" s="10">
        <f>IFERROR(VLOOKUP(A136,'Centre DW5'!$A$7:$N$163,12,FALSE),0)+
IFERROR(VLOOKUP(A136,'Centre WP5'!$A$7:$N$160,12,FALSE),0)+
IFERROR(VLOOKUP(A136,'Centre WR5'!$A$7:$N$160,12,FALSE),0)</f>
        <v>0</v>
      </c>
      <c r="M136" s="10">
        <f>IFERROR(VLOOKUP(A136,'Centre DW5'!$A$7:$N$163,13,FALSE),0)+
IFERROR(VLOOKUP(A136,'Centre WP5'!$A$7:$N$160,13,FALSE),0)+
IFERROR(VLOOKUP(A136,'Centre WR5'!$A$7:$N$160,13,FALSE),0)</f>
        <v>0.1</v>
      </c>
      <c r="N136" s="10">
        <f>IFERROR(VLOOKUP(A136,'Centre DW5'!$A$7:$N$163,14,FALSE),0)+
IFERROR(VLOOKUP(A136,'Centre WP5'!$A$7:$N$160,14,FALSE),0)+
IFERROR(VLOOKUP(A136,'Centre WR5'!$A$7:$N$160,14,FALSE),0)</f>
        <v>0</v>
      </c>
    </row>
    <row r="137" spans="1:14" x14ac:dyDescent="0.2">
      <c r="A137" s="48" t="s">
        <v>226</v>
      </c>
      <c r="B137" s="49" t="s">
        <v>227</v>
      </c>
      <c r="C137" s="50">
        <f>IFERROR(VLOOKUP(A137,'Centre DW5'!$A$7:$N$163,3,FALSE),0)+
IFERROR(VLOOKUP(A137,'Centre WP5'!$A$7:$N$160,3,FALSE),0)+
IFERROR(VLOOKUP(A137,'Centre WR5'!$A$7:$N$160,3,FALSE),0)</f>
        <v>0</v>
      </c>
      <c r="D137" s="50">
        <f>IFERROR(VLOOKUP(A137,'Centre DW5'!$A$7:$N$163,4,FALSE),0)+
IFERROR(VLOOKUP(A137,'Centre WP5'!$A$7:$N$160,4,FALSE),0)+
IFERROR(VLOOKUP(A137,'Centre WR5'!$A$7:$N$160,4,FALSE),0)</f>
        <v>0</v>
      </c>
      <c r="E137" s="50">
        <f>IFERROR(VLOOKUP(A137,'Centre DW5'!$A$7:$N$163,5,FALSE),0)+
IFERROR(VLOOKUP(A137,'Centre WP5'!$A$7:$N$160,5,FALSE),0)+
IFERROR(VLOOKUP(A137,'Centre WR5'!$A$7:$N$160,5,FALSE),0)</f>
        <v>0</v>
      </c>
      <c r="F137" s="50">
        <f>IFERROR(VLOOKUP(A137,'Centre DW5'!$A$7:$N$163,6,FALSE),0)+
IFERROR(VLOOKUP(A137,'Centre WP5'!$A$7:$N$160,6,FALSE),0)+
IFERROR(VLOOKUP(A137,'Centre WR5'!$A$7:$N$160,6,FALSE),0)</f>
        <v>0</v>
      </c>
      <c r="G137" s="50">
        <f>IFERROR(VLOOKUP(A137,'Centre DW5'!$A$7:$N$163,7,FALSE),0)+
IFERROR(VLOOKUP(A137,'Centre WP5'!$A$7:$N$160,7,FALSE),0)+
IFERROR(VLOOKUP(A137,'Centre WR5'!$A$7:$N$160,7,FALSE),0)</f>
        <v>0</v>
      </c>
      <c r="H137" s="50">
        <f>IFERROR(VLOOKUP(A137,'Centre DW5'!$A$7:$N$163,8,FALSE),0)+
IFERROR(VLOOKUP(A137,'Centre WP5'!$A$7:$N$160,8,FALSE),0)+
IFERROR(VLOOKUP(A137,'Centre WR5'!$A$7:$N$160,8,FALSE),0)</f>
        <v>0</v>
      </c>
      <c r="I137" s="50">
        <f>IFERROR(VLOOKUP(A137,'Centre DW5'!$A$7:$N$163,9,FALSE),0)+
IFERROR(VLOOKUP(A137,'Centre WP5'!$A$7:$N$160,9,FALSE),0)+
IFERROR(VLOOKUP(A137,'Centre WR5'!$A$7:$N$160,9,FALSE),0)</f>
        <v>0</v>
      </c>
      <c r="J137" s="50">
        <f>IFERROR(VLOOKUP(A137,'Centre DW5'!$A$7:$N$163,10,FALSE),0)+
IFERROR(VLOOKUP(A137,'Centre WP5'!$A$7:$N$160,10,FALSE),0)+
IFERROR(VLOOKUP(A137,'Centre WR5'!$A$7:$N$160,10,FALSE),0)</f>
        <v>0</v>
      </c>
      <c r="K137" s="50">
        <f>IFERROR(VLOOKUP(A137,'Centre DW5'!$A$7:$N$163,11,FALSE),0)+
IFERROR(VLOOKUP(A137,'Centre WP5'!$A$7:$N$160,11,FALSE),0)+
IFERROR(VLOOKUP(A137,'Centre WR5'!$A$7:$N$160,11,FALSE),0)</f>
        <v>0</v>
      </c>
      <c r="L137" s="50">
        <f>IFERROR(VLOOKUP(A137,'Centre DW5'!$A$7:$N$163,12,FALSE),0)+
IFERROR(VLOOKUP(A137,'Centre WP5'!$A$7:$N$160,12,FALSE),0)+
IFERROR(VLOOKUP(A137,'Centre WR5'!$A$7:$N$160,12,FALSE),0)</f>
        <v>0</v>
      </c>
      <c r="M137" s="50">
        <f>IFERROR(VLOOKUP(A137,'Centre DW5'!$A$7:$N$163,13,FALSE),0)+
IFERROR(VLOOKUP(A137,'Centre WP5'!$A$7:$N$160,13,FALSE),0)+
IFERROR(VLOOKUP(A137,'Centre WR5'!$A$7:$N$160,13,FALSE),0)</f>
        <v>0</v>
      </c>
      <c r="N137" s="50">
        <f>IFERROR(VLOOKUP(A137,'Centre DW5'!$A$7:$N$163,14,FALSE),0)+
IFERROR(VLOOKUP(A137,'Centre WP5'!$A$7:$N$160,14,FALSE),0)+
IFERROR(VLOOKUP(A137,'Centre WR5'!$A$7:$N$160,14,FALSE),0)</f>
        <v>0</v>
      </c>
    </row>
    <row r="138" spans="1:14" x14ac:dyDescent="0.2">
      <c r="A138" s="48" t="s">
        <v>228</v>
      </c>
      <c r="B138" s="49" t="s">
        <v>229</v>
      </c>
      <c r="C138" s="50">
        <f>+C139</f>
        <v>0</v>
      </c>
      <c r="D138" s="50">
        <f t="shared" ref="D138:N138" si="20">+D139</f>
        <v>0</v>
      </c>
      <c r="E138" s="50">
        <f t="shared" si="20"/>
        <v>0</v>
      </c>
      <c r="F138" s="50">
        <f t="shared" si="20"/>
        <v>0</v>
      </c>
      <c r="G138" s="50">
        <f t="shared" si="20"/>
        <v>0</v>
      </c>
      <c r="H138" s="50">
        <f t="shared" si="20"/>
        <v>0</v>
      </c>
      <c r="I138" s="50">
        <f t="shared" si="20"/>
        <v>0</v>
      </c>
      <c r="J138" s="50">
        <f t="shared" si="20"/>
        <v>0</v>
      </c>
      <c r="K138" s="50">
        <f t="shared" si="20"/>
        <v>0</v>
      </c>
      <c r="L138" s="50">
        <f t="shared" si="20"/>
        <v>0</v>
      </c>
      <c r="M138" s="50">
        <f t="shared" si="20"/>
        <v>0</v>
      </c>
      <c r="N138" s="50">
        <f t="shared" si="20"/>
        <v>0</v>
      </c>
    </row>
    <row r="139" spans="1:14" outlineLevel="1" x14ac:dyDescent="0.2">
      <c r="A139" s="9" t="s">
        <v>357</v>
      </c>
      <c r="B139" s="1" t="s">
        <v>358</v>
      </c>
      <c r="C139" s="10">
        <f>IFERROR(VLOOKUP(A139,'Centre DW5'!$A$7:$N$163,3,FALSE),0)+
IFERROR(VLOOKUP(A139,'Centre WP5'!$A$7:$N$160,3,FALSE),0)+
IFERROR(VLOOKUP(A139,'Centre WR5'!$A$7:$N$160,3,FALSE),0)</f>
        <v>0</v>
      </c>
      <c r="D139" s="10">
        <f>IFERROR(VLOOKUP(A139,'Centre DW5'!$A$7:$N$163,4,FALSE),0)+
IFERROR(VLOOKUP(A139,'Centre WP5'!$A$7:$N$160,4,FALSE),0)+
IFERROR(VLOOKUP(A139,'Centre WR5'!$A$7:$N$160,4,FALSE),0)</f>
        <v>0</v>
      </c>
      <c r="E139" s="10">
        <f>IFERROR(VLOOKUP(A139,'Centre DW5'!$A$7:$N$163,5,FALSE),0)+
IFERROR(VLOOKUP(A139,'Centre WP5'!$A$7:$N$160,5,FALSE),0)+
IFERROR(VLOOKUP(A139,'Centre WR5'!$A$7:$N$160,5,FALSE),0)</f>
        <v>0</v>
      </c>
      <c r="F139" s="10">
        <f>IFERROR(VLOOKUP(A139,'Centre DW5'!$A$7:$N$163,6,FALSE),0)+
IFERROR(VLOOKUP(A139,'Centre WP5'!$A$7:$N$160,6,FALSE),0)+
IFERROR(VLOOKUP(A139,'Centre WR5'!$A$7:$N$160,6,FALSE),0)</f>
        <v>0</v>
      </c>
      <c r="G139" s="10">
        <f>IFERROR(VLOOKUP(A139,'Centre DW5'!$A$7:$N$163,7,FALSE),0)+
IFERROR(VLOOKUP(A139,'Centre WP5'!$A$7:$N$160,7,FALSE),0)+
IFERROR(VLOOKUP(A139,'Centre WR5'!$A$7:$N$160,7,FALSE),0)</f>
        <v>0</v>
      </c>
      <c r="H139" s="10">
        <f>IFERROR(VLOOKUP(A139,'Centre DW5'!$A$7:$N$163,8,FALSE),0)+
IFERROR(VLOOKUP(A139,'Centre WP5'!$A$7:$N$160,8,FALSE),0)+
IFERROR(VLOOKUP(A139,'Centre WR5'!$A$7:$N$160,8,FALSE),0)</f>
        <v>0</v>
      </c>
      <c r="I139" s="10">
        <f>IFERROR(VLOOKUP(A139,'Centre DW5'!$A$7:$N$163,9,FALSE),0)+
IFERROR(VLOOKUP(A139,'Centre WP5'!$A$7:$N$160,9,FALSE),0)+
IFERROR(VLOOKUP(A139,'Centre WR5'!$A$7:$N$160,9,FALSE),0)</f>
        <v>0</v>
      </c>
      <c r="J139" s="10">
        <f>IFERROR(VLOOKUP(A139,'Centre DW5'!$A$7:$N$163,10,FALSE),0)+
IFERROR(VLOOKUP(A139,'Centre WP5'!$A$7:$N$160,10,FALSE),0)+
IFERROR(VLOOKUP(A139,'Centre WR5'!$A$7:$N$160,10,FALSE),0)</f>
        <v>0</v>
      </c>
      <c r="K139" s="10">
        <f>IFERROR(VLOOKUP(A139,'Centre DW5'!$A$7:$N$163,11,FALSE),0)+
IFERROR(VLOOKUP(A139,'Centre WP5'!$A$7:$N$160,11,FALSE),0)+
IFERROR(VLOOKUP(A139,'Centre WR5'!$A$7:$N$160,11,FALSE),0)</f>
        <v>0</v>
      </c>
      <c r="L139" s="10">
        <f>IFERROR(VLOOKUP(A139,'Centre DW5'!$A$7:$N$163,12,FALSE),0)+
IFERROR(VLOOKUP(A139,'Centre WP5'!$A$7:$N$160,12,FALSE),0)+
IFERROR(VLOOKUP(A139,'Centre WR5'!$A$7:$N$160,12,FALSE),0)</f>
        <v>0</v>
      </c>
      <c r="M139" s="10">
        <f>IFERROR(VLOOKUP(A139,'Centre DW5'!$A$7:$N$163,13,FALSE),0)+
IFERROR(VLOOKUP(A139,'Centre WP5'!$A$7:$N$160,13,FALSE),0)+
IFERROR(VLOOKUP(A139,'Centre WR5'!$A$7:$N$160,13,FALSE),0)</f>
        <v>0</v>
      </c>
      <c r="N139" s="10">
        <f>IFERROR(VLOOKUP(A139,'Centre DW5'!$A$7:$N$163,14,FALSE),0)+
IFERROR(VLOOKUP(A139,'Centre WP5'!$A$7:$N$160,14,FALSE),0)+
IFERROR(VLOOKUP(A139,'Centre WR5'!$A$7:$N$160,14,FALSE),0)</f>
        <v>0</v>
      </c>
    </row>
    <row r="140" spans="1:14" x14ac:dyDescent="0.2">
      <c r="A140" s="48" t="s">
        <v>230</v>
      </c>
      <c r="B140" s="49" t="s">
        <v>231</v>
      </c>
      <c r="C140" s="50">
        <f>SUM(C141:C142)</f>
        <v>21</v>
      </c>
      <c r="D140" s="50">
        <f t="shared" ref="D140:N140" si="21">SUM(D141:D142)</f>
        <v>21</v>
      </c>
      <c r="E140" s="50">
        <f t="shared" si="21"/>
        <v>21</v>
      </c>
      <c r="F140" s="50">
        <f t="shared" si="21"/>
        <v>21</v>
      </c>
      <c r="G140" s="50">
        <f t="shared" si="21"/>
        <v>18.3</v>
      </c>
      <c r="H140" s="50">
        <f t="shared" si="21"/>
        <v>21</v>
      </c>
      <c r="I140" s="50">
        <f t="shared" si="21"/>
        <v>21</v>
      </c>
      <c r="J140" s="50">
        <f t="shared" si="21"/>
        <v>21</v>
      </c>
      <c r="K140" s="50">
        <f t="shared" si="21"/>
        <v>21</v>
      </c>
      <c r="L140" s="50">
        <f t="shared" si="21"/>
        <v>18.3</v>
      </c>
      <c r="M140" s="50">
        <f t="shared" si="21"/>
        <v>21</v>
      </c>
      <c r="N140" s="50">
        <f t="shared" si="21"/>
        <v>21</v>
      </c>
    </row>
    <row r="141" spans="1:14" outlineLevel="1" x14ac:dyDescent="0.2">
      <c r="A141" s="9" t="s">
        <v>232</v>
      </c>
      <c r="B141" s="1" t="s">
        <v>233</v>
      </c>
      <c r="C141" s="10">
        <f>IFERROR(VLOOKUP(A141,'Centre DW5'!$A$7:$N$163,3,FALSE),0)+
IFERROR(VLOOKUP(A141,'Centre WP5'!$A$7:$N$160,3,FALSE),0)+
IFERROR(VLOOKUP(A141,'Centre WR5'!$A$7:$N$160,3,FALSE),0)</f>
        <v>21</v>
      </c>
      <c r="D141" s="10">
        <f>IFERROR(VLOOKUP(A141,'Centre DW5'!$A$7:$N$163,4,FALSE),0)+
IFERROR(VLOOKUP(A141,'Centre WP5'!$A$7:$N$160,4,FALSE),0)+
IFERROR(VLOOKUP(A141,'Centre WR5'!$A$7:$N$160,4,FALSE),0)</f>
        <v>21</v>
      </c>
      <c r="E141" s="10">
        <f>IFERROR(VLOOKUP(A141,'Centre DW5'!$A$7:$N$163,5,FALSE),0)+
IFERROR(VLOOKUP(A141,'Centre WP5'!$A$7:$N$160,5,FALSE),0)+
IFERROR(VLOOKUP(A141,'Centre WR5'!$A$7:$N$160,5,FALSE),0)</f>
        <v>21</v>
      </c>
      <c r="F141" s="10">
        <f>IFERROR(VLOOKUP(A141,'Centre DW5'!$A$7:$N$163,6,FALSE),0)+
IFERROR(VLOOKUP(A141,'Centre WP5'!$A$7:$N$160,6,FALSE),0)+
IFERROR(VLOOKUP(A141,'Centre WR5'!$A$7:$N$160,6,FALSE),0)</f>
        <v>21</v>
      </c>
      <c r="G141" s="10">
        <f>IFERROR(VLOOKUP(A141,'Centre DW5'!$A$7:$N$163,7,FALSE),0)+
IFERROR(VLOOKUP(A141,'Centre WP5'!$A$7:$N$160,7,FALSE),0)+
IFERROR(VLOOKUP(A141,'Centre WR5'!$A$7:$N$160,7,FALSE),0)</f>
        <v>21</v>
      </c>
      <c r="H141" s="10">
        <f>IFERROR(VLOOKUP(A141,'Centre DW5'!$A$7:$N$163,8,FALSE),0)+
IFERROR(VLOOKUP(A141,'Centre WP5'!$A$7:$N$160,8,FALSE),0)+
IFERROR(VLOOKUP(A141,'Centre WR5'!$A$7:$N$160,8,FALSE),0)</f>
        <v>21</v>
      </c>
      <c r="I141" s="10">
        <f>IFERROR(VLOOKUP(A141,'Centre DW5'!$A$7:$N$163,9,FALSE),0)+
IFERROR(VLOOKUP(A141,'Centre WP5'!$A$7:$N$160,9,FALSE),0)+
IFERROR(VLOOKUP(A141,'Centre WR5'!$A$7:$N$160,9,FALSE),0)</f>
        <v>21</v>
      </c>
      <c r="J141" s="10">
        <f>IFERROR(VLOOKUP(A141,'Centre DW5'!$A$7:$N$163,10,FALSE),0)+
IFERROR(VLOOKUP(A141,'Centre WP5'!$A$7:$N$160,10,FALSE),0)+
IFERROR(VLOOKUP(A141,'Centre WR5'!$A$7:$N$160,10,FALSE),0)</f>
        <v>21</v>
      </c>
      <c r="K141" s="10">
        <f>IFERROR(VLOOKUP(A141,'Centre DW5'!$A$7:$N$163,11,FALSE),0)+
IFERROR(VLOOKUP(A141,'Centre WP5'!$A$7:$N$160,11,FALSE),0)+
IFERROR(VLOOKUP(A141,'Centre WR5'!$A$7:$N$160,11,FALSE),0)</f>
        <v>21</v>
      </c>
      <c r="L141" s="10">
        <f>IFERROR(VLOOKUP(A141,'Centre DW5'!$A$7:$N$163,12,FALSE),0)+
IFERROR(VLOOKUP(A141,'Centre WP5'!$A$7:$N$160,12,FALSE),0)+
IFERROR(VLOOKUP(A141,'Centre WR5'!$A$7:$N$160,12,FALSE),0)</f>
        <v>21</v>
      </c>
      <c r="M141" s="10">
        <f>IFERROR(VLOOKUP(A141,'Centre DW5'!$A$7:$N$163,13,FALSE),0)+
IFERROR(VLOOKUP(A141,'Centre WP5'!$A$7:$N$160,13,FALSE),0)+
IFERROR(VLOOKUP(A141,'Centre WR5'!$A$7:$N$160,13,FALSE),0)</f>
        <v>21</v>
      </c>
      <c r="N141" s="10">
        <f>IFERROR(VLOOKUP(A141,'Centre DW5'!$A$7:$N$163,14,FALSE),0)+
IFERROR(VLOOKUP(A141,'Centre WP5'!$A$7:$N$160,14,FALSE),0)+
IFERROR(VLOOKUP(A141,'Centre WR5'!$A$7:$N$160,14,FALSE),0)</f>
        <v>21</v>
      </c>
    </row>
    <row r="142" spans="1:14" outlineLevel="1" x14ac:dyDescent="0.2">
      <c r="A142" s="9" t="s">
        <v>234</v>
      </c>
      <c r="B142" s="1" t="s">
        <v>235</v>
      </c>
      <c r="C142" s="10">
        <f>IFERROR(VLOOKUP(A142,'Centre DW5'!$A$7:$N$163,3,FALSE),0)+
IFERROR(VLOOKUP(A142,'Centre WP5'!$A$7:$N$160,3,FALSE),0)+
IFERROR(VLOOKUP(A142,'Centre WR5'!$A$7:$N$160,3,FALSE),0)</f>
        <v>0</v>
      </c>
      <c r="D142" s="10">
        <f>IFERROR(VLOOKUP(A142,'Centre DW5'!$A$7:$N$163,4,FALSE),0)+
IFERROR(VLOOKUP(A142,'Centre WP5'!$A$7:$N$160,4,FALSE),0)+
IFERROR(VLOOKUP(A142,'Centre WR5'!$A$7:$N$160,4,FALSE),0)</f>
        <v>0</v>
      </c>
      <c r="E142" s="10">
        <f>IFERROR(VLOOKUP(A142,'Centre DW5'!$A$7:$N$163,5,FALSE),0)+
IFERROR(VLOOKUP(A142,'Centre WP5'!$A$7:$N$160,5,FALSE),0)+
IFERROR(VLOOKUP(A142,'Centre WR5'!$A$7:$N$160,5,FALSE),0)</f>
        <v>0</v>
      </c>
      <c r="F142" s="10">
        <f>IFERROR(VLOOKUP(A142,'Centre DW5'!$A$7:$N$163,6,FALSE),0)+
IFERROR(VLOOKUP(A142,'Centre WP5'!$A$7:$N$160,6,FALSE),0)+
IFERROR(VLOOKUP(A142,'Centre WR5'!$A$7:$N$160,6,FALSE),0)</f>
        <v>0</v>
      </c>
      <c r="G142" s="10">
        <f>IFERROR(VLOOKUP(A142,'Centre DW5'!$A$7:$N$163,7,FALSE),0)+
IFERROR(VLOOKUP(A142,'Centre WP5'!$A$7:$N$160,7,FALSE),0)+
IFERROR(VLOOKUP(A142,'Centre WR5'!$A$7:$N$160,7,FALSE),0)</f>
        <v>-2.7</v>
      </c>
      <c r="H142" s="10">
        <f>IFERROR(VLOOKUP(A142,'Centre DW5'!$A$7:$N$163,8,FALSE),0)+
IFERROR(VLOOKUP(A142,'Centre WP5'!$A$7:$N$160,8,FALSE),0)+
IFERROR(VLOOKUP(A142,'Centre WR5'!$A$7:$N$160,8,FALSE),0)</f>
        <v>0</v>
      </c>
      <c r="I142" s="10">
        <f>IFERROR(VLOOKUP(A142,'Centre DW5'!$A$7:$N$163,9,FALSE),0)+
IFERROR(VLOOKUP(A142,'Centre WP5'!$A$7:$N$160,9,FALSE),0)+
IFERROR(VLOOKUP(A142,'Centre WR5'!$A$7:$N$160,9,FALSE),0)</f>
        <v>0</v>
      </c>
      <c r="J142" s="10">
        <f>IFERROR(VLOOKUP(A142,'Centre DW5'!$A$7:$N$163,10,FALSE),0)+
IFERROR(VLOOKUP(A142,'Centre WP5'!$A$7:$N$160,10,FALSE),0)+
IFERROR(VLOOKUP(A142,'Centre WR5'!$A$7:$N$160,10,FALSE),0)</f>
        <v>0</v>
      </c>
      <c r="K142" s="10">
        <f>IFERROR(VLOOKUP(A142,'Centre DW5'!$A$7:$N$163,11,FALSE),0)+
IFERROR(VLOOKUP(A142,'Centre WP5'!$A$7:$N$160,11,FALSE),0)+
IFERROR(VLOOKUP(A142,'Centre WR5'!$A$7:$N$160,11,FALSE),0)</f>
        <v>0</v>
      </c>
      <c r="L142" s="10">
        <f>IFERROR(VLOOKUP(A142,'Centre DW5'!$A$7:$N$163,12,FALSE),0)+
IFERROR(VLOOKUP(A142,'Centre WP5'!$A$7:$N$160,12,FALSE),0)+
IFERROR(VLOOKUP(A142,'Centre WR5'!$A$7:$N$160,12,FALSE),0)</f>
        <v>-2.7</v>
      </c>
      <c r="M142" s="10">
        <f>IFERROR(VLOOKUP(A142,'Centre DW5'!$A$7:$N$163,13,FALSE),0)+
IFERROR(VLOOKUP(A142,'Centre WP5'!$A$7:$N$160,13,FALSE),0)+
IFERROR(VLOOKUP(A142,'Centre WR5'!$A$7:$N$160,13,FALSE),0)</f>
        <v>0</v>
      </c>
      <c r="N142" s="10">
        <f>IFERROR(VLOOKUP(A142,'Centre DW5'!$A$7:$N$163,14,FALSE),0)+
IFERROR(VLOOKUP(A142,'Centre WP5'!$A$7:$N$160,14,FALSE),0)+
IFERROR(VLOOKUP(A142,'Centre WR5'!$A$7:$N$160,14,FALSE),0)</f>
        <v>0</v>
      </c>
    </row>
    <row r="143" spans="1:14" x14ac:dyDescent="0.2">
      <c r="A143" s="52"/>
      <c r="B143" s="52" t="s">
        <v>236</v>
      </c>
      <c r="C143" s="53">
        <f>+C107+C124+C137+C138+C140</f>
        <v>142.32300000000001</v>
      </c>
      <c r="D143" s="53">
        <f t="shared" ref="D143:N143" si="22">+D107+D124+D137+D138+D140</f>
        <v>141.023</v>
      </c>
      <c r="E143" s="53">
        <f t="shared" si="22"/>
        <v>110.82300000000001</v>
      </c>
      <c r="F143" s="53">
        <f t="shared" si="22"/>
        <v>109.72300000000001</v>
      </c>
      <c r="G143" s="53">
        <f t="shared" si="22"/>
        <v>124.32299999999999</v>
      </c>
      <c r="H143" s="53">
        <f t="shared" si="22"/>
        <v>143.62299999999999</v>
      </c>
      <c r="I143" s="53">
        <f t="shared" si="22"/>
        <v>111.923</v>
      </c>
      <c r="J143" s="53">
        <f t="shared" si="22"/>
        <v>118.82300000000001</v>
      </c>
      <c r="K143" s="53">
        <f t="shared" si="22"/>
        <v>121.72300000000003</v>
      </c>
      <c r="L143" s="53">
        <f t="shared" si="22"/>
        <v>117.32300000000001</v>
      </c>
      <c r="M143" s="53">
        <f t="shared" si="22"/>
        <v>115.72300000000001</v>
      </c>
      <c r="N143" s="53">
        <f t="shared" si="22"/>
        <v>138.923</v>
      </c>
    </row>
    <row r="144" spans="1:14" x14ac:dyDescent="0.2">
      <c r="A144" s="51"/>
      <c r="B144" s="51" t="s">
        <v>237</v>
      </c>
      <c r="C144" s="19">
        <f t="shared" ref="C144:N144" si="23">+C106-C143</f>
        <v>77.577000000000083</v>
      </c>
      <c r="D144" s="19">
        <f t="shared" si="23"/>
        <v>13.177000000000049</v>
      </c>
      <c r="E144" s="19">
        <f t="shared" si="23"/>
        <v>94.477000000000061</v>
      </c>
      <c r="F144" s="19">
        <f t="shared" si="23"/>
        <v>13.776999999999987</v>
      </c>
      <c r="G144" s="19">
        <f t="shared" si="23"/>
        <v>78.277000000000029</v>
      </c>
      <c r="H144" s="19">
        <f t="shared" si="23"/>
        <v>55.977000000000032</v>
      </c>
      <c r="I144" s="19">
        <f t="shared" si="23"/>
        <v>101.17699999999991</v>
      </c>
      <c r="J144" s="19">
        <f t="shared" si="23"/>
        <v>113.477</v>
      </c>
      <c r="K144" s="19">
        <f t="shared" si="23"/>
        <v>19.776999999999973</v>
      </c>
      <c r="L144" s="19">
        <f t="shared" si="23"/>
        <v>34.07699999999997</v>
      </c>
      <c r="M144" s="19">
        <f t="shared" si="23"/>
        <v>82.87700000000001</v>
      </c>
      <c r="N144" s="19">
        <f t="shared" si="23"/>
        <v>25.27699999999993</v>
      </c>
    </row>
    <row r="145" spans="1:14" x14ac:dyDescent="0.2">
      <c r="A145" s="48" t="s">
        <v>238</v>
      </c>
      <c r="B145" s="49" t="s">
        <v>239</v>
      </c>
      <c r="C145" s="50">
        <f>SUM(C146:C149)</f>
        <v>3.68</v>
      </c>
      <c r="D145" s="50">
        <f t="shared" ref="D145:N145" si="24">SUM(D146:D149)</f>
        <v>3.68</v>
      </c>
      <c r="E145" s="50">
        <f t="shared" si="24"/>
        <v>3.68</v>
      </c>
      <c r="F145" s="50">
        <f t="shared" si="24"/>
        <v>3.68</v>
      </c>
      <c r="G145" s="50">
        <f t="shared" si="24"/>
        <v>3.68</v>
      </c>
      <c r="H145" s="50">
        <f t="shared" si="24"/>
        <v>3.68</v>
      </c>
      <c r="I145" s="50">
        <f t="shared" si="24"/>
        <v>3.68</v>
      </c>
      <c r="J145" s="50">
        <f t="shared" si="24"/>
        <v>3.68</v>
      </c>
      <c r="K145" s="50">
        <f t="shared" si="24"/>
        <v>3.68</v>
      </c>
      <c r="L145" s="50">
        <f t="shared" si="24"/>
        <v>3.68</v>
      </c>
      <c r="M145" s="50">
        <f t="shared" si="24"/>
        <v>3.68</v>
      </c>
      <c r="N145" s="50">
        <f t="shared" si="24"/>
        <v>3.68</v>
      </c>
    </row>
    <row r="146" spans="1:14" outlineLevel="1" x14ac:dyDescent="0.2">
      <c r="A146" s="9" t="s">
        <v>240</v>
      </c>
      <c r="B146" s="1" t="s">
        <v>241</v>
      </c>
      <c r="C146" s="10">
        <f>IFERROR(VLOOKUP(A146,'Centre DW5'!$A$7:$N$163,3,FALSE),0)+
IFERROR(VLOOKUP(A146,'Centre WP5'!$A$7:$N$160,3,FALSE),0)+
IFERROR(VLOOKUP(A146,'Centre WR5'!$A$7:$N$160,3,FALSE),0)</f>
        <v>3.68</v>
      </c>
      <c r="D146" s="10">
        <f>IFERROR(VLOOKUP(A146,'Centre DW5'!$A$7:$N$163,4,FALSE),0)+
IFERROR(VLOOKUP(A146,'Centre WP5'!$A$7:$N$160,4,FALSE),0)+
IFERROR(VLOOKUP(A146,'Centre WR5'!$A$7:$N$160,4,FALSE),0)</f>
        <v>3.68</v>
      </c>
      <c r="E146" s="10">
        <f>IFERROR(VLOOKUP(A146,'Centre DW5'!$A$7:$N$163,5,FALSE),0)+
IFERROR(VLOOKUP(A146,'Centre WP5'!$A$7:$N$160,5,FALSE),0)+
IFERROR(VLOOKUP(A146,'Centre WR5'!$A$7:$N$160,5,FALSE),0)</f>
        <v>3.68</v>
      </c>
      <c r="F146" s="10">
        <f>IFERROR(VLOOKUP(A146,'Centre DW5'!$A$7:$N$163,6,FALSE),0)+
IFERROR(VLOOKUP(A146,'Centre WP5'!$A$7:$N$160,6,FALSE),0)+
IFERROR(VLOOKUP(A146,'Centre WR5'!$A$7:$N$160,6,FALSE),0)</f>
        <v>3.68</v>
      </c>
      <c r="G146" s="10">
        <f>IFERROR(VLOOKUP(A146,'Centre DW5'!$A$7:$N$163,7,FALSE),0)+
IFERROR(VLOOKUP(A146,'Centre WP5'!$A$7:$N$160,7,FALSE),0)+
IFERROR(VLOOKUP(A146,'Centre WR5'!$A$7:$N$160,7,FALSE),0)</f>
        <v>3.68</v>
      </c>
      <c r="H146" s="10">
        <f>IFERROR(VLOOKUP(A146,'Centre DW5'!$A$7:$N$163,8,FALSE),0)+
IFERROR(VLOOKUP(A146,'Centre WP5'!$A$7:$N$160,8,FALSE),0)+
IFERROR(VLOOKUP(A146,'Centre WR5'!$A$7:$N$160,8,FALSE),0)</f>
        <v>3.68</v>
      </c>
      <c r="I146" s="10">
        <f>IFERROR(VLOOKUP(A146,'Centre DW5'!$A$7:$N$163,9,FALSE),0)+
IFERROR(VLOOKUP(A146,'Centre WP5'!$A$7:$N$160,9,FALSE),0)+
IFERROR(VLOOKUP(A146,'Centre WR5'!$A$7:$N$160,9,FALSE),0)</f>
        <v>3.68</v>
      </c>
      <c r="J146" s="10">
        <f>IFERROR(VLOOKUP(A146,'Centre DW5'!$A$7:$N$163,10,FALSE),0)+
IFERROR(VLOOKUP(A146,'Centre WP5'!$A$7:$N$160,10,FALSE),0)+
IFERROR(VLOOKUP(A146,'Centre WR5'!$A$7:$N$160,10,FALSE),0)</f>
        <v>3.68</v>
      </c>
      <c r="K146" s="10">
        <f>IFERROR(VLOOKUP(A146,'Centre DW5'!$A$7:$N$163,11,FALSE),0)+
IFERROR(VLOOKUP(A146,'Centre WP5'!$A$7:$N$160,11,FALSE),0)+
IFERROR(VLOOKUP(A146,'Centre WR5'!$A$7:$N$160,11,FALSE),0)</f>
        <v>3.68</v>
      </c>
      <c r="L146" s="10">
        <f>IFERROR(VLOOKUP(A146,'Centre DW5'!$A$7:$N$163,12,FALSE),0)+
IFERROR(VLOOKUP(A146,'Centre WP5'!$A$7:$N$160,12,FALSE),0)+
IFERROR(VLOOKUP(A146,'Centre WR5'!$A$7:$N$160,12,FALSE),0)</f>
        <v>3.68</v>
      </c>
      <c r="M146" s="10">
        <f>IFERROR(VLOOKUP(A146,'Centre DW5'!$A$7:$N$163,13,FALSE),0)+
IFERROR(VLOOKUP(A146,'Centre WP5'!$A$7:$N$160,13,FALSE),0)+
IFERROR(VLOOKUP(A146,'Centre WR5'!$A$7:$N$160,13,FALSE),0)</f>
        <v>3.68</v>
      </c>
      <c r="N146" s="10">
        <f>IFERROR(VLOOKUP(A146,'Centre DW5'!$A$7:$N$163,14,FALSE),0)+
IFERROR(VLOOKUP(A146,'Centre WP5'!$A$7:$N$160,14,FALSE),0)+
IFERROR(VLOOKUP(A146,'Centre WR5'!$A$7:$N$160,14,FALSE),0)</f>
        <v>3.68</v>
      </c>
    </row>
    <row r="147" spans="1:14" outlineLevel="1" x14ac:dyDescent="0.2">
      <c r="A147" s="9" t="s">
        <v>242</v>
      </c>
      <c r="B147" s="1" t="s">
        <v>243</v>
      </c>
      <c r="C147" s="10">
        <f>IFERROR(VLOOKUP(A147,'Centre DW5'!$A$7:$N$163,3,FALSE),0)+
IFERROR(VLOOKUP(A147,'Centre WP5'!$A$7:$N$160,3,FALSE),0)+
IFERROR(VLOOKUP(A147,'Centre WR5'!$A$7:$N$160,3,FALSE),0)</f>
        <v>0</v>
      </c>
      <c r="D147" s="10">
        <f>IFERROR(VLOOKUP(A147,'Centre DW5'!$A$7:$N$163,4,FALSE),0)+
IFERROR(VLOOKUP(A147,'Centre WP5'!$A$7:$N$160,4,FALSE),0)+
IFERROR(VLOOKUP(A147,'Centre WR5'!$A$7:$N$160,4,FALSE),0)</f>
        <v>0</v>
      </c>
      <c r="E147" s="10">
        <f>IFERROR(VLOOKUP(A147,'Centre DW5'!$A$7:$N$163,5,FALSE),0)+
IFERROR(VLOOKUP(A147,'Centre WP5'!$A$7:$N$160,5,FALSE),0)+
IFERROR(VLOOKUP(A147,'Centre WR5'!$A$7:$N$160,5,FALSE),0)</f>
        <v>0</v>
      </c>
      <c r="F147" s="10">
        <f>IFERROR(VLOOKUP(A147,'Centre DW5'!$A$7:$N$163,6,FALSE),0)+
IFERROR(VLOOKUP(A147,'Centre WP5'!$A$7:$N$160,6,FALSE),0)+
IFERROR(VLOOKUP(A147,'Centre WR5'!$A$7:$N$160,6,FALSE),0)</f>
        <v>0</v>
      </c>
      <c r="G147" s="10">
        <f>IFERROR(VLOOKUP(A147,'Centre DW5'!$A$7:$N$163,7,FALSE),0)+
IFERROR(VLOOKUP(A147,'Centre WP5'!$A$7:$N$160,7,FALSE),0)+
IFERROR(VLOOKUP(A147,'Centre WR5'!$A$7:$N$160,7,FALSE),0)</f>
        <v>0</v>
      </c>
      <c r="H147" s="10">
        <f>IFERROR(VLOOKUP(A147,'Centre DW5'!$A$7:$N$163,8,FALSE),0)+
IFERROR(VLOOKUP(A147,'Centre WP5'!$A$7:$N$160,8,FALSE),0)+
IFERROR(VLOOKUP(A147,'Centre WR5'!$A$7:$N$160,8,FALSE),0)</f>
        <v>0</v>
      </c>
      <c r="I147" s="10">
        <f>IFERROR(VLOOKUP(A147,'Centre DW5'!$A$7:$N$163,9,FALSE),0)+
IFERROR(VLOOKUP(A147,'Centre WP5'!$A$7:$N$160,9,FALSE),0)+
IFERROR(VLOOKUP(A147,'Centre WR5'!$A$7:$N$160,9,FALSE),0)</f>
        <v>0</v>
      </c>
      <c r="J147" s="10">
        <f>IFERROR(VLOOKUP(A147,'Centre DW5'!$A$7:$N$163,10,FALSE),0)+
IFERROR(VLOOKUP(A147,'Centre WP5'!$A$7:$N$160,10,FALSE),0)+
IFERROR(VLOOKUP(A147,'Centre WR5'!$A$7:$N$160,10,FALSE),0)</f>
        <v>0</v>
      </c>
      <c r="K147" s="10">
        <f>IFERROR(VLOOKUP(A147,'Centre DW5'!$A$7:$N$163,11,FALSE),0)+
IFERROR(VLOOKUP(A147,'Centre WP5'!$A$7:$N$160,11,FALSE),0)+
IFERROR(VLOOKUP(A147,'Centre WR5'!$A$7:$N$160,11,FALSE),0)</f>
        <v>0</v>
      </c>
      <c r="L147" s="10">
        <f>IFERROR(VLOOKUP(A147,'Centre DW5'!$A$7:$N$163,12,FALSE),0)+
IFERROR(VLOOKUP(A147,'Centre WP5'!$A$7:$N$160,12,FALSE),0)+
IFERROR(VLOOKUP(A147,'Centre WR5'!$A$7:$N$160,12,FALSE),0)</f>
        <v>0</v>
      </c>
      <c r="M147" s="10">
        <f>IFERROR(VLOOKUP(A147,'Centre DW5'!$A$7:$N$163,13,FALSE),0)+
IFERROR(VLOOKUP(A147,'Centre WP5'!$A$7:$N$160,13,FALSE),0)+
IFERROR(VLOOKUP(A147,'Centre WR5'!$A$7:$N$160,13,FALSE),0)</f>
        <v>0</v>
      </c>
      <c r="N147" s="10">
        <f>IFERROR(VLOOKUP(A147,'Centre DW5'!$A$7:$N$163,14,FALSE),0)+
IFERROR(VLOOKUP(A147,'Centre WP5'!$A$7:$N$160,14,FALSE),0)+
IFERROR(VLOOKUP(A147,'Centre WR5'!$A$7:$N$160,14,FALSE),0)</f>
        <v>0</v>
      </c>
    </row>
    <row r="148" spans="1:14" outlineLevel="1" x14ac:dyDescent="0.2">
      <c r="A148" s="9" t="s">
        <v>359</v>
      </c>
      <c r="B148" s="1" t="s">
        <v>360</v>
      </c>
      <c r="C148" s="10">
        <f>IFERROR(VLOOKUP(A148,'Centre DW5'!$A$7:$N$163,3,FALSE),0)+
IFERROR(VLOOKUP(A148,'Centre WP5'!$A$7:$N$160,3,FALSE),0)+
IFERROR(VLOOKUP(A148,'Centre WR5'!$A$7:$N$160,3,FALSE),0)</f>
        <v>0</v>
      </c>
      <c r="D148" s="10">
        <f>IFERROR(VLOOKUP(A148,'Centre DW5'!$A$7:$N$163,4,FALSE),0)+
IFERROR(VLOOKUP(A148,'Centre WP5'!$A$7:$N$160,4,FALSE),0)+
IFERROR(VLOOKUP(A148,'Centre WR5'!$A$7:$N$160,4,FALSE),0)</f>
        <v>0</v>
      </c>
      <c r="E148" s="10">
        <f>IFERROR(VLOOKUP(A148,'Centre DW5'!$A$7:$N$163,5,FALSE),0)+
IFERROR(VLOOKUP(A148,'Centre WP5'!$A$7:$N$160,5,FALSE),0)+
IFERROR(VLOOKUP(A148,'Centre WR5'!$A$7:$N$160,5,FALSE),0)</f>
        <v>0</v>
      </c>
      <c r="F148" s="10">
        <f>IFERROR(VLOOKUP(A148,'Centre DW5'!$A$7:$N$163,6,FALSE),0)+
IFERROR(VLOOKUP(A148,'Centre WP5'!$A$7:$N$160,6,FALSE),0)+
IFERROR(VLOOKUP(A148,'Centre WR5'!$A$7:$N$160,6,FALSE),0)</f>
        <v>0</v>
      </c>
      <c r="G148" s="10">
        <f>IFERROR(VLOOKUP(A148,'Centre DW5'!$A$7:$N$163,7,FALSE),0)+
IFERROR(VLOOKUP(A148,'Centre WP5'!$A$7:$N$160,7,FALSE),0)+
IFERROR(VLOOKUP(A148,'Centre WR5'!$A$7:$N$160,7,FALSE),0)</f>
        <v>0</v>
      </c>
      <c r="H148" s="10">
        <f>IFERROR(VLOOKUP(A148,'Centre DW5'!$A$7:$N$163,8,FALSE),0)+
IFERROR(VLOOKUP(A148,'Centre WP5'!$A$7:$N$160,8,FALSE),0)+
IFERROR(VLOOKUP(A148,'Centre WR5'!$A$7:$N$160,8,FALSE),0)</f>
        <v>0</v>
      </c>
      <c r="I148" s="10">
        <f>IFERROR(VLOOKUP(A148,'Centre DW5'!$A$7:$N$163,9,FALSE),0)+
IFERROR(VLOOKUP(A148,'Centre WP5'!$A$7:$N$160,9,FALSE),0)+
IFERROR(VLOOKUP(A148,'Centre WR5'!$A$7:$N$160,9,FALSE),0)</f>
        <v>0</v>
      </c>
      <c r="J148" s="10">
        <f>IFERROR(VLOOKUP(A148,'Centre DW5'!$A$7:$N$163,10,FALSE),0)+
IFERROR(VLOOKUP(A148,'Centre WP5'!$A$7:$N$160,10,FALSE),0)+
IFERROR(VLOOKUP(A148,'Centre WR5'!$A$7:$N$160,10,FALSE),0)</f>
        <v>0</v>
      </c>
      <c r="K148" s="10">
        <f>IFERROR(VLOOKUP(A148,'Centre DW5'!$A$7:$N$163,11,FALSE),0)+
IFERROR(VLOOKUP(A148,'Centre WP5'!$A$7:$N$160,11,FALSE),0)+
IFERROR(VLOOKUP(A148,'Centre WR5'!$A$7:$N$160,11,FALSE),0)</f>
        <v>0</v>
      </c>
      <c r="L148" s="10">
        <f>IFERROR(VLOOKUP(A148,'Centre DW5'!$A$7:$N$163,12,FALSE),0)+
IFERROR(VLOOKUP(A148,'Centre WP5'!$A$7:$N$160,12,FALSE),0)+
IFERROR(VLOOKUP(A148,'Centre WR5'!$A$7:$N$160,12,FALSE),0)</f>
        <v>0</v>
      </c>
      <c r="M148" s="10">
        <f>IFERROR(VLOOKUP(A148,'Centre DW5'!$A$7:$N$163,13,FALSE),0)+
IFERROR(VLOOKUP(A148,'Centre WP5'!$A$7:$N$160,13,FALSE),0)+
IFERROR(VLOOKUP(A148,'Centre WR5'!$A$7:$N$160,13,FALSE),0)</f>
        <v>0</v>
      </c>
      <c r="N148" s="10">
        <f>IFERROR(VLOOKUP(A148,'Centre DW5'!$A$7:$N$163,14,FALSE),0)+
IFERROR(VLOOKUP(A148,'Centre WP5'!$A$7:$N$160,14,FALSE),0)+
IFERROR(VLOOKUP(A148,'Centre WR5'!$A$7:$N$160,14,FALSE),0)</f>
        <v>0</v>
      </c>
    </row>
    <row r="149" spans="1:14" outlineLevel="1" x14ac:dyDescent="0.2">
      <c r="A149" s="9" t="s">
        <v>361</v>
      </c>
      <c r="B149" s="1" t="s">
        <v>362</v>
      </c>
      <c r="C149" s="10">
        <f>IFERROR(VLOOKUP(A149,'Centre DW5'!$A$7:$N$163,3,FALSE),0)+
IFERROR(VLOOKUP(A149,'Centre WP5'!$A$7:$N$160,3,FALSE),0)+
IFERROR(VLOOKUP(A149,'Centre WR5'!$A$7:$N$160,3,FALSE),0)</f>
        <v>0</v>
      </c>
      <c r="D149" s="10">
        <f>IFERROR(VLOOKUP(A149,'Centre DW5'!$A$7:$N$163,4,FALSE),0)+
IFERROR(VLOOKUP(A149,'Centre WP5'!$A$7:$N$160,4,FALSE),0)+
IFERROR(VLOOKUP(A149,'Centre WR5'!$A$7:$N$160,4,FALSE),0)</f>
        <v>0</v>
      </c>
      <c r="E149" s="10">
        <f>IFERROR(VLOOKUP(A149,'Centre DW5'!$A$7:$N$163,5,FALSE),0)+
IFERROR(VLOOKUP(A149,'Centre WP5'!$A$7:$N$160,5,FALSE),0)+
IFERROR(VLOOKUP(A149,'Centre WR5'!$A$7:$N$160,5,FALSE),0)</f>
        <v>0</v>
      </c>
      <c r="F149" s="10">
        <f>IFERROR(VLOOKUP(A149,'Centre DW5'!$A$7:$N$163,6,FALSE),0)+
IFERROR(VLOOKUP(A149,'Centre WP5'!$A$7:$N$160,6,FALSE),0)+
IFERROR(VLOOKUP(A149,'Centre WR5'!$A$7:$N$160,6,FALSE),0)</f>
        <v>0</v>
      </c>
      <c r="G149" s="10">
        <f>IFERROR(VLOOKUP(A149,'Centre DW5'!$A$7:$N$163,7,FALSE),0)+
IFERROR(VLOOKUP(A149,'Centre WP5'!$A$7:$N$160,7,FALSE),0)+
IFERROR(VLOOKUP(A149,'Centre WR5'!$A$7:$N$160,7,FALSE),0)</f>
        <v>0</v>
      </c>
      <c r="H149" s="10">
        <f>IFERROR(VLOOKUP(A149,'Centre DW5'!$A$7:$N$163,8,FALSE),0)+
IFERROR(VLOOKUP(A149,'Centre WP5'!$A$7:$N$160,8,FALSE),0)+
IFERROR(VLOOKUP(A149,'Centre WR5'!$A$7:$N$160,8,FALSE),0)</f>
        <v>0</v>
      </c>
      <c r="I149" s="10">
        <f>IFERROR(VLOOKUP(A149,'Centre DW5'!$A$7:$N$163,9,FALSE),0)+
IFERROR(VLOOKUP(A149,'Centre WP5'!$A$7:$N$160,9,FALSE),0)+
IFERROR(VLOOKUP(A149,'Centre WR5'!$A$7:$N$160,9,FALSE),0)</f>
        <v>0</v>
      </c>
      <c r="J149" s="10">
        <f>IFERROR(VLOOKUP(A149,'Centre DW5'!$A$7:$N$163,10,FALSE),0)+
IFERROR(VLOOKUP(A149,'Centre WP5'!$A$7:$N$160,10,FALSE),0)+
IFERROR(VLOOKUP(A149,'Centre WR5'!$A$7:$N$160,10,FALSE),0)</f>
        <v>0</v>
      </c>
      <c r="K149" s="10">
        <f>IFERROR(VLOOKUP(A149,'Centre DW5'!$A$7:$N$163,11,FALSE),0)+
IFERROR(VLOOKUP(A149,'Centre WP5'!$A$7:$N$160,11,FALSE),0)+
IFERROR(VLOOKUP(A149,'Centre WR5'!$A$7:$N$160,11,FALSE),0)</f>
        <v>0</v>
      </c>
      <c r="L149" s="10">
        <f>IFERROR(VLOOKUP(A149,'Centre DW5'!$A$7:$N$163,12,FALSE),0)+
IFERROR(VLOOKUP(A149,'Centre WP5'!$A$7:$N$160,12,FALSE),0)+
IFERROR(VLOOKUP(A149,'Centre WR5'!$A$7:$N$160,12,FALSE),0)</f>
        <v>0</v>
      </c>
      <c r="M149" s="10">
        <f>IFERROR(VLOOKUP(A149,'Centre DW5'!$A$7:$N$163,13,FALSE),0)+
IFERROR(VLOOKUP(A149,'Centre WP5'!$A$7:$N$160,13,FALSE),0)+
IFERROR(VLOOKUP(A149,'Centre WR5'!$A$7:$N$160,13,FALSE),0)</f>
        <v>0</v>
      </c>
      <c r="N149" s="10">
        <f>IFERROR(VLOOKUP(A149,'Centre DW5'!$A$7:$N$163,14,FALSE),0)+
IFERROR(VLOOKUP(A149,'Centre WP5'!$A$7:$N$160,14,FALSE),0)+
IFERROR(VLOOKUP(A149,'Centre WR5'!$A$7:$N$160,14,FALSE),0)</f>
        <v>0</v>
      </c>
    </row>
    <row r="150" spans="1:14" x14ac:dyDescent="0.2">
      <c r="A150" s="48" t="s">
        <v>244</v>
      </c>
      <c r="B150" s="49" t="s">
        <v>245</v>
      </c>
      <c r="C150" s="50">
        <f>IFERROR(VLOOKUP(A150,'Centre DW5'!$A$7:$N$163,3,FALSE),0)+
IFERROR(VLOOKUP(A150,'Centre WP5'!$A$7:$N$160,3,FALSE),0)+
IFERROR(VLOOKUP(A150,'Centre WR5'!$A$7:$N$160,3,FALSE),0)</f>
        <v>0</v>
      </c>
      <c r="D150" s="50">
        <f>IFERROR(VLOOKUP(A150,'Centre DW5'!$A$7:$N$163,4,FALSE),0)+
IFERROR(VLOOKUP(A150,'Centre WP5'!$A$7:$N$160,4,FALSE),0)+
IFERROR(VLOOKUP(A150,'Centre WR5'!$A$7:$N$160,4,FALSE),0)</f>
        <v>0</v>
      </c>
      <c r="E150" s="50">
        <f>IFERROR(VLOOKUP(A150,'Centre DW5'!$A$7:$N$163,5,FALSE),0)+
IFERROR(VLOOKUP(A150,'Centre WP5'!$A$7:$N$160,5,FALSE),0)+
IFERROR(VLOOKUP(A150,'Centre WR5'!$A$7:$N$160,5,FALSE),0)</f>
        <v>0</v>
      </c>
      <c r="F150" s="50">
        <f>IFERROR(VLOOKUP(A150,'Centre DW5'!$A$7:$N$163,6,FALSE),0)+
IFERROR(VLOOKUP(A150,'Centre WP5'!$A$7:$N$160,6,FALSE),0)+
IFERROR(VLOOKUP(A150,'Centre WR5'!$A$7:$N$160,6,FALSE),0)</f>
        <v>0</v>
      </c>
      <c r="G150" s="50">
        <f>IFERROR(VLOOKUP(A150,'Centre DW5'!$A$7:$N$163,7,FALSE),0)+
IFERROR(VLOOKUP(A150,'Centre WP5'!$A$7:$N$160,7,FALSE),0)+
IFERROR(VLOOKUP(A150,'Centre WR5'!$A$7:$N$160,7,FALSE),0)</f>
        <v>0</v>
      </c>
      <c r="H150" s="50">
        <f>IFERROR(VLOOKUP(A150,'Centre DW5'!$A$7:$N$163,8,FALSE),0)+
IFERROR(VLOOKUP(A150,'Centre WP5'!$A$7:$N$160,8,FALSE),0)+
IFERROR(VLOOKUP(A150,'Centre WR5'!$A$7:$N$160,8,FALSE),0)</f>
        <v>0</v>
      </c>
      <c r="I150" s="50">
        <f>IFERROR(VLOOKUP(A150,'Centre DW5'!$A$7:$N$163,9,FALSE),0)+
IFERROR(VLOOKUP(A150,'Centre WP5'!$A$7:$N$160,9,FALSE),0)+
IFERROR(VLOOKUP(A150,'Centre WR5'!$A$7:$N$160,9,FALSE),0)</f>
        <v>0</v>
      </c>
      <c r="J150" s="50">
        <f>IFERROR(VLOOKUP(A150,'Centre DW5'!$A$7:$N$163,10,FALSE),0)+
IFERROR(VLOOKUP(A150,'Centre WP5'!$A$7:$N$160,10,FALSE),0)+
IFERROR(VLOOKUP(A150,'Centre WR5'!$A$7:$N$160,10,FALSE),0)</f>
        <v>0</v>
      </c>
      <c r="K150" s="50">
        <f>IFERROR(VLOOKUP(A150,'Centre DW5'!$A$7:$N$163,11,FALSE),0)+
IFERROR(VLOOKUP(A150,'Centre WP5'!$A$7:$N$160,11,FALSE),0)+
IFERROR(VLOOKUP(A150,'Centre WR5'!$A$7:$N$160,11,FALSE),0)</f>
        <v>0</v>
      </c>
      <c r="L150" s="50">
        <f>IFERROR(VLOOKUP(A150,'Centre DW5'!$A$7:$N$163,12,FALSE),0)+
IFERROR(VLOOKUP(A150,'Centre WP5'!$A$7:$N$160,12,FALSE),0)+
IFERROR(VLOOKUP(A150,'Centre WR5'!$A$7:$N$160,12,FALSE),0)</f>
        <v>0</v>
      </c>
      <c r="M150" s="50">
        <f>IFERROR(VLOOKUP(A150,'Centre DW5'!$A$7:$N$163,13,FALSE),0)+
IFERROR(VLOOKUP(A150,'Centre WP5'!$A$7:$N$160,13,FALSE),0)+
IFERROR(VLOOKUP(A150,'Centre WR5'!$A$7:$N$160,13,FALSE),0)</f>
        <v>0</v>
      </c>
      <c r="N150" s="50">
        <f>IFERROR(VLOOKUP(A150,'Centre DW5'!$A$7:$N$163,14,FALSE),0)+
IFERROR(VLOOKUP(A150,'Centre WP5'!$A$7:$N$160,14,FALSE),0)+
IFERROR(VLOOKUP(A150,'Centre WR5'!$A$7:$N$160,14,FALSE),0)</f>
        <v>0</v>
      </c>
    </row>
    <row r="151" spans="1:14" x14ac:dyDescent="0.2">
      <c r="A151" s="51"/>
      <c r="B151" s="51" t="s">
        <v>246</v>
      </c>
      <c r="C151" s="19">
        <f>+C144-(C145+C150)</f>
        <v>73.897000000000077</v>
      </c>
      <c r="D151" s="19">
        <f t="shared" ref="D151:I151" si="25">+D144-(D145+D150)</f>
        <v>9.4970000000000496</v>
      </c>
      <c r="E151" s="19">
        <f t="shared" si="25"/>
        <v>90.797000000000054</v>
      </c>
      <c r="F151" s="19">
        <f t="shared" si="25"/>
        <v>10.096999999999987</v>
      </c>
      <c r="G151" s="19">
        <f t="shared" si="25"/>
        <v>74.597000000000023</v>
      </c>
      <c r="H151" s="19">
        <f t="shared" si="25"/>
        <v>52.297000000000033</v>
      </c>
      <c r="I151" s="19">
        <f t="shared" si="25"/>
        <v>97.4969999999999</v>
      </c>
      <c r="J151" s="19">
        <f>+J144-(J145+J150)</f>
        <v>109.797</v>
      </c>
      <c r="K151" s="19">
        <f t="shared" ref="K151:N151" si="26">+K144-(K145+K150)</f>
        <v>16.096999999999973</v>
      </c>
      <c r="L151" s="19">
        <f t="shared" si="26"/>
        <v>30.39699999999997</v>
      </c>
      <c r="M151" s="19">
        <f t="shared" si="26"/>
        <v>79.197000000000003</v>
      </c>
      <c r="N151" s="19">
        <f t="shared" si="26"/>
        <v>21.59699999999993</v>
      </c>
    </row>
    <row r="152" spans="1:14" x14ac:dyDescent="0.2">
      <c r="A152" s="2"/>
      <c r="B152" s="2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</row>
    <row r="153" spans="1:14" x14ac:dyDescent="0.2">
      <c r="A153" s="12"/>
      <c r="B153" s="12" t="s">
        <v>247</v>
      </c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</row>
    <row r="154" spans="1:14" x14ac:dyDescent="0.2">
      <c r="A154" s="9" t="s">
        <v>248</v>
      </c>
      <c r="B154" s="1" t="s">
        <v>249</v>
      </c>
      <c r="C154" s="13">
        <v>54</v>
      </c>
      <c r="D154" s="13">
        <v>49</v>
      </c>
      <c r="E154" s="13">
        <v>48</v>
      </c>
      <c r="F154" s="13">
        <v>49</v>
      </c>
      <c r="G154" s="13">
        <v>47</v>
      </c>
      <c r="H154" s="13">
        <v>47</v>
      </c>
      <c r="I154" s="13">
        <v>48</v>
      </c>
      <c r="J154" s="13">
        <v>49</v>
      </c>
      <c r="K154" s="13">
        <v>47</v>
      </c>
      <c r="L154" s="13">
        <v>47</v>
      </c>
      <c r="M154" s="13">
        <v>47</v>
      </c>
      <c r="N154" s="13">
        <v>47</v>
      </c>
    </row>
    <row r="155" spans="1:14" outlineLevel="1" x14ac:dyDescent="0.2">
      <c r="A155" s="9" t="s">
        <v>250</v>
      </c>
      <c r="B155" s="1" t="s">
        <v>251</v>
      </c>
      <c r="C155" s="13">
        <v>54</v>
      </c>
      <c r="D155" s="13">
        <v>49</v>
      </c>
      <c r="E155" s="13">
        <v>48</v>
      </c>
      <c r="F155" s="13">
        <v>49</v>
      </c>
      <c r="G155" s="13">
        <v>47</v>
      </c>
      <c r="H155" s="13">
        <v>47</v>
      </c>
      <c r="I155" s="13">
        <v>48</v>
      </c>
      <c r="J155" s="13">
        <v>49</v>
      </c>
      <c r="K155" s="13">
        <v>47</v>
      </c>
      <c r="L155" s="13">
        <v>47</v>
      </c>
      <c r="M155" s="13">
        <v>47</v>
      </c>
      <c r="N155" s="13">
        <v>47</v>
      </c>
    </row>
    <row r="156" spans="1:14" x14ac:dyDescent="0.2">
      <c r="A156" s="9" t="s">
        <v>252</v>
      </c>
      <c r="B156" s="1" t="s">
        <v>253</v>
      </c>
      <c r="C156" s="13">
        <v>146.9</v>
      </c>
      <c r="D156" s="13">
        <v>144.9</v>
      </c>
      <c r="E156" s="13">
        <v>150.5</v>
      </c>
      <c r="F156" s="13">
        <v>143.4</v>
      </c>
      <c r="G156" s="13">
        <v>136.30000000000001</v>
      </c>
      <c r="H156" s="13">
        <v>135.30000000000001</v>
      </c>
      <c r="I156" s="13">
        <v>150.5</v>
      </c>
      <c r="J156" s="13">
        <v>143.4</v>
      </c>
      <c r="K156" s="13">
        <v>136.30000000000001</v>
      </c>
      <c r="L156" s="13">
        <v>135.30000000000001</v>
      </c>
      <c r="M156" s="13">
        <v>133</v>
      </c>
      <c r="N156" s="13">
        <v>141.5</v>
      </c>
    </row>
    <row r="157" spans="1:14" outlineLevel="1" x14ac:dyDescent="0.2">
      <c r="A157" s="9" t="s">
        <v>254</v>
      </c>
      <c r="B157" s="1" t="s">
        <v>255</v>
      </c>
      <c r="C157" s="13">
        <v>146.9</v>
      </c>
      <c r="D157" s="13">
        <v>144.9</v>
      </c>
      <c r="E157" s="13">
        <v>150.5</v>
      </c>
      <c r="F157" s="13">
        <v>143.4</v>
      </c>
      <c r="G157" s="13">
        <v>136.30000000000001</v>
      </c>
      <c r="H157" s="13">
        <v>135.30000000000001</v>
      </c>
      <c r="I157" s="13">
        <v>150.5</v>
      </c>
      <c r="J157" s="13">
        <v>143.4</v>
      </c>
      <c r="K157" s="13">
        <v>136.30000000000001</v>
      </c>
      <c r="L157" s="13">
        <v>135.30000000000001</v>
      </c>
      <c r="M157" s="13">
        <v>133</v>
      </c>
      <c r="N157" s="13">
        <v>141.5</v>
      </c>
    </row>
    <row r="158" spans="1:14" x14ac:dyDescent="0.2">
      <c r="A158" s="9" t="s">
        <v>256</v>
      </c>
      <c r="B158" s="1" t="s">
        <v>257</v>
      </c>
      <c r="C158" s="13">
        <v>2.7</v>
      </c>
      <c r="D158" s="13">
        <v>2.6</v>
      </c>
      <c r="E158" s="13">
        <v>2.6</v>
      </c>
      <c r="F158" s="13">
        <v>2.6</v>
      </c>
      <c r="G158" s="13">
        <v>2.6</v>
      </c>
      <c r="H158" s="13">
        <v>2.6</v>
      </c>
      <c r="I158" s="13">
        <v>2.6</v>
      </c>
      <c r="J158" s="13">
        <v>2.6</v>
      </c>
      <c r="K158" s="13">
        <v>2.6</v>
      </c>
      <c r="L158" s="13">
        <v>2.6</v>
      </c>
      <c r="M158" s="13">
        <v>2.2999999999999998</v>
      </c>
      <c r="N158" s="13">
        <v>2.6</v>
      </c>
    </row>
    <row r="159" spans="1:14" outlineLevel="1" x14ac:dyDescent="0.2">
      <c r="A159" s="9" t="s">
        <v>258</v>
      </c>
      <c r="B159" s="1" t="s">
        <v>259</v>
      </c>
      <c r="C159" s="13">
        <v>2.7</v>
      </c>
      <c r="D159" s="13">
        <v>2.6</v>
      </c>
      <c r="E159" s="13">
        <v>2.6</v>
      </c>
      <c r="F159" s="13">
        <v>2.6</v>
      </c>
      <c r="G159" s="13">
        <v>2.6</v>
      </c>
      <c r="H159" s="13">
        <v>2.6</v>
      </c>
      <c r="I159" s="13">
        <v>2.6</v>
      </c>
      <c r="J159" s="13">
        <v>2.6</v>
      </c>
      <c r="K159" s="13">
        <v>2.6</v>
      </c>
      <c r="L159" s="13">
        <v>2.6</v>
      </c>
      <c r="M159" s="13">
        <v>2.2999999999999998</v>
      </c>
      <c r="N159" s="13">
        <v>2.6</v>
      </c>
    </row>
    <row r="160" spans="1:14" outlineLevel="1" x14ac:dyDescent="0.2">
      <c r="A160" s="9" t="s">
        <v>363</v>
      </c>
      <c r="B160" s="1" t="s">
        <v>259</v>
      </c>
      <c r="C160" s="13">
        <v>0</v>
      </c>
      <c r="D160" s="13">
        <v>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2">
      <c r="A161" s="9" t="s">
        <v>260</v>
      </c>
      <c r="B161" s="1" t="s">
        <v>261</v>
      </c>
      <c r="C161" s="13">
        <v>51.1</v>
      </c>
      <c r="D161" s="13">
        <v>45.1</v>
      </c>
      <c r="E161" s="13">
        <v>44.7</v>
      </c>
      <c r="F161" s="13">
        <v>45.7</v>
      </c>
      <c r="G161" s="13">
        <v>43.7</v>
      </c>
      <c r="H161" s="13">
        <v>43.7</v>
      </c>
      <c r="I161" s="13">
        <v>44.7</v>
      </c>
      <c r="J161" s="13">
        <v>45.7</v>
      </c>
      <c r="K161" s="13">
        <v>43.7</v>
      </c>
      <c r="L161" s="13">
        <v>43.7</v>
      </c>
      <c r="M161" s="13">
        <v>43.7</v>
      </c>
      <c r="N161" s="13">
        <v>45.4</v>
      </c>
    </row>
    <row r="162" spans="1:14" outlineLevel="1" x14ac:dyDescent="0.2">
      <c r="A162" s="9" t="s">
        <v>262</v>
      </c>
      <c r="B162" s="1" t="s">
        <v>263</v>
      </c>
      <c r="C162" s="13">
        <v>51.1</v>
      </c>
      <c r="D162" s="13">
        <v>45.1</v>
      </c>
      <c r="E162" s="13">
        <v>44.7</v>
      </c>
      <c r="F162" s="13">
        <v>45.7</v>
      </c>
      <c r="G162" s="13">
        <v>43.7</v>
      </c>
      <c r="H162" s="13">
        <v>43.7</v>
      </c>
      <c r="I162" s="13">
        <v>44.7</v>
      </c>
      <c r="J162" s="13">
        <v>45.7</v>
      </c>
      <c r="K162" s="13">
        <v>43.7</v>
      </c>
      <c r="L162" s="13">
        <v>43.7</v>
      </c>
      <c r="M162" s="13">
        <v>43.7</v>
      </c>
      <c r="N162" s="13">
        <v>45.4</v>
      </c>
    </row>
    <row r="163" spans="1:14" outlineLevel="1" x14ac:dyDescent="0.2">
      <c r="A163" s="9" t="s">
        <v>364</v>
      </c>
      <c r="B163" s="1" t="s">
        <v>263</v>
      </c>
      <c r="C163" s="13">
        <v>0</v>
      </c>
      <c r="D163" s="13">
        <v>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2">
      <c r="A164" s="9" t="s">
        <v>264</v>
      </c>
      <c r="B164" s="1" t="s">
        <v>265</v>
      </c>
      <c r="C164" s="13">
        <v>93.1</v>
      </c>
      <c r="D164" s="13">
        <v>97.2</v>
      </c>
      <c r="E164" s="13">
        <v>103.1</v>
      </c>
      <c r="F164" s="13">
        <v>95</v>
      </c>
      <c r="G164" s="13">
        <v>90</v>
      </c>
      <c r="H164" s="13">
        <v>89</v>
      </c>
      <c r="I164" s="13">
        <v>103.1</v>
      </c>
      <c r="J164" s="13">
        <v>95</v>
      </c>
      <c r="K164" s="13">
        <v>90</v>
      </c>
      <c r="L164" s="13">
        <v>89</v>
      </c>
      <c r="M164" s="13">
        <v>87</v>
      </c>
      <c r="N164" s="13">
        <v>93.5</v>
      </c>
    </row>
    <row r="165" spans="1:14" outlineLevel="1" x14ac:dyDescent="0.2">
      <c r="A165" s="9" t="s">
        <v>266</v>
      </c>
      <c r="B165" s="1" t="s">
        <v>267</v>
      </c>
      <c r="C165" s="13">
        <v>93.1</v>
      </c>
      <c r="D165" s="13">
        <v>97.2</v>
      </c>
      <c r="E165" s="13">
        <v>103.1</v>
      </c>
      <c r="F165" s="13">
        <v>95</v>
      </c>
      <c r="G165" s="13">
        <v>90</v>
      </c>
      <c r="H165" s="13">
        <v>89</v>
      </c>
      <c r="I165" s="13">
        <v>103.1</v>
      </c>
      <c r="J165" s="13">
        <v>95</v>
      </c>
      <c r="K165" s="13">
        <v>90</v>
      </c>
      <c r="L165" s="13">
        <v>89</v>
      </c>
      <c r="M165" s="13">
        <v>87</v>
      </c>
      <c r="N165" s="13">
        <v>93.5</v>
      </c>
    </row>
    <row r="166" spans="1:14" outlineLevel="1" x14ac:dyDescent="0.2">
      <c r="A166" s="9" t="s">
        <v>365</v>
      </c>
      <c r="B166" s="1" t="s">
        <v>366</v>
      </c>
      <c r="C166" s="13">
        <v>0</v>
      </c>
      <c r="D166" s="13">
        <v>0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2">
      <c r="A167" s="9" t="s">
        <v>268</v>
      </c>
      <c r="B167" s="1" t="s">
        <v>269</v>
      </c>
      <c r="C167" s="13">
        <v>0</v>
      </c>
      <c r="D167" s="13">
        <v>0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2">
      <c r="A168" s="9" t="s">
        <v>270</v>
      </c>
      <c r="B168" s="1" t="s">
        <v>271</v>
      </c>
      <c r="C168" s="13">
        <v>0</v>
      </c>
      <c r="D168" s="13">
        <v>0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2">
      <c r="A169" s="9" t="s">
        <v>272</v>
      </c>
      <c r="B169" s="1" t="s">
        <v>273</v>
      </c>
      <c r="C169" s="13">
        <v>0</v>
      </c>
      <c r="D169" s="13">
        <v>0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/>
    </row>
    <row r="170" spans="1:14" x14ac:dyDescent="0.2">
      <c r="A170" s="9" t="s">
        <v>274</v>
      </c>
      <c r="B170" s="1" t="s">
        <v>275</v>
      </c>
      <c r="C170" s="13">
        <v>0</v>
      </c>
      <c r="D170" s="13">
        <v>0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/>
    </row>
    <row r="171" spans="1:14" x14ac:dyDescent="0.2">
      <c r="A171" s="9" t="s">
        <v>276</v>
      </c>
      <c r="B171" s="1" t="s">
        <v>277</v>
      </c>
      <c r="C171" s="17">
        <v>5908</v>
      </c>
      <c r="D171" s="17">
        <v>5908</v>
      </c>
      <c r="E171" s="17">
        <v>5908</v>
      </c>
      <c r="F171" s="17">
        <v>5908</v>
      </c>
      <c r="G171" s="17">
        <v>5908</v>
      </c>
      <c r="H171" s="17">
        <v>5908</v>
      </c>
      <c r="I171" s="17">
        <v>5908</v>
      </c>
      <c r="J171" s="17">
        <v>5908</v>
      </c>
      <c r="K171" s="17">
        <v>5908</v>
      </c>
      <c r="L171" s="17">
        <v>5908</v>
      </c>
      <c r="M171" s="17">
        <v>5908</v>
      </c>
      <c r="N171" s="17">
        <v>5908</v>
      </c>
    </row>
    <row r="172" spans="1:14" outlineLevel="1" x14ac:dyDescent="0.2">
      <c r="A172" s="9" t="s">
        <v>278</v>
      </c>
      <c r="B172" s="1" t="s">
        <v>279</v>
      </c>
      <c r="C172" s="17">
        <v>5908</v>
      </c>
      <c r="D172" s="17">
        <v>5908</v>
      </c>
      <c r="E172" s="17">
        <v>5908</v>
      </c>
      <c r="F172" s="17">
        <v>5908</v>
      </c>
      <c r="G172" s="17">
        <v>5908</v>
      </c>
      <c r="H172" s="17">
        <v>5908</v>
      </c>
      <c r="I172" s="17">
        <v>5908</v>
      </c>
      <c r="J172" s="17">
        <v>5908</v>
      </c>
      <c r="K172" s="17">
        <v>5908</v>
      </c>
      <c r="L172" s="17">
        <v>5908</v>
      </c>
      <c r="M172" s="17">
        <v>5908</v>
      </c>
      <c r="N172" s="17">
        <v>5908</v>
      </c>
    </row>
    <row r="173" spans="1:14" x14ac:dyDescent="0.2">
      <c r="A173" s="9" t="s">
        <v>280</v>
      </c>
      <c r="B173" s="1" t="s">
        <v>281</v>
      </c>
      <c r="C173" s="17">
        <v>5908</v>
      </c>
      <c r="D173" s="17">
        <v>5908</v>
      </c>
      <c r="E173" s="17">
        <v>5908</v>
      </c>
      <c r="F173" s="17">
        <v>5908</v>
      </c>
      <c r="G173" s="17">
        <v>5908</v>
      </c>
      <c r="H173" s="17">
        <v>5908</v>
      </c>
      <c r="I173" s="17">
        <v>5908</v>
      </c>
      <c r="J173" s="17">
        <v>5908</v>
      </c>
      <c r="K173" s="17">
        <v>5908</v>
      </c>
      <c r="L173" s="17">
        <v>5908</v>
      </c>
      <c r="M173" s="17">
        <v>5908</v>
      </c>
      <c r="N173" s="17">
        <v>5908</v>
      </c>
    </row>
    <row r="174" spans="1:14" outlineLevel="1" x14ac:dyDescent="0.2">
      <c r="A174" s="9" t="s">
        <v>282</v>
      </c>
      <c r="B174" s="1" t="s">
        <v>283</v>
      </c>
      <c r="C174" s="17">
        <v>5908</v>
      </c>
      <c r="D174" s="17">
        <v>5908</v>
      </c>
      <c r="E174" s="17">
        <v>5908</v>
      </c>
      <c r="F174" s="17">
        <v>5908</v>
      </c>
      <c r="G174" s="17">
        <v>5908</v>
      </c>
      <c r="H174" s="17">
        <v>5908</v>
      </c>
      <c r="I174" s="17">
        <v>5908</v>
      </c>
      <c r="J174" s="17">
        <v>5908</v>
      </c>
      <c r="K174" s="17">
        <v>5908</v>
      </c>
      <c r="L174" s="17">
        <v>5908</v>
      </c>
      <c r="M174" s="17">
        <v>5908</v>
      </c>
      <c r="N174" s="17">
        <v>5908</v>
      </c>
    </row>
    <row r="175" spans="1:14" x14ac:dyDescent="0.2">
      <c r="A175" s="9" t="s">
        <v>284</v>
      </c>
      <c r="B175" s="1" t="s">
        <v>285</v>
      </c>
      <c r="C175" s="13">
        <v>0</v>
      </c>
      <c r="D175" s="13">
        <v>0</v>
      </c>
      <c r="E175" s="13">
        <v>0</v>
      </c>
      <c r="F175" s="13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2">
      <c r="A176" s="9" t="s">
        <v>288</v>
      </c>
      <c r="B176" s="1" t="s">
        <v>289</v>
      </c>
      <c r="C176" s="13">
        <v>0</v>
      </c>
      <c r="D176" s="13">
        <v>0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/>
    </row>
    <row r="177" spans="1:14" x14ac:dyDescent="0.2">
      <c r="A177" s="3"/>
      <c r="B177" s="3" t="s">
        <v>290</v>
      </c>
      <c r="C177" s="15">
        <v>4.9000000000000004</v>
      </c>
      <c r="D177" s="15">
        <v>4</v>
      </c>
      <c r="E177" s="15">
        <v>4.2</v>
      </c>
      <c r="F177" s="15">
        <v>5.2</v>
      </c>
      <c r="G177" s="15">
        <v>4.8</v>
      </c>
      <c r="H177" s="15">
        <v>4.8</v>
      </c>
      <c r="I177" s="15">
        <v>4.2</v>
      </c>
      <c r="J177" s="15">
        <v>5.2</v>
      </c>
      <c r="K177" s="15">
        <v>4.8</v>
      </c>
      <c r="L177" s="15">
        <v>4.8</v>
      </c>
      <c r="M177" s="15">
        <v>4.8</v>
      </c>
      <c r="N177" s="15">
        <v>0</v>
      </c>
    </row>
    <row r="178" spans="1:14" x14ac:dyDescent="0.2">
      <c r="A178" s="3"/>
      <c r="B178" s="3" t="s">
        <v>291</v>
      </c>
      <c r="C178" s="15" t="s">
        <v>292</v>
      </c>
      <c r="D178" s="15" t="s">
        <v>292</v>
      </c>
      <c r="E178" s="15" t="s">
        <v>292</v>
      </c>
      <c r="F178" s="15" t="s">
        <v>292</v>
      </c>
      <c r="G178" s="15" t="s">
        <v>292</v>
      </c>
      <c r="H178" s="15" t="s">
        <v>292</v>
      </c>
      <c r="I178" s="15" t="s">
        <v>292</v>
      </c>
      <c r="J178" s="15" t="s">
        <v>292</v>
      </c>
      <c r="K178" s="15" t="s">
        <v>292</v>
      </c>
      <c r="L178" s="15" t="s">
        <v>292</v>
      </c>
      <c r="M178" s="15" t="s">
        <v>292</v>
      </c>
      <c r="N178" s="15"/>
    </row>
    <row r="179" spans="1:14" x14ac:dyDescent="0.2">
      <c r="A179" s="3"/>
      <c r="B179" s="3" t="s">
        <v>293</v>
      </c>
      <c r="C179" s="15" t="s">
        <v>292</v>
      </c>
      <c r="D179" s="15" t="s">
        <v>292</v>
      </c>
      <c r="E179" s="15" t="s">
        <v>292</v>
      </c>
      <c r="F179" s="15" t="s">
        <v>292</v>
      </c>
      <c r="G179" s="15" t="s">
        <v>292</v>
      </c>
      <c r="H179" s="15" t="s">
        <v>292</v>
      </c>
      <c r="I179" s="15" t="s">
        <v>292</v>
      </c>
      <c r="J179" s="15" t="s">
        <v>292</v>
      </c>
      <c r="K179" s="15" t="s">
        <v>292</v>
      </c>
      <c r="L179" s="15" t="s">
        <v>292</v>
      </c>
      <c r="M179" s="15" t="s">
        <v>292</v>
      </c>
      <c r="N179" s="15"/>
    </row>
    <row r="180" spans="1:14" x14ac:dyDescent="0.2">
      <c r="A180" s="3"/>
      <c r="B180" s="3" t="s">
        <v>294</v>
      </c>
      <c r="C180" s="15">
        <v>0</v>
      </c>
      <c r="D180" s="15">
        <v>0</v>
      </c>
      <c r="E180" s="15">
        <v>0</v>
      </c>
      <c r="F180" s="15">
        <v>0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</row>
    <row r="181" spans="1:14" x14ac:dyDescent="0.2">
      <c r="A181" s="12"/>
      <c r="B181" s="12" t="s">
        <v>295</v>
      </c>
      <c r="C181" s="14" t="s">
        <v>292</v>
      </c>
      <c r="D181" s="14" t="s">
        <v>292</v>
      </c>
      <c r="E181" s="14" t="s">
        <v>292</v>
      </c>
      <c r="F181" s="14" t="s">
        <v>292</v>
      </c>
      <c r="G181" s="14" t="s">
        <v>292</v>
      </c>
      <c r="H181" s="14" t="s">
        <v>292</v>
      </c>
      <c r="I181" s="14" t="s">
        <v>292</v>
      </c>
      <c r="J181" s="14" t="s">
        <v>292</v>
      </c>
      <c r="K181" s="14" t="s">
        <v>292</v>
      </c>
      <c r="L181" s="14" t="s">
        <v>292</v>
      </c>
      <c r="M181" s="14" t="s">
        <v>292</v>
      </c>
      <c r="N18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F960-B28D-4EF4-9815-596A1618C5D5}">
  <sheetPr codeName="Hoja40">
    <tabColor rgb="FF00B050"/>
  </sheetPr>
  <dimension ref="A1:N76"/>
  <sheetViews>
    <sheetView zoomScaleNormal="100" workbookViewId="0">
      <pane ySplit="6" topLeftCell="A16" activePane="bottomLeft" state="frozen"/>
      <selection activeCell="I54" sqref="I54"/>
      <selection pane="bottomLeft" activeCell="B36" sqref="B36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367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>+C8</f>
        <v>5.5</v>
      </c>
      <c r="D7" s="10">
        <f t="shared" ref="D7:N7" si="0">+D8</f>
        <v>5.5</v>
      </c>
      <c r="E7" s="10">
        <f t="shared" si="0"/>
        <v>5.5</v>
      </c>
      <c r="F7" s="10">
        <f t="shared" si="0"/>
        <v>5.5</v>
      </c>
      <c r="G7" s="10">
        <f t="shared" si="0"/>
        <v>5.5</v>
      </c>
      <c r="H7" s="10">
        <f t="shared" si="0"/>
        <v>5.5</v>
      </c>
      <c r="I7" s="10">
        <f t="shared" si="0"/>
        <v>5.5</v>
      </c>
      <c r="J7" s="10">
        <f t="shared" si="0"/>
        <v>5.5</v>
      </c>
      <c r="K7" s="10">
        <f t="shared" si="0"/>
        <v>5.5</v>
      </c>
      <c r="L7" s="10">
        <f t="shared" si="0"/>
        <v>5.5</v>
      </c>
      <c r="M7" s="10">
        <f t="shared" si="0"/>
        <v>5.5</v>
      </c>
      <c r="N7" s="10">
        <f t="shared" si="0"/>
        <v>7.9</v>
      </c>
    </row>
    <row r="8" spans="1:14" x14ac:dyDescent="0.2">
      <c r="A8" s="61" t="s">
        <v>33</v>
      </c>
      <c r="B8" s="62" t="s">
        <v>34</v>
      </c>
      <c r="C8" s="10">
        <v>5.5</v>
      </c>
      <c r="D8" s="10">
        <v>5.5</v>
      </c>
      <c r="E8" s="10">
        <v>5.5</v>
      </c>
      <c r="F8" s="10">
        <v>5.5</v>
      </c>
      <c r="G8" s="10">
        <v>5.5</v>
      </c>
      <c r="H8" s="10">
        <v>5.5</v>
      </c>
      <c r="I8" s="10">
        <v>5.5</v>
      </c>
      <c r="J8" s="10">
        <v>5.5</v>
      </c>
      <c r="K8" s="10">
        <v>5.5</v>
      </c>
      <c r="L8" s="10">
        <v>5.5</v>
      </c>
      <c r="M8" s="10">
        <v>5.5</v>
      </c>
      <c r="N8" s="10">
        <v>7.9</v>
      </c>
    </row>
    <row r="9" spans="1:14" x14ac:dyDescent="0.2">
      <c r="A9" s="9" t="s">
        <v>37</v>
      </c>
      <c r="B9" s="1" t="s">
        <v>38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x14ac:dyDescent="0.2">
      <c r="A10" s="9" t="s">
        <v>39</v>
      </c>
      <c r="B10" s="1" t="s">
        <v>40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x14ac:dyDescent="0.2">
      <c r="A11" s="9" t="s">
        <v>41</v>
      </c>
      <c r="B11" s="1" t="s">
        <v>42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9" t="s">
        <v>45</v>
      </c>
      <c r="B12" s="1" t="s">
        <v>46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x14ac:dyDescent="0.2">
      <c r="A13" s="12"/>
      <c r="B13" s="12" t="s">
        <v>47</v>
      </c>
      <c r="C13" s="21">
        <f t="shared" ref="C13:N13" si="1">+C7+C9+C10+C11+C12</f>
        <v>5.5</v>
      </c>
      <c r="D13" s="21">
        <f t="shared" si="1"/>
        <v>5.5</v>
      </c>
      <c r="E13" s="21">
        <f t="shared" si="1"/>
        <v>5.5</v>
      </c>
      <c r="F13" s="21">
        <f t="shared" si="1"/>
        <v>5.5</v>
      </c>
      <c r="G13" s="21">
        <f t="shared" si="1"/>
        <v>5.5</v>
      </c>
      <c r="H13" s="21">
        <f t="shared" si="1"/>
        <v>5.5</v>
      </c>
      <c r="I13" s="21">
        <f t="shared" si="1"/>
        <v>5.5</v>
      </c>
      <c r="J13" s="21">
        <f t="shared" si="1"/>
        <v>5.5</v>
      </c>
      <c r="K13" s="21">
        <f t="shared" si="1"/>
        <v>5.5</v>
      </c>
      <c r="L13" s="21">
        <f t="shared" si="1"/>
        <v>5.5</v>
      </c>
      <c r="M13" s="21">
        <f t="shared" si="1"/>
        <v>5.5</v>
      </c>
      <c r="N13" s="21">
        <f t="shared" si="1"/>
        <v>7.9</v>
      </c>
    </row>
    <row r="14" spans="1:14" x14ac:dyDescent="0.2">
      <c r="A14" s="9" t="s">
        <v>48</v>
      </c>
      <c r="B14" s="1" t="s">
        <v>49</v>
      </c>
      <c r="C14" s="10">
        <f>+C15</f>
        <v>0.3</v>
      </c>
      <c r="D14" s="10">
        <f t="shared" ref="D14:N14" si="2">+D15</f>
        <v>0.3</v>
      </c>
      <c r="E14" s="10">
        <f t="shared" si="2"/>
        <v>0.3</v>
      </c>
      <c r="F14" s="10">
        <f t="shared" si="2"/>
        <v>0.3</v>
      </c>
      <c r="G14" s="10">
        <f t="shared" si="2"/>
        <v>0.3</v>
      </c>
      <c r="H14" s="10">
        <f t="shared" si="2"/>
        <v>0.3</v>
      </c>
      <c r="I14" s="10">
        <f t="shared" si="2"/>
        <v>0.3</v>
      </c>
      <c r="J14" s="10">
        <f t="shared" si="2"/>
        <v>0.3</v>
      </c>
      <c r="K14" s="10">
        <f t="shared" si="2"/>
        <v>0.3</v>
      </c>
      <c r="L14" s="10">
        <f t="shared" si="2"/>
        <v>0.3</v>
      </c>
      <c r="M14" s="10">
        <f t="shared" si="2"/>
        <v>0.3</v>
      </c>
      <c r="N14" s="10">
        <f t="shared" si="2"/>
        <v>0.3</v>
      </c>
    </row>
    <row r="15" spans="1:14" x14ac:dyDescent="0.2">
      <c r="A15" s="61" t="s">
        <v>50</v>
      </c>
      <c r="B15" s="62" t="s">
        <v>51</v>
      </c>
      <c r="C15" s="10">
        <v>0.3</v>
      </c>
      <c r="D15" s="10">
        <v>0.3</v>
      </c>
      <c r="E15" s="10">
        <v>0.3</v>
      </c>
      <c r="F15" s="10">
        <v>0.3</v>
      </c>
      <c r="G15" s="10">
        <v>0.3</v>
      </c>
      <c r="H15" s="10">
        <v>0.3</v>
      </c>
      <c r="I15" s="10">
        <v>0.3</v>
      </c>
      <c r="J15" s="10">
        <v>0.3</v>
      </c>
      <c r="K15" s="10">
        <v>0.3</v>
      </c>
      <c r="L15" s="10">
        <v>0.3</v>
      </c>
      <c r="M15" s="10">
        <v>0.3</v>
      </c>
      <c r="N15" s="10">
        <v>0.3</v>
      </c>
    </row>
    <row r="16" spans="1:14" x14ac:dyDescent="0.2">
      <c r="A16" s="9" t="s">
        <v>60</v>
      </c>
      <c r="B16" s="1" t="s">
        <v>61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</row>
    <row r="17" spans="1:14" x14ac:dyDescent="0.2">
      <c r="A17" s="9" t="s">
        <v>62</v>
      </c>
      <c r="B17" s="1" t="s">
        <v>63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9" t="s">
        <v>64</v>
      </c>
      <c r="B18" s="1" t="s">
        <v>65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x14ac:dyDescent="0.2">
      <c r="A19" s="9" t="s">
        <v>68</v>
      </c>
      <c r="B19" s="1" t="s">
        <v>69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x14ac:dyDescent="0.2">
      <c r="A20" s="3"/>
      <c r="B20" s="3" t="s">
        <v>72</v>
      </c>
      <c r="C20" s="21">
        <f t="shared" ref="C20:N20" si="3">+C14+C16+C17+C18+C19</f>
        <v>0.3</v>
      </c>
      <c r="D20" s="21">
        <f t="shared" si="3"/>
        <v>0.3</v>
      </c>
      <c r="E20" s="21">
        <f t="shared" si="3"/>
        <v>0.3</v>
      </c>
      <c r="F20" s="21">
        <f t="shared" si="3"/>
        <v>0.3</v>
      </c>
      <c r="G20" s="21">
        <f t="shared" si="3"/>
        <v>0.3</v>
      </c>
      <c r="H20" s="21">
        <f t="shared" si="3"/>
        <v>0.3</v>
      </c>
      <c r="I20" s="21">
        <f t="shared" si="3"/>
        <v>0.3</v>
      </c>
      <c r="J20" s="21">
        <f t="shared" si="3"/>
        <v>0.3</v>
      </c>
      <c r="K20" s="21">
        <f t="shared" si="3"/>
        <v>0.3</v>
      </c>
      <c r="L20" s="21">
        <f t="shared" si="3"/>
        <v>0.3</v>
      </c>
      <c r="M20" s="21">
        <f t="shared" si="3"/>
        <v>0.3</v>
      </c>
      <c r="N20" s="21">
        <f t="shared" si="3"/>
        <v>0.3</v>
      </c>
    </row>
    <row r="21" spans="1:14" x14ac:dyDescent="0.2">
      <c r="A21" s="12"/>
      <c r="B21" s="12" t="s">
        <v>73</v>
      </c>
      <c r="C21" s="23">
        <f t="shared" ref="C21:N21" si="4">+C13-C20</f>
        <v>5.2</v>
      </c>
      <c r="D21" s="23">
        <f t="shared" si="4"/>
        <v>5.2</v>
      </c>
      <c r="E21" s="23">
        <f t="shared" si="4"/>
        <v>5.2</v>
      </c>
      <c r="F21" s="23">
        <f t="shared" si="4"/>
        <v>5.2</v>
      </c>
      <c r="G21" s="23">
        <f t="shared" si="4"/>
        <v>5.2</v>
      </c>
      <c r="H21" s="23">
        <f t="shared" si="4"/>
        <v>5.2</v>
      </c>
      <c r="I21" s="23">
        <f t="shared" si="4"/>
        <v>5.2</v>
      </c>
      <c r="J21" s="23">
        <f t="shared" si="4"/>
        <v>5.2</v>
      </c>
      <c r="K21" s="23">
        <f t="shared" si="4"/>
        <v>5.2</v>
      </c>
      <c r="L21" s="23">
        <f t="shared" si="4"/>
        <v>5.2</v>
      </c>
      <c r="M21" s="23">
        <f t="shared" si="4"/>
        <v>5.2</v>
      </c>
      <c r="N21" s="23">
        <f t="shared" si="4"/>
        <v>7.6000000000000005</v>
      </c>
    </row>
    <row r="22" spans="1:14" x14ac:dyDescent="0.2">
      <c r="A22" s="9" t="s">
        <v>74</v>
      </c>
      <c r="B22" s="1" t="s">
        <v>74</v>
      </c>
      <c r="C22" s="10" t="s">
        <v>74</v>
      </c>
      <c r="D22" s="10" t="s">
        <v>74</v>
      </c>
      <c r="E22" s="10" t="s">
        <v>74</v>
      </c>
      <c r="F22" s="10" t="s">
        <v>74</v>
      </c>
      <c r="G22" s="10" t="s">
        <v>74</v>
      </c>
      <c r="H22" s="10" t="s">
        <v>74</v>
      </c>
      <c r="I22" s="10" t="s">
        <v>74</v>
      </c>
      <c r="J22" s="10" t="s">
        <v>74</v>
      </c>
      <c r="K22" s="10" t="s">
        <v>74</v>
      </c>
      <c r="L22" s="10" t="s">
        <v>74</v>
      </c>
      <c r="M22" s="10" t="s">
        <v>74</v>
      </c>
      <c r="N22" s="10" t="s">
        <v>74</v>
      </c>
    </row>
    <row r="23" spans="1:14" x14ac:dyDescent="0.2">
      <c r="A23" s="9" t="s">
        <v>75</v>
      </c>
      <c r="B23" s="1" t="s">
        <v>76</v>
      </c>
      <c r="C23" s="10">
        <f>+C24</f>
        <v>1.1000000000000001</v>
      </c>
      <c r="D23" s="10">
        <f t="shared" ref="D23:N23" si="5">+D24</f>
        <v>1.1000000000000001</v>
      </c>
      <c r="E23" s="10">
        <f t="shared" si="5"/>
        <v>1.1000000000000001</v>
      </c>
      <c r="F23" s="10">
        <f t="shared" si="5"/>
        <v>1.1000000000000001</v>
      </c>
      <c r="G23" s="10">
        <f t="shared" si="5"/>
        <v>1.1000000000000001</v>
      </c>
      <c r="H23" s="10">
        <f t="shared" si="5"/>
        <v>1.1000000000000001</v>
      </c>
      <c r="I23" s="10">
        <f t="shared" si="5"/>
        <v>1.1000000000000001</v>
      </c>
      <c r="J23" s="10">
        <f t="shared" si="5"/>
        <v>1.1000000000000001</v>
      </c>
      <c r="K23" s="10">
        <f t="shared" si="5"/>
        <v>1.1000000000000001</v>
      </c>
      <c r="L23" s="10">
        <f t="shared" si="5"/>
        <v>1.1000000000000001</v>
      </c>
      <c r="M23" s="10">
        <f t="shared" si="5"/>
        <v>1.1000000000000001</v>
      </c>
      <c r="N23" s="10">
        <f t="shared" si="5"/>
        <v>2.5</v>
      </c>
    </row>
    <row r="24" spans="1:14" x14ac:dyDescent="0.2">
      <c r="A24" s="61" t="s">
        <v>105</v>
      </c>
      <c r="B24" s="62" t="s">
        <v>106</v>
      </c>
      <c r="C24" s="10">
        <v>1.1000000000000001</v>
      </c>
      <c r="D24" s="10">
        <v>1.1000000000000001</v>
      </c>
      <c r="E24" s="10">
        <v>1.1000000000000001</v>
      </c>
      <c r="F24" s="10">
        <v>1.1000000000000001</v>
      </c>
      <c r="G24" s="10">
        <v>1.1000000000000001</v>
      </c>
      <c r="H24" s="10">
        <v>1.1000000000000001</v>
      </c>
      <c r="I24" s="10">
        <v>1.1000000000000001</v>
      </c>
      <c r="J24" s="10">
        <v>1.1000000000000001</v>
      </c>
      <c r="K24" s="10">
        <v>1.1000000000000001</v>
      </c>
      <c r="L24" s="10">
        <v>1.1000000000000001</v>
      </c>
      <c r="M24" s="10">
        <v>1.1000000000000001</v>
      </c>
      <c r="N24" s="10">
        <v>2.5</v>
      </c>
    </row>
    <row r="25" spans="1:14" x14ac:dyDescent="0.2">
      <c r="A25" s="9" t="s">
        <v>111</v>
      </c>
      <c r="B25" s="1" t="s">
        <v>112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</row>
    <row r="26" spans="1:14" x14ac:dyDescent="0.2">
      <c r="A26" s="9" t="s">
        <v>119</v>
      </c>
      <c r="B26" s="1" t="s">
        <v>120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</row>
    <row r="27" spans="1:14" x14ac:dyDescent="0.2">
      <c r="A27" s="9" t="s">
        <v>127</v>
      </c>
      <c r="B27" s="1" t="s">
        <v>128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9" t="s">
        <v>133</v>
      </c>
      <c r="B28" s="1" t="s">
        <v>134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x14ac:dyDescent="0.2">
      <c r="A29" s="9" t="s">
        <v>137</v>
      </c>
      <c r="B29" s="1" t="s">
        <v>138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</row>
    <row r="30" spans="1:14" x14ac:dyDescent="0.2">
      <c r="A30" s="9" t="s">
        <v>139</v>
      </c>
      <c r="B30" s="1" t="s">
        <v>140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x14ac:dyDescent="0.2">
      <c r="A31" s="9" t="s">
        <v>141</v>
      </c>
      <c r="B31" s="1" t="s">
        <v>142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x14ac:dyDescent="0.2">
      <c r="A32" s="9" t="s">
        <v>143</v>
      </c>
      <c r="B32" s="1" t="s">
        <v>144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</row>
    <row r="33" spans="1:14" x14ac:dyDescent="0.2">
      <c r="A33" s="9" t="s">
        <v>157</v>
      </c>
      <c r="B33" s="1" t="s">
        <v>158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</row>
    <row r="34" spans="1:14" x14ac:dyDescent="0.2">
      <c r="A34" s="3"/>
      <c r="B34" s="3" t="s">
        <v>165</v>
      </c>
      <c r="C34" s="21">
        <f>+C23+C25+C26+C27+C28+C29+C30+C31+C32+C33</f>
        <v>1.1000000000000001</v>
      </c>
      <c r="D34" s="21">
        <f t="shared" ref="D34:N34" si="6">+D23+D25+D26+D27+D28+D29+D30+D31+D32+D33</f>
        <v>1.1000000000000001</v>
      </c>
      <c r="E34" s="21">
        <f t="shared" si="6"/>
        <v>1.1000000000000001</v>
      </c>
      <c r="F34" s="21">
        <f t="shared" si="6"/>
        <v>1.1000000000000001</v>
      </c>
      <c r="G34" s="21">
        <f t="shared" si="6"/>
        <v>1.1000000000000001</v>
      </c>
      <c r="H34" s="21">
        <f t="shared" si="6"/>
        <v>1.1000000000000001</v>
      </c>
      <c r="I34" s="21">
        <f t="shared" si="6"/>
        <v>1.1000000000000001</v>
      </c>
      <c r="J34" s="21">
        <f t="shared" si="6"/>
        <v>1.1000000000000001</v>
      </c>
      <c r="K34" s="21">
        <f t="shared" si="6"/>
        <v>1.1000000000000001</v>
      </c>
      <c r="L34" s="21">
        <f t="shared" si="6"/>
        <v>1.1000000000000001</v>
      </c>
      <c r="M34" s="21">
        <f t="shared" si="6"/>
        <v>1.1000000000000001</v>
      </c>
      <c r="N34" s="21">
        <f t="shared" si="6"/>
        <v>2.5</v>
      </c>
    </row>
    <row r="35" spans="1:14" x14ac:dyDescent="0.2">
      <c r="A35" s="12"/>
      <c r="B35" s="12" t="s">
        <v>166</v>
      </c>
      <c r="C35" s="23">
        <f t="shared" ref="C35:N35" si="7">+C21-C34</f>
        <v>4.0999999999999996</v>
      </c>
      <c r="D35" s="23">
        <f t="shared" si="7"/>
        <v>4.0999999999999996</v>
      </c>
      <c r="E35" s="23">
        <f t="shared" si="7"/>
        <v>4.0999999999999996</v>
      </c>
      <c r="F35" s="23">
        <f t="shared" si="7"/>
        <v>4.0999999999999996</v>
      </c>
      <c r="G35" s="23">
        <f t="shared" si="7"/>
        <v>4.0999999999999996</v>
      </c>
      <c r="H35" s="23">
        <f t="shared" si="7"/>
        <v>4.0999999999999996</v>
      </c>
      <c r="I35" s="23">
        <f t="shared" si="7"/>
        <v>4.0999999999999996</v>
      </c>
      <c r="J35" s="23">
        <f t="shared" si="7"/>
        <v>4.0999999999999996</v>
      </c>
      <c r="K35" s="23">
        <f t="shared" si="7"/>
        <v>4.0999999999999996</v>
      </c>
      <c r="L35" s="23">
        <f t="shared" si="7"/>
        <v>4.0999999999999996</v>
      </c>
      <c r="M35" s="23">
        <f t="shared" si="7"/>
        <v>4.0999999999999996</v>
      </c>
      <c r="N35" s="23">
        <f t="shared" si="7"/>
        <v>5.1000000000000005</v>
      </c>
    </row>
    <row r="36" spans="1:14" x14ac:dyDescent="0.2">
      <c r="A36" s="9" t="s">
        <v>167</v>
      </c>
      <c r="B36" s="1" t="s">
        <v>168</v>
      </c>
      <c r="C36" s="18">
        <f t="shared" ref="C36:I36" si="8">SUM(C37:C41)</f>
        <v>0.3</v>
      </c>
      <c r="D36" s="18">
        <f t="shared" si="8"/>
        <v>0.3</v>
      </c>
      <c r="E36" s="18">
        <f t="shared" si="8"/>
        <v>0.3</v>
      </c>
      <c r="F36" s="18">
        <f t="shared" si="8"/>
        <v>0.3</v>
      </c>
      <c r="G36" s="18">
        <f t="shared" si="8"/>
        <v>0.3</v>
      </c>
      <c r="H36" s="18">
        <f t="shared" si="8"/>
        <v>0.3</v>
      </c>
      <c r="I36" s="18">
        <f t="shared" si="8"/>
        <v>0.3</v>
      </c>
      <c r="J36" s="18">
        <f>SUM(J37:J41)</f>
        <v>0.3</v>
      </c>
      <c r="K36" s="18">
        <f t="shared" ref="K36:N36" si="9">SUM(K37:K41)</f>
        <v>0.3</v>
      </c>
      <c r="L36" s="18">
        <f t="shared" si="9"/>
        <v>0.3</v>
      </c>
      <c r="M36" s="18">
        <f t="shared" si="9"/>
        <v>0.3</v>
      </c>
      <c r="N36" s="18">
        <f t="shared" si="9"/>
        <v>0.3</v>
      </c>
    </row>
    <row r="37" spans="1:14" hidden="1" outlineLevel="1" x14ac:dyDescent="0.2">
      <c r="A37" s="9" t="s">
        <v>171</v>
      </c>
      <c r="B37" s="1" t="s">
        <v>172</v>
      </c>
      <c r="C37" s="10">
        <v>0.3</v>
      </c>
      <c r="D37" s="10">
        <v>0.3</v>
      </c>
      <c r="E37" s="10">
        <v>0.3</v>
      </c>
      <c r="F37" s="10">
        <v>0.3</v>
      </c>
      <c r="G37" s="10">
        <v>0.3</v>
      </c>
      <c r="H37" s="10">
        <v>0.3</v>
      </c>
      <c r="I37" s="10">
        <v>0.3</v>
      </c>
      <c r="J37" s="10">
        <v>0.3</v>
      </c>
      <c r="K37" s="10">
        <v>0.3</v>
      </c>
      <c r="L37" s="10">
        <v>0.3</v>
      </c>
      <c r="M37" s="10">
        <v>0.3</v>
      </c>
      <c r="N37" s="10">
        <v>0.3</v>
      </c>
    </row>
    <row r="38" spans="1:14" hidden="1" outlineLevel="1" x14ac:dyDescent="0.2">
      <c r="A38" s="9" t="s">
        <v>173</v>
      </c>
      <c r="B38" s="1" t="s">
        <v>174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hidden="1" outlineLevel="1" x14ac:dyDescent="0.2">
      <c r="A39" s="9" t="s">
        <v>175</v>
      </c>
      <c r="B39" s="1" t="s">
        <v>176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hidden="1" outlineLevel="1" x14ac:dyDescent="0.2">
      <c r="A40" s="9" t="s">
        <v>177</v>
      </c>
      <c r="B40" s="1" t="s">
        <v>178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hidden="1" outlineLevel="1" x14ac:dyDescent="0.2">
      <c r="A41" s="9" t="s">
        <v>179</v>
      </c>
      <c r="B41" s="1" t="s">
        <v>180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collapsed="1" x14ac:dyDescent="0.2">
      <c r="A42" s="9" t="s">
        <v>200</v>
      </c>
      <c r="B42" s="1" t="s">
        <v>201</v>
      </c>
      <c r="C42" s="18">
        <f t="shared" ref="C42:N42" si="10">SUM(C43:C47)</f>
        <v>0</v>
      </c>
      <c r="D42" s="18">
        <f t="shared" si="10"/>
        <v>0</v>
      </c>
      <c r="E42" s="18">
        <f t="shared" si="10"/>
        <v>0</v>
      </c>
      <c r="F42" s="18">
        <f t="shared" si="10"/>
        <v>0</v>
      </c>
      <c r="G42" s="18">
        <f t="shared" si="10"/>
        <v>0</v>
      </c>
      <c r="H42" s="18">
        <f t="shared" si="10"/>
        <v>0</v>
      </c>
      <c r="I42" s="18">
        <f t="shared" si="10"/>
        <v>0</v>
      </c>
      <c r="J42" s="18">
        <f t="shared" si="10"/>
        <v>0</v>
      </c>
      <c r="K42" s="18">
        <f t="shared" si="10"/>
        <v>0</v>
      </c>
      <c r="L42" s="18">
        <f t="shared" si="10"/>
        <v>0</v>
      </c>
      <c r="M42" s="18">
        <f t="shared" si="10"/>
        <v>0.1</v>
      </c>
      <c r="N42" s="18">
        <f t="shared" si="10"/>
        <v>0</v>
      </c>
    </row>
    <row r="43" spans="1:14" hidden="1" outlineLevel="1" x14ac:dyDescent="0.2">
      <c r="A43" s="9" t="s">
        <v>212</v>
      </c>
      <c r="B43" s="1" t="s">
        <v>213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214</v>
      </c>
      <c r="B44" s="1" t="s">
        <v>215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218</v>
      </c>
      <c r="B45" s="1" t="s">
        <v>219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hidden="1" outlineLevel="1" x14ac:dyDescent="0.2">
      <c r="A46" s="9" t="s">
        <v>220</v>
      </c>
      <c r="B46" s="1" t="s">
        <v>221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hidden="1" outlineLevel="1" x14ac:dyDescent="0.2">
      <c r="A47" s="9" t="s">
        <v>224</v>
      </c>
      <c r="B47" s="1" t="s">
        <v>225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0.1</v>
      </c>
      <c r="N47" s="10">
        <v>0</v>
      </c>
    </row>
    <row r="48" spans="1:14" collapsed="1" x14ac:dyDescent="0.2">
      <c r="A48" s="9" t="s">
        <v>226</v>
      </c>
      <c r="B48" s="1" t="s">
        <v>227</v>
      </c>
      <c r="C48" s="18">
        <v>0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18">
        <v>0</v>
      </c>
      <c r="N48" s="18">
        <v>0</v>
      </c>
    </row>
    <row r="49" spans="1:14" x14ac:dyDescent="0.2">
      <c r="A49" s="9" t="s">
        <v>228</v>
      </c>
      <c r="B49" s="1" t="s">
        <v>229</v>
      </c>
      <c r="C49" s="18">
        <v>0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0</v>
      </c>
      <c r="J49" s="18">
        <v>0</v>
      </c>
      <c r="K49" s="18">
        <v>0</v>
      </c>
      <c r="L49" s="18">
        <v>0</v>
      </c>
      <c r="M49" s="18">
        <v>0</v>
      </c>
      <c r="N49" s="18">
        <v>0</v>
      </c>
    </row>
    <row r="50" spans="1:14" x14ac:dyDescent="0.2">
      <c r="A50" s="9" t="s">
        <v>230</v>
      </c>
      <c r="B50" s="1" t="s">
        <v>231</v>
      </c>
      <c r="C50" s="18">
        <f t="shared" ref="C50:N50" si="11">+C51</f>
        <v>0</v>
      </c>
      <c r="D50" s="18">
        <f t="shared" si="11"/>
        <v>0</v>
      </c>
      <c r="E50" s="18">
        <f t="shared" si="11"/>
        <v>0</v>
      </c>
      <c r="F50" s="18">
        <f t="shared" si="11"/>
        <v>0</v>
      </c>
      <c r="G50" s="18">
        <f t="shared" si="11"/>
        <v>0</v>
      </c>
      <c r="H50" s="18">
        <f t="shared" si="11"/>
        <v>0</v>
      </c>
      <c r="I50" s="18">
        <f t="shared" si="11"/>
        <v>0</v>
      </c>
      <c r="J50" s="18">
        <f t="shared" si="11"/>
        <v>0</v>
      </c>
      <c r="K50" s="18">
        <f t="shared" si="11"/>
        <v>0</v>
      </c>
      <c r="L50" s="18">
        <f t="shared" si="11"/>
        <v>0</v>
      </c>
      <c r="M50" s="18">
        <f t="shared" si="11"/>
        <v>0</v>
      </c>
      <c r="N50" s="18">
        <f t="shared" si="11"/>
        <v>0</v>
      </c>
    </row>
    <row r="51" spans="1:14" hidden="1" outlineLevel="1" x14ac:dyDescent="0.2">
      <c r="A51" s="9" t="s">
        <v>234</v>
      </c>
      <c r="B51" s="1" t="s">
        <v>235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collapsed="1" x14ac:dyDescent="0.2">
      <c r="A52" s="3"/>
      <c r="B52" s="3" t="s">
        <v>236</v>
      </c>
      <c r="C52" s="21">
        <f t="shared" ref="C52:N52" si="12">SUM(C36+C42+C48+C49+C50)</f>
        <v>0.3</v>
      </c>
      <c r="D52" s="21">
        <f t="shared" si="12"/>
        <v>0.3</v>
      </c>
      <c r="E52" s="21">
        <f t="shared" si="12"/>
        <v>0.3</v>
      </c>
      <c r="F52" s="21">
        <f t="shared" si="12"/>
        <v>0.3</v>
      </c>
      <c r="G52" s="21">
        <f t="shared" si="12"/>
        <v>0.3</v>
      </c>
      <c r="H52" s="21">
        <f t="shared" si="12"/>
        <v>0.3</v>
      </c>
      <c r="I52" s="21">
        <f t="shared" si="12"/>
        <v>0.3</v>
      </c>
      <c r="J52" s="21">
        <f t="shared" si="12"/>
        <v>0.3</v>
      </c>
      <c r="K52" s="21">
        <f t="shared" si="12"/>
        <v>0.3</v>
      </c>
      <c r="L52" s="21">
        <f t="shared" si="12"/>
        <v>0.3</v>
      </c>
      <c r="M52" s="21">
        <f t="shared" si="12"/>
        <v>0.4</v>
      </c>
      <c r="N52" s="21">
        <f t="shared" si="12"/>
        <v>0.3</v>
      </c>
    </row>
    <row r="53" spans="1:14" x14ac:dyDescent="0.2">
      <c r="A53" s="12"/>
      <c r="B53" s="12" t="s">
        <v>237</v>
      </c>
      <c r="C53" s="23">
        <f t="shared" ref="C53:N53" si="13">+C35-C52</f>
        <v>3.8</v>
      </c>
      <c r="D53" s="23">
        <f t="shared" si="13"/>
        <v>3.8</v>
      </c>
      <c r="E53" s="23">
        <f t="shared" si="13"/>
        <v>3.8</v>
      </c>
      <c r="F53" s="23">
        <f t="shared" si="13"/>
        <v>3.8</v>
      </c>
      <c r="G53" s="23">
        <f t="shared" si="13"/>
        <v>3.8</v>
      </c>
      <c r="H53" s="23">
        <f t="shared" si="13"/>
        <v>3.8</v>
      </c>
      <c r="I53" s="23">
        <f t="shared" si="13"/>
        <v>3.8</v>
      </c>
      <c r="J53" s="23">
        <f t="shared" si="13"/>
        <v>3.8</v>
      </c>
      <c r="K53" s="23">
        <f t="shared" si="13"/>
        <v>3.8</v>
      </c>
      <c r="L53" s="23">
        <f t="shared" si="13"/>
        <v>3.8</v>
      </c>
      <c r="M53" s="23">
        <f t="shared" si="13"/>
        <v>3.6999999999999997</v>
      </c>
      <c r="N53" s="23">
        <f t="shared" si="13"/>
        <v>4.8000000000000007</v>
      </c>
    </row>
    <row r="54" spans="1:14" x14ac:dyDescent="0.2">
      <c r="A54" s="9" t="s">
        <v>238</v>
      </c>
      <c r="B54" s="1" t="s">
        <v>239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x14ac:dyDescent="0.2">
      <c r="A55" s="9" t="s">
        <v>244</v>
      </c>
      <c r="B55" s="1" t="s">
        <v>245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x14ac:dyDescent="0.2">
      <c r="A56" s="12"/>
      <c r="B56" s="12" t="s">
        <v>246</v>
      </c>
      <c r="C56" s="23">
        <f t="shared" ref="C56:N56" si="14">+C53-SUM(C54:C55)</f>
        <v>3.8</v>
      </c>
      <c r="D56" s="23">
        <f t="shared" si="14"/>
        <v>3.8</v>
      </c>
      <c r="E56" s="23">
        <f t="shared" si="14"/>
        <v>3.8</v>
      </c>
      <c r="F56" s="23">
        <f t="shared" si="14"/>
        <v>3.8</v>
      </c>
      <c r="G56" s="23">
        <f t="shared" si="14"/>
        <v>3.8</v>
      </c>
      <c r="H56" s="23">
        <f t="shared" si="14"/>
        <v>3.8</v>
      </c>
      <c r="I56" s="23">
        <f t="shared" si="14"/>
        <v>3.8</v>
      </c>
      <c r="J56" s="23">
        <f t="shared" si="14"/>
        <v>3.8</v>
      </c>
      <c r="K56" s="23">
        <f t="shared" si="14"/>
        <v>3.8</v>
      </c>
      <c r="L56" s="23">
        <f t="shared" si="14"/>
        <v>3.8</v>
      </c>
      <c r="M56" s="23">
        <f t="shared" si="14"/>
        <v>3.6999999999999997</v>
      </c>
      <c r="N56" s="23">
        <f t="shared" si="14"/>
        <v>4.8000000000000007</v>
      </c>
    </row>
    <row r="57" spans="1:14" x14ac:dyDescent="0.2">
      <c r="A57" s="9" t="s">
        <v>74</v>
      </c>
      <c r="B57" s="1" t="s">
        <v>74</v>
      </c>
      <c r="C57" s="13" t="s">
        <v>74</v>
      </c>
      <c r="D57" s="13" t="s">
        <v>74</v>
      </c>
      <c r="E57" s="13" t="s">
        <v>74</v>
      </c>
      <c r="F57" s="13" t="s">
        <v>74</v>
      </c>
      <c r="G57" s="13" t="s">
        <v>74</v>
      </c>
      <c r="H57" s="13" t="s">
        <v>74</v>
      </c>
      <c r="I57" s="13" t="s">
        <v>74</v>
      </c>
      <c r="J57" s="13" t="s">
        <v>74</v>
      </c>
      <c r="K57" s="13" t="s">
        <v>74</v>
      </c>
      <c r="L57" s="13" t="s">
        <v>74</v>
      </c>
      <c r="M57" s="13" t="s">
        <v>74</v>
      </c>
      <c r="N57" s="13" t="s">
        <v>74</v>
      </c>
    </row>
    <row r="58" spans="1:14" x14ac:dyDescent="0.2">
      <c r="A58" s="12"/>
      <c r="B58" s="12" t="s">
        <v>247</v>
      </c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</row>
    <row r="59" spans="1:14" x14ac:dyDescent="0.2">
      <c r="A59" s="9" t="s">
        <v>248</v>
      </c>
      <c r="B59" s="1" t="s">
        <v>249</v>
      </c>
      <c r="C59" s="13">
        <v>0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2">
      <c r="A60" s="9" t="s">
        <v>252</v>
      </c>
      <c r="B60" s="1" t="s">
        <v>253</v>
      </c>
      <c r="C60" s="13">
        <v>0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2">
      <c r="A61" s="9" t="s">
        <v>256</v>
      </c>
      <c r="B61" s="1" t="s">
        <v>257</v>
      </c>
      <c r="C61" s="13">
        <v>0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2">
      <c r="A62" s="9" t="s">
        <v>260</v>
      </c>
      <c r="B62" s="1" t="s">
        <v>261</v>
      </c>
      <c r="C62" s="13">
        <v>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2">
      <c r="A63" s="9" t="s">
        <v>264</v>
      </c>
      <c r="B63" s="1" t="s">
        <v>265</v>
      </c>
      <c r="C63" s="13">
        <v>0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2">
      <c r="A64" s="9" t="s">
        <v>268</v>
      </c>
      <c r="B64" s="1" t="s">
        <v>269</v>
      </c>
      <c r="C64" s="13">
        <v>0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2">
      <c r="A65" s="9" t="s">
        <v>270</v>
      </c>
      <c r="B65" s="1" t="s">
        <v>271</v>
      </c>
      <c r="C65" s="13">
        <v>0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2">
      <c r="A66" s="9" t="s">
        <v>272</v>
      </c>
      <c r="B66" s="1" t="s">
        <v>273</v>
      </c>
      <c r="C66" s="13">
        <v>0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">
      <c r="A67" s="9" t="s">
        <v>274</v>
      </c>
      <c r="B67" s="1" t="s">
        <v>275</v>
      </c>
      <c r="C67" s="13">
        <v>0</v>
      </c>
      <c r="D67" s="13">
        <v>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">
      <c r="A68" s="9" t="s">
        <v>276</v>
      </c>
      <c r="B68" s="1" t="s">
        <v>277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280</v>
      </c>
      <c r="B69" s="1" t="s">
        <v>281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284</v>
      </c>
      <c r="B70" s="1" t="s">
        <v>285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288</v>
      </c>
      <c r="B71" s="1" t="s">
        <v>289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3"/>
      <c r="B72" s="3" t="s">
        <v>290</v>
      </c>
      <c r="C72" s="15" t="s">
        <v>292</v>
      </c>
      <c r="D72" s="15" t="s">
        <v>292</v>
      </c>
      <c r="E72" s="15" t="s">
        <v>292</v>
      </c>
      <c r="F72" s="15" t="s">
        <v>292</v>
      </c>
      <c r="G72" s="15" t="s">
        <v>292</v>
      </c>
      <c r="H72" s="15" t="s">
        <v>292</v>
      </c>
      <c r="I72" s="15" t="s">
        <v>292</v>
      </c>
      <c r="J72" s="15" t="s">
        <v>292</v>
      </c>
      <c r="K72" s="15" t="s">
        <v>292</v>
      </c>
      <c r="L72" s="15" t="s">
        <v>292</v>
      </c>
      <c r="M72" s="15" t="s">
        <v>292</v>
      </c>
      <c r="N72" s="15" t="s">
        <v>292</v>
      </c>
    </row>
    <row r="73" spans="1:14" x14ac:dyDescent="0.2">
      <c r="A73" s="3"/>
      <c r="B73" s="3" t="s">
        <v>291</v>
      </c>
      <c r="C73" s="15" t="s">
        <v>292</v>
      </c>
      <c r="D73" s="15" t="s">
        <v>292</v>
      </c>
      <c r="E73" s="15" t="s">
        <v>292</v>
      </c>
      <c r="F73" s="15" t="s">
        <v>292</v>
      </c>
      <c r="G73" s="15" t="s">
        <v>292</v>
      </c>
      <c r="H73" s="15" t="s">
        <v>292</v>
      </c>
      <c r="I73" s="15" t="s">
        <v>292</v>
      </c>
      <c r="J73" s="15" t="s">
        <v>292</v>
      </c>
      <c r="K73" s="15" t="s">
        <v>292</v>
      </c>
      <c r="L73" s="15" t="s">
        <v>292</v>
      </c>
      <c r="M73" s="15" t="s">
        <v>292</v>
      </c>
      <c r="N73" s="15" t="s">
        <v>292</v>
      </c>
    </row>
    <row r="74" spans="1:14" x14ac:dyDescent="0.2">
      <c r="A74" s="3"/>
      <c r="B74" s="3" t="s">
        <v>293</v>
      </c>
      <c r="C74" s="15" t="s">
        <v>292</v>
      </c>
      <c r="D74" s="15" t="s">
        <v>292</v>
      </c>
      <c r="E74" s="15" t="s">
        <v>292</v>
      </c>
      <c r="F74" s="15" t="s">
        <v>292</v>
      </c>
      <c r="G74" s="15" t="s">
        <v>292</v>
      </c>
      <c r="H74" s="15" t="s">
        <v>292</v>
      </c>
      <c r="I74" s="15" t="s">
        <v>292</v>
      </c>
      <c r="J74" s="15" t="s">
        <v>292</v>
      </c>
      <c r="K74" s="15" t="s">
        <v>292</v>
      </c>
      <c r="L74" s="15" t="s">
        <v>292</v>
      </c>
      <c r="M74" s="15" t="s">
        <v>292</v>
      </c>
      <c r="N74" s="15" t="s">
        <v>292</v>
      </c>
    </row>
    <row r="75" spans="1:14" x14ac:dyDescent="0.2">
      <c r="A75" s="3"/>
      <c r="B75" s="3" t="s">
        <v>294</v>
      </c>
      <c r="C75" s="15" t="s">
        <v>292</v>
      </c>
      <c r="D75" s="15" t="s">
        <v>292</v>
      </c>
      <c r="E75" s="15" t="s">
        <v>292</v>
      </c>
      <c r="F75" s="15" t="s">
        <v>292</v>
      </c>
      <c r="G75" s="15" t="s">
        <v>292</v>
      </c>
      <c r="H75" s="15" t="s">
        <v>292</v>
      </c>
      <c r="I75" s="15" t="s">
        <v>292</v>
      </c>
      <c r="J75" s="15" t="s">
        <v>292</v>
      </c>
      <c r="K75" s="15" t="s">
        <v>292</v>
      </c>
      <c r="L75" s="15" t="s">
        <v>292</v>
      </c>
      <c r="M75" s="15" t="s">
        <v>292</v>
      </c>
      <c r="N75" s="15" t="s">
        <v>292</v>
      </c>
    </row>
    <row r="76" spans="1:14" x14ac:dyDescent="0.2">
      <c r="A76" s="12"/>
      <c r="B76" s="12" t="s">
        <v>295</v>
      </c>
      <c r="C76" s="14" t="s">
        <v>292</v>
      </c>
      <c r="D76" s="14" t="s">
        <v>292</v>
      </c>
      <c r="E76" s="14" t="s">
        <v>292</v>
      </c>
      <c r="F76" s="14" t="s">
        <v>292</v>
      </c>
      <c r="G76" s="14" t="s">
        <v>292</v>
      </c>
      <c r="H76" s="14" t="s">
        <v>292</v>
      </c>
      <c r="I76" s="14" t="s">
        <v>292</v>
      </c>
      <c r="J76" s="14" t="s">
        <v>292</v>
      </c>
      <c r="K76" s="14" t="s">
        <v>292</v>
      </c>
      <c r="L76" s="14" t="s">
        <v>292</v>
      </c>
      <c r="M76" s="14" t="s">
        <v>292</v>
      </c>
      <c r="N76" s="14" t="s">
        <v>292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30B5-83C2-4693-A9D4-641B56732999}">
  <sheetPr codeName="Hoja41">
    <tabColor rgb="FF00B050"/>
  </sheetPr>
  <dimension ref="A1:N168"/>
  <sheetViews>
    <sheetView zoomScaleNormal="100" workbookViewId="0">
      <pane ySplit="6" topLeftCell="A13" activePane="bottomLeft" state="frozen"/>
      <selection activeCell="I54" sqref="I54"/>
      <selection pane="bottomLeft" activeCell="K27" sqref="A27:K2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0.570312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368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4">
        <f t="shared" ref="C7:N7" si="0">SUM(C8:C14)</f>
        <v>467</v>
      </c>
      <c r="D7" s="54">
        <f t="shared" si="0"/>
        <v>406</v>
      </c>
      <c r="E7" s="54">
        <f t="shared" si="0"/>
        <v>421</v>
      </c>
      <c r="F7" s="54">
        <f t="shared" si="0"/>
        <v>392</v>
      </c>
      <c r="G7" s="54">
        <f t="shared" si="0"/>
        <v>459</v>
      </c>
      <c r="H7" s="54">
        <f t="shared" si="0"/>
        <v>418</v>
      </c>
      <c r="I7" s="54">
        <f t="shared" si="0"/>
        <v>445</v>
      </c>
      <c r="J7" s="54">
        <f t="shared" si="0"/>
        <v>453</v>
      </c>
      <c r="K7" s="54">
        <f t="shared" si="0"/>
        <v>417</v>
      </c>
      <c r="L7" s="54">
        <f t="shared" si="0"/>
        <v>387</v>
      </c>
      <c r="M7" s="54">
        <f t="shared" si="0"/>
        <v>403</v>
      </c>
      <c r="N7" s="54">
        <f t="shared" si="0"/>
        <v>421</v>
      </c>
    </row>
    <row r="8" spans="1:14" outlineLevel="1" x14ac:dyDescent="0.2">
      <c r="A8" s="9" t="s">
        <v>25</v>
      </c>
      <c r="B8" s="1" t="s">
        <v>26</v>
      </c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</row>
    <row r="9" spans="1:14" outlineLevel="1" x14ac:dyDescent="0.2">
      <c r="A9" s="9" t="s">
        <v>300</v>
      </c>
      <c r="B9" s="1" t="s">
        <v>36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</row>
    <row r="10" spans="1:14" outlineLevel="1" x14ac:dyDescent="0.2">
      <c r="A10" s="9" t="s">
        <v>27</v>
      </c>
      <c r="B10" s="1" t="s">
        <v>28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</row>
    <row r="11" spans="1:14" outlineLevel="1" x14ac:dyDescent="0.2">
      <c r="A11" s="9" t="s">
        <v>29</v>
      </c>
      <c r="B11" s="1" t="s">
        <v>30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</row>
    <row r="12" spans="1:14" outlineLevel="1" x14ac:dyDescent="0.2">
      <c r="A12" s="9" t="s">
        <v>31</v>
      </c>
      <c r="B12" s="1" t="s">
        <v>32</v>
      </c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</row>
    <row r="13" spans="1:14" outlineLevel="1" x14ac:dyDescent="0.2">
      <c r="A13" s="9" t="s">
        <v>33</v>
      </c>
      <c r="B13" s="1" t="s">
        <v>34</v>
      </c>
      <c r="C13" s="29">
        <v>467</v>
      </c>
      <c r="D13" s="29">
        <v>406</v>
      </c>
      <c r="E13" s="29">
        <v>421</v>
      </c>
      <c r="F13" s="29">
        <v>392</v>
      </c>
      <c r="G13" s="29">
        <v>459</v>
      </c>
      <c r="H13" s="29">
        <v>418</v>
      </c>
      <c r="I13" s="29">
        <v>445</v>
      </c>
      <c r="J13" s="29">
        <v>453</v>
      </c>
      <c r="K13" s="29">
        <v>417</v>
      </c>
      <c r="L13" s="29">
        <v>387</v>
      </c>
      <c r="M13" s="29">
        <v>403</v>
      </c>
      <c r="N13" s="29">
        <v>421</v>
      </c>
    </row>
    <row r="14" spans="1:14" outlineLevel="1" x14ac:dyDescent="0.2">
      <c r="A14" s="9" t="s">
        <v>35</v>
      </c>
      <c r="B14" s="1" t="s">
        <v>36</v>
      </c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</row>
    <row r="15" spans="1:14" x14ac:dyDescent="0.2">
      <c r="A15" s="48" t="s">
        <v>37</v>
      </c>
      <c r="B15" s="49" t="s">
        <v>38</v>
      </c>
      <c r="C15" s="54">
        <v>0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54">
        <v>0</v>
      </c>
      <c r="N15" s="54">
        <v>0</v>
      </c>
    </row>
    <row r="16" spans="1:14" x14ac:dyDescent="0.2">
      <c r="A16" s="48" t="s">
        <v>39</v>
      </c>
      <c r="B16" s="49" t="s">
        <v>40</v>
      </c>
      <c r="C16" s="54">
        <v>0</v>
      </c>
      <c r="D16" s="54">
        <v>0</v>
      </c>
      <c r="E16" s="54">
        <v>0</v>
      </c>
      <c r="F16" s="54">
        <v>0</v>
      </c>
      <c r="G16" s="54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</row>
    <row r="17" spans="1:14" x14ac:dyDescent="0.2">
      <c r="A17" s="48" t="s">
        <v>41</v>
      </c>
      <c r="B17" s="49" t="s">
        <v>42</v>
      </c>
      <c r="C17" s="54">
        <f t="shared" ref="C17:N17" si="1">+C18</f>
        <v>0</v>
      </c>
      <c r="D17" s="54">
        <f t="shared" si="1"/>
        <v>0</v>
      </c>
      <c r="E17" s="54">
        <f t="shared" si="1"/>
        <v>0</v>
      </c>
      <c r="F17" s="54">
        <f t="shared" si="1"/>
        <v>0</v>
      </c>
      <c r="G17" s="54">
        <f t="shared" si="1"/>
        <v>0</v>
      </c>
      <c r="H17" s="54">
        <f t="shared" si="1"/>
        <v>0</v>
      </c>
      <c r="I17" s="54">
        <f t="shared" si="1"/>
        <v>0</v>
      </c>
      <c r="J17" s="54">
        <f t="shared" si="1"/>
        <v>0</v>
      </c>
      <c r="K17" s="54">
        <f t="shared" si="1"/>
        <v>0</v>
      </c>
      <c r="L17" s="54">
        <f t="shared" si="1"/>
        <v>0</v>
      </c>
      <c r="M17" s="54">
        <f t="shared" si="1"/>
        <v>0</v>
      </c>
      <c r="N17" s="54">
        <f t="shared" si="1"/>
        <v>0</v>
      </c>
    </row>
    <row r="18" spans="1:14" outlineLevel="1" x14ac:dyDescent="0.2">
      <c r="A18" s="9" t="s">
        <v>43</v>
      </c>
      <c r="B18" s="1" t="s">
        <v>44</v>
      </c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</row>
    <row r="19" spans="1:14" x14ac:dyDescent="0.2">
      <c r="A19" s="48" t="s">
        <v>45</v>
      </c>
      <c r="B19" s="49" t="s">
        <v>46</v>
      </c>
      <c r="C19" s="54">
        <v>0</v>
      </c>
      <c r="D19" s="54">
        <v>0</v>
      </c>
      <c r="E19" s="54">
        <v>0</v>
      </c>
      <c r="F19" s="54">
        <v>0</v>
      </c>
      <c r="G19" s="54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</row>
    <row r="20" spans="1:14" x14ac:dyDescent="0.2">
      <c r="A20" s="51"/>
      <c r="B20" s="51" t="s">
        <v>47</v>
      </c>
      <c r="C20" s="55">
        <f t="shared" ref="C20:N20" si="2">+C7+C15+C16+C17+C19</f>
        <v>467</v>
      </c>
      <c r="D20" s="55">
        <f t="shared" si="2"/>
        <v>406</v>
      </c>
      <c r="E20" s="55">
        <f t="shared" si="2"/>
        <v>421</v>
      </c>
      <c r="F20" s="55">
        <f t="shared" si="2"/>
        <v>392</v>
      </c>
      <c r="G20" s="55">
        <f t="shared" si="2"/>
        <v>459</v>
      </c>
      <c r="H20" s="55">
        <f t="shared" si="2"/>
        <v>418</v>
      </c>
      <c r="I20" s="55">
        <f t="shared" si="2"/>
        <v>445</v>
      </c>
      <c r="J20" s="55">
        <f t="shared" si="2"/>
        <v>453</v>
      </c>
      <c r="K20" s="55">
        <f t="shared" si="2"/>
        <v>417</v>
      </c>
      <c r="L20" s="55">
        <f t="shared" si="2"/>
        <v>387</v>
      </c>
      <c r="M20" s="55">
        <f t="shared" si="2"/>
        <v>403</v>
      </c>
      <c r="N20" s="55">
        <f t="shared" si="2"/>
        <v>421</v>
      </c>
    </row>
    <row r="21" spans="1:14" x14ac:dyDescent="0.2">
      <c r="A21" s="48" t="s">
        <v>48</v>
      </c>
      <c r="B21" s="49" t="s">
        <v>49</v>
      </c>
      <c r="C21" s="54">
        <f t="shared" ref="C21:I21" si="3">SUM(C22:C25)</f>
        <v>0</v>
      </c>
      <c r="D21" s="54">
        <f t="shared" si="3"/>
        <v>0</v>
      </c>
      <c r="E21" s="54">
        <f t="shared" si="3"/>
        <v>0</v>
      </c>
      <c r="F21" s="54">
        <f t="shared" si="3"/>
        <v>0</v>
      </c>
      <c r="G21" s="54">
        <f t="shared" si="3"/>
        <v>19</v>
      </c>
      <c r="H21" s="54">
        <f t="shared" si="3"/>
        <v>0</v>
      </c>
      <c r="I21" s="54">
        <f t="shared" si="3"/>
        <v>0</v>
      </c>
      <c r="J21" s="54">
        <f>SUM(J22:J25)</f>
        <v>0</v>
      </c>
      <c r="K21" s="54">
        <f t="shared" ref="K21:N21" si="4">SUM(K22:K25)</f>
        <v>0</v>
      </c>
      <c r="L21" s="54">
        <f t="shared" si="4"/>
        <v>19</v>
      </c>
      <c r="M21" s="54">
        <f t="shared" si="4"/>
        <v>0</v>
      </c>
      <c r="N21" s="54">
        <f t="shared" si="4"/>
        <v>0</v>
      </c>
    </row>
    <row r="22" spans="1:14" outlineLevel="1" x14ac:dyDescent="0.2">
      <c r="A22" s="9" t="s">
        <v>50</v>
      </c>
      <c r="B22" s="1" t="s">
        <v>51</v>
      </c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</row>
    <row r="23" spans="1:14" outlineLevel="1" x14ac:dyDescent="0.2">
      <c r="A23" s="9" t="s">
        <v>56</v>
      </c>
      <c r="B23" s="1" t="s">
        <v>51</v>
      </c>
      <c r="C23" s="29">
        <v>0</v>
      </c>
      <c r="D23" s="29">
        <v>0</v>
      </c>
      <c r="E23" s="29">
        <v>0</v>
      </c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>
        <v>0</v>
      </c>
      <c r="L23" s="29">
        <v>0</v>
      </c>
      <c r="M23" s="29">
        <v>0</v>
      </c>
      <c r="N23" s="29">
        <v>0</v>
      </c>
    </row>
    <row r="24" spans="1:14" outlineLevel="1" x14ac:dyDescent="0.2">
      <c r="A24" s="9" t="s">
        <v>57</v>
      </c>
      <c r="B24" s="1" t="s">
        <v>58</v>
      </c>
      <c r="C24" s="29">
        <v>0</v>
      </c>
      <c r="D24" s="29">
        <v>0</v>
      </c>
      <c r="E24" s="29">
        <v>0</v>
      </c>
      <c r="F24" s="29">
        <v>0</v>
      </c>
      <c r="G24" s="29">
        <v>19</v>
      </c>
      <c r="H24" s="29">
        <v>0</v>
      </c>
      <c r="I24" s="29">
        <v>0</v>
      </c>
      <c r="J24" s="29">
        <v>0</v>
      </c>
      <c r="K24" s="29">
        <v>0</v>
      </c>
      <c r="L24" s="29">
        <v>19</v>
      </c>
      <c r="M24" s="29">
        <v>0</v>
      </c>
      <c r="N24" s="29">
        <v>0</v>
      </c>
    </row>
    <row r="25" spans="1:14" outlineLevel="1" x14ac:dyDescent="0.2">
      <c r="A25" s="9" t="s">
        <v>59</v>
      </c>
      <c r="B25" s="1" t="s">
        <v>53</v>
      </c>
      <c r="C25" s="29">
        <v>0</v>
      </c>
      <c r="D25" s="29">
        <v>0</v>
      </c>
      <c r="E25" s="29">
        <v>0</v>
      </c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>
        <v>0</v>
      </c>
      <c r="L25" s="29">
        <v>0</v>
      </c>
      <c r="M25" s="29">
        <v>0</v>
      </c>
      <c r="N25" s="29">
        <v>0</v>
      </c>
    </row>
    <row r="26" spans="1:14" x14ac:dyDescent="0.2">
      <c r="A26" s="48" t="s">
        <v>60</v>
      </c>
      <c r="B26" s="49" t="s">
        <v>61</v>
      </c>
      <c r="C26" s="54">
        <v>0</v>
      </c>
      <c r="D26" s="54">
        <v>0</v>
      </c>
      <c r="E26" s="54">
        <v>0</v>
      </c>
      <c r="F26" s="54">
        <v>0</v>
      </c>
      <c r="G26" s="54">
        <v>0</v>
      </c>
      <c r="H26" s="54">
        <v>0</v>
      </c>
      <c r="I26" s="54">
        <v>0</v>
      </c>
      <c r="J26" s="54">
        <v>0</v>
      </c>
      <c r="K26" s="54">
        <v>0</v>
      </c>
      <c r="L26" s="54">
        <v>0</v>
      </c>
      <c r="M26" s="54">
        <v>0</v>
      </c>
      <c r="N26" s="54">
        <v>0</v>
      </c>
    </row>
    <row r="27" spans="1:14" x14ac:dyDescent="0.2">
      <c r="A27" s="48" t="s">
        <v>62</v>
      </c>
      <c r="B27" s="49" t="s">
        <v>63</v>
      </c>
      <c r="C27" s="54">
        <v>2</v>
      </c>
      <c r="D27" s="54">
        <v>2</v>
      </c>
      <c r="E27" s="54">
        <v>2</v>
      </c>
      <c r="F27" s="54">
        <v>2</v>
      </c>
      <c r="G27" s="54">
        <v>2</v>
      </c>
      <c r="H27" s="54">
        <v>2</v>
      </c>
      <c r="I27" s="54">
        <v>2</v>
      </c>
      <c r="J27" s="54">
        <v>2</v>
      </c>
      <c r="K27" s="54">
        <v>2</v>
      </c>
      <c r="L27" s="54">
        <v>2</v>
      </c>
      <c r="M27" s="54">
        <v>2</v>
      </c>
      <c r="N27" s="54">
        <v>2</v>
      </c>
    </row>
    <row r="28" spans="1:14" x14ac:dyDescent="0.2">
      <c r="A28" s="48" t="s">
        <v>64</v>
      </c>
      <c r="B28" s="49" t="s">
        <v>65</v>
      </c>
      <c r="C28" s="54">
        <f t="shared" ref="C28:N28" si="5">+C29</f>
        <v>0</v>
      </c>
      <c r="D28" s="54">
        <f t="shared" si="5"/>
        <v>0</v>
      </c>
      <c r="E28" s="54">
        <f t="shared" si="5"/>
        <v>0</v>
      </c>
      <c r="F28" s="54">
        <f t="shared" si="5"/>
        <v>0</v>
      </c>
      <c r="G28" s="54">
        <f t="shared" si="5"/>
        <v>0</v>
      </c>
      <c r="H28" s="54">
        <f t="shared" si="5"/>
        <v>0</v>
      </c>
      <c r="I28" s="54">
        <f t="shared" si="5"/>
        <v>0</v>
      </c>
      <c r="J28" s="54">
        <f t="shared" si="5"/>
        <v>0</v>
      </c>
      <c r="K28" s="54">
        <f t="shared" si="5"/>
        <v>0</v>
      </c>
      <c r="L28" s="54">
        <f t="shared" si="5"/>
        <v>0</v>
      </c>
      <c r="M28" s="54">
        <f t="shared" si="5"/>
        <v>0</v>
      </c>
      <c r="N28" s="54">
        <f t="shared" si="5"/>
        <v>0</v>
      </c>
    </row>
    <row r="29" spans="1:14" outlineLevel="1" x14ac:dyDescent="0.2">
      <c r="A29" s="9" t="s">
        <v>66</v>
      </c>
      <c r="B29" s="1" t="s">
        <v>67</v>
      </c>
      <c r="C29" s="29">
        <v>0</v>
      </c>
      <c r="D29" s="29">
        <v>0</v>
      </c>
      <c r="E29" s="29">
        <v>0</v>
      </c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>
        <v>0</v>
      </c>
      <c r="L29" s="29">
        <v>0</v>
      </c>
      <c r="M29" s="29">
        <v>0</v>
      </c>
      <c r="N29" s="29">
        <v>0</v>
      </c>
    </row>
    <row r="30" spans="1:14" x14ac:dyDescent="0.2">
      <c r="A30" s="48" t="s">
        <v>68</v>
      </c>
      <c r="B30" s="49" t="s">
        <v>69</v>
      </c>
      <c r="C30" s="54">
        <f t="shared" ref="C30:I30" si="6">+C31</f>
        <v>0</v>
      </c>
      <c r="D30" s="54">
        <f t="shared" si="6"/>
        <v>0</v>
      </c>
      <c r="E30" s="54">
        <f t="shared" si="6"/>
        <v>0</v>
      </c>
      <c r="F30" s="54">
        <f t="shared" si="6"/>
        <v>0</v>
      </c>
      <c r="G30" s="54">
        <f t="shared" si="6"/>
        <v>0</v>
      </c>
      <c r="H30" s="54">
        <f t="shared" si="6"/>
        <v>0</v>
      </c>
      <c r="I30" s="54">
        <f t="shared" si="6"/>
        <v>0</v>
      </c>
      <c r="J30" s="54">
        <f>+J31</f>
        <v>0</v>
      </c>
      <c r="K30" s="54">
        <f t="shared" ref="K30:N30" si="7">+K31</f>
        <v>0</v>
      </c>
      <c r="L30" s="54">
        <f t="shared" si="7"/>
        <v>0</v>
      </c>
      <c r="M30" s="54">
        <f t="shared" si="7"/>
        <v>0</v>
      </c>
      <c r="N30" s="54">
        <f t="shared" si="7"/>
        <v>0</v>
      </c>
    </row>
    <row r="31" spans="1:14" outlineLevel="1" x14ac:dyDescent="0.2">
      <c r="A31" s="9" t="s">
        <v>70</v>
      </c>
      <c r="B31" s="1" t="s">
        <v>71</v>
      </c>
      <c r="C31" s="29">
        <v>0</v>
      </c>
      <c r="D31" s="29">
        <v>0</v>
      </c>
      <c r="E31" s="29">
        <v>0</v>
      </c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>
        <v>0</v>
      </c>
      <c r="L31" s="29">
        <v>0</v>
      </c>
      <c r="M31" s="29">
        <v>0</v>
      </c>
      <c r="N31" s="29">
        <v>0</v>
      </c>
    </row>
    <row r="32" spans="1:14" x14ac:dyDescent="0.2">
      <c r="A32" s="52"/>
      <c r="B32" s="52" t="s">
        <v>72</v>
      </c>
      <c r="C32" s="56">
        <f>+C21+C26+C27+C28+C30</f>
        <v>2</v>
      </c>
      <c r="D32" s="56">
        <f t="shared" ref="D32:N32" si="8">+D21+D26+D27+D28+D30</f>
        <v>2</v>
      </c>
      <c r="E32" s="56">
        <f t="shared" si="8"/>
        <v>2</v>
      </c>
      <c r="F32" s="56">
        <f t="shared" si="8"/>
        <v>2</v>
      </c>
      <c r="G32" s="56">
        <f t="shared" si="8"/>
        <v>21</v>
      </c>
      <c r="H32" s="56">
        <f t="shared" si="8"/>
        <v>2</v>
      </c>
      <c r="I32" s="56">
        <f t="shared" si="8"/>
        <v>2</v>
      </c>
      <c r="J32" s="56">
        <f t="shared" si="8"/>
        <v>2</v>
      </c>
      <c r="K32" s="56">
        <f t="shared" si="8"/>
        <v>2</v>
      </c>
      <c r="L32" s="56">
        <f t="shared" si="8"/>
        <v>21</v>
      </c>
      <c r="M32" s="56">
        <f t="shared" si="8"/>
        <v>2</v>
      </c>
      <c r="N32" s="56">
        <f t="shared" si="8"/>
        <v>2</v>
      </c>
    </row>
    <row r="33" spans="1:14" x14ac:dyDescent="0.2">
      <c r="A33" s="51"/>
      <c r="B33" s="51" t="s">
        <v>73</v>
      </c>
      <c r="C33" s="55">
        <f>+C20-C32</f>
        <v>465</v>
      </c>
      <c r="D33" s="55">
        <f t="shared" ref="D33:N33" si="9">+D20-D32</f>
        <v>404</v>
      </c>
      <c r="E33" s="55">
        <f t="shared" si="9"/>
        <v>419</v>
      </c>
      <c r="F33" s="55">
        <f t="shared" si="9"/>
        <v>390</v>
      </c>
      <c r="G33" s="55">
        <f t="shared" si="9"/>
        <v>438</v>
      </c>
      <c r="H33" s="55">
        <f t="shared" si="9"/>
        <v>416</v>
      </c>
      <c r="I33" s="55">
        <f t="shared" si="9"/>
        <v>443</v>
      </c>
      <c r="J33" s="55">
        <f t="shared" si="9"/>
        <v>451</v>
      </c>
      <c r="K33" s="55">
        <f t="shared" si="9"/>
        <v>415</v>
      </c>
      <c r="L33" s="55">
        <f t="shared" si="9"/>
        <v>366</v>
      </c>
      <c r="M33" s="55">
        <f t="shared" si="9"/>
        <v>401</v>
      </c>
      <c r="N33" s="55">
        <f t="shared" si="9"/>
        <v>419</v>
      </c>
    </row>
    <row r="34" spans="1:14" x14ac:dyDescent="0.2">
      <c r="A34" s="9" t="s">
        <v>74</v>
      </c>
      <c r="B34" s="1" t="s">
        <v>74</v>
      </c>
      <c r="C34" s="29" t="s">
        <v>74</v>
      </c>
      <c r="D34" s="29" t="s">
        <v>74</v>
      </c>
      <c r="E34" s="29" t="s">
        <v>74</v>
      </c>
      <c r="F34" s="29" t="s">
        <v>74</v>
      </c>
      <c r="G34" s="29" t="s">
        <v>74</v>
      </c>
      <c r="H34" s="29" t="s">
        <v>74</v>
      </c>
      <c r="I34" s="29" t="s">
        <v>74</v>
      </c>
      <c r="J34" s="29" t="s">
        <v>74</v>
      </c>
      <c r="K34" s="29" t="s">
        <v>74</v>
      </c>
      <c r="L34" s="29" t="s">
        <v>74</v>
      </c>
      <c r="M34" s="29" t="s">
        <v>74</v>
      </c>
      <c r="N34" s="29" t="s">
        <v>74</v>
      </c>
    </row>
    <row r="35" spans="1:14" x14ac:dyDescent="0.2">
      <c r="A35" s="48" t="s">
        <v>75</v>
      </c>
      <c r="B35" s="49" t="s">
        <v>76</v>
      </c>
      <c r="C35" s="54">
        <f t="shared" ref="C35:N35" si="10">SUM(C36:C55)</f>
        <v>300.89999999999998</v>
      </c>
      <c r="D35" s="54">
        <f t="shared" si="10"/>
        <v>299.40000000000003</v>
      </c>
      <c r="E35" s="54">
        <f t="shared" si="10"/>
        <v>293.7</v>
      </c>
      <c r="F35" s="54">
        <f t="shared" si="10"/>
        <v>318.30000000000007</v>
      </c>
      <c r="G35" s="54">
        <f t="shared" si="10"/>
        <v>304.10000000000002</v>
      </c>
      <c r="H35" s="54">
        <f t="shared" si="10"/>
        <v>275</v>
      </c>
      <c r="I35" s="54">
        <f t="shared" si="10"/>
        <v>299.10000000000002</v>
      </c>
      <c r="J35" s="54">
        <f t="shared" si="10"/>
        <v>276.7</v>
      </c>
      <c r="K35" s="54">
        <f t="shared" si="10"/>
        <v>307.30000000000007</v>
      </c>
      <c r="L35" s="54">
        <f t="shared" si="10"/>
        <v>297.60000000000002</v>
      </c>
      <c r="M35" s="54">
        <f t="shared" si="10"/>
        <v>271</v>
      </c>
      <c r="N35" s="54">
        <f t="shared" si="10"/>
        <v>308.10000000000002</v>
      </c>
    </row>
    <row r="36" spans="1:14" outlineLevel="1" x14ac:dyDescent="0.2">
      <c r="A36" s="9" t="s">
        <v>77</v>
      </c>
      <c r="B36" s="1" t="s">
        <v>78</v>
      </c>
      <c r="C36" s="29">
        <v>62</v>
      </c>
      <c r="D36" s="29">
        <v>74</v>
      </c>
      <c r="E36" s="29">
        <v>73</v>
      </c>
      <c r="F36" s="29">
        <v>71</v>
      </c>
      <c r="G36" s="29">
        <v>74</v>
      </c>
      <c r="H36" s="29">
        <v>60</v>
      </c>
      <c r="I36" s="29">
        <v>60</v>
      </c>
      <c r="J36" s="29">
        <v>61</v>
      </c>
      <c r="K36" s="29">
        <v>62</v>
      </c>
      <c r="L36" s="29">
        <v>71</v>
      </c>
      <c r="M36" s="29">
        <v>65</v>
      </c>
      <c r="N36" s="29">
        <v>63</v>
      </c>
    </row>
    <row r="37" spans="1:14" outlineLevel="1" x14ac:dyDescent="0.2">
      <c r="A37" s="9" t="s">
        <v>79</v>
      </c>
      <c r="B37" s="1" t="s">
        <v>80</v>
      </c>
      <c r="C37" s="29">
        <v>1.7</v>
      </c>
      <c r="D37" s="29">
        <v>1.7</v>
      </c>
      <c r="E37" s="29">
        <v>1.6</v>
      </c>
      <c r="F37" s="29">
        <v>1.6</v>
      </c>
      <c r="G37" s="29">
        <v>1.7</v>
      </c>
      <c r="H37" s="29">
        <v>1.7</v>
      </c>
      <c r="I37" s="29">
        <v>1</v>
      </c>
      <c r="J37" s="29">
        <v>1.6</v>
      </c>
      <c r="K37" s="29">
        <v>1.6</v>
      </c>
      <c r="L37" s="29">
        <v>1.2</v>
      </c>
      <c r="M37" s="29">
        <v>1.7</v>
      </c>
      <c r="N37" s="29">
        <v>1</v>
      </c>
    </row>
    <row r="38" spans="1:14" outlineLevel="1" x14ac:dyDescent="0.2">
      <c r="A38" s="9" t="s">
        <v>81</v>
      </c>
      <c r="B38" s="1" t="s">
        <v>82</v>
      </c>
      <c r="C38" s="29">
        <v>13</v>
      </c>
      <c r="D38" s="29">
        <v>15</v>
      </c>
      <c r="E38" s="29">
        <v>13</v>
      </c>
      <c r="F38" s="29">
        <v>16</v>
      </c>
      <c r="G38" s="29">
        <v>15</v>
      </c>
      <c r="H38" s="29">
        <v>15</v>
      </c>
      <c r="I38" s="29">
        <v>16</v>
      </c>
      <c r="J38" s="29">
        <v>15</v>
      </c>
      <c r="K38" s="29">
        <v>15</v>
      </c>
      <c r="L38" s="29">
        <v>15</v>
      </c>
      <c r="M38" s="29">
        <v>15</v>
      </c>
      <c r="N38" s="29">
        <v>14</v>
      </c>
    </row>
    <row r="39" spans="1:14" outlineLevel="1" x14ac:dyDescent="0.2">
      <c r="A39" s="9" t="s">
        <v>83</v>
      </c>
      <c r="B39" s="1" t="s">
        <v>84</v>
      </c>
      <c r="C39" s="29">
        <v>0</v>
      </c>
      <c r="D39" s="29">
        <v>0</v>
      </c>
      <c r="E39" s="29">
        <v>0</v>
      </c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>
        <v>0</v>
      </c>
      <c r="L39" s="29">
        <v>0</v>
      </c>
      <c r="M39" s="29">
        <v>0</v>
      </c>
      <c r="N39" s="29">
        <v>0</v>
      </c>
    </row>
    <row r="40" spans="1:14" outlineLevel="1" x14ac:dyDescent="0.2">
      <c r="A40" s="9" t="s">
        <v>85</v>
      </c>
      <c r="B40" s="1" t="s">
        <v>86</v>
      </c>
      <c r="C40" s="29">
        <v>2.7</v>
      </c>
      <c r="D40" s="29">
        <v>3.3</v>
      </c>
      <c r="E40" s="29">
        <v>4.8</v>
      </c>
      <c r="F40" s="29">
        <v>9.1999999999999993</v>
      </c>
      <c r="G40" s="29">
        <v>4.7</v>
      </c>
      <c r="H40" s="29">
        <v>2.7</v>
      </c>
      <c r="I40" s="29">
        <v>3.7</v>
      </c>
      <c r="J40" s="29">
        <v>4.8</v>
      </c>
      <c r="K40" s="29">
        <v>9.1999999999999993</v>
      </c>
      <c r="L40" s="29">
        <v>4.7</v>
      </c>
      <c r="M40" s="29">
        <v>2.7</v>
      </c>
      <c r="N40" s="29">
        <v>3.7</v>
      </c>
    </row>
    <row r="41" spans="1:14" outlineLevel="1" x14ac:dyDescent="0.2">
      <c r="A41" s="9" t="s">
        <v>87</v>
      </c>
      <c r="B41" s="1" t="s">
        <v>88</v>
      </c>
      <c r="C41" s="29">
        <v>8</v>
      </c>
      <c r="D41" s="29">
        <v>6.2</v>
      </c>
      <c r="E41" s="29">
        <v>6.1</v>
      </c>
      <c r="F41" s="29">
        <v>6.5</v>
      </c>
      <c r="G41" s="29">
        <v>6.5</v>
      </c>
      <c r="H41" s="29">
        <v>6.5</v>
      </c>
      <c r="I41" s="29">
        <v>6.4</v>
      </c>
      <c r="J41" s="29">
        <v>6.1</v>
      </c>
      <c r="K41" s="29">
        <v>6.5</v>
      </c>
      <c r="L41" s="29">
        <v>6.5</v>
      </c>
      <c r="M41" s="29">
        <v>6.5</v>
      </c>
      <c r="N41" s="29">
        <v>6.4</v>
      </c>
    </row>
    <row r="42" spans="1:14" outlineLevel="1" x14ac:dyDescent="0.2">
      <c r="A42" s="9" t="s">
        <v>89</v>
      </c>
      <c r="B42" s="1" t="s">
        <v>90</v>
      </c>
      <c r="C42" s="29">
        <v>8.6</v>
      </c>
      <c r="D42" s="29">
        <v>6.7</v>
      </c>
      <c r="E42" s="29">
        <v>7</v>
      </c>
      <c r="F42" s="29">
        <v>8</v>
      </c>
      <c r="G42" s="29">
        <v>8.1999999999999993</v>
      </c>
      <c r="H42" s="29">
        <v>6.9</v>
      </c>
      <c r="I42" s="29">
        <v>6.9</v>
      </c>
      <c r="J42" s="29">
        <v>7</v>
      </c>
      <c r="K42" s="29">
        <v>8</v>
      </c>
      <c r="L42" s="29">
        <v>8.1999999999999993</v>
      </c>
      <c r="M42" s="29">
        <v>6.9</v>
      </c>
      <c r="N42" s="29">
        <v>6.9</v>
      </c>
    </row>
    <row r="43" spans="1:14" outlineLevel="1" x14ac:dyDescent="0.2">
      <c r="A43" s="9" t="s">
        <v>93</v>
      </c>
      <c r="B43" s="1" t="s">
        <v>94</v>
      </c>
      <c r="C43" s="29">
        <v>12.1</v>
      </c>
      <c r="D43" s="29">
        <v>7.3</v>
      </c>
      <c r="E43" s="29">
        <v>7.8</v>
      </c>
      <c r="F43" s="29">
        <v>11.3</v>
      </c>
      <c r="G43" s="29">
        <v>6.4</v>
      </c>
      <c r="H43" s="29">
        <v>6.5</v>
      </c>
      <c r="I43" s="29">
        <v>10.5</v>
      </c>
      <c r="J43" s="29">
        <v>7.8</v>
      </c>
      <c r="K43" s="29">
        <v>11.3</v>
      </c>
      <c r="L43" s="29">
        <v>6.4</v>
      </c>
      <c r="M43" s="29">
        <v>6.5</v>
      </c>
      <c r="N43" s="29">
        <v>10.5</v>
      </c>
    </row>
    <row r="44" spans="1:14" outlineLevel="1" x14ac:dyDescent="0.2">
      <c r="A44" s="9" t="s">
        <v>95</v>
      </c>
      <c r="B44" s="1" t="s">
        <v>96</v>
      </c>
      <c r="C44" s="29">
        <v>6.1</v>
      </c>
      <c r="D44" s="29">
        <v>5.4</v>
      </c>
      <c r="E44" s="29">
        <v>5.7</v>
      </c>
      <c r="F44" s="29">
        <v>5.9</v>
      </c>
      <c r="G44" s="29">
        <v>5.7</v>
      </c>
      <c r="H44" s="29">
        <v>5.6</v>
      </c>
      <c r="I44" s="29">
        <v>5.4</v>
      </c>
      <c r="J44" s="29">
        <v>5.7</v>
      </c>
      <c r="K44" s="29">
        <v>5.9</v>
      </c>
      <c r="L44" s="29">
        <v>5.7</v>
      </c>
      <c r="M44" s="29">
        <v>5.6</v>
      </c>
      <c r="N44" s="29">
        <v>5.4</v>
      </c>
    </row>
    <row r="45" spans="1:14" outlineLevel="1" x14ac:dyDescent="0.2">
      <c r="A45" s="9" t="s">
        <v>301</v>
      </c>
      <c r="B45" s="1" t="s">
        <v>302</v>
      </c>
      <c r="C45" s="29">
        <v>0</v>
      </c>
      <c r="D45" s="29">
        <v>0</v>
      </c>
      <c r="E45" s="29">
        <v>0</v>
      </c>
      <c r="F45" s="29">
        <v>0</v>
      </c>
      <c r="G45" s="29">
        <v>0</v>
      </c>
      <c r="H45" s="29">
        <v>0</v>
      </c>
      <c r="I45" s="29">
        <v>0</v>
      </c>
      <c r="J45" s="29">
        <v>0</v>
      </c>
      <c r="K45" s="29">
        <v>0</v>
      </c>
      <c r="L45" s="29">
        <v>0</v>
      </c>
      <c r="M45" s="29">
        <v>0</v>
      </c>
      <c r="N45" s="29">
        <v>0</v>
      </c>
    </row>
    <row r="46" spans="1:14" outlineLevel="1" x14ac:dyDescent="0.2">
      <c r="A46" s="9" t="s">
        <v>97</v>
      </c>
      <c r="B46" s="1" t="s">
        <v>98</v>
      </c>
      <c r="C46" s="29">
        <v>3.1</v>
      </c>
      <c r="D46" s="29">
        <v>7.2</v>
      </c>
      <c r="E46" s="29">
        <v>8</v>
      </c>
      <c r="F46" s="29">
        <v>11.9</v>
      </c>
      <c r="G46" s="29">
        <v>10.199999999999999</v>
      </c>
      <c r="H46" s="29">
        <v>-2.9</v>
      </c>
      <c r="I46" s="29">
        <v>12.1</v>
      </c>
      <c r="J46" s="29">
        <v>8</v>
      </c>
      <c r="K46" s="29">
        <v>11.9</v>
      </c>
      <c r="L46" s="29">
        <v>10.199999999999999</v>
      </c>
      <c r="M46" s="29">
        <v>-2.9</v>
      </c>
      <c r="N46" s="29">
        <v>12.1</v>
      </c>
    </row>
    <row r="47" spans="1:14" outlineLevel="1" x14ac:dyDescent="0.2">
      <c r="A47" s="9" t="s">
        <v>303</v>
      </c>
      <c r="B47" s="1" t="s">
        <v>304</v>
      </c>
      <c r="C47" s="29">
        <v>0</v>
      </c>
      <c r="D47" s="29">
        <v>0.1</v>
      </c>
      <c r="E47" s="29">
        <v>0</v>
      </c>
      <c r="F47" s="29">
        <v>0</v>
      </c>
      <c r="G47" s="29">
        <v>0</v>
      </c>
      <c r="H47" s="29">
        <v>0</v>
      </c>
      <c r="I47" s="29">
        <v>2.1</v>
      </c>
      <c r="J47" s="29">
        <v>0</v>
      </c>
      <c r="K47" s="29">
        <v>0</v>
      </c>
      <c r="L47" s="29">
        <v>0</v>
      </c>
      <c r="M47" s="29">
        <v>0</v>
      </c>
      <c r="N47" s="29">
        <v>2.1</v>
      </c>
    </row>
    <row r="48" spans="1:14" outlineLevel="1" x14ac:dyDescent="0.2">
      <c r="A48" s="9" t="s">
        <v>99</v>
      </c>
      <c r="B48" s="1" t="s">
        <v>100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</row>
    <row r="49" spans="1:14" outlineLevel="1" x14ac:dyDescent="0.2">
      <c r="A49" s="9" t="s">
        <v>101</v>
      </c>
      <c r="B49" s="1" t="s">
        <v>102</v>
      </c>
      <c r="C49" s="29">
        <v>2.2999999999999998</v>
      </c>
      <c r="D49" s="29">
        <v>1.8</v>
      </c>
      <c r="E49" s="29">
        <v>0.1</v>
      </c>
      <c r="F49" s="29">
        <v>0</v>
      </c>
      <c r="G49" s="29">
        <v>1.5</v>
      </c>
      <c r="H49" s="29">
        <v>0</v>
      </c>
      <c r="I49" s="29">
        <v>0</v>
      </c>
      <c r="J49" s="29">
        <v>0.1</v>
      </c>
      <c r="K49" s="29">
        <v>0</v>
      </c>
      <c r="L49" s="29">
        <v>1.5</v>
      </c>
      <c r="M49" s="29">
        <v>0</v>
      </c>
      <c r="N49" s="29">
        <v>0</v>
      </c>
    </row>
    <row r="50" spans="1:14" outlineLevel="1" x14ac:dyDescent="0.2">
      <c r="A50" s="9" t="s">
        <v>103</v>
      </c>
      <c r="B50" s="1" t="s">
        <v>104</v>
      </c>
      <c r="C50" s="29">
        <v>2.2000000000000002</v>
      </c>
      <c r="D50" s="29">
        <v>1.6</v>
      </c>
      <c r="E50" s="29">
        <v>1.5</v>
      </c>
      <c r="F50" s="29">
        <v>1.8</v>
      </c>
      <c r="G50" s="29">
        <v>1.7</v>
      </c>
      <c r="H50" s="29">
        <v>1.9</v>
      </c>
      <c r="I50" s="29">
        <v>1.9</v>
      </c>
      <c r="J50" s="29">
        <v>1.5</v>
      </c>
      <c r="K50" s="29">
        <v>1.8</v>
      </c>
      <c r="L50" s="29">
        <v>1.7</v>
      </c>
      <c r="M50" s="29">
        <v>1.9</v>
      </c>
      <c r="N50" s="29">
        <v>1.9</v>
      </c>
    </row>
    <row r="51" spans="1:14" outlineLevel="1" x14ac:dyDescent="0.2">
      <c r="A51" s="9" t="s">
        <v>305</v>
      </c>
      <c r="B51" s="1" t="s">
        <v>306</v>
      </c>
      <c r="C51" s="29">
        <v>0</v>
      </c>
      <c r="D51" s="29">
        <v>0</v>
      </c>
      <c r="E51" s="29">
        <v>0</v>
      </c>
      <c r="F51" s="29">
        <v>0</v>
      </c>
      <c r="G51" s="29">
        <v>0.4</v>
      </c>
      <c r="H51" s="29">
        <v>0</v>
      </c>
      <c r="I51" s="29">
        <v>0</v>
      </c>
      <c r="J51" s="29">
        <v>0</v>
      </c>
      <c r="K51" s="29">
        <v>0</v>
      </c>
      <c r="L51" s="29">
        <v>0.4</v>
      </c>
      <c r="M51" s="29">
        <v>0</v>
      </c>
      <c r="N51" s="29">
        <v>0</v>
      </c>
    </row>
    <row r="52" spans="1:14" outlineLevel="1" x14ac:dyDescent="0.2">
      <c r="A52" s="9" t="s">
        <v>105</v>
      </c>
      <c r="B52" s="1" t="s">
        <v>106</v>
      </c>
      <c r="C52" s="29">
        <v>160</v>
      </c>
      <c r="D52" s="29">
        <v>146</v>
      </c>
      <c r="E52" s="29">
        <v>147</v>
      </c>
      <c r="F52" s="29">
        <v>155</v>
      </c>
      <c r="G52" s="29">
        <v>147</v>
      </c>
      <c r="H52" s="29">
        <v>148</v>
      </c>
      <c r="I52" s="29">
        <v>152</v>
      </c>
      <c r="J52" s="29">
        <v>138</v>
      </c>
      <c r="K52" s="29">
        <v>151</v>
      </c>
      <c r="L52" s="29">
        <v>143</v>
      </c>
      <c r="M52" s="29">
        <v>142</v>
      </c>
      <c r="N52" s="29">
        <v>158</v>
      </c>
    </row>
    <row r="53" spans="1:14" outlineLevel="1" x14ac:dyDescent="0.2">
      <c r="A53" s="9" t="s">
        <v>107</v>
      </c>
      <c r="B53" s="1" t="s">
        <v>108</v>
      </c>
      <c r="C53" s="29">
        <v>17</v>
      </c>
      <c r="D53" s="29">
        <v>21</v>
      </c>
      <c r="E53" s="29">
        <v>16</v>
      </c>
      <c r="F53" s="29">
        <v>18</v>
      </c>
      <c r="G53" s="29">
        <v>19</v>
      </c>
      <c r="H53" s="29">
        <v>21</v>
      </c>
      <c r="I53" s="29">
        <v>19</v>
      </c>
      <c r="J53" s="29">
        <v>18</v>
      </c>
      <c r="K53" s="29">
        <v>21</v>
      </c>
      <c r="L53" s="29">
        <v>20</v>
      </c>
      <c r="M53" s="29">
        <v>18</v>
      </c>
      <c r="N53" s="29">
        <v>21</v>
      </c>
    </row>
    <row r="54" spans="1:14" outlineLevel="1" x14ac:dyDescent="0.2">
      <c r="A54" s="9" t="s">
        <v>109</v>
      </c>
      <c r="B54" s="1" t="s">
        <v>110</v>
      </c>
      <c r="C54" s="29">
        <v>2.1</v>
      </c>
      <c r="D54" s="29">
        <v>2.1</v>
      </c>
      <c r="E54" s="29">
        <v>2.1</v>
      </c>
      <c r="F54" s="29">
        <v>2.1</v>
      </c>
      <c r="G54" s="29">
        <v>2.1</v>
      </c>
      <c r="H54" s="29">
        <v>2.1</v>
      </c>
      <c r="I54" s="29">
        <v>2.1</v>
      </c>
      <c r="J54" s="29">
        <v>2.1</v>
      </c>
      <c r="K54" s="29">
        <v>2.1</v>
      </c>
      <c r="L54" s="29">
        <v>2.1</v>
      </c>
      <c r="M54" s="29">
        <v>2.1</v>
      </c>
      <c r="N54" s="29">
        <v>2.1</v>
      </c>
    </row>
    <row r="55" spans="1:14" outlineLevel="1" x14ac:dyDescent="0.2">
      <c r="A55" s="9" t="s">
        <v>307</v>
      </c>
      <c r="B55" s="1" t="s">
        <v>308</v>
      </c>
      <c r="C55" s="29">
        <v>0</v>
      </c>
      <c r="D55" s="29">
        <v>0</v>
      </c>
      <c r="E55" s="29">
        <v>0</v>
      </c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>
        <v>0</v>
      </c>
      <c r="L55" s="29">
        <v>0</v>
      </c>
      <c r="M55" s="29">
        <v>0</v>
      </c>
      <c r="N55" s="29">
        <v>0</v>
      </c>
    </row>
    <row r="56" spans="1:14" x14ac:dyDescent="0.2">
      <c r="A56" s="48" t="s">
        <v>111</v>
      </c>
      <c r="B56" s="49" t="s">
        <v>112</v>
      </c>
      <c r="C56" s="54">
        <f t="shared" ref="C56:M56" si="11">SUM(C57:C62)</f>
        <v>1.9000000000000001</v>
      </c>
      <c r="D56" s="54">
        <f t="shared" si="11"/>
        <v>2.7</v>
      </c>
      <c r="E56" s="54">
        <f t="shared" si="11"/>
        <v>1.9000000000000001</v>
      </c>
      <c r="F56" s="54">
        <f t="shared" si="11"/>
        <v>1.9000000000000001</v>
      </c>
      <c r="G56" s="54">
        <f t="shared" si="11"/>
        <v>1.9000000000000001</v>
      </c>
      <c r="H56" s="54">
        <f t="shared" si="11"/>
        <v>1.9000000000000001</v>
      </c>
      <c r="I56" s="54">
        <f t="shared" si="11"/>
        <v>2.9</v>
      </c>
      <c r="J56" s="54">
        <f t="shared" si="11"/>
        <v>1.9000000000000001</v>
      </c>
      <c r="K56" s="54">
        <f t="shared" si="11"/>
        <v>1.9000000000000001</v>
      </c>
      <c r="L56" s="54">
        <f t="shared" si="11"/>
        <v>1.9000000000000001</v>
      </c>
      <c r="M56" s="54">
        <f t="shared" si="11"/>
        <v>1.9000000000000001</v>
      </c>
      <c r="N56" s="54">
        <f t="shared" ref="N56" si="12">SUM(N57:N62)</f>
        <v>2.9</v>
      </c>
    </row>
    <row r="57" spans="1:14" outlineLevel="1" x14ac:dyDescent="0.2">
      <c r="A57" s="9" t="s">
        <v>113</v>
      </c>
      <c r="B57" s="1" t="s">
        <v>114</v>
      </c>
      <c r="C57" s="29">
        <v>0.3</v>
      </c>
      <c r="D57" s="29">
        <v>0.3</v>
      </c>
      <c r="E57" s="29">
        <v>0.3</v>
      </c>
      <c r="F57" s="29">
        <v>0.3</v>
      </c>
      <c r="G57" s="29">
        <v>0.3</v>
      </c>
      <c r="H57" s="29">
        <v>0.3</v>
      </c>
      <c r="I57" s="29">
        <v>0.3</v>
      </c>
      <c r="J57" s="29">
        <v>0.3</v>
      </c>
      <c r="K57" s="29">
        <v>0.3</v>
      </c>
      <c r="L57" s="29">
        <v>0.3</v>
      </c>
      <c r="M57" s="29">
        <v>0.3</v>
      </c>
      <c r="N57" s="29">
        <v>0.3</v>
      </c>
    </row>
    <row r="58" spans="1:14" outlineLevel="1" x14ac:dyDescent="0.2">
      <c r="A58" s="9" t="s">
        <v>309</v>
      </c>
      <c r="B58" s="1" t="s">
        <v>310</v>
      </c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</row>
    <row r="59" spans="1:14" outlineLevel="1" x14ac:dyDescent="0.2">
      <c r="A59" s="9" t="s">
        <v>115</v>
      </c>
      <c r="B59" s="1" t="s">
        <v>116</v>
      </c>
      <c r="C59" s="29">
        <v>0</v>
      </c>
      <c r="D59" s="29">
        <v>0</v>
      </c>
      <c r="E59" s="29">
        <v>0</v>
      </c>
      <c r="F59" s="29">
        <v>0</v>
      </c>
      <c r="G59" s="29">
        <v>0</v>
      </c>
      <c r="H59" s="29">
        <v>0</v>
      </c>
      <c r="I59" s="29">
        <v>0</v>
      </c>
      <c r="J59" s="29">
        <v>0</v>
      </c>
      <c r="K59" s="29">
        <v>0</v>
      </c>
      <c r="L59" s="29">
        <v>0</v>
      </c>
      <c r="M59" s="29">
        <v>0</v>
      </c>
      <c r="N59" s="29">
        <v>0</v>
      </c>
    </row>
    <row r="60" spans="1:14" outlineLevel="1" x14ac:dyDescent="0.2">
      <c r="A60" s="9" t="s">
        <v>311</v>
      </c>
      <c r="B60" s="1" t="s">
        <v>312</v>
      </c>
      <c r="C60" s="29">
        <v>1.3</v>
      </c>
      <c r="D60" s="29">
        <v>1.3</v>
      </c>
      <c r="E60" s="29">
        <v>1.3</v>
      </c>
      <c r="F60" s="29">
        <v>1.3</v>
      </c>
      <c r="G60" s="29">
        <v>1.3</v>
      </c>
      <c r="H60" s="29">
        <v>1.3</v>
      </c>
      <c r="I60" s="29">
        <v>1.3</v>
      </c>
      <c r="J60" s="29">
        <v>1.3</v>
      </c>
      <c r="K60" s="29">
        <v>1.3</v>
      </c>
      <c r="L60" s="29">
        <v>1.3</v>
      </c>
      <c r="M60" s="29">
        <v>1.3</v>
      </c>
      <c r="N60" s="29">
        <v>1.3</v>
      </c>
    </row>
    <row r="61" spans="1:14" outlineLevel="1" x14ac:dyDescent="0.2">
      <c r="A61" s="9" t="s">
        <v>117</v>
      </c>
      <c r="B61" s="1" t="s">
        <v>118</v>
      </c>
      <c r="C61" s="29">
        <v>0</v>
      </c>
      <c r="D61" s="29">
        <v>0.8</v>
      </c>
      <c r="E61" s="29">
        <v>0</v>
      </c>
      <c r="F61" s="29">
        <v>0</v>
      </c>
      <c r="G61" s="29">
        <v>0</v>
      </c>
      <c r="H61" s="29">
        <v>0</v>
      </c>
      <c r="I61" s="29">
        <v>1</v>
      </c>
      <c r="J61" s="29">
        <v>0</v>
      </c>
      <c r="K61" s="29">
        <v>0</v>
      </c>
      <c r="L61" s="29">
        <v>0</v>
      </c>
      <c r="M61" s="29">
        <v>0</v>
      </c>
      <c r="N61" s="29">
        <v>1</v>
      </c>
    </row>
    <row r="62" spans="1:14" outlineLevel="1" x14ac:dyDescent="0.2">
      <c r="A62" s="9" t="s">
        <v>313</v>
      </c>
      <c r="B62" s="1" t="s">
        <v>314</v>
      </c>
      <c r="C62" s="29">
        <v>0.3</v>
      </c>
      <c r="D62" s="29">
        <v>0.3</v>
      </c>
      <c r="E62" s="29">
        <v>0.3</v>
      </c>
      <c r="F62" s="29">
        <v>0.3</v>
      </c>
      <c r="G62" s="29">
        <v>0.3</v>
      </c>
      <c r="H62" s="29">
        <v>0.3</v>
      </c>
      <c r="I62" s="29">
        <v>0.3</v>
      </c>
      <c r="J62" s="29">
        <v>0.3</v>
      </c>
      <c r="K62" s="29">
        <v>0.3</v>
      </c>
      <c r="L62" s="29">
        <v>0.3</v>
      </c>
      <c r="M62" s="29">
        <v>0.3</v>
      </c>
      <c r="N62" s="29">
        <v>0.3</v>
      </c>
    </row>
    <row r="63" spans="1:14" x14ac:dyDescent="0.2">
      <c r="A63" s="48" t="s">
        <v>119</v>
      </c>
      <c r="B63" s="49" t="s">
        <v>120</v>
      </c>
      <c r="C63" s="54">
        <f t="shared" ref="C63:N63" si="13">SUM(C64:C66)</f>
        <v>0.2</v>
      </c>
      <c r="D63" s="54">
        <f t="shared" si="13"/>
        <v>0.2</v>
      </c>
      <c r="E63" s="54">
        <f t="shared" si="13"/>
        <v>0.2</v>
      </c>
      <c r="F63" s="54">
        <f t="shared" si="13"/>
        <v>0.2</v>
      </c>
      <c r="G63" s="54">
        <f t="shared" si="13"/>
        <v>0.2</v>
      </c>
      <c r="H63" s="54">
        <f t="shared" si="13"/>
        <v>0.2</v>
      </c>
      <c r="I63" s="54">
        <f t="shared" si="13"/>
        <v>0.30000000000000004</v>
      </c>
      <c r="J63" s="54">
        <f t="shared" si="13"/>
        <v>0.2</v>
      </c>
      <c r="K63" s="54">
        <f t="shared" si="13"/>
        <v>0.2</v>
      </c>
      <c r="L63" s="54">
        <f t="shared" si="13"/>
        <v>0.2</v>
      </c>
      <c r="M63" s="54">
        <f t="shared" si="13"/>
        <v>0.2</v>
      </c>
      <c r="N63" s="54">
        <f t="shared" si="13"/>
        <v>0.30000000000000004</v>
      </c>
    </row>
    <row r="64" spans="1:14" outlineLevel="1" x14ac:dyDescent="0.2">
      <c r="A64" s="9" t="s">
        <v>121</v>
      </c>
      <c r="B64" s="1" t="s">
        <v>122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</row>
    <row r="65" spans="1:14" outlineLevel="1" x14ac:dyDescent="0.2">
      <c r="A65" s="9" t="s">
        <v>123</v>
      </c>
      <c r="B65" s="1" t="s">
        <v>124</v>
      </c>
      <c r="C65" s="29">
        <v>0.2</v>
      </c>
      <c r="D65" s="29">
        <v>0.2</v>
      </c>
      <c r="E65" s="29">
        <v>0.2</v>
      </c>
      <c r="F65" s="29">
        <v>0.2</v>
      </c>
      <c r="G65" s="29">
        <v>0.2</v>
      </c>
      <c r="H65" s="29">
        <v>0.2</v>
      </c>
      <c r="I65" s="29">
        <v>0.2</v>
      </c>
      <c r="J65" s="29">
        <v>0.2</v>
      </c>
      <c r="K65" s="29">
        <v>0.2</v>
      </c>
      <c r="L65" s="29">
        <v>0.2</v>
      </c>
      <c r="M65" s="29">
        <v>0.2</v>
      </c>
      <c r="N65" s="29">
        <v>0.2</v>
      </c>
    </row>
    <row r="66" spans="1:14" outlineLevel="1" x14ac:dyDescent="0.2">
      <c r="A66" s="9" t="s">
        <v>125</v>
      </c>
      <c r="B66" s="1" t="s">
        <v>126</v>
      </c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29">
        <v>0</v>
      </c>
      <c r="I66" s="29">
        <v>0.1</v>
      </c>
      <c r="J66" s="29">
        <v>0</v>
      </c>
      <c r="K66" s="29">
        <v>0</v>
      </c>
      <c r="L66" s="29">
        <v>0</v>
      </c>
      <c r="M66" s="29">
        <v>0</v>
      </c>
      <c r="N66" s="29">
        <v>0.1</v>
      </c>
    </row>
    <row r="67" spans="1:14" x14ac:dyDescent="0.2">
      <c r="A67" s="48" t="s">
        <v>127</v>
      </c>
      <c r="B67" s="49" t="s">
        <v>128</v>
      </c>
      <c r="C67" s="54">
        <f t="shared" ref="C67:N67" si="14">SUM(C68:C74)</f>
        <v>19.8</v>
      </c>
      <c r="D67" s="54">
        <f t="shared" si="14"/>
        <v>19.8</v>
      </c>
      <c r="E67" s="54">
        <f t="shared" si="14"/>
        <v>19.8</v>
      </c>
      <c r="F67" s="54">
        <f t="shared" si="14"/>
        <v>19.8</v>
      </c>
      <c r="G67" s="54">
        <f t="shared" si="14"/>
        <v>19.8</v>
      </c>
      <c r="H67" s="54">
        <f t="shared" si="14"/>
        <v>19.8</v>
      </c>
      <c r="I67" s="54">
        <f t="shared" si="14"/>
        <v>19.8</v>
      </c>
      <c r="J67" s="54">
        <f t="shared" si="14"/>
        <v>19.8</v>
      </c>
      <c r="K67" s="54">
        <f t="shared" si="14"/>
        <v>19.8</v>
      </c>
      <c r="L67" s="54">
        <f t="shared" si="14"/>
        <v>19.8</v>
      </c>
      <c r="M67" s="54">
        <f t="shared" si="14"/>
        <v>19.8</v>
      </c>
      <c r="N67" s="54">
        <f t="shared" si="14"/>
        <v>19.8</v>
      </c>
    </row>
    <row r="68" spans="1:14" outlineLevel="1" x14ac:dyDescent="0.2">
      <c r="A68" s="9" t="s">
        <v>315</v>
      </c>
      <c r="B68" s="1" t="s">
        <v>316</v>
      </c>
      <c r="C68" s="29">
        <v>0</v>
      </c>
      <c r="D68" s="29">
        <v>0</v>
      </c>
      <c r="E68" s="29">
        <v>0</v>
      </c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</row>
    <row r="69" spans="1:14" outlineLevel="1" x14ac:dyDescent="0.2">
      <c r="A69" s="9" t="s">
        <v>317</v>
      </c>
      <c r="B69" s="1" t="s">
        <v>318</v>
      </c>
      <c r="C69" s="29">
        <v>0</v>
      </c>
      <c r="D69" s="29">
        <v>0</v>
      </c>
      <c r="E69" s="29">
        <v>0</v>
      </c>
      <c r="F69" s="29">
        <v>0</v>
      </c>
      <c r="G69" s="29">
        <v>0</v>
      </c>
      <c r="H69" s="29">
        <v>0</v>
      </c>
      <c r="I69" s="29">
        <v>0</v>
      </c>
      <c r="J69" s="29">
        <v>0</v>
      </c>
      <c r="K69" s="29">
        <v>0</v>
      </c>
      <c r="L69" s="29">
        <v>0</v>
      </c>
      <c r="M69" s="29">
        <v>0</v>
      </c>
      <c r="N69" s="29">
        <v>0</v>
      </c>
    </row>
    <row r="70" spans="1:14" outlineLevel="1" x14ac:dyDescent="0.2">
      <c r="A70" s="9" t="s">
        <v>129</v>
      </c>
      <c r="B70" s="1" t="s">
        <v>130</v>
      </c>
      <c r="C70" s="29">
        <v>19</v>
      </c>
      <c r="D70" s="29">
        <v>19</v>
      </c>
      <c r="E70" s="29">
        <v>19</v>
      </c>
      <c r="F70" s="29">
        <v>19</v>
      </c>
      <c r="G70" s="29">
        <v>19</v>
      </c>
      <c r="H70" s="29">
        <v>19</v>
      </c>
      <c r="I70" s="29">
        <v>19</v>
      </c>
      <c r="J70" s="29">
        <v>19</v>
      </c>
      <c r="K70" s="29">
        <v>19</v>
      </c>
      <c r="L70" s="29">
        <v>19</v>
      </c>
      <c r="M70" s="29">
        <v>19</v>
      </c>
      <c r="N70" s="29">
        <v>19</v>
      </c>
    </row>
    <row r="71" spans="1:14" outlineLevel="1" x14ac:dyDescent="0.2">
      <c r="A71" s="9" t="s">
        <v>131</v>
      </c>
      <c r="B71" s="1" t="s">
        <v>132</v>
      </c>
      <c r="C71" s="29">
        <v>0</v>
      </c>
      <c r="D71" s="29">
        <v>0</v>
      </c>
      <c r="E71" s="29">
        <v>0</v>
      </c>
      <c r="F71" s="29">
        <v>0</v>
      </c>
      <c r="G71" s="29">
        <v>0</v>
      </c>
      <c r="H71" s="29">
        <v>0</v>
      </c>
      <c r="I71" s="29">
        <v>0</v>
      </c>
      <c r="J71" s="29">
        <v>0</v>
      </c>
      <c r="K71" s="29">
        <v>0</v>
      </c>
      <c r="L71" s="29">
        <v>0</v>
      </c>
      <c r="M71" s="29">
        <v>0</v>
      </c>
      <c r="N71" s="29">
        <v>0</v>
      </c>
    </row>
    <row r="72" spans="1:14" outlineLevel="1" x14ac:dyDescent="0.2">
      <c r="A72" s="9" t="s">
        <v>321</v>
      </c>
      <c r="B72" s="1" t="s">
        <v>322</v>
      </c>
      <c r="C72" s="29">
        <v>0.8</v>
      </c>
      <c r="D72" s="29">
        <v>0.8</v>
      </c>
      <c r="E72" s="29">
        <v>0.8</v>
      </c>
      <c r="F72" s="29">
        <v>0.8</v>
      </c>
      <c r="G72" s="29">
        <v>0.8</v>
      </c>
      <c r="H72" s="29">
        <v>0.8</v>
      </c>
      <c r="I72" s="29">
        <v>0.8</v>
      </c>
      <c r="J72" s="29">
        <v>0.8</v>
      </c>
      <c r="K72" s="29">
        <v>0.8</v>
      </c>
      <c r="L72" s="29">
        <v>0.8</v>
      </c>
      <c r="M72" s="29">
        <v>0.8</v>
      </c>
      <c r="N72" s="29">
        <v>0.8</v>
      </c>
    </row>
    <row r="73" spans="1:14" outlineLevel="1" x14ac:dyDescent="0.2">
      <c r="A73" s="9" t="s">
        <v>323</v>
      </c>
      <c r="B73" s="1" t="s">
        <v>324</v>
      </c>
      <c r="C73" s="29">
        <v>0</v>
      </c>
      <c r="D73" s="29">
        <v>0</v>
      </c>
      <c r="E73" s="29">
        <v>0</v>
      </c>
      <c r="F73" s="29">
        <v>0</v>
      </c>
      <c r="G73" s="29">
        <v>0</v>
      </c>
      <c r="H73" s="29">
        <v>0</v>
      </c>
      <c r="I73" s="29">
        <v>0</v>
      </c>
      <c r="J73" s="29">
        <v>0</v>
      </c>
      <c r="K73" s="29">
        <v>0</v>
      </c>
      <c r="L73" s="29">
        <v>0</v>
      </c>
      <c r="M73" s="29">
        <v>0</v>
      </c>
      <c r="N73" s="29">
        <v>0</v>
      </c>
    </row>
    <row r="74" spans="1:14" outlineLevel="1" x14ac:dyDescent="0.2">
      <c r="A74" s="9" t="s">
        <v>325</v>
      </c>
      <c r="B74" s="1" t="s">
        <v>326</v>
      </c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</row>
    <row r="75" spans="1:14" x14ac:dyDescent="0.2">
      <c r="A75" s="48" t="s">
        <v>133</v>
      </c>
      <c r="B75" s="49" t="s">
        <v>134</v>
      </c>
      <c r="C75" s="54">
        <f t="shared" ref="C75:N75" si="15">SUM(C76:C82)</f>
        <v>11.299999999999999</v>
      </c>
      <c r="D75" s="54">
        <f t="shared" si="15"/>
        <v>11.299999999999999</v>
      </c>
      <c r="E75" s="54">
        <f t="shared" si="15"/>
        <v>11.299999999999999</v>
      </c>
      <c r="F75" s="54">
        <f t="shared" si="15"/>
        <v>11.299999999999999</v>
      </c>
      <c r="G75" s="54">
        <f t="shared" si="15"/>
        <v>11.299999999999999</v>
      </c>
      <c r="H75" s="54">
        <f t="shared" si="15"/>
        <v>11.299999999999999</v>
      </c>
      <c r="I75" s="54">
        <f t="shared" si="15"/>
        <v>11.299999999999999</v>
      </c>
      <c r="J75" s="54">
        <f t="shared" si="15"/>
        <v>11.299999999999999</v>
      </c>
      <c r="K75" s="54">
        <f t="shared" si="15"/>
        <v>11.299999999999999</v>
      </c>
      <c r="L75" s="54">
        <f t="shared" si="15"/>
        <v>11.299999999999999</v>
      </c>
      <c r="M75" s="54">
        <f t="shared" si="15"/>
        <v>11.299999999999999</v>
      </c>
      <c r="N75" s="54">
        <f t="shared" si="15"/>
        <v>11.299999999999999</v>
      </c>
    </row>
    <row r="76" spans="1:14" outlineLevel="1" x14ac:dyDescent="0.2">
      <c r="A76" s="9" t="s">
        <v>327</v>
      </c>
      <c r="B76" s="1" t="s">
        <v>328</v>
      </c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</row>
    <row r="77" spans="1:14" outlineLevel="1" x14ac:dyDescent="0.2">
      <c r="A77" s="9" t="s">
        <v>329</v>
      </c>
      <c r="B77" s="1" t="s">
        <v>330</v>
      </c>
      <c r="C77" s="29">
        <v>5.5</v>
      </c>
      <c r="D77" s="29">
        <v>5.5</v>
      </c>
      <c r="E77" s="29">
        <v>5.5</v>
      </c>
      <c r="F77" s="29">
        <v>5.5</v>
      </c>
      <c r="G77" s="29">
        <v>5.5</v>
      </c>
      <c r="H77" s="29">
        <v>5.5</v>
      </c>
      <c r="I77" s="29">
        <v>5.5</v>
      </c>
      <c r="J77" s="29">
        <v>5.5</v>
      </c>
      <c r="K77" s="29">
        <v>5.5</v>
      </c>
      <c r="L77" s="29">
        <v>5.5</v>
      </c>
      <c r="M77" s="29">
        <v>5.5</v>
      </c>
      <c r="N77" s="29">
        <v>5.5</v>
      </c>
    </row>
    <row r="78" spans="1:14" outlineLevel="1" x14ac:dyDescent="0.2">
      <c r="A78" s="9" t="s">
        <v>331</v>
      </c>
      <c r="B78" s="1" t="s">
        <v>332</v>
      </c>
      <c r="C78" s="29">
        <v>1.2</v>
      </c>
      <c r="D78" s="29">
        <v>1.2</v>
      </c>
      <c r="E78" s="29">
        <v>1.2</v>
      </c>
      <c r="F78" s="29">
        <v>1.2</v>
      </c>
      <c r="G78" s="29">
        <v>1.2</v>
      </c>
      <c r="H78" s="29">
        <v>1.2</v>
      </c>
      <c r="I78" s="29">
        <v>1.2</v>
      </c>
      <c r="J78" s="29">
        <v>1.2</v>
      </c>
      <c r="K78" s="29">
        <v>1.2</v>
      </c>
      <c r="L78" s="29">
        <v>1.2</v>
      </c>
      <c r="M78" s="29">
        <v>1.2</v>
      </c>
      <c r="N78" s="29">
        <v>1.2</v>
      </c>
    </row>
    <row r="79" spans="1:14" outlineLevel="1" x14ac:dyDescent="0.2">
      <c r="A79" s="9" t="s">
        <v>135</v>
      </c>
      <c r="B79" s="1" t="s">
        <v>136</v>
      </c>
      <c r="C79" s="29">
        <v>0</v>
      </c>
      <c r="D79" s="29">
        <v>0</v>
      </c>
      <c r="E79" s="29">
        <v>0</v>
      </c>
      <c r="F79" s="29">
        <v>0</v>
      </c>
      <c r="G79" s="29">
        <v>0</v>
      </c>
      <c r="H79" s="29">
        <v>0</v>
      </c>
      <c r="I79" s="29">
        <v>0</v>
      </c>
      <c r="J79" s="29">
        <v>0</v>
      </c>
      <c r="K79" s="29">
        <v>0</v>
      </c>
      <c r="L79" s="29">
        <v>0</v>
      </c>
      <c r="M79" s="29">
        <v>0</v>
      </c>
      <c r="N79" s="29">
        <v>0</v>
      </c>
    </row>
    <row r="80" spans="1:14" outlineLevel="1" x14ac:dyDescent="0.2">
      <c r="A80" s="9" t="s">
        <v>333</v>
      </c>
      <c r="B80" s="1" t="s">
        <v>334</v>
      </c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</row>
    <row r="81" spans="1:14" outlineLevel="1" x14ac:dyDescent="0.2">
      <c r="A81" s="9" t="s">
        <v>335</v>
      </c>
      <c r="B81" s="1" t="s">
        <v>336</v>
      </c>
      <c r="C81" s="29">
        <v>3.9</v>
      </c>
      <c r="D81" s="29">
        <v>3.9</v>
      </c>
      <c r="E81" s="29">
        <v>3.9</v>
      </c>
      <c r="F81" s="29">
        <v>3.9</v>
      </c>
      <c r="G81" s="29">
        <v>3.9</v>
      </c>
      <c r="H81" s="29">
        <v>3.9</v>
      </c>
      <c r="I81" s="29">
        <v>3.9</v>
      </c>
      <c r="J81" s="29">
        <v>3.9</v>
      </c>
      <c r="K81" s="29">
        <v>3.9</v>
      </c>
      <c r="L81" s="29">
        <v>3.9</v>
      </c>
      <c r="M81" s="29">
        <v>3.9</v>
      </c>
      <c r="N81" s="29">
        <v>3.9</v>
      </c>
    </row>
    <row r="82" spans="1:14" outlineLevel="1" x14ac:dyDescent="0.2">
      <c r="A82" s="9" t="s">
        <v>337</v>
      </c>
      <c r="B82" s="1" t="s">
        <v>338</v>
      </c>
      <c r="C82" s="29">
        <v>0.7</v>
      </c>
      <c r="D82" s="29">
        <v>0.7</v>
      </c>
      <c r="E82" s="29">
        <v>0.7</v>
      </c>
      <c r="F82" s="29">
        <v>0.7</v>
      </c>
      <c r="G82" s="29">
        <v>0.7</v>
      </c>
      <c r="H82" s="29">
        <v>0.7</v>
      </c>
      <c r="I82" s="29">
        <v>0.7</v>
      </c>
      <c r="J82" s="29">
        <v>0.7</v>
      </c>
      <c r="K82" s="29">
        <v>0.7</v>
      </c>
      <c r="L82" s="29">
        <v>0.7</v>
      </c>
      <c r="M82" s="29">
        <v>0.7</v>
      </c>
      <c r="N82" s="29">
        <v>0.7</v>
      </c>
    </row>
    <row r="83" spans="1:14" x14ac:dyDescent="0.2">
      <c r="A83" s="48" t="s">
        <v>137</v>
      </c>
      <c r="B83" s="49" t="s">
        <v>138</v>
      </c>
      <c r="C83" s="54">
        <f t="shared" ref="C83:N83" si="16">SUM(C84:C87)</f>
        <v>0</v>
      </c>
      <c r="D83" s="54">
        <f t="shared" si="16"/>
        <v>0</v>
      </c>
      <c r="E83" s="54">
        <f t="shared" si="16"/>
        <v>0</v>
      </c>
      <c r="F83" s="54">
        <f t="shared" si="16"/>
        <v>0</v>
      </c>
      <c r="G83" s="54">
        <f t="shared" si="16"/>
        <v>0</v>
      </c>
      <c r="H83" s="54">
        <f t="shared" si="16"/>
        <v>0</v>
      </c>
      <c r="I83" s="54">
        <f t="shared" si="16"/>
        <v>0</v>
      </c>
      <c r="J83" s="54">
        <f t="shared" si="16"/>
        <v>0</v>
      </c>
      <c r="K83" s="54">
        <f t="shared" si="16"/>
        <v>0</v>
      </c>
      <c r="L83" s="54">
        <f t="shared" si="16"/>
        <v>0</v>
      </c>
      <c r="M83" s="54">
        <f t="shared" si="16"/>
        <v>0</v>
      </c>
      <c r="N83" s="54">
        <f t="shared" si="16"/>
        <v>0</v>
      </c>
    </row>
    <row r="84" spans="1:14" outlineLevel="1" x14ac:dyDescent="0.2">
      <c r="A84" s="9" t="s">
        <v>339</v>
      </c>
      <c r="B84" s="1" t="s">
        <v>340</v>
      </c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</row>
    <row r="85" spans="1:14" outlineLevel="1" x14ac:dyDescent="0.2">
      <c r="A85" s="9" t="s">
        <v>345</v>
      </c>
      <c r="B85" s="1" t="s">
        <v>346</v>
      </c>
      <c r="C85" s="29">
        <v>0</v>
      </c>
      <c r="D85" s="29">
        <v>0</v>
      </c>
      <c r="E85" s="29">
        <v>0</v>
      </c>
      <c r="F85" s="29">
        <v>0</v>
      </c>
      <c r="G85" s="29">
        <v>0</v>
      </c>
      <c r="H85" s="29">
        <v>0</v>
      </c>
      <c r="I85" s="29">
        <v>0</v>
      </c>
      <c r="J85" s="29">
        <v>0</v>
      </c>
      <c r="K85" s="29">
        <v>0</v>
      </c>
      <c r="L85" s="29">
        <v>0</v>
      </c>
      <c r="M85" s="29">
        <v>0</v>
      </c>
      <c r="N85" s="29">
        <v>0</v>
      </c>
    </row>
    <row r="86" spans="1:14" outlineLevel="1" x14ac:dyDescent="0.2">
      <c r="A86" s="9" t="s">
        <v>349</v>
      </c>
      <c r="B86" s="1" t="s">
        <v>350</v>
      </c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</row>
    <row r="87" spans="1:14" outlineLevel="1" x14ac:dyDescent="0.2">
      <c r="A87" s="9" t="s">
        <v>351</v>
      </c>
      <c r="B87" s="1" t="s">
        <v>352</v>
      </c>
      <c r="C87" s="29">
        <v>0</v>
      </c>
      <c r="D87" s="29">
        <v>0</v>
      </c>
      <c r="E87" s="29">
        <v>0</v>
      </c>
      <c r="F87" s="29">
        <v>0</v>
      </c>
      <c r="G87" s="29">
        <v>0</v>
      </c>
      <c r="H87" s="29">
        <v>0</v>
      </c>
      <c r="I87" s="29">
        <v>0</v>
      </c>
      <c r="J87" s="29">
        <v>0</v>
      </c>
      <c r="K87" s="29">
        <v>0</v>
      </c>
      <c r="L87" s="29">
        <v>0</v>
      </c>
      <c r="M87" s="29">
        <v>0</v>
      </c>
      <c r="N87" s="29">
        <v>0</v>
      </c>
    </row>
    <row r="88" spans="1:14" x14ac:dyDescent="0.2">
      <c r="A88" s="48" t="s">
        <v>139</v>
      </c>
      <c r="B88" s="49" t="s">
        <v>140</v>
      </c>
      <c r="C88" s="54">
        <v>0</v>
      </c>
      <c r="D88" s="54">
        <v>0</v>
      </c>
      <c r="E88" s="54">
        <v>0</v>
      </c>
      <c r="F88" s="54">
        <v>0</v>
      </c>
      <c r="G88" s="54">
        <v>0</v>
      </c>
      <c r="H88" s="54">
        <v>0</v>
      </c>
      <c r="I88" s="54">
        <v>0</v>
      </c>
      <c r="J88" s="54">
        <v>0</v>
      </c>
      <c r="K88" s="54">
        <v>0</v>
      </c>
      <c r="L88" s="54">
        <v>0</v>
      </c>
      <c r="M88" s="54">
        <v>0</v>
      </c>
      <c r="N88" s="54">
        <v>0</v>
      </c>
    </row>
    <row r="89" spans="1:14" x14ac:dyDescent="0.2">
      <c r="A89" s="48" t="s">
        <v>141</v>
      </c>
      <c r="B89" s="49" t="s">
        <v>142</v>
      </c>
      <c r="C89" s="54">
        <v>0</v>
      </c>
      <c r="D89" s="54">
        <v>0</v>
      </c>
      <c r="E89" s="54">
        <v>0</v>
      </c>
      <c r="F89" s="54">
        <v>0</v>
      </c>
      <c r="G89" s="54">
        <v>0</v>
      </c>
      <c r="H89" s="54">
        <v>0</v>
      </c>
      <c r="I89" s="54">
        <v>0</v>
      </c>
      <c r="J89" s="54">
        <v>0</v>
      </c>
      <c r="K89" s="54">
        <v>0</v>
      </c>
      <c r="L89" s="54">
        <v>0</v>
      </c>
      <c r="M89" s="54">
        <v>0</v>
      </c>
      <c r="N89" s="54">
        <v>0</v>
      </c>
    </row>
    <row r="90" spans="1:14" x14ac:dyDescent="0.2">
      <c r="A90" s="48" t="s">
        <v>143</v>
      </c>
      <c r="B90" s="49" t="s">
        <v>144</v>
      </c>
      <c r="C90" s="54">
        <f t="shared" ref="C90:M90" si="17">SUM(C91:C96)</f>
        <v>5</v>
      </c>
      <c r="D90" s="54">
        <f t="shared" si="17"/>
        <v>8</v>
      </c>
      <c r="E90" s="54">
        <f t="shared" si="17"/>
        <v>8</v>
      </c>
      <c r="F90" s="54">
        <f t="shared" si="17"/>
        <v>29.900000000000002</v>
      </c>
      <c r="G90" s="54">
        <f t="shared" si="17"/>
        <v>4</v>
      </c>
      <c r="H90" s="54">
        <f t="shared" si="17"/>
        <v>7</v>
      </c>
      <c r="I90" s="54">
        <f t="shared" si="17"/>
        <v>9.8000000000000007</v>
      </c>
      <c r="J90" s="54">
        <f t="shared" si="17"/>
        <v>5</v>
      </c>
      <c r="K90" s="54">
        <f t="shared" si="17"/>
        <v>30.900000000000002</v>
      </c>
      <c r="L90" s="54">
        <f t="shared" si="17"/>
        <v>2</v>
      </c>
      <c r="M90" s="54">
        <f t="shared" si="17"/>
        <v>5</v>
      </c>
      <c r="N90" s="54">
        <f>SUM(N91:N96)</f>
        <v>13.7</v>
      </c>
    </row>
    <row r="91" spans="1:14" outlineLevel="1" x14ac:dyDescent="0.2">
      <c r="A91" s="9" t="s">
        <v>145</v>
      </c>
      <c r="B91" s="1" t="s">
        <v>146</v>
      </c>
      <c r="C91" s="29">
        <v>0</v>
      </c>
      <c r="D91" s="29">
        <v>0</v>
      </c>
      <c r="E91" s="29">
        <v>0</v>
      </c>
      <c r="F91" s="29">
        <v>0</v>
      </c>
      <c r="G91" s="29">
        <v>0</v>
      </c>
      <c r="H91" s="29">
        <v>0</v>
      </c>
      <c r="I91" s="29">
        <v>0</v>
      </c>
      <c r="J91" s="29">
        <v>0</v>
      </c>
      <c r="K91" s="29">
        <v>0</v>
      </c>
      <c r="L91" s="29">
        <v>0</v>
      </c>
      <c r="M91" s="29">
        <v>0</v>
      </c>
      <c r="N91" s="29">
        <v>0</v>
      </c>
    </row>
    <row r="92" spans="1:14" outlineLevel="1" x14ac:dyDescent="0.2">
      <c r="A92" s="9" t="s">
        <v>149</v>
      </c>
      <c r="B92" s="1" t="s">
        <v>150</v>
      </c>
      <c r="C92" s="29">
        <v>0</v>
      </c>
      <c r="D92" s="29">
        <v>0</v>
      </c>
      <c r="E92" s="29">
        <v>0</v>
      </c>
      <c r="F92" s="29">
        <v>15.4</v>
      </c>
      <c r="G92" s="29">
        <v>0</v>
      </c>
      <c r="H92" s="29">
        <v>0</v>
      </c>
      <c r="I92" s="29">
        <v>0</v>
      </c>
      <c r="J92" s="29">
        <v>0</v>
      </c>
      <c r="K92" s="29">
        <v>15.4</v>
      </c>
      <c r="L92" s="29">
        <v>0</v>
      </c>
      <c r="M92" s="29">
        <v>0</v>
      </c>
      <c r="N92" s="29">
        <v>0</v>
      </c>
    </row>
    <row r="93" spans="1:14" outlineLevel="1" x14ac:dyDescent="0.2">
      <c r="A93" s="9" t="s">
        <v>151</v>
      </c>
      <c r="B93" s="1" t="s">
        <v>152</v>
      </c>
      <c r="C93" s="29">
        <v>0</v>
      </c>
      <c r="D93" s="29">
        <v>0</v>
      </c>
      <c r="E93" s="29">
        <v>0</v>
      </c>
      <c r="F93" s="29">
        <v>0.9</v>
      </c>
      <c r="G93" s="29">
        <v>0</v>
      </c>
      <c r="H93" s="29">
        <v>0</v>
      </c>
      <c r="I93" s="29">
        <v>0</v>
      </c>
      <c r="J93" s="29">
        <v>0</v>
      </c>
      <c r="K93" s="29">
        <v>0.9</v>
      </c>
      <c r="L93" s="29">
        <v>0</v>
      </c>
      <c r="M93" s="29">
        <v>0</v>
      </c>
      <c r="N93" s="29">
        <v>0</v>
      </c>
    </row>
    <row r="94" spans="1:14" outlineLevel="1" x14ac:dyDescent="0.2">
      <c r="A94" s="9" t="s">
        <v>355</v>
      </c>
      <c r="B94" s="1" t="s">
        <v>356</v>
      </c>
      <c r="C94" s="29">
        <v>7</v>
      </c>
      <c r="D94" s="29">
        <v>8</v>
      </c>
      <c r="E94" s="29">
        <v>8</v>
      </c>
      <c r="F94" s="29">
        <v>7</v>
      </c>
      <c r="G94" s="29">
        <v>4</v>
      </c>
      <c r="H94" s="29">
        <v>7</v>
      </c>
      <c r="I94" s="29">
        <v>6</v>
      </c>
      <c r="J94" s="29">
        <v>5</v>
      </c>
      <c r="K94" s="29">
        <v>8</v>
      </c>
      <c r="L94" s="29">
        <v>2</v>
      </c>
      <c r="M94" s="29">
        <v>5</v>
      </c>
      <c r="N94" s="29">
        <v>9</v>
      </c>
    </row>
    <row r="95" spans="1:14" outlineLevel="1" x14ac:dyDescent="0.2">
      <c r="A95" s="9" t="s">
        <v>153</v>
      </c>
      <c r="B95" s="1" t="s">
        <v>154</v>
      </c>
      <c r="C95" s="29">
        <v>0</v>
      </c>
      <c r="D95" s="29">
        <v>0</v>
      </c>
      <c r="E95" s="29">
        <v>0</v>
      </c>
      <c r="F95" s="29">
        <v>2.8</v>
      </c>
      <c r="G95" s="29">
        <v>0</v>
      </c>
      <c r="H95" s="29">
        <v>0</v>
      </c>
      <c r="I95" s="29">
        <v>0</v>
      </c>
      <c r="J95" s="29">
        <v>0</v>
      </c>
      <c r="K95" s="29">
        <v>2.8</v>
      </c>
      <c r="L95" s="29">
        <v>0</v>
      </c>
      <c r="M95" s="29">
        <v>0</v>
      </c>
      <c r="N95" s="29">
        <v>0</v>
      </c>
    </row>
    <row r="96" spans="1:14" outlineLevel="1" x14ac:dyDescent="0.2">
      <c r="A96" s="9" t="s">
        <v>155</v>
      </c>
      <c r="B96" s="1" t="s">
        <v>156</v>
      </c>
      <c r="C96" s="29">
        <v>-2</v>
      </c>
      <c r="D96" s="29">
        <v>0</v>
      </c>
      <c r="E96" s="29">
        <v>0</v>
      </c>
      <c r="F96" s="29">
        <v>3.8</v>
      </c>
      <c r="G96" s="29">
        <v>0</v>
      </c>
      <c r="H96" s="29">
        <v>0</v>
      </c>
      <c r="I96" s="29">
        <v>3.8</v>
      </c>
      <c r="J96" s="29">
        <v>0</v>
      </c>
      <c r="K96" s="29">
        <v>3.8</v>
      </c>
      <c r="L96" s="29">
        <v>0</v>
      </c>
      <c r="M96" s="29">
        <v>0</v>
      </c>
      <c r="N96" s="29">
        <v>4.7</v>
      </c>
    </row>
    <row r="97" spans="1:14" x14ac:dyDescent="0.2">
      <c r="A97" s="48" t="s">
        <v>157</v>
      </c>
      <c r="B97" s="49" t="s">
        <v>158</v>
      </c>
      <c r="C97" s="54">
        <f t="shared" ref="C97:N97" si="18">+C98</f>
        <v>2.6</v>
      </c>
      <c r="D97" s="54">
        <f t="shared" si="18"/>
        <v>2.6</v>
      </c>
      <c r="E97" s="54">
        <f t="shared" si="18"/>
        <v>2.6</v>
      </c>
      <c r="F97" s="54">
        <f t="shared" si="18"/>
        <v>2.6</v>
      </c>
      <c r="G97" s="54">
        <f t="shared" si="18"/>
        <v>2.6</v>
      </c>
      <c r="H97" s="54">
        <f t="shared" si="18"/>
        <v>2.6</v>
      </c>
      <c r="I97" s="54">
        <f t="shared" si="18"/>
        <v>2.6</v>
      </c>
      <c r="J97" s="54">
        <f t="shared" si="18"/>
        <v>2.6</v>
      </c>
      <c r="K97" s="54">
        <f t="shared" si="18"/>
        <v>2.6</v>
      </c>
      <c r="L97" s="54">
        <f t="shared" si="18"/>
        <v>2.6</v>
      </c>
      <c r="M97" s="54">
        <f t="shared" si="18"/>
        <v>2.6</v>
      </c>
      <c r="N97" s="54">
        <f t="shared" si="18"/>
        <v>2.6</v>
      </c>
    </row>
    <row r="98" spans="1:14" outlineLevel="1" x14ac:dyDescent="0.2">
      <c r="A98" s="9" t="s">
        <v>159</v>
      </c>
      <c r="B98" s="1" t="s">
        <v>160</v>
      </c>
      <c r="C98" s="29">
        <v>2.6</v>
      </c>
      <c r="D98" s="29">
        <v>2.6</v>
      </c>
      <c r="E98" s="29">
        <v>2.6</v>
      </c>
      <c r="F98" s="29">
        <v>2.6</v>
      </c>
      <c r="G98" s="29">
        <v>2.6</v>
      </c>
      <c r="H98" s="29">
        <v>2.6</v>
      </c>
      <c r="I98" s="29">
        <v>2.6</v>
      </c>
      <c r="J98" s="29">
        <v>2.6</v>
      </c>
      <c r="K98" s="29">
        <v>2.6</v>
      </c>
      <c r="L98" s="29">
        <v>2.6</v>
      </c>
      <c r="M98" s="29">
        <v>2.6</v>
      </c>
      <c r="N98" s="29">
        <v>2.6</v>
      </c>
    </row>
    <row r="99" spans="1:14" x14ac:dyDescent="0.2">
      <c r="A99" s="52"/>
      <c r="B99" s="52" t="s">
        <v>165</v>
      </c>
      <c r="C99" s="56">
        <f>+C35+C56+C63+C67+C75+C83+C88+C89+C90+C97</f>
        <v>341.7</v>
      </c>
      <c r="D99" s="56">
        <f t="shared" ref="D99:N99" si="19">+D35+D56+D63+D67+D75+D83+D88+D89+D90+D97</f>
        <v>344.00000000000006</v>
      </c>
      <c r="E99" s="56">
        <f t="shared" si="19"/>
        <v>337.5</v>
      </c>
      <c r="F99" s="56">
        <f t="shared" si="19"/>
        <v>384.00000000000006</v>
      </c>
      <c r="G99" s="56">
        <f t="shared" si="19"/>
        <v>343.90000000000003</v>
      </c>
      <c r="H99" s="56">
        <f t="shared" si="19"/>
        <v>317.8</v>
      </c>
      <c r="I99" s="56">
        <f t="shared" si="19"/>
        <v>345.80000000000007</v>
      </c>
      <c r="J99" s="56">
        <f t="shared" si="19"/>
        <v>317.5</v>
      </c>
      <c r="K99" s="56">
        <f t="shared" si="19"/>
        <v>374.00000000000006</v>
      </c>
      <c r="L99" s="56">
        <f t="shared" si="19"/>
        <v>335.40000000000003</v>
      </c>
      <c r="M99" s="56">
        <f t="shared" si="19"/>
        <v>311.8</v>
      </c>
      <c r="N99" s="56">
        <f t="shared" si="19"/>
        <v>358.70000000000005</v>
      </c>
    </row>
    <row r="100" spans="1:14" x14ac:dyDescent="0.2">
      <c r="A100" s="51"/>
      <c r="B100" s="51" t="s">
        <v>166</v>
      </c>
      <c r="C100" s="55">
        <f>+C33-C99</f>
        <v>123.30000000000001</v>
      </c>
      <c r="D100" s="55">
        <f t="shared" ref="D100:I100" si="20">+D33-D99</f>
        <v>59.999999999999943</v>
      </c>
      <c r="E100" s="55">
        <f t="shared" si="20"/>
        <v>81.5</v>
      </c>
      <c r="F100" s="55">
        <f t="shared" si="20"/>
        <v>5.9999999999999432</v>
      </c>
      <c r="G100" s="55">
        <f t="shared" si="20"/>
        <v>94.099999999999966</v>
      </c>
      <c r="H100" s="55">
        <f t="shared" si="20"/>
        <v>98.199999999999989</v>
      </c>
      <c r="I100" s="55">
        <f t="shared" si="20"/>
        <v>97.199999999999932</v>
      </c>
      <c r="J100" s="55">
        <f>+J33-J99</f>
        <v>133.5</v>
      </c>
      <c r="K100" s="55">
        <f t="shared" ref="K100:N100" si="21">+K33-K99</f>
        <v>40.999999999999943</v>
      </c>
      <c r="L100" s="55">
        <f t="shared" si="21"/>
        <v>30.599999999999966</v>
      </c>
      <c r="M100" s="55">
        <f t="shared" si="21"/>
        <v>89.199999999999989</v>
      </c>
      <c r="N100" s="55">
        <f t="shared" si="21"/>
        <v>60.299999999999955</v>
      </c>
    </row>
    <row r="101" spans="1:14" x14ac:dyDescent="0.2">
      <c r="A101" s="48" t="s">
        <v>167</v>
      </c>
      <c r="B101" s="49" t="s">
        <v>168</v>
      </c>
      <c r="C101" s="54">
        <f>SUM(C102:C115)</f>
        <v>112.00000000000001</v>
      </c>
      <c r="D101" s="54">
        <f t="shared" ref="D101:N101" si="22">SUM(D102:D115)</f>
        <v>110.7</v>
      </c>
      <c r="E101" s="54">
        <f t="shared" si="22"/>
        <v>80.500000000000014</v>
      </c>
      <c r="F101" s="54">
        <f t="shared" si="22"/>
        <v>79.40000000000002</v>
      </c>
      <c r="G101" s="54">
        <f t="shared" si="22"/>
        <v>96.7</v>
      </c>
      <c r="H101" s="54">
        <f t="shared" si="22"/>
        <v>113.3</v>
      </c>
      <c r="I101" s="54">
        <f t="shared" si="22"/>
        <v>81.600000000000023</v>
      </c>
      <c r="J101" s="54">
        <f t="shared" si="22"/>
        <v>88.500000000000014</v>
      </c>
      <c r="K101" s="54">
        <f t="shared" si="22"/>
        <v>91.40000000000002</v>
      </c>
      <c r="L101" s="54">
        <f t="shared" si="22"/>
        <v>89.7</v>
      </c>
      <c r="M101" s="54">
        <f t="shared" si="22"/>
        <v>85.300000000000011</v>
      </c>
      <c r="N101" s="54">
        <f t="shared" si="22"/>
        <v>108.60000000000001</v>
      </c>
    </row>
    <row r="102" spans="1:14" outlineLevel="1" x14ac:dyDescent="0.2">
      <c r="A102" s="9" t="s">
        <v>169</v>
      </c>
      <c r="B102" s="1" t="s">
        <v>170</v>
      </c>
      <c r="C102" s="29">
        <v>3.2</v>
      </c>
      <c r="D102" s="29">
        <v>3.2</v>
      </c>
      <c r="E102" s="29">
        <v>3.1</v>
      </c>
      <c r="F102" s="29">
        <v>4.2</v>
      </c>
      <c r="G102" s="29">
        <v>4.3</v>
      </c>
      <c r="H102" s="29">
        <v>4.0999999999999996</v>
      </c>
      <c r="I102" s="29">
        <v>7.5</v>
      </c>
      <c r="J102" s="29">
        <v>3.1</v>
      </c>
      <c r="K102" s="29">
        <v>4.2</v>
      </c>
      <c r="L102" s="29">
        <v>4.3</v>
      </c>
      <c r="M102" s="29">
        <v>4.0999999999999996</v>
      </c>
      <c r="N102" s="29">
        <v>7.5</v>
      </c>
    </row>
    <row r="103" spans="1:14" outlineLevel="1" x14ac:dyDescent="0.2">
      <c r="A103" s="9" t="s">
        <v>171</v>
      </c>
      <c r="B103" s="1" t="s">
        <v>172</v>
      </c>
      <c r="C103" s="29">
        <v>8.6999999999999993</v>
      </c>
      <c r="D103" s="29">
        <v>8.6999999999999993</v>
      </c>
      <c r="E103" s="29">
        <v>8.6999999999999993</v>
      </c>
      <c r="F103" s="29">
        <v>8.6999999999999993</v>
      </c>
      <c r="G103" s="29">
        <v>8.6999999999999993</v>
      </c>
      <c r="H103" s="29">
        <v>8.6999999999999993</v>
      </c>
      <c r="I103" s="29">
        <v>8.6999999999999993</v>
      </c>
      <c r="J103" s="29">
        <v>8.6999999999999993</v>
      </c>
      <c r="K103" s="29">
        <v>8.6999999999999993</v>
      </c>
      <c r="L103" s="29">
        <v>8.6999999999999993</v>
      </c>
      <c r="M103" s="29">
        <v>8.6999999999999993</v>
      </c>
      <c r="N103" s="29">
        <v>8.6999999999999993</v>
      </c>
    </row>
    <row r="104" spans="1:14" outlineLevel="1" x14ac:dyDescent="0.2">
      <c r="A104" s="9" t="s">
        <v>175</v>
      </c>
      <c r="B104" s="1" t="s">
        <v>176</v>
      </c>
      <c r="C104" s="29">
        <v>74</v>
      </c>
      <c r="D104" s="29">
        <v>72</v>
      </c>
      <c r="E104" s="29">
        <v>39</v>
      </c>
      <c r="F104" s="29">
        <v>33</v>
      </c>
      <c r="G104" s="29">
        <v>48</v>
      </c>
      <c r="H104" s="29">
        <v>70</v>
      </c>
      <c r="I104" s="29">
        <v>36</v>
      </c>
      <c r="J104" s="29">
        <v>47</v>
      </c>
      <c r="K104" s="29">
        <v>45</v>
      </c>
      <c r="L104" s="29">
        <v>41</v>
      </c>
      <c r="M104" s="29">
        <v>42</v>
      </c>
      <c r="N104" s="29">
        <v>63</v>
      </c>
    </row>
    <row r="105" spans="1:14" outlineLevel="1" x14ac:dyDescent="0.2">
      <c r="A105" s="9" t="s">
        <v>177</v>
      </c>
      <c r="B105" s="1" t="s">
        <v>178</v>
      </c>
      <c r="C105" s="29">
        <v>4.0999999999999996</v>
      </c>
      <c r="D105" s="29">
        <v>4.0999999999999996</v>
      </c>
      <c r="E105" s="29">
        <v>4.0999999999999996</v>
      </c>
      <c r="F105" s="29">
        <v>4.0999999999999996</v>
      </c>
      <c r="G105" s="29">
        <v>4.0999999999999996</v>
      </c>
      <c r="H105" s="29">
        <v>4.0999999999999996</v>
      </c>
      <c r="I105" s="29">
        <v>4.0999999999999996</v>
      </c>
      <c r="J105" s="29">
        <v>4.0999999999999996</v>
      </c>
      <c r="K105" s="29">
        <v>4.0999999999999996</v>
      </c>
      <c r="L105" s="29">
        <v>4.0999999999999996</v>
      </c>
      <c r="M105" s="29">
        <v>4.0999999999999996</v>
      </c>
      <c r="N105" s="29">
        <v>4.0999999999999996</v>
      </c>
    </row>
    <row r="106" spans="1:14" outlineLevel="1" x14ac:dyDescent="0.2">
      <c r="A106" s="9" t="s">
        <v>181</v>
      </c>
      <c r="B106" s="1" t="s">
        <v>182</v>
      </c>
      <c r="C106" s="29">
        <v>12.5</v>
      </c>
      <c r="D106" s="29">
        <v>12.5</v>
      </c>
      <c r="E106" s="29">
        <v>12.5</v>
      </c>
      <c r="F106" s="29">
        <v>12.5</v>
      </c>
      <c r="G106" s="29">
        <v>12.5</v>
      </c>
      <c r="H106" s="29">
        <v>12.5</v>
      </c>
      <c r="I106" s="29">
        <v>12.5</v>
      </c>
      <c r="J106" s="29">
        <v>12.5</v>
      </c>
      <c r="K106" s="29">
        <v>12.5</v>
      </c>
      <c r="L106" s="29">
        <v>12.5</v>
      </c>
      <c r="M106" s="29">
        <v>12.5</v>
      </c>
      <c r="N106" s="29">
        <v>12.5</v>
      </c>
    </row>
    <row r="107" spans="1:14" outlineLevel="1" x14ac:dyDescent="0.2">
      <c r="A107" s="9" t="s">
        <v>183</v>
      </c>
      <c r="B107" s="1" t="s">
        <v>184</v>
      </c>
      <c r="C107" s="29">
        <v>0</v>
      </c>
      <c r="D107" s="29">
        <v>0.6</v>
      </c>
      <c r="E107" s="29">
        <v>3.6</v>
      </c>
      <c r="F107" s="29">
        <v>6.9</v>
      </c>
      <c r="G107" s="29">
        <v>9</v>
      </c>
      <c r="H107" s="29">
        <v>4.5</v>
      </c>
      <c r="I107" s="29">
        <v>2.6</v>
      </c>
      <c r="J107" s="29">
        <v>3.6</v>
      </c>
      <c r="K107" s="29">
        <v>6.9</v>
      </c>
      <c r="L107" s="29">
        <v>9</v>
      </c>
      <c r="M107" s="29">
        <v>4.5</v>
      </c>
      <c r="N107" s="29">
        <v>2.6</v>
      </c>
    </row>
    <row r="108" spans="1:14" outlineLevel="1" x14ac:dyDescent="0.2">
      <c r="A108" s="9" t="s">
        <v>185</v>
      </c>
      <c r="B108" s="1" t="s">
        <v>186</v>
      </c>
      <c r="C108" s="29">
        <v>2.2999999999999998</v>
      </c>
      <c r="D108" s="29">
        <v>2.2999999999999998</v>
      </c>
      <c r="E108" s="29">
        <v>2.2999999999999998</v>
      </c>
      <c r="F108" s="29">
        <v>2.2999999999999998</v>
      </c>
      <c r="G108" s="29">
        <v>2.2999999999999998</v>
      </c>
      <c r="H108" s="29">
        <v>2.2999999999999998</v>
      </c>
      <c r="I108" s="29">
        <v>2.2999999999999998</v>
      </c>
      <c r="J108" s="29">
        <v>2.2999999999999998</v>
      </c>
      <c r="K108" s="29">
        <v>2.2999999999999998</v>
      </c>
      <c r="L108" s="29">
        <v>2.2999999999999998</v>
      </c>
      <c r="M108" s="29">
        <v>2.2999999999999998</v>
      </c>
      <c r="N108" s="29">
        <v>2.2999999999999998</v>
      </c>
    </row>
    <row r="109" spans="1:14" outlineLevel="1" x14ac:dyDescent="0.2">
      <c r="A109" s="9" t="s">
        <v>187</v>
      </c>
      <c r="B109" s="1" t="s">
        <v>184</v>
      </c>
      <c r="C109" s="29">
        <v>0.4</v>
      </c>
      <c r="D109" s="29">
        <v>0.4</v>
      </c>
      <c r="E109" s="29">
        <v>0.4</v>
      </c>
      <c r="F109" s="29">
        <v>0.4</v>
      </c>
      <c r="G109" s="29">
        <v>0.4</v>
      </c>
      <c r="H109" s="29">
        <v>0.4</v>
      </c>
      <c r="I109" s="29">
        <v>0.4</v>
      </c>
      <c r="J109" s="29">
        <v>0.4</v>
      </c>
      <c r="K109" s="29">
        <v>0.4</v>
      </c>
      <c r="L109" s="29">
        <v>0.4</v>
      </c>
      <c r="M109" s="29">
        <v>0.4</v>
      </c>
      <c r="N109" s="29">
        <v>0.4</v>
      </c>
    </row>
    <row r="110" spans="1:14" outlineLevel="1" x14ac:dyDescent="0.2">
      <c r="A110" s="9" t="s">
        <v>188</v>
      </c>
      <c r="B110" s="1" t="s">
        <v>189</v>
      </c>
      <c r="C110" s="29">
        <v>1.9</v>
      </c>
      <c r="D110" s="29">
        <v>1.9</v>
      </c>
      <c r="E110" s="29">
        <v>1.9</v>
      </c>
      <c r="F110" s="29">
        <v>1.9</v>
      </c>
      <c r="G110" s="29">
        <v>1.9</v>
      </c>
      <c r="H110" s="29">
        <v>1.9</v>
      </c>
      <c r="I110" s="29">
        <v>1.9</v>
      </c>
      <c r="J110" s="29">
        <v>1.9</v>
      </c>
      <c r="K110" s="29">
        <v>1.9</v>
      </c>
      <c r="L110" s="29">
        <v>1.9</v>
      </c>
      <c r="M110" s="29">
        <v>1.9</v>
      </c>
      <c r="N110" s="29">
        <v>1.9</v>
      </c>
    </row>
    <row r="111" spans="1:14" outlineLevel="1" x14ac:dyDescent="0.2">
      <c r="A111" s="9" t="s">
        <v>190</v>
      </c>
      <c r="B111" s="1" t="s">
        <v>191</v>
      </c>
      <c r="C111" s="29">
        <v>1</v>
      </c>
      <c r="D111" s="29">
        <v>1</v>
      </c>
      <c r="E111" s="29">
        <v>1</v>
      </c>
      <c r="F111" s="29">
        <v>1</v>
      </c>
      <c r="G111" s="29">
        <v>1</v>
      </c>
      <c r="H111" s="29">
        <v>1</v>
      </c>
      <c r="I111" s="29">
        <v>1</v>
      </c>
      <c r="J111" s="29">
        <v>1</v>
      </c>
      <c r="K111" s="29">
        <v>1</v>
      </c>
      <c r="L111" s="29">
        <v>1</v>
      </c>
      <c r="M111" s="29">
        <v>1</v>
      </c>
      <c r="N111" s="29">
        <v>1</v>
      </c>
    </row>
    <row r="112" spans="1:14" outlineLevel="1" x14ac:dyDescent="0.2">
      <c r="A112" s="9" t="s">
        <v>192</v>
      </c>
      <c r="B112" s="1" t="s">
        <v>193</v>
      </c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</row>
    <row r="113" spans="1:14" outlineLevel="1" x14ac:dyDescent="0.2">
      <c r="A113" s="9" t="s">
        <v>194</v>
      </c>
      <c r="B113" s="1" t="s">
        <v>195</v>
      </c>
      <c r="C113" s="29">
        <v>2.2000000000000002</v>
      </c>
      <c r="D113" s="29">
        <v>2.2000000000000002</v>
      </c>
      <c r="E113" s="29">
        <v>2.2000000000000002</v>
      </c>
      <c r="F113" s="29">
        <v>2.2000000000000002</v>
      </c>
      <c r="G113" s="29">
        <v>2.2000000000000002</v>
      </c>
      <c r="H113" s="29">
        <v>2.2000000000000002</v>
      </c>
      <c r="I113" s="29">
        <v>2.2000000000000002</v>
      </c>
      <c r="J113" s="29">
        <v>2.2000000000000002</v>
      </c>
      <c r="K113" s="29">
        <v>2.2000000000000002</v>
      </c>
      <c r="L113" s="29">
        <v>2.2000000000000002</v>
      </c>
      <c r="M113" s="29">
        <v>2.2000000000000002</v>
      </c>
      <c r="N113" s="29">
        <v>2.2000000000000002</v>
      </c>
    </row>
    <row r="114" spans="1:14" outlineLevel="1" x14ac:dyDescent="0.2">
      <c r="A114" s="9" t="s">
        <v>196</v>
      </c>
      <c r="B114" s="1" t="s">
        <v>197</v>
      </c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</row>
    <row r="115" spans="1:14" outlineLevel="1" x14ac:dyDescent="0.2">
      <c r="A115" s="9" t="s">
        <v>198</v>
      </c>
      <c r="B115" s="1" t="s">
        <v>199</v>
      </c>
      <c r="C115" s="29">
        <v>1.7</v>
      </c>
      <c r="D115" s="29">
        <v>1.8</v>
      </c>
      <c r="E115" s="29">
        <v>1.7</v>
      </c>
      <c r="F115" s="29">
        <v>2.2000000000000002</v>
      </c>
      <c r="G115" s="29">
        <v>2.2999999999999998</v>
      </c>
      <c r="H115" s="29">
        <v>1.6</v>
      </c>
      <c r="I115" s="29">
        <v>2.4</v>
      </c>
      <c r="J115" s="29">
        <v>1.7</v>
      </c>
      <c r="K115" s="29">
        <v>2.2000000000000002</v>
      </c>
      <c r="L115" s="29">
        <v>2.2999999999999998</v>
      </c>
      <c r="M115" s="29">
        <v>1.6</v>
      </c>
      <c r="N115" s="29">
        <v>2.4</v>
      </c>
    </row>
    <row r="116" spans="1:14" x14ac:dyDescent="0.2">
      <c r="A116" s="48" t="s">
        <v>200</v>
      </c>
      <c r="B116" s="49" t="s">
        <v>201</v>
      </c>
      <c r="C116" s="54">
        <f>SUM(C117:C126)</f>
        <v>9.0229999999999997</v>
      </c>
      <c r="D116" s="54">
        <f t="shared" ref="D116:N116" si="23">SUM(D117:D126)</f>
        <v>9.0229999999999997</v>
      </c>
      <c r="E116" s="54">
        <f t="shared" si="23"/>
        <v>9.0229999999999997</v>
      </c>
      <c r="F116" s="54">
        <f t="shared" si="23"/>
        <v>9.0229999999999997</v>
      </c>
      <c r="G116" s="54">
        <f t="shared" si="23"/>
        <v>9.0229999999999997</v>
      </c>
      <c r="H116" s="54">
        <f t="shared" si="23"/>
        <v>9.0229999999999997</v>
      </c>
      <c r="I116" s="54">
        <f t="shared" si="23"/>
        <v>9.0229999999999997</v>
      </c>
      <c r="J116" s="54">
        <f t="shared" si="23"/>
        <v>9.0229999999999997</v>
      </c>
      <c r="K116" s="54">
        <f t="shared" si="23"/>
        <v>9.0229999999999997</v>
      </c>
      <c r="L116" s="54">
        <f t="shared" si="23"/>
        <v>9.0229999999999997</v>
      </c>
      <c r="M116" s="54">
        <f t="shared" si="23"/>
        <v>9.0229999999999997</v>
      </c>
      <c r="N116" s="54">
        <f t="shared" si="23"/>
        <v>9.0229999999999997</v>
      </c>
    </row>
    <row r="117" spans="1:14" outlineLevel="1" x14ac:dyDescent="0.2">
      <c r="A117" s="9" t="s">
        <v>202</v>
      </c>
      <c r="B117" s="1" t="s">
        <v>203</v>
      </c>
      <c r="C117" s="29">
        <v>0</v>
      </c>
      <c r="D117" s="29">
        <v>0</v>
      </c>
      <c r="E117" s="29">
        <v>0</v>
      </c>
      <c r="F117" s="29">
        <v>0</v>
      </c>
      <c r="G117" s="29">
        <v>0</v>
      </c>
      <c r="H117" s="29">
        <v>0</v>
      </c>
      <c r="I117" s="29">
        <v>0</v>
      </c>
      <c r="J117" s="29">
        <v>0</v>
      </c>
      <c r="K117" s="29">
        <v>0</v>
      </c>
      <c r="L117" s="29">
        <v>0</v>
      </c>
      <c r="M117" s="29">
        <v>0</v>
      </c>
      <c r="N117" s="29">
        <v>0</v>
      </c>
    </row>
    <row r="118" spans="1:14" outlineLevel="1" x14ac:dyDescent="0.2">
      <c r="A118" s="9" t="s">
        <v>204</v>
      </c>
      <c r="B118" s="1" t="s">
        <v>205</v>
      </c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</row>
    <row r="119" spans="1:14" outlineLevel="1" x14ac:dyDescent="0.2">
      <c r="A119" s="9" t="s">
        <v>206</v>
      </c>
      <c r="B119" s="1" t="s">
        <v>207</v>
      </c>
      <c r="C119" s="30">
        <v>0.32300000000000001</v>
      </c>
      <c r="D119" s="30">
        <v>0.32300000000000001</v>
      </c>
      <c r="E119" s="30">
        <v>0.32300000000000001</v>
      </c>
      <c r="F119" s="30">
        <v>0.32300000000000001</v>
      </c>
      <c r="G119" s="30">
        <v>0.32300000000000001</v>
      </c>
      <c r="H119" s="30">
        <v>0.32300000000000001</v>
      </c>
      <c r="I119" s="30">
        <v>0.32300000000000001</v>
      </c>
      <c r="J119" s="30">
        <v>0.32300000000000001</v>
      </c>
      <c r="K119" s="30">
        <v>0.32300000000000001</v>
      </c>
      <c r="L119" s="30">
        <v>0.32300000000000001</v>
      </c>
      <c r="M119" s="30">
        <v>0.32300000000000001</v>
      </c>
      <c r="N119" s="30">
        <v>0.32300000000000001</v>
      </c>
    </row>
    <row r="120" spans="1:14" outlineLevel="1" x14ac:dyDescent="0.2">
      <c r="A120" s="9" t="s">
        <v>208</v>
      </c>
      <c r="B120" s="1" t="s">
        <v>209</v>
      </c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</row>
    <row r="121" spans="1:14" outlineLevel="1" x14ac:dyDescent="0.2">
      <c r="A121" s="9" t="s">
        <v>210</v>
      </c>
      <c r="B121" s="1" t="s">
        <v>211</v>
      </c>
      <c r="C121" s="30">
        <v>0.7</v>
      </c>
      <c r="D121" s="30">
        <v>0.7</v>
      </c>
      <c r="E121" s="30">
        <v>0.7</v>
      </c>
      <c r="F121" s="30">
        <v>0.7</v>
      </c>
      <c r="G121" s="30">
        <v>0.7</v>
      </c>
      <c r="H121" s="30">
        <v>0.7</v>
      </c>
      <c r="I121" s="30">
        <v>0.7</v>
      </c>
      <c r="J121" s="30">
        <v>0.7</v>
      </c>
      <c r="K121" s="30">
        <v>0.7</v>
      </c>
      <c r="L121" s="30">
        <v>0.7</v>
      </c>
      <c r="M121" s="30">
        <v>0.7</v>
      </c>
      <c r="N121" s="30">
        <v>0.7</v>
      </c>
    </row>
    <row r="122" spans="1:14" outlineLevel="1" x14ac:dyDescent="0.2">
      <c r="A122" s="9" t="s">
        <v>212</v>
      </c>
      <c r="B122" s="1" t="s">
        <v>213</v>
      </c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</row>
    <row r="123" spans="1:14" outlineLevel="1" x14ac:dyDescent="0.2">
      <c r="A123" s="9" t="s">
        <v>214</v>
      </c>
      <c r="B123" s="1" t="s">
        <v>215</v>
      </c>
      <c r="C123" s="29">
        <v>0</v>
      </c>
      <c r="D123" s="29">
        <v>0</v>
      </c>
      <c r="E123" s="29">
        <v>0</v>
      </c>
      <c r="F123" s="29">
        <v>0</v>
      </c>
      <c r="G123" s="29">
        <v>0</v>
      </c>
      <c r="H123" s="29">
        <v>0</v>
      </c>
      <c r="I123" s="29">
        <v>0</v>
      </c>
      <c r="J123" s="29">
        <v>0</v>
      </c>
      <c r="K123" s="29">
        <v>0</v>
      </c>
      <c r="L123" s="29">
        <v>0</v>
      </c>
      <c r="M123" s="29">
        <v>0</v>
      </c>
      <c r="N123" s="29">
        <v>0</v>
      </c>
    </row>
    <row r="124" spans="1:14" outlineLevel="1" x14ac:dyDescent="0.2">
      <c r="A124" s="9" t="s">
        <v>216</v>
      </c>
      <c r="B124" s="1" t="s">
        <v>217</v>
      </c>
      <c r="C124" s="30">
        <v>2.7</v>
      </c>
      <c r="D124" s="30">
        <v>2.7</v>
      </c>
      <c r="E124" s="30">
        <v>2.7</v>
      </c>
      <c r="F124" s="30">
        <v>2.7</v>
      </c>
      <c r="G124" s="30">
        <v>2.7</v>
      </c>
      <c r="H124" s="30">
        <v>2.7</v>
      </c>
      <c r="I124" s="30">
        <v>2.7</v>
      </c>
      <c r="J124" s="30">
        <v>2.7</v>
      </c>
      <c r="K124" s="30">
        <v>2.7</v>
      </c>
      <c r="L124" s="30">
        <v>2.7</v>
      </c>
      <c r="M124" s="30">
        <v>2.7</v>
      </c>
      <c r="N124" s="30">
        <v>2.7</v>
      </c>
    </row>
    <row r="125" spans="1:14" outlineLevel="1" x14ac:dyDescent="0.2">
      <c r="A125" s="9" t="s">
        <v>218</v>
      </c>
      <c r="B125" s="1" t="s">
        <v>219</v>
      </c>
      <c r="C125" s="30">
        <v>5.3</v>
      </c>
      <c r="D125" s="30">
        <v>5.3</v>
      </c>
      <c r="E125" s="30">
        <v>5.3</v>
      </c>
      <c r="F125" s="30">
        <v>5.3</v>
      </c>
      <c r="G125" s="30">
        <v>5.3</v>
      </c>
      <c r="H125" s="30">
        <v>5.3</v>
      </c>
      <c r="I125" s="30">
        <v>5.3</v>
      </c>
      <c r="J125" s="30">
        <v>5.3</v>
      </c>
      <c r="K125" s="30">
        <v>5.3</v>
      </c>
      <c r="L125" s="30">
        <v>5.3</v>
      </c>
      <c r="M125" s="30">
        <v>5.3</v>
      </c>
      <c r="N125" s="30">
        <v>5.3</v>
      </c>
    </row>
    <row r="126" spans="1:14" outlineLevel="1" x14ac:dyDescent="0.2">
      <c r="A126" s="9" t="s">
        <v>220</v>
      </c>
      <c r="B126" s="1" t="s">
        <v>221</v>
      </c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</row>
    <row r="127" spans="1:14" x14ac:dyDescent="0.2">
      <c r="A127" s="48" t="s">
        <v>226</v>
      </c>
      <c r="B127" s="49" t="s">
        <v>227</v>
      </c>
      <c r="C127" s="54">
        <v>0</v>
      </c>
      <c r="D127" s="54">
        <v>0</v>
      </c>
      <c r="E127" s="54">
        <v>0</v>
      </c>
      <c r="F127" s="54">
        <v>0</v>
      </c>
      <c r="G127" s="54">
        <v>0</v>
      </c>
      <c r="H127" s="54">
        <v>0</v>
      </c>
      <c r="I127" s="54">
        <v>0</v>
      </c>
      <c r="J127" s="54">
        <v>0</v>
      </c>
      <c r="K127" s="54">
        <v>0</v>
      </c>
      <c r="L127" s="54">
        <v>0</v>
      </c>
      <c r="M127" s="54">
        <v>0</v>
      </c>
      <c r="N127" s="54">
        <v>0</v>
      </c>
    </row>
    <row r="128" spans="1:14" x14ac:dyDescent="0.2">
      <c r="A128" s="48" t="s">
        <v>228</v>
      </c>
      <c r="B128" s="49" t="s">
        <v>229</v>
      </c>
      <c r="C128" s="54">
        <f t="shared" ref="C128:N128" si="24">+C129</f>
        <v>0</v>
      </c>
      <c r="D128" s="54">
        <f t="shared" si="24"/>
        <v>0</v>
      </c>
      <c r="E128" s="54">
        <f t="shared" si="24"/>
        <v>0</v>
      </c>
      <c r="F128" s="54">
        <f t="shared" si="24"/>
        <v>0</v>
      </c>
      <c r="G128" s="54">
        <f t="shared" si="24"/>
        <v>0</v>
      </c>
      <c r="H128" s="54">
        <f t="shared" si="24"/>
        <v>0</v>
      </c>
      <c r="I128" s="54">
        <f t="shared" si="24"/>
        <v>0</v>
      </c>
      <c r="J128" s="54">
        <f t="shared" si="24"/>
        <v>0</v>
      </c>
      <c r="K128" s="54">
        <f t="shared" si="24"/>
        <v>0</v>
      </c>
      <c r="L128" s="54">
        <f t="shared" si="24"/>
        <v>0</v>
      </c>
      <c r="M128" s="54">
        <f t="shared" si="24"/>
        <v>0</v>
      </c>
      <c r="N128" s="54">
        <f t="shared" si="24"/>
        <v>0</v>
      </c>
    </row>
    <row r="129" spans="1:14" outlineLevel="1" x14ac:dyDescent="0.2">
      <c r="A129" s="9" t="s">
        <v>357</v>
      </c>
      <c r="B129" s="1" t="s">
        <v>358</v>
      </c>
      <c r="C129" s="29">
        <v>0</v>
      </c>
      <c r="D129" s="29">
        <v>0</v>
      </c>
      <c r="E129" s="29">
        <v>0</v>
      </c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>
        <v>0</v>
      </c>
      <c r="L129" s="29">
        <v>0</v>
      </c>
      <c r="M129" s="29">
        <v>0</v>
      </c>
      <c r="N129" s="29">
        <v>0</v>
      </c>
    </row>
    <row r="130" spans="1:14" x14ac:dyDescent="0.2">
      <c r="A130" s="48" t="s">
        <v>230</v>
      </c>
      <c r="B130" s="49" t="s">
        <v>231</v>
      </c>
      <c r="C130" s="54">
        <f t="shared" ref="C130:N130" si="25">+C131+C132</f>
        <v>21</v>
      </c>
      <c r="D130" s="54">
        <f t="shared" si="25"/>
        <v>21</v>
      </c>
      <c r="E130" s="54">
        <f t="shared" si="25"/>
        <v>21</v>
      </c>
      <c r="F130" s="54">
        <f t="shared" si="25"/>
        <v>21</v>
      </c>
      <c r="G130" s="54">
        <f t="shared" si="25"/>
        <v>18.3</v>
      </c>
      <c r="H130" s="54">
        <f t="shared" si="25"/>
        <v>21</v>
      </c>
      <c r="I130" s="54">
        <f t="shared" si="25"/>
        <v>21</v>
      </c>
      <c r="J130" s="54">
        <f t="shared" si="25"/>
        <v>21</v>
      </c>
      <c r="K130" s="54">
        <f t="shared" si="25"/>
        <v>21</v>
      </c>
      <c r="L130" s="54">
        <f t="shared" si="25"/>
        <v>18.3</v>
      </c>
      <c r="M130" s="54">
        <f t="shared" si="25"/>
        <v>21</v>
      </c>
      <c r="N130" s="54">
        <f t="shared" si="25"/>
        <v>21</v>
      </c>
    </row>
    <row r="131" spans="1:14" outlineLevel="1" x14ac:dyDescent="0.2">
      <c r="A131" s="9" t="s">
        <v>232</v>
      </c>
      <c r="B131" s="1" t="s">
        <v>233</v>
      </c>
      <c r="C131" s="29">
        <v>21</v>
      </c>
      <c r="D131" s="29">
        <v>21</v>
      </c>
      <c r="E131" s="29">
        <v>21</v>
      </c>
      <c r="F131" s="29">
        <v>21</v>
      </c>
      <c r="G131" s="29">
        <v>21</v>
      </c>
      <c r="H131" s="29">
        <v>21</v>
      </c>
      <c r="I131" s="29">
        <v>21</v>
      </c>
      <c r="J131" s="29">
        <v>21</v>
      </c>
      <c r="K131" s="29">
        <v>21</v>
      </c>
      <c r="L131" s="29">
        <v>21</v>
      </c>
      <c r="M131" s="29">
        <v>21</v>
      </c>
      <c r="N131" s="29">
        <v>21</v>
      </c>
    </row>
    <row r="132" spans="1:14" outlineLevel="1" x14ac:dyDescent="0.2">
      <c r="A132" s="9" t="s">
        <v>234</v>
      </c>
      <c r="B132" s="1" t="s">
        <v>235</v>
      </c>
      <c r="C132" s="29">
        <v>0</v>
      </c>
      <c r="D132" s="29">
        <v>0</v>
      </c>
      <c r="E132" s="29">
        <v>0</v>
      </c>
      <c r="F132" s="29">
        <v>0</v>
      </c>
      <c r="G132" s="29">
        <v>-2.7</v>
      </c>
      <c r="H132" s="29">
        <v>0</v>
      </c>
      <c r="I132" s="29">
        <v>0</v>
      </c>
      <c r="J132" s="29">
        <v>0</v>
      </c>
      <c r="K132" s="29">
        <v>0</v>
      </c>
      <c r="L132" s="29">
        <v>-2.7</v>
      </c>
      <c r="M132" s="29">
        <v>0</v>
      </c>
      <c r="N132" s="29">
        <v>0</v>
      </c>
    </row>
    <row r="133" spans="1:14" x14ac:dyDescent="0.2">
      <c r="A133" s="52"/>
      <c r="B133" s="52" t="s">
        <v>236</v>
      </c>
      <c r="C133" s="56">
        <f>+C101+C116+C127+C128+C130</f>
        <v>142.02300000000002</v>
      </c>
      <c r="D133" s="56">
        <f t="shared" ref="D133:N133" si="26">+D101+D116+D127+D128+D130</f>
        <v>140.72300000000001</v>
      </c>
      <c r="E133" s="56">
        <f t="shared" si="26"/>
        <v>110.52300000000001</v>
      </c>
      <c r="F133" s="56">
        <f t="shared" si="26"/>
        <v>109.42300000000002</v>
      </c>
      <c r="G133" s="56">
        <f t="shared" si="26"/>
        <v>124.023</v>
      </c>
      <c r="H133" s="56">
        <f t="shared" si="26"/>
        <v>143.32299999999998</v>
      </c>
      <c r="I133" s="56">
        <f t="shared" si="26"/>
        <v>111.62300000000002</v>
      </c>
      <c r="J133" s="56">
        <f t="shared" si="26"/>
        <v>118.52300000000001</v>
      </c>
      <c r="K133" s="56">
        <f t="shared" si="26"/>
        <v>121.42300000000002</v>
      </c>
      <c r="L133" s="56">
        <f t="shared" si="26"/>
        <v>117.023</v>
      </c>
      <c r="M133" s="56">
        <f t="shared" si="26"/>
        <v>115.32300000000001</v>
      </c>
      <c r="N133" s="56">
        <f t="shared" si="26"/>
        <v>138.62299999999999</v>
      </c>
    </row>
    <row r="134" spans="1:14" x14ac:dyDescent="0.2">
      <c r="A134" s="51"/>
      <c r="B134" s="51" t="s">
        <v>237</v>
      </c>
      <c r="C134" s="55">
        <f t="shared" ref="C134:N134" si="27">+C100-C133</f>
        <v>-18.723000000000013</v>
      </c>
      <c r="D134" s="55">
        <f t="shared" si="27"/>
        <v>-80.72300000000007</v>
      </c>
      <c r="E134" s="55">
        <f t="shared" si="27"/>
        <v>-29.02300000000001</v>
      </c>
      <c r="F134" s="55">
        <f t="shared" si="27"/>
        <v>-103.42300000000007</v>
      </c>
      <c r="G134" s="55">
        <f t="shared" si="27"/>
        <v>-29.92300000000003</v>
      </c>
      <c r="H134" s="55">
        <f t="shared" si="27"/>
        <v>-45.12299999999999</v>
      </c>
      <c r="I134" s="55">
        <f t="shared" si="27"/>
        <v>-14.423000000000087</v>
      </c>
      <c r="J134" s="55">
        <f t="shared" si="27"/>
        <v>14.97699999999999</v>
      </c>
      <c r="K134" s="55">
        <f t="shared" si="27"/>
        <v>-80.423000000000073</v>
      </c>
      <c r="L134" s="55">
        <f t="shared" si="27"/>
        <v>-86.42300000000003</v>
      </c>
      <c r="M134" s="55">
        <f t="shared" si="27"/>
        <v>-26.123000000000019</v>
      </c>
      <c r="N134" s="55">
        <f t="shared" si="27"/>
        <v>-78.323000000000036</v>
      </c>
    </row>
    <row r="135" spans="1:14" x14ac:dyDescent="0.2">
      <c r="A135" s="48" t="s">
        <v>238</v>
      </c>
      <c r="B135" s="49" t="s">
        <v>239</v>
      </c>
      <c r="C135" s="54">
        <f>SUM(C136:C138)</f>
        <v>2.1</v>
      </c>
      <c r="D135" s="54">
        <f t="shared" ref="D135:N135" si="28">SUM(D136:D138)</f>
        <v>2.1</v>
      </c>
      <c r="E135" s="54">
        <f t="shared" si="28"/>
        <v>2.1</v>
      </c>
      <c r="F135" s="54">
        <f t="shared" si="28"/>
        <v>2.1</v>
      </c>
      <c r="G135" s="54">
        <f t="shared" si="28"/>
        <v>2.1</v>
      </c>
      <c r="H135" s="54">
        <f t="shared" si="28"/>
        <v>2.1</v>
      </c>
      <c r="I135" s="54">
        <f t="shared" si="28"/>
        <v>2.1</v>
      </c>
      <c r="J135" s="54">
        <f t="shared" si="28"/>
        <v>2.1</v>
      </c>
      <c r="K135" s="54">
        <f t="shared" si="28"/>
        <v>2.1</v>
      </c>
      <c r="L135" s="54">
        <f t="shared" si="28"/>
        <v>2.1</v>
      </c>
      <c r="M135" s="54">
        <f t="shared" si="28"/>
        <v>2.1</v>
      </c>
      <c r="N135" s="54">
        <f t="shared" si="28"/>
        <v>2.1</v>
      </c>
    </row>
    <row r="136" spans="1:14" outlineLevel="1" x14ac:dyDescent="0.2">
      <c r="A136" s="9" t="s">
        <v>240</v>
      </c>
      <c r="B136" s="1" t="s">
        <v>241</v>
      </c>
      <c r="C136" s="29">
        <v>2.1</v>
      </c>
      <c r="D136" s="29">
        <v>2.1</v>
      </c>
      <c r="E136" s="29">
        <v>2.1</v>
      </c>
      <c r="F136" s="29">
        <v>2.1</v>
      </c>
      <c r="G136" s="29">
        <v>2.1</v>
      </c>
      <c r="H136" s="29">
        <v>2.1</v>
      </c>
      <c r="I136" s="29">
        <v>2.1</v>
      </c>
      <c r="J136" s="29">
        <v>2.1</v>
      </c>
      <c r="K136" s="29">
        <v>2.1</v>
      </c>
      <c r="L136" s="29">
        <v>2.1</v>
      </c>
      <c r="M136" s="29">
        <v>2.1</v>
      </c>
      <c r="N136" s="29">
        <v>2.1</v>
      </c>
    </row>
    <row r="137" spans="1:14" outlineLevel="1" x14ac:dyDescent="0.2">
      <c r="A137" s="9" t="s">
        <v>359</v>
      </c>
      <c r="B137" s="1" t="s">
        <v>360</v>
      </c>
      <c r="C137" s="29">
        <v>0</v>
      </c>
      <c r="D137" s="29">
        <v>0</v>
      </c>
      <c r="E137" s="29">
        <v>0</v>
      </c>
      <c r="F137" s="29">
        <v>0</v>
      </c>
      <c r="G137" s="29">
        <v>0</v>
      </c>
      <c r="H137" s="29">
        <v>0</v>
      </c>
      <c r="I137" s="29">
        <v>0</v>
      </c>
      <c r="J137" s="29">
        <v>0</v>
      </c>
      <c r="K137" s="29">
        <v>0</v>
      </c>
      <c r="L137" s="29">
        <v>0</v>
      </c>
      <c r="M137" s="29">
        <v>0</v>
      </c>
      <c r="N137" s="29">
        <v>0</v>
      </c>
    </row>
    <row r="138" spans="1:14" outlineLevel="1" x14ac:dyDescent="0.2">
      <c r="A138" s="9" t="s">
        <v>361</v>
      </c>
      <c r="B138" s="1" t="s">
        <v>362</v>
      </c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</row>
    <row r="139" spans="1:14" x14ac:dyDescent="0.2">
      <c r="A139" s="48" t="s">
        <v>244</v>
      </c>
      <c r="B139" s="49" t="s">
        <v>245</v>
      </c>
      <c r="C139" s="54">
        <v>0</v>
      </c>
      <c r="D139" s="54">
        <v>0</v>
      </c>
      <c r="E139" s="54">
        <v>0</v>
      </c>
      <c r="F139" s="54">
        <v>0</v>
      </c>
      <c r="G139" s="54">
        <v>0</v>
      </c>
      <c r="H139" s="54">
        <v>0</v>
      </c>
      <c r="I139" s="54">
        <v>0</v>
      </c>
      <c r="J139" s="54">
        <v>0</v>
      </c>
      <c r="K139" s="54">
        <v>0</v>
      </c>
      <c r="L139" s="54">
        <v>0</v>
      </c>
      <c r="M139" s="54">
        <v>0</v>
      </c>
      <c r="N139" s="54">
        <v>0</v>
      </c>
    </row>
    <row r="140" spans="1:14" x14ac:dyDescent="0.2">
      <c r="A140" s="51"/>
      <c r="B140" s="51" t="s">
        <v>246</v>
      </c>
      <c r="C140" s="55">
        <f>+C134-SUM(C135,C139)</f>
        <v>-20.823000000000015</v>
      </c>
      <c r="D140" s="55">
        <f t="shared" ref="D140:N140" si="29">+D134-SUM(D135,D139)</f>
        <v>-82.823000000000064</v>
      </c>
      <c r="E140" s="55">
        <f t="shared" si="29"/>
        <v>-31.123000000000012</v>
      </c>
      <c r="F140" s="55">
        <f t="shared" si="29"/>
        <v>-105.52300000000007</v>
      </c>
      <c r="G140" s="55">
        <f t="shared" si="29"/>
        <v>-32.023000000000032</v>
      </c>
      <c r="H140" s="55">
        <f t="shared" si="29"/>
        <v>-47.222999999999992</v>
      </c>
      <c r="I140" s="55">
        <f t="shared" si="29"/>
        <v>-16.523000000000089</v>
      </c>
      <c r="J140" s="55">
        <f t="shared" si="29"/>
        <v>12.87699999999999</v>
      </c>
      <c r="K140" s="55">
        <f t="shared" si="29"/>
        <v>-82.523000000000067</v>
      </c>
      <c r="L140" s="55">
        <f t="shared" si="29"/>
        <v>-88.523000000000025</v>
      </c>
      <c r="M140" s="55">
        <f t="shared" si="29"/>
        <v>-28.22300000000002</v>
      </c>
      <c r="N140" s="55">
        <f t="shared" si="29"/>
        <v>-80.42300000000003</v>
      </c>
    </row>
    <row r="141" spans="1:14" x14ac:dyDescent="0.2">
      <c r="A141" s="9" t="s">
        <v>74</v>
      </c>
      <c r="B141" s="1" t="s">
        <v>74</v>
      </c>
      <c r="C141" s="13" t="s">
        <v>74</v>
      </c>
      <c r="D141" s="13" t="s">
        <v>74</v>
      </c>
      <c r="E141" s="13" t="s">
        <v>74</v>
      </c>
      <c r="F141" s="13" t="s">
        <v>74</v>
      </c>
      <c r="G141" s="13" t="s">
        <v>74</v>
      </c>
      <c r="H141" s="13" t="s">
        <v>74</v>
      </c>
      <c r="I141" s="13" t="s">
        <v>74</v>
      </c>
      <c r="J141" s="13" t="s">
        <v>74</v>
      </c>
      <c r="K141" s="13" t="s">
        <v>74</v>
      </c>
      <c r="L141" s="13" t="s">
        <v>74</v>
      </c>
      <c r="M141" s="13" t="s">
        <v>74</v>
      </c>
      <c r="N141" s="13" t="s">
        <v>74</v>
      </c>
    </row>
    <row r="142" spans="1:14" x14ac:dyDescent="0.2">
      <c r="A142" s="12"/>
      <c r="B142" s="12" t="s">
        <v>247</v>
      </c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</row>
    <row r="143" spans="1:14" x14ac:dyDescent="0.2">
      <c r="A143" s="9" t="s">
        <v>248</v>
      </c>
      <c r="B143" s="1" t="s">
        <v>249</v>
      </c>
      <c r="C143" s="13">
        <v>54</v>
      </c>
      <c r="D143" s="13">
        <v>49</v>
      </c>
      <c r="E143" s="13">
        <v>48</v>
      </c>
      <c r="F143" s="13">
        <v>49</v>
      </c>
      <c r="G143" s="13">
        <v>47</v>
      </c>
      <c r="H143" s="13">
        <v>47</v>
      </c>
      <c r="I143" s="13">
        <v>48</v>
      </c>
      <c r="J143" s="13">
        <v>49</v>
      </c>
      <c r="K143" s="13">
        <v>47</v>
      </c>
      <c r="L143" s="13">
        <v>47</v>
      </c>
      <c r="M143" s="13">
        <v>47</v>
      </c>
      <c r="N143" s="13">
        <v>47</v>
      </c>
    </row>
    <row r="144" spans="1:14" outlineLevel="1" x14ac:dyDescent="0.2">
      <c r="A144" s="9" t="s">
        <v>250</v>
      </c>
      <c r="B144" s="1" t="s">
        <v>251</v>
      </c>
      <c r="C144" s="13">
        <v>54</v>
      </c>
      <c r="D144" s="13">
        <v>49</v>
      </c>
      <c r="E144" s="13">
        <v>48</v>
      </c>
      <c r="F144" s="13">
        <v>49</v>
      </c>
      <c r="G144" s="13">
        <v>47</v>
      </c>
      <c r="H144" s="13">
        <v>47</v>
      </c>
      <c r="I144" s="13">
        <v>48</v>
      </c>
      <c r="J144" s="13">
        <v>49</v>
      </c>
      <c r="K144" s="13">
        <v>47</v>
      </c>
      <c r="L144" s="13">
        <v>47</v>
      </c>
      <c r="M144" s="13">
        <v>47</v>
      </c>
      <c r="N144" s="13">
        <v>47</v>
      </c>
    </row>
    <row r="145" spans="1:14" x14ac:dyDescent="0.2">
      <c r="A145" s="9" t="s">
        <v>252</v>
      </c>
      <c r="B145" s="1" t="s">
        <v>253</v>
      </c>
      <c r="C145" s="13">
        <v>146.9</v>
      </c>
      <c r="D145" s="13">
        <v>144.9</v>
      </c>
      <c r="E145" s="13">
        <v>150.5</v>
      </c>
      <c r="F145" s="13">
        <v>143.4</v>
      </c>
      <c r="G145" s="13">
        <v>136.30000000000001</v>
      </c>
      <c r="H145" s="13">
        <v>135.30000000000001</v>
      </c>
      <c r="I145" s="13">
        <v>150.5</v>
      </c>
      <c r="J145" s="13">
        <v>143.4</v>
      </c>
      <c r="K145" s="13">
        <v>136.30000000000001</v>
      </c>
      <c r="L145" s="13">
        <v>135.30000000000001</v>
      </c>
      <c r="M145" s="13">
        <v>133</v>
      </c>
      <c r="N145" s="13">
        <v>133</v>
      </c>
    </row>
    <row r="146" spans="1:14" outlineLevel="1" x14ac:dyDescent="0.2">
      <c r="A146" s="9" t="s">
        <v>254</v>
      </c>
      <c r="B146" s="1" t="s">
        <v>255</v>
      </c>
      <c r="C146" s="13">
        <v>146.9</v>
      </c>
      <c r="D146" s="13">
        <v>144.9</v>
      </c>
      <c r="E146" s="13">
        <v>150.5</v>
      </c>
      <c r="F146" s="13">
        <v>143.4</v>
      </c>
      <c r="G146" s="13">
        <v>136.30000000000001</v>
      </c>
      <c r="H146" s="13">
        <v>135.30000000000001</v>
      </c>
      <c r="I146" s="13">
        <v>150.5</v>
      </c>
      <c r="J146" s="13">
        <v>143.4</v>
      </c>
      <c r="K146" s="13">
        <v>136.30000000000001</v>
      </c>
      <c r="L146" s="13">
        <v>135.30000000000001</v>
      </c>
      <c r="M146" s="13">
        <v>133</v>
      </c>
      <c r="N146" s="13">
        <v>133</v>
      </c>
    </row>
    <row r="147" spans="1:14" x14ac:dyDescent="0.2">
      <c r="A147" s="9" t="s">
        <v>256</v>
      </c>
      <c r="B147" s="1" t="s">
        <v>257</v>
      </c>
      <c r="C147" s="13">
        <v>2.7</v>
      </c>
      <c r="D147" s="13">
        <v>2.6</v>
      </c>
      <c r="E147" s="13">
        <v>2.6</v>
      </c>
      <c r="F147" s="13">
        <v>2.6</v>
      </c>
      <c r="G147" s="13">
        <v>2.6</v>
      </c>
      <c r="H147" s="13">
        <v>2.6</v>
      </c>
      <c r="I147" s="13">
        <v>2.6</v>
      </c>
      <c r="J147" s="13">
        <v>2.6</v>
      </c>
      <c r="K147" s="13">
        <v>2.6</v>
      </c>
      <c r="L147" s="13">
        <v>2.6</v>
      </c>
      <c r="M147" s="13">
        <v>2.2999999999999998</v>
      </c>
      <c r="N147" s="13">
        <v>2.2999999999999998</v>
      </c>
    </row>
    <row r="148" spans="1:14" outlineLevel="1" x14ac:dyDescent="0.2">
      <c r="A148" s="9" t="s">
        <v>258</v>
      </c>
      <c r="B148" s="1" t="s">
        <v>259</v>
      </c>
      <c r="C148" s="13">
        <v>2.7</v>
      </c>
      <c r="D148" s="13">
        <v>2.6</v>
      </c>
      <c r="E148" s="13">
        <v>2.6</v>
      </c>
      <c r="F148" s="13">
        <v>2.6</v>
      </c>
      <c r="G148" s="13">
        <v>2.6</v>
      </c>
      <c r="H148" s="13">
        <v>2.6</v>
      </c>
      <c r="I148" s="13">
        <v>2.6</v>
      </c>
      <c r="J148" s="13">
        <v>2.6</v>
      </c>
      <c r="K148" s="13">
        <v>2.6</v>
      </c>
      <c r="L148" s="13">
        <v>2.6</v>
      </c>
      <c r="M148" s="13">
        <v>2.2999999999999998</v>
      </c>
      <c r="N148" s="13">
        <v>2.2999999999999998</v>
      </c>
    </row>
    <row r="149" spans="1:14" outlineLevel="1" x14ac:dyDescent="0.2">
      <c r="A149" s="9" t="s">
        <v>363</v>
      </c>
      <c r="B149" s="1" t="s">
        <v>259</v>
      </c>
      <c r="C149" s="13">
        <v>0</v>
      </c>
      <c r="D149" s="13">
        <v>0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2">
      <c r="A150" s="9" t="s">
        <v>260</v>
      </c>
      <c r="B150" s="1" t="s">
        <v>261</v>
      </c>
      <c r="C150" s="13">
        <v>51.1</v>
      </c>
      <c r="D150" s="13">
        <v>45.1</v>
      </c>
      <c r="E150" s="13">
        <v>44.7</v>
      </c>
      <c r="F150" s="13">
        <v>45.7</v>
      </c>
      <c r="G150" s="13">
        <v>43.7</v>
      </c>
      <c r="H150" s="13">
        <v>43.7</v>
      </c>
      <c r="I150" s="13">
        <v>44.7</v>
      </c>
      <c r="J150" s="13">
        <v>45.7</v>
      </c>
      <c r="K150" s="13">
        <v>43.7</v>
      </c>
      <c r="L150" s="13">
        <v>43.7</v>
      </c>
      <c r="M150" s="13">
        <v>43.7</v>
      </c>
      <c r="N150" s="13">
        <v>43.7</v>
      </c>
    </row>
    <row r="151" spans="1:14" outlineLevel="1" x14ac:dyDescent="0.2">
      <c r="A151" s="9" t="s">
        <v>262</v>
      </c>
      <c r="B151" s="1" t="s">
        <v>263</v>
      </c>
      <c r="C151" s="13">
        <v>51.1</v>
      </c>
      <c r="D151" s="13">
        <v>45.1</v>
      </c>
      <c r="E151" s="13">
        <v>44.7</v>
      </c>
      <c r="F151" s="13">
        <v>45.7</v>
      </c>
      <c r="G151" s="13">
        <v>43.7</v>
      </c>
      <c r="H151" s="13">
        <v>43.7</v>
      </c>
      <c r="I151" s="13">
        <v>44.7</v>
      </c>
      <c r="J151" s="13">
        <v>45.7</v>
      </c>
      <c r="K151" s="13">
        <v>43.7</v>
      </c>
      <c r="L151" s="13">
        <v>43.7</v>
      </c>
      <c r="M151" s="13">
        <v>43.7</v>
      </c>
      <c r="N151" s="13">
        <v>43.7</v>
      </c>
    </row>
    <row r="152" spans="1:14" outlineLevel="1" x14ac:dyDescent="0.2">
      <c r="A152" s="9" t="s">
        <v>364</v>
      </c>
      <c r="B152" s="1" t="s">
        <v>263</v>
      </c>
      <c r="C152" s="13">
        <v>0</v>
      </c>
      <c r="D152" s="13">
        <v>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2">
      <c r="A153" s="9" t="s">
        <v>264</v>
      </c>
      <c r="B153" s="1" t="s">
        <v>265</v>
      </c>
      <c r="C153" s="13">
        <v>93.1</v>
      </c>
      <c r="D153" s="13">
        <v>97.2</v>
      </c>
      <c r="E153" s="13">
        <v>103.1</v>
      </c>
      <c r="F153" s="13">
        <v>95</v>
      </c>
      <c r="G153" s="13">
        <v>90</v>
      </c>
      <c r="H153" s="13">
        <v>89</v>
      </c>
      <c r="I153" s="13">
        <v>103.1</v>
      </c>
      <c r="J153" s="13">
        <v>95</v>
      </c>
      <c r="K153" s="13">
        <v>90</v>
      </c>
      <c r="L153" s="13">
        <v>89</v>
      </c>
      <c r="M153" s="13">
        <v>87</v>
      </c>
      <c r="N153" s="13">
        <v>87</v>
      </c>
    </row>
    <row r="154" spans="1:14" outlineLevel="1" x14ac:dyDescent="0.2">
      <c r="A154" s="9" t="s">
        <v>266</v>
      </c>
      <c r="B154" s="1" t="s">
        <v>267</v>
      </c>
      <c r="C154" s="13">
        <v>93.1</v>
      </c>
      <c r="D154" s="13">
        <v>97.2</v>
      </c>
      <c r="E154" s="13">
        <v>103.1</v>
      </c>
      <c r="F154" s="13">
        <v>95</v>
      </c>
      <c r="G154" s="13">
        <v>90</v>
      </c>
      <c r="H154" s="13">
        <v>89</v>
      </c>
      <c r="I154" s="13">
        <v>103.1</v>
      </c>
      <c r="J154" s="13">
        <v>95</v>
      </c>
      <c r="K154" s="13">
        <v>90</v>
      </c>
      <c r="L154" s="13">
        <v>89</v>
      </c>
      <c r="M154" s="13">
        <v>87</v>
      </c>
      <c r="N154" s="13">
        <v>87</v>
      </c>
    </row>
    <row r="155" spans="1:14" outlineLevel="1" x14ac:dyDescent="0.2">
      <c r="A155" s="9" t="s">
        <v>365</v>
      </c>
      <c r="B155" s="1" t="s">
        <v>366</v>
      </c>
      <c r="C155" s="13">
        <v>0</v>
      </c>
      <c r="D155" s="13">
        <v>0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2">
      <c r="A156" s="9" t="s">
        <v>268</v>
      </c>
      <c r="B156" s="1" t="s">
        <v>269</v>
      </c>
      <c r="C156" s="13">
        <v>0</v>
      </c>
      <c r="D156" s="13">
        <v>0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2">
      <c r="A157" s="9" t="s">
        <v>270</v>
      </c>
      <c r="B157" s="1" t="s">
        <v>271</v>
      </c>
      <c r="C157" s="13">
        <v>0</v>
      </c>
      <c r="D157" s="13">
        <v>0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2">
      <c r="A158" s="9" t="s">
        <v>272</v>
      </c>
      <c r="B158" s="1" t="s">
        <v>273</v>
      </c>
      <c r="C158" s="13">
        <v>0</v>
      </c>
      <c r="D158" s="13">
        <v>0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2">
      <c r="A159" s="9" t="s">
        <v>274</v>
      </c>
      <c r="B159" s="1" t="s">
        <v>275</v>
      </c>
      <c r="C159" s="13">
        <v>0</v>
      </c>
      <c r="D159" s="13">
        <v>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2">
      <c r="A160" s="9" t="s">
        <v>276</v>
      </c>
      <c r="B160" s="1" t="s">
        <v>277</v>
      </c>
      <c r="C160" s="13">
        <v>0</v>
      </c>
      <c r="D160" s="13">
        <v>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2">
      <c r="A161" s="9" t="s">
        <v>280</v>
      </c>
      <c r="B161" s="1" t="s">
        <v>281</v>
      </c>
      <c r="C161" s="13">
        <v>0</v>
      </c>
      <c r="D161" s="13">
        <v>0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2">
      <c r="A162" s="9" t="s">
        <v>284</v>
      </c>
      <c r="B162" s="1" t="s">
        <v>285</v>
      </c>
      <c r="C162" s="13">
        <v>0</v>
      </c>
      <c r="D162" s="13">
        <v>0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2">
      <c r="A163" s="9" t="s">
        <v>288</v>
      </c>
      <c r="B163" s="1" t="s">
        <v>289</v>
      </c>
      <c r="C163" s="13">
        <v>0</v>
      </c>
      <c r="D163" s="13">
        <v>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2">
      <c r="A164" s="3"/>
      <c r="B164" s="3" t="s">
        <v>290</v>
      </c>
      <c r="C164" s="15">
        <v>2.7</v>
      </c>
      <c r="D164" s="15">
        <v>2.2000000000000002</v>
      </c>
      <c r="E164" s="15">
        <v>2.5</v>
      </c>
      <c r="F164" s="15">
        <v>3.3</v>
      </c>
      <c r="G164" s="15">
        <v>2.6</v>
      </c>
      <c r="H164" s="15">
        <v>2.7</v>
      </c>
      <c r="I164" s="15">
        <v>2.5</v>
      </c>
      <c r="J164" s="15">
        <v>3.3</v>
      </c>
      <c r="K164" s="15">
        <v>2.6</v>
      </c>
      <c r="L164" s="15">
        <v>2.7</v>
      </c>
      <c r="M164" s="15">
        <v>2.7</v>
      </c>
      <c r="N164" s="15">
        <v>2.7</v>
      </c>
    </row>
    <row r="165" spans="1:14" x14ac:dyDescent="0.2">
      <c r="A165" s="3"/>
      <c r="B165" s="3" t="s">
        <v>291</v>
      </c>
      <c r="C165" s="15" t="s">
        <v>292</v>
      </c>
      <c r="D165" s="15" t="s">
        <v>292</v>
      </c>
      <c r="E165" s="15" t="s">
        <v>292</v>
      </c>
      <c r="F165" s="15" t="s">
        <v>292</v>
      </c>
      <c r="G165" s="15" t="s">
        <v>292</v>
      </c>
      <c r="H165" s="15" t="s">
        <v>292</v>
      </c>
      <c r="I165" s="15" t="s">
        <v>292</v>
      </c>
      <c r="J165" s="15" t="s">
        <v>292</v>
      </c>
      <c r="K165" s="15" t="s">
        <v>292</v>
      </c>
      <c r="L165" s="15" t="s">
        <v>292</v>
      </c>
      <c r="M165" s="15" t="s">
        <v>292</v>
      </c>
      <c r="N165" s="15" t="s">
        <v>292</v>
      </c>
    </row>
    <row r="166" spans="1:14" x14ac:dyDescent="0.2">
      <c r="A166" s="3"/>
      <c r="B166" s="3" t="s">
        <v>293</v>
      </c>
      <c r="C166" s="15" t="s">
        <v>292</v>
      </c>
      <c r="D166" s="15" t="s">
        <v>292</v>
      </c>
      <c r="E166" s="15" t="s">
        <v>292</v>
      </c>
      <c r="F166" s="15" t="s">
        <v>292</v>
      </c>
      <c r="G166" s="15" t="s">
        <v>292</v>
      </c>
      <c r="H166" s="15" t="s">
        <v>292</v>
      </c>
      <c r="I166" s="15" t="s">
        <v>292</v>
      </c>
      <c r="J166" s="15" t="s">
        <v>292</v>
      </c>
      <c r="K166" s="15" t="s">
        <v>292</v>
      </c>
      <c r="L166" s="15" t="s">
        <v>292</v>
      </c>
      <c r="M166" s="15" t="s">
        <v>292</v>
      </c>
      <c r="N166" s="15" t="s">
        <v>292</v>
      </c>
    </row>
    <row r="167" spans="1:14" x14ac:dyDescent="0.2">
      <c r="A167" s="3"/>
      <c r="B167" s="3" t="s">
        <v>294</v>
      </c>
      <c r="C167" s="15">
        <v>0</v>
      </c>
      <c r="D167" s="15">
        <v>0</v>
      </c>
      <c r="E167" s="15">
        <v>0</v>
      </c>
      <c r="F167" s="15">
        <v>0</v>
      </c>
      <c r="G167" s="15">
        <v>0</v>
      </c>
      <c r="H167" s="15">
        <v>0</v>
      </c>
      <c r="I167" s="15">
        <v>0</v>
      </c>
      <c r="J167" s="15">
        <v>0</v>
      </c>
      <c r="K167" s="15">
        <v>0</v>
      </c>
      <c r="L167" s="15">
        <v>0</v>
      </c>
      <c r="M167" s="15">
        <v>0</v>
      </c>
      <c r="N167" s="15">
        <v>0</v>
      </c>
    </row>
    <row r="168" spans="1:14" x14ac:dyDescent="0.2">
      <c r="A168" s="12"/>
      <c r="B168" s="12" t="s">
        <v>295</v>
      </c>
      <c r="C168" s="14" t="s">
        <v>292</v>
      </c>
      <c r="D168" s="14" t="s">
        <v>292</v>
      </c>
      <c r="E168" s="14" t="s">
        <v>292</v>
      </c>
      <c r="F168" s="14" t="s">
        <v>292</v>
      </c>
      <c r="G168" s="14" t="s">
        <v>292</v>
      </c>
      <c r="H168" s="14" t="s">
        <v>292</v>
      </c>
      <c r="I168" s="14" t="s">
        <v>292</v>
      </c>
      <c r="J168" s="14" t="s">
        <v>292</v>
      </c>
      <c r="K168" s="14" t="s">
        <v>292</v>
      </c>
      <c r="L168" s="14" t="s">
        <v>292</v>
      </c>
      <c r="M168" s="14" t="s">
        <v>292</v>
      </c>
      <c r="N168" s="14" t="s">
        <v>292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3CB56-B64D-4C59-90F8-0582BE5B3A4A}">
  <sheetPr codeName="Hoja42">
    <tabColor rgb="FF00B050"/>
  </sheetPr>
  <dimension ref="A1:N107"/>
  <sheetViews>
    <sheetView zoomScale="85" zoomScaleNormal="85" workbookViewId="0">
      <pane ySplit="6" topLeftCell="A49" activePane="bottomLeft" state="frozen"/>
      <selection activeCell="I54" sqref="I54"/>
      <selection pane="bottomLeft" activeCell="B38" sqref="B38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8" width="13" style="1" customWidth="1"/>
    <col min="9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369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 t="shared" ref="C7:N7" si="0">SUM(C8:C13)</f>
        <v>262</v>
      </c>
      <c r="D7" s="50">
        <f t="shared" si="0"/>
        <v>264</v>
      </c>
      <c r="E7" s="50">
        <f t="shared" si="0"/>
        <v>286</v>
      </c>
      <c r="F7" s="50">
        <f t="shared" si="0"/>
        <v>280</v>
      </c>
      <c r="G7" s="50">
        <f t="shared" si="0"/>
        <v>274</v>
      </c>
      <c r="H7" s="50">
        <f t="shared" si="0"/>
        <v>267</v>
      </c>
      <c r="I7" s="50">
        <f t="shared" si="0"/>
        <v>287</v>
      </c>
      <c r="J7" s="50">
        <f t="shared" si="0"/>
        <v>260</v>
      </c>
      <c r="K7" s="50">
        <f t="shared" si="0"/>
        <v>263</v>
      </c>
      <c r="L7" s="50">
        <f t="shared" si="0"/>
        <v>286</v>
      </c>
      <c r="M7" s="50">
        <f t="shared" si="0"/>
        <v>275</v>
      </c>
      <c r="N7" s="50">
        <f t="shared" si="0"/>
        <v>274</v>
      </c>
    </row>
    <row r="8" spans="1:14" outlineLevel="1" x14ac:dyDescent="0.2">
      <c r="A8" s="9" t="s">
        <v>25</v>
      </c>
      <c r="B8" s="1" t="s">
        <v>26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outlineLevel="1" x14ac:dyDescent="0.2">
      <c r="A9" s="9" t="s">
        <v>300</v>
      </c>
      <c r="B9" s="1" t="s">
        <v>36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outlineLevel="1" x14ac:dyDescent="0.2">
      <c r="A10" s="9" t="s">
        <v>27</v>
      </c>
      <c r="B10" s="1" t="s">
        <v>28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outlineLevel="1" x14ac:dyDescent="0.2">
      <c r="A11" s="9" t="s">
        <v>31</v>
      </c>
      <c r="B11" s="1" t="s">
        <v>32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267</v>
      </c>
      <c r="I11" s="10">
        <v>287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outlineLevel="1" x14ac:dyDescent="0.2">
      <c r="A12" s="9" t="s">
        <v>33</v>
      </c>
      <c r="B12" s="1" t="s">
        <v>34</v>
      </c>
      <c r="C12" s="10">
        <v>262</v>
      </c>
      <c r="D12" s="10">
        <v>264</v>
      </c>
      <c r="E12" s="10">
        <v>286</v>
      </c>
      <c r="F12" s="10">
        <v>280</v>
      </c>
      <c r="G12" s="10">
        <v>274</v>
      </c>
      <c r="H12" s="10">
        <v>0</v>
      </c>
      <c r="I12" s="10">
        <v>0</v>
      </c>
      <c r="J12" s="10">
        <v>260</v>
      </c>
      <c r="K12" s="10">
        <v>263</v>
      </c>
      <c r="L12" s="10">
        <v>286</v>
      </c>
      <c r="M12" s="10">
        <v>275</v>
      </c>
      <c r="N12" s="10">
        <v>274</v>
      </c>
    </row>
    <row r="13" spans="1:14" outlineLevel="1" x14ac:dyDescent="0.2">
      <c r="A13" s="9" t="s">
        <v>35</v>
      </c>
      <c r="B13" s="1" t="s">
        <v>36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x14ac:dyDescent="0.2">
      <c r="A14" s="48" t="s">
        <v>37</v>
      </c>
      <c r="B14" s="49" t="s">
        <v>38</v>
      </c>
      <c r="C14" s="50">
        <v>0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0</v>
      </c>
      <c r="M14" s="50">
        <v>0</v>
      </c>
      <c r="N14" s="50">
        <v>0</v>
      </c>
    </row>
    <row r="15" spans="1:14" x14ac:dyDescent="0.2">
      <c r="A15" s="48" t="s">
        <v>39</v>
      </c>
      <c r="B15" s="49" t="s">
        <v>40</v>
      </c>
      <c r="C15" s="50">
        <v>0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50">
        <v>0</v>
      </c>
      <c r="L15" s="50">
        <v>0</v>
      </c>
      <c r="M15" s="50">
        <v>0</v>
      </c>
      <c r="N15" s="50">
        <v>0</v>
      </c>
    </row>
    <row r="16" spans="1:14" x14ac:dyDescent="0.2">
      <c r="A16" s="48" t="s">
        <v>41</v>
      </c>
      <c r="B16" s="49" t="s">
        <v>42</v>
      </c>
      <c r="C16" s="50">
        <f>+C17</f>
        <v>0</v>
      </c>
      <c r="D16" s="50">
        <f t="shared" ref="D16:N16" si="1">+D17</f>
        <v>0</v>
      </c>
      <c r="E16" s="50">
        <f t="shared" si="1"/>
        <v>0</v>
      </c>
      <c r="F16" s="50">
        <f t="shared" si="1"/>
        <v>0</v>
      </c>
      <c r="G16" s="50">
        <f t="shared" si="1"/>
        <v>0</v>
      </c>
      <c r="H16" s="50">
        <f t="shared" si="1"/>
        <v>0</v>
      </c>
      <c r="I16" s="50">
        <f t="shared" si="1"/>
        <v>0</v>
      </c>
      <c r="J16" s="50">
        <f t="shared" si="1"/>
        <v>0</v>
      </c>
      <c r="K16" s="50">
        <f t="shared" si="1"/>
        <v>0</v>
      </c>
      <c r="L16" s="50">
        <f t="shared" si="1"/>
        <v>0</v>
      </c>
      <c r="M16" s="50">
        <f t="shared" si="1"/>
        <v>0</v>
      </c>
      <c r="N16" s="50">
        <f t="shared" si="1"/>
        <v>0</v>
      </c>
    </row>
    <row r="17" spans="1:14" outlineLevel="1" x14ac:dyDescent="0.2">
      <c r="A17" s="9" t="s">
        <v>43</v>
      </c>
      <c r="B17" s="1" t="s">
        <v>44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</row>
    <row r="18" spans="1:14" x14ac:dyDescent="0.2">
      <c r="A18" s="48" t="s">
        <v>45</v>
      </c>
      <c r="B18" s="49" t="s">
        <v>46</v>
      </c>
      <c r="C18" s="50">
        <v>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50">
        <v>0</v>
      </c>
      <c r="N18" s="50">
        <v>0</v>
      </c>
    </row>
    <row r="19" spans="1:14" x14ac:dyDescent="0.2">
      <c r="A19" s="51"/>
      <c r="B19" s="51" t="s">
        <v>47</v>
      </c>
      <c r="C19" s="19">
        <f>+C7+C14+C15+C16+C18</f>
        <v>262</v>
      </c>
      <c r="D19" s="19">
        <f t="shared" ref="D19:N19" si="2">+D7+D14+D15+D16+D18</f>
        <v>264</v>
      </c>
      <c r="E19" s="19">
        <f t="shared" si="2"/>
        <v>286</v>
      </c>
      <c r="F19" s="19">
        <f t="shared" si="2"/>
        <v>280</v>
      </c>
      <c r="G19" s="19">
        <f t="shared" si="2"/>
        <v>274</v>
      </c>
      <c r="H19" s="19">
        <f t="shared" si="2"/>
        <v>267</v>
      </c>
      <c r="I19" s="19">
        <f t="shared" si="2"/>
        <v>287</v>
      </c>
      <c r="J19" s="19">
        <f t="shared" si="2"/>
        <v>260</v>
      </c>
      <c r="K19" s="19">
        <f t="shared" si="2"/>
        <v>263</v>
      </c>
      <c r="L19" s="19">
        <f t="shared" si="2"/>
        <v>286</v>
      </c>
      <c r="M19" s="19">
        <f t="shared" si="2"/>
        <v>275</v>
      </c>
      <c r="N19" s="19">
        <f t="shared" si="2"/>
        <v>274</v>
      </c>
    </row>
    <row r="20" spans="1:14" x14ac:dyDescent="0.2">
      <c r="A20" s="48" t="s">
        <v>48</v>
      </c>
      <c r="B20" s="49" t="s">
        <v>49</v>
      </c>
      <c r="C20" s="50">
        <f>SUM(C21:C23)</f>
        <v>0</v>
      </c>
      <c r="D20" s="50">
        <f t="shared" ref="D20:N20" si="3">SUM(D21:D23)</f>
        <v>0</v>
      </c>
      <c r="E20" s="50">
        <f t="shared" si="3"/>
        <v>0</v>
      </c>
      <c r="F20" s="50">
        <f t="shared" si="3"/>
        <v>0</v>
      </c>
      <c r="G20" s="50">
        <f t="shared" si="3"/>
        <v>0</v>
      </c>
      <c r="H20" s="50">
        <f t="shared" si="3"/>
        <v>0</v>
      </c>
      <c r="I20" s="50">
        <f t="shared" si="3"/>
        <v>0</v>
      </c>
      <c r="J20" s="50">
        <f t="shared" si="3"/>
        <v>0</v>
      </c>
      <c r="K20" s="50">
        <f t="shared" si="3"/>
        <v>0</v>
      </c>
      <c r="L20" s="50">
        <f t="shared" si="3"/>
        <v>0</v>
      </c>
      <c r="M20" s="50">
        <f t="shared" si="3"/>
        <v>0</v>
      </c>
      <c r="N20" s="50">
        <f t="shared" si="3"/>
        <v>0</v>
      </c>
    </row>
    <row r="21" spans="1:14" outlineLevel="1" x14ac:dyDescent="0.2">
      <c r="A21" s="9" t="s">
        <v>56</v>
      </c>
      <c r="B21" s="1" t="s">
        <v>51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outlineLevel="1" x14ac:dyDescent="0.2">
      <c r="A22" s="9" t="s">
        <v>57</v>
      </c>
      <c r="B22" s="1" t="s">
        <v>58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outlineLevel="1" x14ac:dyDescent="0.2">
      <c r="A23" s="9" t="s">
        <v>59</v>
      </c>
      <c r="B23" s="1" t="s">
        <v>53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x14ac:dyDescent="0.2">
      <c r="A24" s="48" t="s">
        <v>60</v>
      </c>
      <c r="B24" s="49" t="s">
        <v>61</v>
      </c>
      <c r="C24" s="50">
        <v>0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2">
      <c r="A25" s="48" t="s">
        <v>62</v>
      </c>
      <c r="B25" s="49" t="s">
        <v>63</v>
      </c>
      <c r="C25" s="50">
        <v>0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50">
        <v>0</v>
      </c>
      <c r="L25" s="50">
        <v>0</v>
      </c>
      <c r="M25" s="50">
        <v>0</v>
      </c>
      <c r="N25" s="50">
        <v>0</v>
      </c>
    </row>
    <row r="26" spans="1:14" x14ac:dyDescent="0.2">
      <c r="A26" s="48" t="s">
        <v>64</v>
      </c>
      <c r="B26" s="49" t="s">
        <v>65</v>
      </c>
      <c r="C26" s="50">
        <f>+C27</f>
        <v>0</v>
      </c>
      <c r="D26" s="50">
        <f t="shared" ref="D26:N26" si="4">+D27</f>
        <v>0</v>
      </c>
      <c r="E26" s="50">
        <f t="shared" si="4"/>
        <v>0</v>
      </c>
      <c r="F26" s="50">
        <f t="shared" si="4"/>
        <v>0</v>
      </c>
      <c r="G26" s="50">
        <f t="shared" si="4"/>
        <v>0</v>
      </c>
      <c r="H26" s="50">
        <f t="shared" si="4"/>
        <v>0</v>
      </c>
      <c r="I26" s="50">
        <f t="shared" si="4"/>
        <v>0</v>
      </c>
      <c r="J26" s="50">
        <f t="shared" si="4"/>
        <v>0</v>
      </c>
      <c r="K26" s="50">
        <f t="shared" si="4"/>
        <v>0</v>
      </c>
      <c r="L26" s="50">
        <f t="shared" si="4"/>
        <v>0</v>
      </c>
      <c r="M26" s="50">
        <f t="shared" si="4"/>
        <v>0</v>
      </c>
      <c r="N26" s="50">
        <f t="shared" si="4"/>
        <v>0</v>
      </c>
    </row>
    <row r="27" spans="1:14" outlineLevel="1" x14ac:dyDescent="0.2">
      <c r="A27" s="9" t="s">
        <v>66</v>
      </c>
      <c r="B27" s="1" t="s">
        <v>67</v>
      </c>
      <c r="C27" s="10">
        <v>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4" x14ac:dyDescent="0.2">
      <c r="A28" s="48" t="s">
        <v>68</v>
      </c>
      <c r="B28" s="49" t="s">
        <v>69</v>
      </c>
      <c r="C28" s="50">
        <f>+C29</f>
        <v>0</v>
      </c>
      <c r="D28" s="50">
        <f t="shared" ref="D28:N28" si="5">+D29</f>
        <v>0</v>
      </c>
      <c r="E28" s="50">
        <f t="shared" si="5"/>
        <v>0</v>
      </c>
      <c r="F28" s="50">
        <f t="shared" si="5"/>
        <v>0</v>
      </c>
      <c r="G28" s="50">
        <f t="shared" si="5"/>
        <v>0</v>
      </c>
      <c r="H28" s="50">
        <f t="shared" si="5"/>
        <v>0</v>
      </c>
      <c r="I28" s="50">
        <f t="shared" si="5"/>
        <v>0</v>
      </c>
      <c r="J28" s="50">
        <f t="shared" si="5"/>
        <v>0</v>
      </c>
      <c r="K28" s="50">
        <f t="shared" si="5"/>
        <v>0</v>
      </c>
      <c r="L28" s="50">
        <f t="shared" si="5"/>
        <v>0</v>
      </c>
      <c r="M28" s="50">
        <f t="shared" si="5"/>
        <v>0</v>
      </c>
      <c r="N28" s="50">
        <f t="shared" si="5"/>
        <v>0</v>
      </c>
    </row>
    <row r="29" spans="1:14" outlineLevel="1" x14ac:dyDescent="0.2">
      <c r="A29" s="9" t="s">
        <v>70</v>
      </c>
      <c r="B29" s="1" t="s">
        <v>71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/>
      <c r="K29" s="10"/>
      <c r="L29" s="10"/>
      <c r="M29" s="10"/>
      <c r="N29" s="10"/>
    </row>
    <row r="30" spans="1:14" x14ac:dyDescent="0.2">
      <c r="A30" s="52"/>
      <c r="B30" s="52" t="s">
        <v>72</v>
      </c>
      <c r="C30" s="53">
        <f t="shared" ref="C30:N30" si="6">+C20+C24+C25+C26+C28</f>
        <v>0</v>
      </c>
      <c r="D30" s="53">
        <f t="shared" si="6"/>
        <v>0</v>
      </c>
      <c r="E30" s="53">
        <f t="shared" si="6"/>
        <v>0</v>
      </c>
      <c r="F30" s="53">
        <f t="shared" si="6"/>
        <v>0</v>
      </c>
      <c r="G30" s="53">
        <f t="shared" si="6"/>
        <v>0</v>
      </c>
      <c r="H30" s="53">
        <f t="shared" si="6"/>
        <v>0</v>
      </c>
      <c r="I30" s="53">
        <f t="shared" si="6"/>
        <v>0</v>
      </c>
      <c r="J30" s="53">
        <f t="shared" si="6"/>
        <v>0</v>
      </c>
      <c r="K30" s="53">
        <f t="shared" si="6"/>
        <v>0</v>
      </c>
      <c r="L30" s="53">
        <f t="shared" si="6"/>
        <v>0</v>
      </c>
      <c r="M30" s="53">
        <f t="shared" si="6"/>
        <v>0</v>
      </c>
      <c r="N30" s="53">
        <f t="shared" si="6"/>
        <v>0</v>
      </c>
    </row>
    <row r="31" spans="1:14" x14ac:dyDescent="0.2">
      <c r="A31" s="51"/>
      <c r="B31" s="51" t="s">
        <v>73</v>
      </c>
      <c r="C31" s="19">
        <f>+C19-C30</f>
        <v>262</v>
      </c>
      <c r="D31" s="19">
        <f t="shared" ref="D31:N31" si="7">+D19-D30</f>
        <v>264</v>
      </c>
      <c r="E31" s="19">
        <f t="shared" si="7"/>
        <v>286</v>
      </c>
      <c r="F31" s="19">
        <f t="shared" si="7"/>
        <v>280</v>
      </c>
      <c r="G31" s="19">
        <f t="shared" si="7"/>
        <v>274</v>
      </c>
      <c r="H31" s="19">
        <f t="shared" si="7"/>
        <v>267</v>
      </c>
      <c r="I31" s="19">
        <f t="shared" si="7"/>
        <v>287</v>
      </c>
      <c r="J31" s="19">
        <f t="shared" si="7"/>
        <v>260</v>
      </c>
      <c r="K31" s="19">
        <f t="shared" si="7"/>
        <v>263</v>
      </c>
      <c r="L31" s="19">
        <f t="shared" si="7"/>
        <v>286</v>
      </c>
      <c r="M31" s="19">
        <f t="shared" si="7"/>
        <v>275</v>
      </c>
      <c r="N31" s="19">
        <f t="shared" si="7"/>
        <v>274</v>
      </c>
    </row>
    <row r="32" spans="1:14" x14ac:dyDescent="0.2">
      <c r="A32" s="9" t="s">
        <v>74</v>
      </c>
      <c r="B32" s="1" t="s">
        <v>74</v>
      </c>
      <c r="C32" s="10" t="s">
        <v>74</v>
      </c>
      <c r="D32" s="10" t="s">
        <v>74</v>
      </c>
      <c r="E32" s="10" t="s">
        <v>74</v>
      </c>
      <c r="F32" s="10" t="s">
        <v>74</v>
      </c>
      <c r="G32" s="10" t="s">
        <v>74</v>
      </c>
      <c r="H32" s="10" t="s">
        <v>74</v>
      </c>
      <c r="I32" s="10" t="s">
        <v>74</v>
      </c>
      <c r="J32" s="10" t="s">
        <v>74</v>
      </c>
      <c r="K32" s="10" t="s">
        <v>74</v>
      </c>
      <c r="L32" s="10" t="s">
        <v>74</v>
      </c>
      <c r="M32" s="10" t="s">
        <v>74</v>
      </c>
      <c r="N32" s="10" t="s">
        <v>74</v>
      </c>
    </row>
    <row r="33" spans="1:14" x14ac:dyDescent="0.2">
      <c r="A33" s="48" t="s">
        <v>75</v>
      </c>
      <c r="B33" s="49" t="s">
        <v>76</v>
      </c>
      <c r="C33" s="50">
        <v>0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50">
        <v>0</v>
      </c>
      <c r="L33" s="50">
        <v>0</v>
      </c>
      <c r="M33" s="50">
        <v>0</v>
      </c>
      <c r="N33" s="50">
        <v>0</v>
      </c>
    </row>
    <row r="34" spans="1:14" x14ac:dyDescent="0.2">
      <c r="A34" s="48" t="s">
        <v>111</v>
      </c>
      <c r="B34" s="49" t="s">
        <v>112</v>
      </c>
      <c r="C34" s="50">
        <f t="shared" ref="C34:N34" si="8">SUM(C35:C38)</f>
        <v>1.2</v>
      </c>
      <c r="D34" s="50">
        <f t="shared" si="8"/>
        <v>1.2</v>
      </c>
      <c r="E34" s="50">
        <f t="shared" si="8"/>
        <v>1.2</v>
      </c>
      <c r="F34" s="50">
        <f t="shared" si="8"/>
        <v>1.2</v>
      </c>
      <c r="G34" s="50">
        <f t="shared" si="8"/>
        <v>1.2</v>
      </c>
      <c r="H34" s="50">
        <f t="shared" si="8"/>
        <v>1.2</v>
      </c>
      <c r="I34" s="50">
        <f t="shared" si="8"/>
        <v>1.2</v>
      </c>
      <c r="J34" s="50">
        <f t="shared" si="8"/>
        <v>1.2</v>
      </c>
      <c r="K34" s="50">
        <f t="shared" si="8"/>
        <v>1.2</v>
      </c>
      <c r="L34" s="50">
        <f t="shared" si="8"/>
        <v>1.2</v>
      </c>
      <c r="M34" s="50">
        <f t="shared" si="8"/>
        <v>1.2</v>
      </c>
      <c r="N34" s="50">
        <f t="shared" si="8"/>
        <v>1.2</v>
      </c>
    </row>
    <row r="35" spans="1:14" outlineLevel="1" x14ac:dyDescent="0.2">
      <c r="A35" s="9" t="s">
        <v>113</v>
      </c>
      <c r="B35" s="1" t="s">
        <v>114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outlineLevel="1" x14ac:dyDescent="0.2">
      <c r="A36" s="9" t="s">
        <v>115</v>
      </c>
      <c r="B36" s="1" t="s">
        <v>116</v>
      </c>
      <c r="C36" s="10">
        <v>1.2</v>
      </c>
      <c r="D36" s="10">
        <v>1.2</v>
      </c>
      <c r="E36" s="10">
        <v>1.2</v>
      </c>
      <c r="F36" s="10">
        <v>1.2</v>
      </c>
      <c r="G36" s="10">
        <v>1.2</v>
      </c>
      <c r="H36" s="10">
        <v>1.2</v>
      </c>
      <c r="I36" s="10">
        <v>1.2</v>
      </c>
      <c r="J36" s="10">
        <v>1.2</v>
      </c>
      <c r="K36" s="10">
        <v>1.2</v>
      </c>
      <c r="L36" s="10">
        <v>1.2</v>
      </c>
      <c r="M36" s="10">
        <v>1.2</v>
      </c>
      <c r="N36" s="10">
        <v>1.2</v>
      </c>
    </row>
    <row r="37" spans="1:14" outlineLevel="1" x14ac:dyDescent="0.2">
      <c r="A37" s="9" t="s">
        <v>311</v>
      </c>
      <c r="B37" s="1" t="s">
        <v>312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</row>
    <row r="38" spans="1:14" outlineLevel="1" x14ac:dyDescent="0.2">
      <c r="A38" s="9" t="s">
        <v>117</v>
      </c>
      <c r="B38" s="1" t="s">
        <v>118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x14ac:dyDescent="0.2">
      <c r="A39" s="48" t="s">
        <v>119</v>
      </c>
      <c r="B39" s="49" t="s">
        <v>120</v>
      </c>
      <c r="C39" s="50">
        <v>0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50">
        <v>0</v>
      </c>
      <c r="L39" s="50">
        <v>0</v>
      </c>
      <c r="M39" s="50">
        <v>0</v>
      </c>
      <c r="N39" s="50">
        <v>0</v>
      </c>
    </row>
    <row r="40" spans="1:14" x14ac:dyDescent="0.2">
      <c r="A40" s="48" t="s">
        <v>127</v>
      </c>
      <c r="B40" s="49" t="s">
        <v>128</v>
      </c>
      <c r="C40" s="50">
        <f t="shared" ref="C40:N40" si="9">SUM(C41:C42)</f>
        <v>13.5</v>
      </c>
      <c r="D40" s="50">
        <f t="shared" si="9"/>
        <v>13.5</v>
      </c>
      <c r="E40" s="50">
        <f t="shared" si="9"/>
        <v>13.5</v>
      </c>
      <c r="F40" s="50">
        <f t="shared" si="9"/>
        <v>13.5</v>
      </c>
      <c r="G40" s="50">
        <f t="shared" si="9"/>
        <v>13.5</v>
      </c>
      <c r="H40" s="50">
        <f t="shared" si="9"/>
        <v>13.5</v>
      </c>
      <c r="I40" s="50">
        <f t="shared" si="9"/>
        <v>13.5</v>
      </c>
      <c r="J40" s="50">
        <f t="shared" si="9"/>
        <v>13.5</v>
      </c>
      <c r="K40" s="50">
        <f t="shared" si="9"/>
        <v>13.5</v>
      </c>
      <c r="L40" s="50">
        <f t="shared" si="9"/>
        <v>13.5</v>
      </c>
      <c r="M40" s="50">
        <f t="shared" si="9"/>
        <v>13.5</v>
      </c>
      <c r="N40" s="50">
        <f t="shared" si="9"/>
        <v>13.5</v>
      </c>
    </row>
    <row r="41" spans="1:14" outlineLevel="1" x14ac:dyDescent="0.2">
      <c r="A41" s="9" t="s">
        <v>129</v>
      </c>
      <c r="B41" s="1" t="s">
        <v>130</v>
      </c>
      <c r="C41" s="10">
        <v>13.5</v>
      </c>
      <c r="D41" s="10">
        <v>13.5</v>
      </c>
      <c r="E41" s="10">
        <v>13.5</v>
      </c>
      <c r="F41" s="10">
        <v>13.5</v>
      </c>
      <c r="G41" s="10">
        <v>13.5</v>
      </c>
      <c r="H41" s="10">
        <v>13.5</v>
      </c>
      <c r="I41" s="10">
        <v>13.5</v>
      </c>
      <c r="J41" s="10">
        <v>13.5</v>
      </c>
      <c r="K41" s="10">
        <v>13.5</v>
      </c>
      <c r="L41" s="10">
        <v>13.5</v>
      </c>
      <c r="M41" s="10">
        <v>13.5</v>
      </c>
      <c r="N41" s="10">
        <v>13.5</v>
      </c>
    </row>
    <row r="42" spans="1:14" outlineLevel="1" x14ac:dyDescent="0.2">
      <c r="A42" s="9" t="s">
        <v>319</v>
      </c>
      <c r="B42" s="1" t="s">
        <v>320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x14ac:dyDescent="0.2">
      <c r="A43" s="48" t="s">
        <v>133</v>
      </c>
      <c r="B43" s="49" t="s">
        <v>134</v>
      </c>
      <c r="C43" s="50">
        <f t="shared" ref="C43:N43" si="10">SUM(C44:C47)</f>
        <v>15.6</v>
      </c>
      <c r="D43" s="50">
        <f t="shared" si="10"/>
        <v>15.6</v>
      </c>
      <c r="E43" s="50">
        <f t="shared" si="10"/>
        <v>15.6</v>
      </c>
      <c r="F43" s="50">
        <f t="shared" si="10"/>
        <v>15.6</v>
      </c>
      <c r="G43" s="50">
        <f t="shared" si="10"/>
        <v>15.6</v>
      </c>
      <c r="H43" s="50">
        <f t="shared" si="10"/>
        <v>15.6</v>
      </c>
      <c r="I43" s="50">
        <f t="shared" si="10"/>
        <v>15.6</v>
      </c>
      <c r="J43" s="50">
        <f t="shared" si="10"/>
        <v>15.6</v>
      </c>
      <c r="K43" s="50">
        <f t="shared" si="10"/>
        <v>15.6</v>
      </c>
      <c r="L43" s="50">
        <f t="shared" si="10"/>
        <v>15.6</v>
      </c>
      <c r="M43" s="50">
        <f t="shared" si="10"/>
        <v>15.6</v>
      </c>
      <c r="N43" s="50">
        <f t="shared" si="10"/>
        <v>15.6</v>
      </c>
    </row>
    <row r="44" spans="1:14" outlineLevel="1" x14ac:dyDescent="0.2">
      <c r="A44" s="9" t="s">
        <v>329</v>
      </c>
      <c r="B44" s="1" t="s">
        <v>330</v>
      </c>
      <c r="C44" s="10">
        <v>15.4</v>
      </c>
      <c r="D44" s="10">
        <v>15.4</v>
      </c>
      <c r="E44" s="10">
        <v>15.4</v>
      </c>
      <c r="F44" s="10">
        <v>15.4</v>
      </c>
      <c r="G44" s="10">
        <v>15.4</v>
      </c>
      <c r="H44" s="10">
        <v>15.4</v>
      </c>
      <c r="I44" s="10">
        <v>15.4</v>
      </c>
      <c r="J44" s="10">
        <v>15.4</v>
      </c>
      <c r="K44" s="10">
        <v>15.4</v>
      </c>
      <c r="L44" s="10">
        <v>15.4</v>
      </c>
      <c r="M44" s="10">
        <v>15.4</v>
      </c>
      <c r="N44" s="10">
        <v>15.4</v>
      </c>
    </row>
    <row r="45" spans="1:14" outlineLevel="1" x14ac:dyDescent="0.2">
      <c r="A45" s="9" t="s">
        <v>331</v>
      </c>
      <c r="B45" s="1" t="s">
        <v>332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outlineLevel="1" x14ac:dyDescent="0.2">
      <c r="A46" s="9" t="s">
        <v>333</v>
      </c>
      <c r="B46" s="1" t="s">
        <v>334</v>
      </c>
      <c r="C46" s="10">
        <v>0.2</v>
      </c>
      <c r="D46" s="10">
        <v>0.2</v>
      </c>
      <c r="E46" s="10">
        <v>0.2</v>
      </c>
      <c r="F46" s="10">
        <v>0.2</v>
      </c>
      <c r="G46" s="10">
        <v>0.2</v>
      </c>
      <c r="H46" s="10">
        <v>0.2</v>
      </c>
      <c r="I46" s="10">
        <v>0.2</v>
      </c>
      <c r="J46" s="10">
        <v>0.2</v>
      </c>
      <c r="K46" s="10">
        <v>0.2</v>
      </c>
      <c r="L46" s="10">
        <v>0.2</v>
      </c>
      <c r="M46" s="10">
        <v>0.2</v>
      </c>
      <c r="N46" s="10">
        <v>0.2</v>
      </c>
    </row>
    <row r="47" spans="1:14" outlineLevel="1" x14ac:dyDescent="0.2">
      <c r="A47" s="9" t="s">
        <v>337</v>
      </c>
      <c r="B47" s="1" t="s">
        <v>338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x14ac:dyDescent="0.2">
      <c r="A48" s="48" t="s">
        <v>137</v>
      </c>
      <c r="B48" s="49" t="s">
        <v>138</v>
      </c>
      <c r="C48" s="50">
        <f t="shared" ref="C48:N48" si="11">SUM(C49:C53)</f>
        <v>5.3000000000000007</v>
      </c>
      <c r="D48" s="50">
        <f t="shared" si="11"/>
        <v>5.3000000000000007</v>
      </c>
      <c r="E48" s="50">
        <f t="shared" si="11"/>
        <v>6.3000000000000007</v>
      </c>
      <c r="F48" s="50">
        <f t="shared" si="11"/>
        <v>5.3000000000000007</v>
      </c>
      <c r="G48" s="50">
        <f t="shared" si="11"/>
        <v>5.6000000000000005</v>
      </c>
      <c r="H48" s="50">
        <f t="shared" si="11"/>
        <v>5.3000000000000007</v>
      </c>
      <c r="I48" s="50">
        <f t="shared" si="11"/>
        <v>5.3000000000000007</v>
      </c>
      <c r="J48" s="50">
        <f t="shared" si="11"/>
        <v>5.3000000000000007</v>
      </c>
      <c r="K48" s="50">
        <f t="shared" si="11"/>
        <v>5.3000000000000007</v>
      </c>
      <c r="L48" s="50">
        <f t="shared" si="11"/>
        <v>5.3000000000000007</v>
      </c>
      <c r="M48" s="50">
        <f t="shared" si="11"/>
        <v>5.3000000000000007</v>
      </c>
      <c r="N48" s="50">
        <f t="shared" si="11"/>
        <v>5.3000000000000007</v>
      </c>
    </row>
    <row r="49" spans="1:14" outlineLevel="1" x14ac:dyDescent="0.2">
      <c r="A49" s="9" t="s">
        <v>339</v>
      </c>
      <c r="B49" s="1" t="s">
        <v>340</v>
      </c>
      <c r="C49" s="10">
        <v>2.5</v>
      </c>
      <c r="D49" s="10">
        <v>2.5</v>
      </c>
      <c r="E49" s="10">
        <v>2.5</v>
      </c>
      <c r="F49" s="10">
        <v>2.5</v>
      </c>
      <c r="G49" s="10">
        <v>2.5</v>
      </c>
      <c r="H49" s="10">
        <v>2.5</v>
      </c>
      <c r="I49" s="10">
        <v>2.5</v>
      </c>
      <c r="J49" s="10">
        <v>2.5</v>
      </c>
      <c r="K49" s="10">
        <v>2.5</v>
      </c>
      <c r="L49" s="10">
        <v>2.5</v>
      </c>
      <c r="M49" s="10">
        <v>2.5</v>
      </c>
      <c r="N49" s="10">
        <v>2.5</v>
      </c>
    </row>
    <row r="50" spans="1:14" outlineLevel="1" x14ac:dyDescent="0.2">
      <c r="A50" s="9" t="s">
        <v>341</v>
      </c>
      <c r="B50" s="1" t="s">
        <v>342</v>
      </c>
      <c r="C50" s="10">
        <v>1.1000000000000001</v>
      </c>
      <c r="D50" s="10">
        <v>1.1000000000000001</v>
      </c>
      <c r="E50" s="10">
        <v>1.1000000000000001</v>
      </c>
      <c r="F50" s="10">
        <v>1.1000000000000001</v>
      </c>
      <c r="G50" s="10">
        <v>1.1000000000000001</v>
      </c>
      <c r="H50" s="10">
        <v>1.1000000000000001</v>
      </c>
      <c r="I50" s="10">
        <v>1.1000000000000001</v>
      </c>
      <c r="J50" s="10">
        <v>1.1000000000000001</v>
      </c>
      <c r="K50" s="10">
        <v>1.1000000000000001</v>
      </c>
      <c r="L50" s="10">
        <v>1.1000000000000001</v>
      </c>
      <c r="M50" s="10">
        <v>1.1000000000000001</v>
      </c>
      <c r="N50" s="10">
        <v>1.1000000000000001</v>
      </c>
    </row>
    <row r="51" spans="1:14" outlineLevel="1" x14ac:dyDescent="0.2">
      <c r="A51" s="9" t="s">
        <v>343</v>
      </c>
      <c r="B51" s="1" t="s">
        <v>344</v>
      </c>
      <c r="C51" s="10">
        <v>0.6</v>
      </c>
      <c r="D51" s="10">
        <v>0.6</v>
      </c>
      <c r="E51" s="10">
        <v>0.6</v>
      </c>
      <c r="F51" s="10">
        <v>0.6</v>
      </c>
      <c r="G51" s="10">
        <v>0.6</v>
      </c>
      <c r="H51" s="10">
        <v>0.6</v>
      </c>
      <c r="I51" s="10">
        <v>0.6</v>
      </c>
      <c r="J51" s="10">
        <v>0.6</v>
      </c>
      <c r="K51" s="10">
        <v>0.6</v>
      </c>
      <c r="L51" s="10">
        <v>0.6</v>
      </c>
      <c r="M51" s="10">
        <v>0.6</v>
      </c>
      <c r="N51" s="10">
        <v>0.6</v>
      </c>
    </row>
    <row r="52" spans="1:14" outlineLevel="1" x14ac:dyDescent="0.2">
      <c r="A52" s="9" t="s">
        <v>347</v>
      </c>
      <c r="B52" s="1" t="s">
        <v>348</v>
      </c>
      <c r="C52" s="10">
        <v>1.1000000000000001</v>
      </c>
      <c r="D52" s="10">
        <v>1.1000000000000001</v>
      </c>
      <c r="E52" s="10">
        <v>1.1000000000000001</v>
      </c>
      <c r="F52" s="10">
        <v>1.1000000000000001</v>
      </c>
      <c r="G52" s="10">
        <v>1.1000000000000001</v>
      </c>
      <c r="H52" s="10">
        <v>1.1000000000000001</v>
      </c>
      <c r="I52" s="10">
        <v>1.1000000000000001</v>
      </c>
      <c r="J52" s="10">
        <v>1.1000000000000001</v>
      </c>
      <c r="K52" s="10">
        <v>1.1000000000000001</v>
      </c>
      <c r="L52" s="10">
        <v>1.1000000000000001</v>
      </c>
      <c r="M52" s="10">
        <v>1.1000000000000001</v>
      </c>
      <c r="N52" s="10">
        <v>1.1000000000000001</v>
      </c>
    </row>
    <row r="53" spans="1:14" outlineLevel="1" x14ac:dyDescent="0.2">
      <c r="A53" s="9" t="s">
        <v>351</v>
      </c>
      <c r="B53" s="1" t="s">
        <v>352</v>
      </c>
      <c r="C53" s="10">
        <v>0</v>
      </c>
      <c r="D53" s="10">
        <v>0</v>
      </c>
      <c r="E53" s="10">
        <v>1</v>
      </c>
      <c r="F53" s="10">
        <v>0</v>
      </c>
      <c r="G53" s="10">
        <v>0.3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x14ac:dyDescent="0.2">
      <c r="A54" s="48" t="s">
        <v>139</v>
      </c>
      <c r="B54" s="49" t="s">
        <v>140</v>
      </c>
      <c r="C54" s="50">
        <f t="shared" ref="C54:N54" si="12">+C55</f>
        <v>0</v>
      </c>
      <c r="D54" s="50">
        <f t="shared" si="12"/>
        <v>0</v>
      </c>
      <c r="E54" s="50">
        <f t="shared" si="12"/>
        <v>0</v>
      </c>
      <c r="F54" s="50">
        <f t="shared" si="12"/>
        <v>0</v>
      </c>
      <c r="G54" s="50">
        <f t="shared" si="12"/>
        <v>0</v>
      </c>
      <c r="H54" s="50">
        <f t="shared" si="12"/>
        <v>0</v>
      </c>
      <c r="I54" s="50">
        <f t="shared" si="12"/>
        <v>0</v>
      </c>
      <c r="J54" s="50">
        <f t="shared" si="12"/>
        <v>0</v>
      </c>
      <c r="K54" s="50">
        <f t="shared" si="12"/>
        <v>0</v>
      </c>
      <c r="L54" s="50">
        <f t="shared" si="12"/>
        <v>0</v>
      </c>
      <c r="M54" s="50">
        <f t="shared" si="12"/>
        <v>0</v>
      </c>
      <c r="N54" s="50">
        <f t="shared" si="12"/>
        <v>0</v>
      </c>
    </row>
    <row r="55" spans="1:14" outlineLevel="1" x14ac:dyDescent="0.2">
      <c r="A55" s="9" t="s">
        <v>353</v>
      </c>
      <c r="B55" s="1" t="s">
        <v>354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</row>
    <row r="56" spans="1:14" x14ac:dyDescent="0.2">
      <c r="A56" s="48" t="s">
        <v>141</v>
      </c>
      <c r="B56" s="49" t="s">
        <v>142</v>
      </c>
      <c r="C56" s="50">
        <v>0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50">
        <v>0</v>
      </c>
      <c r="L56" s="50">
        <v>0</v>
      </c>
      <c r="M56" s="50">
        <v>0</v>
      </c>
      <c r="N56" s="50">
        <v>0</v>
      </c>
    </row>
    <row r="57" spans="1:14" x14ac:dyDescent="0.2">
      <c r="A57" s="48" t="s">
        <v>143</v>
      </c>
      <c r="B57" s="49" t="s">
        <v>144</v>
      </c>
      <c r="C57" s="50">
        <f t="shared" ref="C57:N57" si="13">SUM(C58:C64)</f>
        <v>133</v>
      </c>
      <c r="D57" s="50">
        <f t="shared" si="13"/>
        <v>132.80000000000001</v>
      </c>
      <c r="E57" s="50">
        <f t="shared" si="13"/>
        <v>133</v>
      </c>
      <c r="F57" s="50">
        <f t="shared" si="13"/>
        <v>132.80000000000001</v>
      </c>
      <c r="G57" s="50">
        <f t="shared" si="13"/>
        <v>133</v>
      </c>
      <c r="H57" s="50">
        <f t="shared" si="13"/>
        <v>134.80000000000001</v>
      </c>
      <c r="I57" s="50">
        <f t="shared" si="13"/>
        <v>133</v>
      </c>
      <c r="J57" s="50">
        <f t="shared" si="13"/>
        <v>133</v>
      </c>
      <c r="K57" s="50">
        <f t="shared" si="13"/>
        <v>132.80000000000001</v>
      </c>
      <c r="L57" s="50">
        <f t="shared" si="13"/>
        <v>133</v>
      </c>
      <c r="M57" s="50">
        <f t="shared" si="13"/>
        <v>134.80000000000001</v>
      </c>
      <c r="N57" s="50">
        <f t="shared" si="13"/>
        <v>133</v>
      </c>
    </row>
    <row r="58" spans="1:14" outlineLevel="1" x14ac:dyDescent="0.2">
      <c r="A58" s="9" t="s">
        <v>145</v>
      </c>
      <c r="B58" s="1" t="s">
        <v>146</v>
      </c>
      <c r="C58" s="10">
        <v>87</v>
      </c>
      <c r="D58" s="10">
        <v>87</v>
      </c>
      <c r="E58" s="10">
        <v>87</v>
      </c>
      <c r="F58" s="10">
        <v>87</v>
      </c>
      <c r="G58" s="10">
        <v>87</v>
      </c>
      <c r="H58" s="10">
        <v>87</v>
      </c>
      <c r="I58" s="10">
        <v>87</v>
      </c>
      <c r="J58" s="10">
        <v>87</v>
      </c>
      <c r="K58" s="10">
        <v>87</v>
      </c>
      <c r="L58" s="10">
        <v>87</v>
      </c>
      <c r="M58" s="10">
        <v>87</v>
      </c>
      <c r="N58" s="10">
        <v>87</v>
      </c>
    </row>
    <row r="59" spans="1:14" outlineLevel="1" x14ac:dyDescent="0.2">
      <c r="A59" s="9" t="s">
        <v>147</v>
      </c>
      <c r="B59" s="1" t="s">
        <v>148</v>
      </c>
      <c r="C59" s="10">
        <v>0.2</v>
      </c>
      <c r="D59" s="10">
        <v>0</v>
      </c>
      <c r="E59" s="10">
        <v>0.2</v>
      </c>
      <c r="F59" s="10">
        <v>0</v>
      </c>
      <c r="G59" s="10">
        <v>0.2</v>
      </c>
      <c r="H59" s="10">
        <v>2</v>
      </c>
      <c r="I59" s="10">
        <v>0.2</v>
      </c>
      <c r="J59" s="10">
        <v>0.2</v>
      </c>
      <c r="K59" s="10">
        <v>0</v>
      </c>
      <c r="L59" s="10">
        <v>0.2</v>
      </c>
      <c r="M59" s="10">
        <v>2</v>
      </c>
      <c r="N59" s="10">
        <v>0.2</v>
      </c>
    </row>
    <row r="60" spans="1:14" outlineLevel="1" x14ac:dyDescent="0.2">
      <c r="A60" s="9" t="s">
        <v>149</v>
      </c>
      <c r="B60" s="1" t="s">
        <v>150</v>
      </c>
      <c r="C60" s="10">
        <v>22</v>
      </c>
      <c r="D60" s="10">
        <v>22</v>
      </c>
      <c r="E60" s="10">
        <v>22</v>
      </c>
      <c r="F60" s="10">
        <v>22</v>
      </c>
      <c r="G60" s="10">
        <v>22</v>
      </c>
      <c r="H60" s="10">
        <v>22</v>
      </c>
      <c r="I60" s="10">
        <v>22</v>
      </c>
      <c r="J60" s="10">
        <v>22</v>
      </c>
      <c r="K60" s="10">
        <v>22</v>
      </c>
      <c r="L60" s="10">
        <v>22</v>
      </c>
      <c r="M60" s="10">
        <v>22</v>
      </c>
      <c r="N60" s="10">
        <v>22</v>
      </c>
    </row>
    <row r="61" spans="1:14" outlineLevel="1" x14ac:dyDescent="0.2">
      <c r="A61" s="9" t="s">
        <v>151</v>
      </c>
      <c r="B61" s="1" t="s">
        <v>152</v>
      </c>
      <c r="C61" s="10">
        <v>1.1000000000000001</v>
      </c>
      <c r="D61" s="10">
        <v>1.1000000000000001</v>
      </c>
      <c r="E61" s="10">
        <v>1.1000000000000001</v>
      </c>
      <c r="F61" s="10">
        <v>1.1000000000000001</v>
      </c>
      <c r="G61" s="10">
        <v>1.1000000000000001</v>
      </c>
      <c r="H61" s="10">
        <v>1.1000000000000001</v>
      </c>
      <c r="I61" s="10">
        <v>1.1000000000000001</v>
      </c>
      <c r="J61" s="10">
        <v>1.1000000000000001</v>
      </c>
      <c r="K61" s="10">
        <v>1.1000000000000001</v>
      </c>
      <c r="L61" s="10">
        <v>1.1000000000000001</v>
      </c>
      <c r="M61" s="10">
        <v>1.1000000000000001</v>
      </c>
      <c r="N61" s="10">
        <v>1.1000000000000001</v>
      </c>
    </row>
    <row r="62" spans="1:14" outlineLevel="1" x14ac:dyDescent="0.2">
      <c r="A62" s="9" t="s">
        <v>355</v>
      </c>
      <c r="B62" s="1" t="s">
        <v>356</v>
      </c>
      <c r="C62" s="10">
        <v>0.7</v>
      </c>
      <c r="D62" s="10">
        <v>0.7</v>
      </c>
      <c r="E62" s="10">
        <v>0.7</v>
      </c>
      <c r="F62" s="10">
        <v>0.7</v>
      </c>
      <c r="G62" s="10">
        <v>0.7</v>
      </c>
      <c r="H62" s="10">
        <v>0.7</v>
      </c>
      <c r="I62" s="10">
        <v>0.7</v>
      </c>
      <c r="J62" s="10">
        <v>0.7</v>
      </c>
      <c r="K62" s="10">
        <v>0.7</v>
      </c>
      <c r="L62" s="10">
        <v>0.7</v>
      </c>
      <c r="M62" s="10">
        <v>0.7</v>
      </c>
      <c r="N62" s="10">
        <v>0.7</v>
      </c>
    </row>
    <row r="63" spans="1:14" outlineLevel="1" x14ac:dyDescent="0.2">
      <c r="A63" s="9" t="s">
        <v>153</v>
      </c>
      <c r="B63" s="1" t="s">
        <v>154</v>
      </c>
      <c r="C63" s="10">
        <v>18.5</v>
      </c>
      <c r="D63" s="10">
        <v>18.5</v>
      </c>
      <c r="E63" s="10">
        <v>18.5</v>
      </c>
      <c r="F63" s="10">
        <v>18.5</v>
      </c>
      <c r="G63" s="10">
        <v>18.5</v>
      </c>
      <c r="H63" s="10">
        <v>18.5</v>
      </c>
      <c r="I63" s="10">
        <v>18.5</v>
      </c>
      <c r="J63" s="10">
        <v>18.5</v>
      </c>
      <c r="K63" s="10">
        <v>18.5</v>
      </c>
      <c r="L63" s="10">
        <v>18.5</v>
      </c>
      <c r="M63" s="10">
        <v>18.5</v>
      </c>
      <c r="N63" s="10">
        <v>18.5</v>
      </c>
    </row>
    <row r="64" spans="1:14" outlineLevel="1" x14ac:dyDescent="0.2">
      <c r="A64" s="9" t="s">
        <v>155</v>
      </c>
      <c r="B64" s="1" t="s">
        <v>156</v>
      </c>
      <c r="C64" s="10">
        <v>3.5</v>
      </c>
      <c r="D64" s="10">
        <v>3.5</v>
      </c>
      <c r="E64" s="10">
        <v>3.5</v>
      </c>
      <c r="F64" s="10">
        <v>3.5</v>
      </c>
      <c r="G64" s="10">
        <v>3.5</v>
      </c>
      <c r="H64" s="10">
        <v>3.5</v>
      </c>
      <c r="I64" s="10">
        <v>3.5</v>
      </c>
      <c r="J64" s="10">
        <v>3.5</v>
      </c>
      <c r="K64" s="10">
        <v>3.5</v>
      </c>
      <c r="L64" s="10">
        <v>3.5</v>
      </c>
      <c r="M64" s="10">
        <v>3.5</v>
      </c>
      <c r="N64" s="10">
        <v>3.5</v>
      </c>
    </row>
    <row r="65" spans="1:14" x14ac:dyDescent="0.2">
      <c r="A65" s="48" t="s">
        <v>157</v>
      </c>
      <c r="B65" s="49" t="s">
        <v>158</v>
      </c>
      <c r="C65" s="50">
        <f t="shared" ref="C65:N65" si="14">+C66</f>
        <v>0.9</v>
      </c>
      <c r="D65" s="50">
        <f t="shared" si="14"/>
        <v>5.5</v>
      </c>
      <c r="E65" s="50">
        <f t="shared" si="14"/>
        <v>-3.3</v>
      </c>
      <c r="F65" s="50">
        <f t="shared" si="14"/>
        <v>-1.8</v>
      </c>
      <c r="G65" s="50">
        <f t="shared" si="14"/>
        <v>0.7</v>
      </c>
      <c r="H65" s="50">
        <f t="shared" si="14"/>
        <v>-0.7</v>
      </c>
      <c r="I65" s="50">
        <f t="shared" si="14"/>
        <v>6.6</v>
      </c>
      <c r="J65" s="50">
        <f t="shared" si="14"/>
        <v>-3.3</v>
      </c>
      <c r="K65" s="50">
        <f t="shared" si="14"/>
        <v>-1.8</v>
      </c>
      <c r="L65" s="50">
        <f t="shared" si="14"/>
        <v>0.7</v>
      </c>
      <c r="M65" s="50">
        <f t="shared" si="14"/>
        <v>-0.7</v>
      </c>
      <c r="N65" s="50">
        <f t="shared" si="14"/>
        <v>6.6</v>
      </c>
    </row>
    <row r="66" spans="1:14" outlineLevel="1" x14ac:dyDescent="0.2">
      <c r="A66" s="9" t="s">
        <v>159</v>
      </c>
      <c r="B66" s="1" t="s">
        <v>160</v>
      </c>
      <c r="C66" s="10">
        <v>0.9</v>
      </c>
      <c r="D66" s="10">
        <v>5.5</v>
      </c>
      <c r="E66" s="10">
        <v>-3.3</v>
      </c>
      <c r="F66" s="10">
        <v>-1.8</v>
      </c>
      <c r="G66" s="10">
        <v>0.7</v>
      </c>
      <c r="H66" s="10">
        <v>-0.7</v>
      </c>
      <c r="I66" s="10">
        <v>6.6</v>
      </c>
      <c r="J66" s="10">
        <v>-3.3</v>
      </c>
      <c r="K66" s="10">
        <v>-1.8</v>
      </c>
      <c r="L66" s="10">
        <v>0.7</v>
      </c>
      <c r="M66" s="10">
        <v>-0.7</v>
      </c>
      <c r="N66" s="10">
        <v>6.6</v>
      </c>
    </row>
    <row r="67" spans="1:14" x14ac:dyDescent="0.2">
      <c r="A67" s="52"/>
      <c r="B67" s="52" t="s">
        <v>165</v>
      </c>
      <c r="C67" s="53">
        <f t="shared" ref="C67:M67" si="15">+C33+C34+C39+C40+C43+C54+C48+C56+C57+C65</f>
        <v>169.5</v>
      </c>
      <c r="D67" s="53">
        <f t="shared" si="15"/>
        <v>173.9</v>
      </c>
      <c r="E67" s="53">
        <f t="shared" si="15"/>
        <v>166.29999999999998</v>
      </c>
      <c r="F67" s="53">
        <f t="shared" si="15"/>
        <v>166.6</v>
      </c>
      <c r="G67" s="53">
        <f t="shared" si="15"/>
        <v>169.6</v>
      </c>
      <c r="H67" s="53">
        <f t="shared" si="15"/>
        <v>169.70000000000002</v>
      </c>
      <c r="I67" s="53">
        <f t="shared" si="15"/>
        <v>175.2</v>
      </c>
      <c r="J67" s="53">
        <f t="shared" si="15"/>
        <v>165.29999999999998</v>
      </c>
      <c r="K67" s="53">
        <f t="shared" si="15"/>
        <v>166.6</v>
      </c>
      <c r="L67" s="53">
        <f t="shared" si="15"/>
        <v>169.29999999999998</v>
      </c>
      <c r="M67" s="53">
        <f t="shared" si="15"/>
        <v>169.70000000000002</v>
      </c>
      <c r="N67" s="53">
        <f>+N33+N34+N39+N40+N43+N54+N48+N56+N57+N65</f>
        <v>175.2</v>
      </c>
    </row>
    <row r="68" spans="1:14" x14ac:dyDescent="0.2">
      <c r="A68" s="51"/>
      <c r="B68" s="51" t="s">
        <v>166</v>
      </c>
      <c r="C68" s="19">
        <f>+C31-C67</f>
        <v>92.5</v>
      </c>
      <c r="D68" s="19">
        <f t="shared" ref="D68:N68" si="16">+D31-D67</f>
        <v>90.1</v>
      </c>
      <c r="E68" s="19">
        <f t="shared" si="16"/>
        <v>119.70000000000002</v>
      </c>
      <c r="F68" s="19">
        <f t="shared" si="16"/>
        <v>113.4</v>
      </c>
      <c r="G68" s="19">
        <f t="shared" si="16"/>
        <v>104.4</v>
      </c>
      <c r="H68" s="19">
        <f t="shared" si="16"/>
        <v>97.299999999999983</v>
      </c>
      <c r="I68" s="19">
        <f t="shared" si="16"/>
        <v>111.80000000000001</v>
      </c>
      <c r="J68" s="19">
        <f t="shared" si="16"/>
        <v>94.700000000000017</v>
      </c>
      <c r="K68" s="19">
        <f t="shared" si="16"/>
        <v>96.4</v>
      </c>
      <c r="L68" s="19">
        <f t="shared" si="16"/>
        <v>116.70000000000002</v>
      </c>
      <c r="M68" s="19">
        <f t="shared" si="16"/>
        <v>105.29999999999998</v>
      </c>
      <c r="N68" s="19">
        <f t="shared" si="16"/>
        <v>98.800000000000011</v>
      </c>
    </row>
    <row r="69" spans="1:14" x14ac:dyDescent="0.2">
      <c r="A69" s="48" t="s">
        <v>167</v>
      </c>
      <c r="B69" s="49" t="s">
        <v>168</v>
      </c>
      <c r="C69" s="50">
        <v>0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50">
        <v>0</v>
      </c>
      <c r="L69" s="50">
        <v>0</v>
      </c>
      <c r="M69" s="50">
        <v>0</v>
      </c>
      <c r="N69" s="50">
        <v>0</v>
      </c>
    </row>
    <row r="70" spans="1:14" x14ac:dyDescent="0.2">
      <c r="A70" s="48" t="s">
        <v>200</v>
      </c>
      <c r="B70" s="49" t="s">
        <v>201</v>
      </c>
      <c r="C70" s="50">
        <f t="shared" ref="C70:N70" si="17">SUM(C71:C72)</f>
        <v>0</v>
      </c>
      <c r="D70" s="50">
        <f t="shared" si="17"/>
        <v>0</v>
      </c>
      <c r="E70" s="50">
        <f t="shared" si="17"/>
        <v>0</v>
      </c>
      <c r="F70" s="50">
        <f t="shared" si="17"/>
        <v>0</v>
      </c>
      <c r="G70" s="50">
        <f t="shared" si="17"/>
        <v>0</v>
      </c>
      <c r="H70" s="50">
        <f t="shared" si="17"/>
        <v>0</v>
      </c>
      <c r="I70" s="50">
        <f t="shared" si="17"/>
        <v>0</v>
      </c>
      <c r="J70" s="50">
        <f t="shared" si="17"/>
        <v>0</v>
      </c>
      <c r="K70" s="50">
        <f t="shared" si="17"/>
        <v>0</v>
      </c>
      <c r="L70" s="50">
        <f t="shared" si="17"/>
        <v>0</v>
      </c>
      <c r="M70" s="50">
        <f t="shared" si="17"/>
        <v>0</v>
      </c>
      <c r="N70" s="50">
        <f t="shared" si="17"/>
        <v>0</v>
      </c>
    </row>
    <row r="71" spans="1:14" outlineLevel="1" x14ac:dyDescent="0.2">
      <c r="A71" s="9" t="s">
        <v>220</v>
      </c>
      <c r="B71" s="1" t="s">
        <v>221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outlineLevel="1" x14ac:dyDescent="0.2">
      <c r="A72" s="9" t="s">
        <v>222</v>
      </c>
      <c r="B72" s="1" t="s">
        <v>223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x14ac:dyDescent="0.2">
      <c r="A73" s="48" t="s">
        <v>226</v>
      </c>
      <c r="B73" s="49" t="s">
        <v>227</v>
      </c>
      <c r="C73" s="50">
        <v>0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50">
        <v>0</v>
      </c>
      <c r="L73" s="50">
        <v>0</v>
      </c>
      <c r="M73" s="50">
        <v>0</v>
      </c>
      <c r="N73" s="50">
        <v>0</v>
      </c>
    </row>
    <row r="74" spans="1:14" x14ac:dyDescent="0.2">
      <c r="A74" s="48" t="s">
        <v>228</v>
      </c>
      <c r="B74" s="49" t="s">
        <v>229</v>
      </c>
      <c r="C74" s="50">
        <v>0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50">
        <v>0</v>
      </c>
      <c r="L74" s="50">
        <v>0</v>
      </c>
      <c r="M74" s="50">
        <v>0</v>
      </c>
      <c r="N74" s="50">
        <v>0</v>
      </c>
    </row>
    <row r="75" spans="1:14" x14ac:dyDescent="0.2">
      <c r="A75" s="48" t="s">
        <v>230</v>
      </c>
      <c r="B75" s="49" t="s">
        <v>231</v>
      </c>
      <c r="C75" s="50">
        <f>+C76</f>
        <v>0</v>
      </c>
      <c r="D75" s="50">
        <f t="shared" ref="D75:N75" si="18">+D76</f>
        <v>0</v>
      </c>
      <c r="E75" s="50">
        <f t="shared" si="18"/>
        <v>0</v>
      </c>
      <c r="F75" s="50">
        <f t="shared" si="18"/>
        <v>0</v>
      </c>
      <c r="G75" s="50">
        <f t="shared" si="18"/>
        <v>0</v>
      </c>
      <c r="H75" s="50">
        <f t="shared" si="18"/>
        <v>0</v>
      </c>
      <c r="I75" s="50">
        <f t="shared" si="18"/>
        <v>0</v>
      </c>
      <c r="J75" s="50">
        <f t="shared" si="18"/>
        <v>0</v>
      </c>
      <c r="K75" s="50">
        <f t="shared" si="18"/>
        <v>0</v>
      </c>
      <c r="L75" s="50">
        <f t="shared" si="18"/>
        <v>0</v>
      </c>
      <c r="M75" s="50">
        <f t="shared" si="18"/>
        <v>0</v>
      </c>
      <c r="N75" s="50">
        <f t="shared" si="18"/>
        <v>0</v>
      </c>
    </row>
    <row r="76" spans="1:14" outlineLevel="1" x14ac:dyDescent="0.2">
      <c r="A76" s="9" t="s">
        <v>232</v>
      </c>
      <c r="B76" s="1" t="s">
        <v>233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x14ac:dyDescent="0.2">
      <c r="A77" s="52"/>
      <c r="B77" s="52" t="s">
        <v>236</v>
      </c>
      <c r="C77" s="53">
        <f t="shared" ref="C77:I77" si="19">+C69+C70+C73+C74+C75</f>
        <v>0</v>
      </c>
      <c r="D77" s="53">
        <f t="shared" si="19"/>
        <v>0</v>
      </c>
      <c r="E77" s="53">
        <f t="shared" si="19"/>
        <v>0</v>
      </c>
      <c r="F77" s="53">
        <f t="shared" si="19"/>
        <v>0</v>
      </c>
      <c r="G77" s="53">
        <f t="shared" si="19"/>
        <v>0</v>
      </c>
      <c r="H77" s="53">
        <f t="shared" si="19"/>
        <v>0</v>
      </c>
      <c r="I77" s="53">
        <f t="shared" si="19"/>
        <v>0</v>
      </c>
      <c r="J77" s="53">
        <f>+J69+J70+J73+J74+J75</f>
        <v>0</v>
      </c>
      <c r="K77" s="53">
        <f t="shared" ref="K77:N77" si="20">+K69+K70+K73+K74+K75</f>
        <v>0</v>
      </c>
      <c r="L77" s="53">
        <f t="shared" si="20"/>
        <v>0</v>
      </c>
      <c r="M77" s="53">
        <f t="shared" si="20"/>
        <v>0</v>
      </c>
      <c r="N77" s="53">
        <f t="shared" si="20"/>
        <v>0</v>
      </c>
    </row>
    <row r="78" spans="1:14" x14ac:dyDescent="0.2">
      <c r="A78" s="51"/>
      <c r="B78" s="51" t="s">
        <v>237</v>
      </c>
      <c r="C78" s="19">
        <f t="shared" ref="C78:I78" si="21">+C68-C77</f>
        <v>92.5</v>
      </c>
      <c r="D78" s="19">
        <f t="shared" si="21"/>
        <v>90.1</v>
      </c>
      <c r="E78" s="19">
        <f t="shared" si="21"/>
        <v>119.70000000000002</v>
      </c>
      <c r="F78" s="19">
        <f t="shared" si="21"/>
        <v>113.4</v>
      </c>
      <c r="G78" s="19">
        <f t="shared" si="21"/>
        <v>104.4</v>
      </c>
      <c r="H78" s="19">
        <f t="shared" si="21"/>
        <v>97.299999999999983</v>
      </c>
      <c r="I78" s="19">
        <f t="shared" si="21"/>
        <v>111.80000000000001</v>
      </c>
      <c r="J78" s="19">
        <f>+J68-J77</f>
        <v>94.700000000000017</v>
      </c>
      <c r="K78" s="19">
        <f t="shared" ref="K78:N78" si="22">+K68-K77</f>
        <v>96.4</v>
      </c>
      <c r="L78" s="19">
        <f t="shared" si="22"/>
        <v>116.70000000000002</v>
      </c>
      <c r="M78" s="19">
        <f t="shared" si="22"/>
        <v>105.29999999999998</v>
      </c>
      <c r="N78" s="19">
        <f t="shared" si="22"/>
        <v>98.800000000000011</v>
      </c>
    </row>
    <row r="79" spans="1:14" x14ac:dyDescent="0.2">
      <c r="A79" s="48" t="s">
        <v>238</v>
      </c>
      <c r="B79" s="49" t="s">
        <v>239</v>
      </c>
      <c r="C79" s="50">
        <f t="shared" ref="C79:N79" si="23">SUM(C80:C83)</f>
        <v>1.58</v>
      </c>
      <c r="D79" s="50">
        <f t="shared" si="23"/>
        <v>1.58</v>
      </c>
      <c r="E79" s="50">
        <f t="shared" si="23"/>
        <v>1.58</v>
      </c>
      <c r="F79" s="50">
        <f t="shared" si="23"/>
        <v>1.58</v>
      </c>
      <c r="G79" s="50">
        <f t="shared" si="23"/>
        <v>1.58</v>
      </c>
      <c r="H79" s="50">
        <f t="shared" si="23"/>
        <v>1.58</v>
      </c>
      <c r="I79" s="50">
        <f t="shared" si="23"/>
        <v>1.58</v>
      </c>
      <c r="J79" s="50">
        <f t="shared" si="23"/>
        <v>1.58</v>
      </c>
      <c r="K79" s="50">
        <f t="shared" si="23"/>
        <v>1.58</v>
      </c>
      <c r="L79" s="50">
        <f t="shared" si="23"/>
        <v>1.58</v>
      </c>
      <c r="M79" s="50">
        <f t="shared" si="23"/>
        <v>1.58</v>
      </c>
      <c r="N79" s="50">
        <f t="shared" si="23"/>
        <v>1.58</v>
      </c>
    </row>
    <row r="80" spans="1:14" outlineLevel="1" x14ac:dyDescent="0.2">
      <c r="A80" s="9" t="s">
        <v>240</v>
      </c>
      <c r="B80" s="1" t="s">
        <v>241</v>
      </c>
      <c r="C80" s="10">
        <v>1.58</v>
      </c>
      <c r="D80" s="10">
        <v>1.58</v>
      </c>
      <c r="E80" s="10">
        <v>1.58</v>
      </c>
      <c r="F80" s="10">
        <v>1.58</v>
      </c>
      <c r="G80" s="10">
        <v>1.58</v>
      </c>
      <c r="H80" s="10">
        <v>1.58</v>
      </c>
      <c r="I80" s="10">
        <v>1.58</v>
      </c>
      <c r="J80" s="10">
        <v>1.58</v>
      </c>
      <c r="K80" s="10">
        <v>1.58</v>
      </c>
      <c r="L80" s="10">
        <v>1.58</v>
      </c>
      <c r="M80" s="10">
        <v>1.58</v>
      </c>
      <c r="N80" s="10">
        <v>1.58</v>
      </c>
    </row>
    <row r="81" spans="1:14" outlineLevel="1" x14ac:dyDescent="0.2">
      <c r="A81" s="9" t="s">
        <v>242</v>
      </c>
      <c r="B81" s="1" t="s">
        <v>243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outlineLevel="1" x14ac:dyDescent="0.2">
      <c r="A82" s="9" t="s">
        <v>359</v>
      </c>
      <c r="B82" s="1" t="s">
        <v>360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</row>
    <row r="83" spans="1:14" outlineLevel="1" x14ac:dyDescent="0.2">
      <c r="A83" s="9" t="s">
        <v>361</v>
      </c>
      <c r="B83" s="1" t="s">
        <v>362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x14ac:dyDescent="0.2">
      <c r="A84" s="48" t="s">
        <v>244</v>
      </c>
      <c r="B84" s="49" t="s">
        <v>245</v>
      </c>
      <c r="C84" s="50">
        <v>0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50">
        <v>0</v>
      </c>
      <c r="L84" s="50">
        <v>0</v>
      </c>
      <c r="M84" s="50">
        <v>0</v>
      </c>
      <c r="N84" s="50">
        <v>0</v>
      </c>
    </row>
    <row r="85" spans="1:14" x14ac:dyDescent="0.2">
      <c r="A85" s="51"/>
      <c r="B85" s="51" t="s">
        <v>246</v>
      </c>
      <c r="C85" s="19">
        <f t="shared" ref="C85:I85" si="24">+C78-SUM(C79,C84)</f>
        <v>90.92</v>
      </c>
      <c r="D85" s="19">
        <f t="shared" si="24"/>
        <v>88.52</v>
      </c>
      <c r="E85" s="19">
        <f t="shared" si="24"/>
        <v>118.12000000000002</v>
      </c>
      <c r="F85" s="19">
        <f t="shared" si="24"/>
        <v>111.82000000000001</v>
      </c>
      <c r="G85" s="19">
        <f t="shared" si="24"/>
        <v>102.82000000000001</v>
      </c>
      <c r="H85" s="19">
        <f t="shared" si="24"/>
        <v>95.719999999999985</v>
      </c>
      <c r="I85" s="19">
        <f t="shared" si="24"/>
        <v>110.22000000000001</v>
      </c>
      <c r="J85" s="19">
        <f>+J78-SUM(J79,J84)</f>
        <v>93.120000000000019</v>
      </c>
      <c r="K85" s="19">
        <f t="shared" ref="K85:N85" si="25">+K78-SUM(K79,K84)</f>
        <v>94.820000000000007</v>
      </c>
      <c r="L85" s="19">
        <f t="shared" si="25"/>
        <v>115.12000000000002</v>
      </c>
      <c r="M85" s="19">
        <f t="shared" si="25"/>
        <v>103.71999999999998</v>
      </c>
      <c r="N85" s="19">
        <f t="shared" si="25"/>
        <v>97.220000000000013</v>
      </c>
    </row>
    <row r="86" spans="1:14" x14ac:dyDescent="0.2">
      <c r="A86" s="9" t="s">
        <v>74</v>
      </c>
      <c r="B86" s="1" t="s">
        <v>74</v>
      </c>
      <c r="C86" s="13" t="s">
        <v>74</v>
      </c>
      <c r="D86" s="13" t="s">
        <v>74</v>
      </c>
      <c r="E86" s="13" t="s">
        <v>74</v>
      </c>
      <c r="F86" s="13" t="s">
        <v>74</v>
      </c>
      <c r="G86" s="13" t="s">
        <v>74</v>
      </c>
      <c r="H86" s="13" t="s">
        <v>74</v>
      </c>
      <c r="I86" s="13" t="s">
        <v>74</v>
      </c>
      <c r="J86" s="13" t="s">
        <v>74</v>
      </c>
      <c r="K86" s="13" t="s">
        <v>74</v>
      </c>
      <c r="L86" s="13" t="s">
        <v>74</v>
      </c>
      <c r="M86" s="13" t="s">
        <v>74</v>
      </c>
      <c r="N86" s="13" t="s">
        <v>74</v>
      </c>
    </row>
    <row r="87" spans="1:14" x14ac:dyDescent="0.2">
      <c r="A87" s="12"/>
      <c r="B87" s="12" t="s">
        <v>247</v>
      </c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</row>
    <row r="88" spans="1:14" x14ac:dyDescent="0.2">
      <c r="A88" s="9" t="s">
        <v>248</v>
      </c>
      <c r="B88" s="1" t="s">
        <v>249</v>
      </c>
      <c r="C88" s="13">
        <v>0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2">
      <c r="A89" s="9" t="s">
        <v>252</v>
      </c>
      <c r="B89" s="1" t="s">
        <v>253</v>
      </c>
      <c r="C89" s="13">
        <v>0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2">
      <c r="A90" s="9" t="s">
        <v>256</v>
      </c>
      <c r="B90" s="1" t="s">
        <v>257</v>
      </c>
      <c r="C90" s="13">
        <v>0</v>
      </c>
      <c r="D90" s="13">
        <v>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2">
      <c r="A91" s="9" t="s">
        <v>260</v>
      </c>
      <c r="B91" s="1" t="s">
        <v>261</v>
      </c>
      <c r="C91" s="13">
        <v>0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2">
      <c r="A92" s="9" t="s">
        <v>264</v>
      </c>
      <c r="B92" s="1" t="s">
        <v>265</v>
      </c>
      <c r="C92" s="13">
        <v>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2">
      <c r="A93" s="9" t="s">
        <v>268</v>
      </c>
      <c r="B93" s="1" t="s">
        <v>269</v>
      </c>
      <c r="C93" s="13">
        <v>0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2">
      <c r="A94" s="9" t="s">
        <v>270</v>
      </c>
      <c r="B94" s="1" t="s">
        <v>271</v>
      </c>
      <c r="C94" s="13">
        <v>0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2">
      <c r="A95" s="9" t="s">
        <v>272</v>
      </c>
      <c r="B95" s="1" t="s">
        <v>273</v>
      </c>
      <c r="C95" s="13">
        <v>0</v>
      </c>
      <c r="D95" s="13">
        <v>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2">
      <c r="A96" s="9" t="s">
        <v>274</v>
      </c>
      <c r="B96" s="1" t="s">
        <v>275</v>
      </c>
      <c r="C96" s="13">
        <v>0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2">
      <c r="A97" s="9" t="s">
        <v>276</v>
      </c>
      <c r="B97" s="1" t="s">
        <v>277</v>
      </c>
      <c r="C97" s="17">
        <v>5908</v>
      </c>
      <c r="D97" s="17">
        <v>5908</v>
      </c>
      <c r="E97" s="17">
        <v>5908</v>
      </c>
      <c r="F97" s="17">
        <v>5908</v>
      </c>
      <c r="G97" s="17">
        <v>5908</v>
      </c>
      <c r="H97" s="17">
        <v>5908</v>
      </c>
      <c r="I97" s="17">
        <v>5908</v>
      </c>
      <c r="J97" s="17">
        <v>5908</v>
      </c>
      <c r="K97" s="17">
        <v>5908</v>
      </c>
      <c r="L97" s="17">
        <v>5908</v>
      </c>
      <c r="M97" s="17">
        <v>5908</v>
      </c>
      <c r="N97" s="17">
        <v>5908</v>
      </c>
    </row>
    <row r="98" spans="1:14" outlineLevel="1" x14ac:dyDescent="0.2">
      <c r="A98" s="9" t="s">
        <v>278</v>
      </c>
      <c r="B98" s="1" t="s">
        <v>279</v>
      </c>
      <c r="C98" s="17">
        <v>5908</v>
      </c>
      <c r="D98" s="17">
        <v>5908</v>
      </c>
      <c r="E98" s="17">
        <v>5908</v>
      </c>
      <c r="F98" s="17">
        <v>5908</v>
      </c>
      <c r="G98" s="17">
        <v>5908</v>
      </c>
      <c r="H98" s="17">
        <v>5908</v>
      </c>
      <c r="I98" s="17">
        <v>5908</v>
      </c>
      <c r="J98" s="17">
        <v>5908</v>
      </c>
      <c r="K98" s="17">
        <v>5908</v>
      </c>
      <c r="L98" s="17">
        <v>5908</v>
      </c>
      <c r="M98" s="17">
        <v>5908</v>
      </c>
      <c r="N98" s="17">
        <v>5908</v>
      </c>
    </row>
    <row r="99" spans="1:14" x14ac:dyDescent="0.2">
      <c r="A99" s="9" t="s">
        <v>280</v>
      </c>
      <c r="B99" s="1" t="s">
        <v>281</v>
      </c>
      <c r="C99" s="17">
        <v>5908</v>
      </c>
      <c r="D99" s="17">
        <v>5908</v>
      </c>
      <c r="E99" s="17">
        <v>5908</v>
      </c>
      <c r="F99" s="17">
        <v>5908</v>
      </c>
      <c r="G99" s="17">
        <v>5908</v>
      </c>
      <c r="H99" s="17">
        <v>5908</v>
      </c>
      <c r="I99" s="17">
        <v>5908</v>
      </c>
      <c r="J99" s="17">
        <v>5908</v>
      </c>
      <c r="K99" s="17">
        <v>5908</v>
      </c>
      <c r="L99" s="17">
        <v>5908</v>
      </c>
      <c r="M99" s="17">
        <v>5908</v>
      </c>
      <c r="N99" s="17">
        <v>5908</v>
      </c>
    </row>
    <row r="100" spans="1:14" outlineLevel="1" x14ac:dyDescent="0.2">
      <c r="A100" s="9" t="s">
        <v>282</v>
      </c>
      <c r="B100" s="1" t="s">
        <v>283</v>
      </c>
      <c r="C100" s="17">
        <v>5908</v>
      </c>
      <c r="D100" s="17">
        <v>5908</v>
      </c>
      <c r="E100" s="17">
        <v>5908</v>
      </c>
      <c r="F100" s="17">
        <v>5908</v>
      </c>
      <c r="G100" s="17">
        <v>5908</v>
      </c>
      <c r="H100" s="17">
        <v>5908</v>
      </c>
      <c r="I100" s="17">
        <v>5908</v>
      </c>
      <c r="J100" s="17">
        <v>5908</v>
      </c>
      <c r="K100" s="17">
        <v>5908</v>
      </c>
      <c r="L100" s="17">
        <v>5908</v>
      </c>
      <c r="M100" s="17">
        <v>5908</v>
      </c>
      <c r="N100" s="17">
        <v>5908</v>
      </c>
    </row>
    <row r="101" spans="1:14" x14ac:dyDescent="0.2">
      <c r="A101" s="9" t="s">
        <v>284</v>
      </c>
      <c r="B101" s="1" t="s">
        <v>285</v>
      </c>
      <c r="C101" s="13">
        <v>0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2">
      <c r="A102" s="9" t="s">
        <v>288</v>
      </c>
      <c r="B102" s="1" t="s">
        <v>289</v>
      </c>
      <c r="C102" s="13">
        <v>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2">
      <c r="A103" s="3"/>
      <c r="B103" s="3" t="s">
        <v>290</v>
      </c>
      <c r="C103" s="15" t="s">
        <v>292</v>
      </c>
      <c r="D103" s="15" t="s">
        <v>292</v>
      </c>
      <c r="E103" s="15" t="s">
        <v>292</v>
      </c>
      <c r="F103" s="15" t="s">
        <v>292</v>
      </c>
      <c r="G103" s="15" t="s">
        <v>292</v>
      </c>
      <c r="H103" s="15" t="s">
        <v>292</v>
      </c>
      <c r="I103" s="15" t="s">
        <v>292</v>
      </c>
      <c r="J103" s="15" t="s">
        <v>292</v>
      </c>
      <c r="K103" s="15" t="s">
        <v>292</v>
      </c>
      <c r="L103" s="15" t="s">
        <v>292</v>
      </c>
      <c r="M103" s="15" t="s">
        <v>292</v>
      </c>
      <c r="N103" s="15" t="s">
        <v>292</v>
      </c>
    </row>
    <row r="104" spans="1:14" x14ac:dyDescent="0.2">
      <c r="A104" s="3"/>
      <c r="B104" s="3" t="s">
        <v>291</v>
      </c>
      <c r="C104" s="15" t="s">
        <v>292</v>
      </c>
      <c r="D104" s="15" t="s">
        <v>292</v>
      </c>
      <c r="E104" s="15" t="s">
        <v>292</v>
      </c>
      <c r="F104" s="15" t="s">
        <v>292</v>
      </c>
      <c r="G104" s="15" t="s">
        <v>292</v>
      </c>
      <c r="H104" s="15" t="s">
        <v>292</v>
      </c>
      <c r="I104" s="15" t="s">
        <v>292</v>
      </c>
      <c r="J104" s="15" t="s">
        <v>292</v>
      </c>
      <c r="K104" s="15" t="s">
        <v>292</v>
      </c>
      <c r="L104" s="15" t="s">
        <v>292</v>
      </c>
      <c r="M104" s="15" t="s">
        <v>292</v>
      </c>
      <c r="N104" s="15" t="s">
        <v>292</v>
      </c>
    </row>
    <row r="105" spans="1:14" x14ac:dyDescent="0.2">
      <c r="A105" s="3"/>
      <c r="B105" s="3" t="s">
        <v>293</v>
      </c>
      <c r="C105" s="15" t="s">
        <v>292</v>
      </c>
      <c r="D105" s="15" t="s">
        <v>292</v>
      </c>
      <c r="E105" s="15" t="s">
        <v>292</v>
      </c>
      <c r="F105" s="15" t="s">
        <v>292</v>
      </c>
      <c r="G105" s="15" t="s">
        <v>292</v>
      </c>
      <c r="H105" s="15" t="s">
        <v>292</v>
      </c>
      <c r="I105" s="15" t="s">
        <v>292</v>
      </c>
      <c r="J105" s="15" t="s">
        <v>292</v>
      </c>
      <c r="K105" s="15" t="s">
        <v>292</v>
      </c>
      <c r="L105" s="15" t="s">
        <v>292</v>
      </c>
      <c r="M105" s="15" t="s">
        <v>292</v>
      </c>
      <c r="N105" s="15" t="s">
        <v>292</v>
      </c>
    </row>
    <row r="106" spans="1:14" x14ac:dyDescent="0.2">
      <c r="A106" s="3"/>
      <c r="B106" s="3" t="s">
        <v>294</v>
      </c>
      <c r="C106" s="15" t="s">
        <v>292</v>
      </c>
      <c r="D106" s="15" t="s">
        <v>292</v>
      </c>
      <c r="E106" s="15" t="s">
        <v>292</v>
      </c>
      <c r="F106" s="15" t="s">
        <v>292</v>
      </c>
      <c r="G106" s="15" t="s">
        <v>292</v>
      </c>
      <c r="H106" s="15" t="s">
        <v>292</v>
      </c>
      <c r="I106" s="15" t="s">
        <v>292</v>
      </c>
      <c r="J106" s="15" t="s">
        <v>292</v>
      </c>
      <c r="K106" s="15" t="s">
        <v>292</v>
      </c>
      <c r="L106" s="15" t="s">
        <v>292</v>
      </c>
      <c r="M106" s="15" t="s">
        <v>292</v>
      </c>
      <c r="N106" s="15" t="s">
        <v>292</v>
      </c>
    </row>
    <row r="107" spans="1:14" x14ac:dyDescent="0.2">
      <c r="A107" s="12"/>
      <c r="B107" s="12" t="s">
        <v>295</v>
      </c>
      <c r="C107" s="14" t="s">
        <v>292</v>
      </c>
      <c r="D107" s="14" t="s">
        <v>292</v>
      </c>
      <c r="E107" s="14" t="s">
        <v>292</v>
      </c>
      <c r="F107" s="14" t="s">
        <v>292</v>
      </c>
      <c r="G107" s="14" t="s">
        <v>292</v>
      </c>
      <c r="H107" s="14" t="s">
        <v>292</v>
      </c>
      <c r="I107" s="14" t="s">
        <v>292</v>
      </c>
      <c r="J107" s="14" t="s">
        <v>292</v>
      </c>
      <c r="K107" s="14" t="s">
        <v>292</v>
      </c>
      <c r="L107" s="14" t="s">
        <v>292</v>
      </c>
      <c r="M107" s="14" t="s">
        <v>292</v>
      </c>
      <c r="N107" s="14" t="s">
        <v>292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9B8E5-6D78-4A4E-B5A4-53165A38E32C}">
  <sheetPr codeName="Hoja48">
    <tabColor rgb="FF00B0F0"/>
  </sheetPr>
  <dimension ref="A1:N177"/>
  <sheetViews>
    <sheetView zoomScale="85" zoomScaleNormal="85" workbookViewId="0">
      <pane ySplit="6" topLeftCell="A35" activePane="bottomLeft" state="frozen"/>
      <selection activeCell="I54" sqref="I54"/>
      <selection pane="bottomLeft" activeCell="B12" sqref="A9:B12"/>
    </sheetView>
  </sheetViews>
  <sheetFormatPr baseColWidth="10" defaultRowHeight="12" outlineLevelRow="1" x14ac:dyDescent="0.2"/>
  <cols>
    <col min="1" max="1" width="13" style="1" customWidth="1"/>
    <col min="2" max="2" width="40.7109375" style="1" customWidth="1"/>
    <col min="3" max="14" width="10.14062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4</v>
      </c>
    </row>
    <row r="4" spans="1:14" x14ac:dyDescent="0.2">
      <c r="A4" s="5"/>
      <c r="B4" s="5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SUM(C8:C15)</f>
        <v>367</v>
      </c>
      <c r="D7" s="50">
        <f t="shared" ref="D7:N7" si="0">SUM(D8:D15)</f>
        <v>393</v>
      </c>
      <c r="E7" s="50">
        <f t="shared" si="0"/>
        <v>392</v>
      </c>
      <c r="F7" s="50">
        <f t="shared" si="0"/>
        <v>337</v>
      </c>
      <c r="G7" s="50">
        <f t="shared" si="0"/>
        <v>362</v>
      </c>
      <c r="H7" s="50">
        <f t="shared" si="0"/>
        <v>378</v>
      </c>
      <c r="I7" s="50">
        <f t="shared" si="0"/>
        <v>339</v>
      </c>
      <c r="J7" s="50">
        <f t="shared" si="0"/>
        <v>397</v>
      </c>
      <c r="K7" s="50">
        <f t="shared" si="0"/>
        <v>419</v>
      </c>
      <c r="L7" s="50">
        <f t="shared" si="0"/>
        <v>375</v>
      </c>
      <c r="M7" s="50">
        <f t="shared" si="0"/>
        <v>366</v>
      </c>
      <c r="N7" s="50">
        <f t="shared" si="0"/>
        <v>409</v>
      </c>
    </row>
    <row r="8" spans="1:14" hidden="1" outlineLevel="1" x14ac:dyDescent="0.2">
      <c r="A8" s="9" t="s">
        <v>370</v>
      </c>
      <c r="B8" s="1" t="s">
        <v>30</v>
      </c>
      <c r="C8" s="10">
        <f>IFERROR(VLOOKUP(A8,'Centre DW11'!$A$7:$N$161,3,FALSE),0)+
IFERROR(VLOOKUP(A8,'Centre WP11'!$A$7:$N$160,3,FALSE),0)+
IFERROR(VLOOKUP(A8,'Centre WR11'!$A$7:$N$160,3,FALSE),0)+
IFERROR(VLOOKUP(A8,'Centre WV11'!$A$7:$N$163,3,FALSE),0)</f>
        <v>0</v>
      </c>
      <c r="D8" s="10">
        <f>IFERROR(VLOOKUP(A8,'Centre DW11'!$A$7:$N$161,4,FALSE),0)+
IFERROR(VLOOKUP(A8,'Centre WP11'!$A$7:$N$160,4,FALSE),0)+
IFERROR(VLOOKUP(A8,'Centre WR11'!$A$7:$N$160,4,FALSE),0)+
IFERROR(VLOOKUP(A8,'Centre WV11'!$A$7:$N$163,4,FALSE),0)</f>
        <v>0</v>
      </c>
      <c r="E8" s="10">
        <f>IFERROR(VLOOKUP(A8,'Centre DW11'!$A$7:$N$161,5,FALSE),0)+
IFERROR(VLOOKUP(A8,'Centre WP11'!$A$7:$N$160,5,FALSE),0)+
IFERROR(VLOOKUP(A8,'Centre WR11'!$A$7:$N$160,5,FALSE),0)+
IFERROR(VLOOKUP(A8,'Centre WV11'!$A$7:$N$163,5,FALSE),0)</f>
        <v>0</v>
      </c>
      <c r="F8" s="10">
        <f>IFERROR(VLOOKUP(A8,'Centre DW11'!$A$7:$N$161,6,FALSE),0)+
IFERROR(VLOOKUP(A8,'Centre WP11'!$A$7:$N$160,6,FALSE),0)+
IFERROR(VLOOKUP(A8,'Centre WR11'!$A$7:$N$160,6,FALSE),0)+
IFERROR(VLOOKUP(A8,'Centre WV11'!$A$7:$N$163,6,FALSE),0)</f>
        <v>0</v>
      </c>
      <c r="G8" s="10">
        <f>IFERROR(VLOOKUP(A8,'Centre DW11'!$A$7:$N$161,7,FALSE),0)+
IFERROR(VLOOKUP(A8,'Centre WP11'!$A$7:$N$160,7,FALSE),0)+
IFERROR(VLOOKUP(A8,'Centre WR11'!$A$7:$N$160,7,FALSE),0)+
IFERROR(VLOOKUP(A8,'Centre WV11'!$A$7:$N$163,7,FALSE),0)</f>
        <v>0</v>
      </c>
      <c r="H8" s="10">
        <f>IFERROR(VLOOKUP(A8,'Centre DW11'!$A$7:$N$161,8,FALSE),0)+
IFERROR(VLOOKUP(A8,'Centre WP11'!$A$7:$N$160,8,FALSE),0)+
IFERROR(VLOOKUP(A8,'Centre WR11'!$A$7:$N$160,8,FALSE),0)+
IFERROR(VLOOKUP(A8,'Centre WV11'!$A$7:$N$163,8,FALSE),0)</f>
        <v>0</v>
      </c>
      <c r="I8" s="10">
        <f>IFERROR(VLOOKUP(A8,'Centre DW11'!$A$7:$N$161,9,FALSE),0)+
IFERROR(VLOOKUP(A8,'Centre WP11'!$A$7:$N$160,9,FALSE),0)+
IFERROR(VLOOKUP(A8,'Centre WR11'!$A$7:$N$160,9,FALSE),0)+
IFERROR(VLOOKUP(A8,'Centre WV11'!$A$7:$N$163,9,FALSE),0)</f>
        <v>0</v>
      </c>
      <c r="J8" s="10">
        <f>IFERROR(VLOOKUP(A8,'Centre DW11'!$A$7:$N$161,10,FALSE),0)+
IFERROR(VLOOKUP(A8,'Centre WP11'!$A$7:$N$160,10,FALSE),0)+
IFERROR(VLOOKUP(A8,'Centre WR11'!$A$7:$N$160,10,FALSE),0)+
IFERROR(VLOOKUP(A8,'Centre WV11'!$A$7:$N$163,10,FALSE),0)</f>
        <v>0</v>
      </c>
      <c r="K8" s="10">
        <f>IFERROR(VLOOKUP(A8,'Centre DW11'!$A$7:$N$161,11,FALSE),0)+
IFERROR(VLOOKUP(A8,'Centre WP11'!$A$7:$N$160,11,FALSE),0)+
IFERROR(VLOOKUP(A8,'Centre WR11'!$A$7:$N$160,11,FALSE),0)+
IFERROR(VLOOKUP(A8,'Centre WV11'!$A$7:$N$163,11,FALSE),0)</f>
        <v>0</v>
      </c>
      <c r="L8" s="10">
        <f>IFERROR(VLOOKUP(A8,'Centre DW11'!$A$7:$N$161,12,FALSE),0)+
IFERROR(VLOOKUP(A8,'Centre WP11'!$A$7:$N$160,12,FALSE),0)+
IFERROR(VLOOKUP(A8,'Centre WR11'!$A$7:$N$160,12,FALSE),0)+
IFERROR(VLOOKUP(A8,'Centre WV11'!$A$7:$N$163,12,FALSE),0)</f>
        <v>0</v>
      </c>
      <c r="M8" s="10">
        <f>IFERROR(VLOOKUP(A8,'Centre DW11'!$A$7:$N$161,13,FALSE),0)+
IFERROR(VLOOKUP(A8,'Centre WP11'!$A$7:$N$160,13,FALSE),0)+
IFERROR(VLOOKUP(A8,'Centre WR11'!$A$7:$N$160,13,FALSE),0)+
IFERROR(VLOOKUP(A8,'Centre WV11'!$A$7:$N$163,13,FALSE),0)</f>
        <v>0</v>
      </c>
      <c r="N8" s="10">
        <f>IFERROR(VLOOKUP(A8,'Centre DW11'!$A$7:$N$161,14,FALSE),0)+
IFERROR(VLOOKUP(A8,'Centre WP11'!$A$7:$N$160,14,FALSE),0)+
IFERROR(VLOOKUP(A8,'Centre WR11'!$A$7:$N$160,14,FALSE),0)+
IFERROR(VLOOKUP(A8,'Centre WV11'!$A$7:$N$163,14,FALSE),0)</f>
        <v>0</v>
      </c>
    </row>
    <row r="9" spans="1:14" hidden="1" outlineLevel="1" x14ac:dyDescent="0.2">
      <c r="A9" s="9" t="s">
        <v>25</v>
      </c>
      <c r="B9" s="1" t="s">
        <v>26</v>
      </c>
      <c r="C9" s="10">
        <f>IFERROR(VLOOKUP(A9,'Centre DW11'!$A$7:$N$161,3,FALSE),0)+
IFERROR(VLOOKUP(A9,'Centre WP11'!$A$7:$N$160,3,FALSE),0)+
IFERROR(VLOOKUP(A9,'Centre WR11'!$A$7:$N$160,3,FALSE),0)+
IFERROR(VLOOKUP(A9,'Centre WV11'!$A$7:$N$163,3,FALSE),0)</f>
        <v>0</v>
      </c>
      <c r="D9" s="10">
        <f>IFERROR(VLOOKUP(A9,'Centre DW11'!$A$7:$N$161,4,FALSE),0)+
IFERROR(VLOOKUP(A9,'Centre WP11'!$A$7:$N$160,4,FALSE),0)+
IFERROR(VLOOKUP(A9,'Centre WR11'!$A$7:$N$160,4,FALSE),0)+
IFERROR(VLOOKUP(A9,'Centre WV11'!$A$7:$N$163,4,FALSE),0)</f>
        <v>0</v>
      </c>
      <c r="E9" s="10">
        <f>IFERROR(VLOOKUP(A9,'Centre DW11'!$A$7:$N$161,5,FALSE),0)+
IFERROR(VLOOKUP(A9,'Centre WP11'!$A$7:$N$160,5,FALSE),0)+
IFERROR(VLOOKUP(A9,'Centre WR11'!$A$7:$N$160,5,FALSE),0)+
IFERROR(VLOOKUP(A9,'Centre WV11'!$A$7:$N$163,5,FALSE),0)</f>
        <v>0</v>
      </c>
      <c r="F9" s="10">
        <f>IFERROR(VLOOKUP(A9,'Centre DW11'!$A$7:$N$161,6,FALSE),0)+
IFERROR(VLOOKUP(A9,'Centre WP11'!$A$7:$N$160,6,FALSE),0)+
IFERROR(VLOOKUP(A9,'Centre WR11'!$A$7:$N$160,6,FALSE),0)+
IFERROR(VLOOKUP(A9,'Centre WV11'!$A$7:$N$163,6,FALSE),0)</f>
        <v>0</v>
      </c>
      <c r="G9" s="10">
        <f>IFERROR(VLOOKUP(A9,'Centre DW11'!$A$7:$N$161,7,FALSE),0)+
IFERROR(VLOOKUP(A9,'Centre WP11'!$A$7:$N$160,7,FALSE),0)+
IFERROR(VLOOKUP(A9,'Centre WR11'!$A$7:$N$160,7,FALSE),0)+
IFERROR(VLOOKUP(A9,'Centre WV11'!$A$7:$N$163,7,FALSE),0)</f>
        <v>0</v>
      </c>
      <c r="H9" s="10">
        <f>IFERROR(VLOOKUP(A9,'Centre DW11'!$A$7:$N$161,8,FALSE),0)+
IFERROR(VLOOKUP(A9,'Centre WP11'!$A$7:$N$160,8,FALSE),0)+
IFERROR(VLOOKUP(A9,'Centre WR11'!$A$7:$N$160,8,FALSE),0)+
IFERROR(VLOOKUP(A9,'Centre WV11'!$A$7:$N$163,8,FALSE),0)</f>
        <v>0</v>
      </c>
      <c r="I9" s="10">
        <f>IFERROR(VLOOKUP(A9,'Centre DW11'!$A$7:$N$161,9,FALSE),0)+
IFERROR(VLOOKUP(A9,'Centre WP11'!$A$7:$N$160,9,FALSE),0)+
IFERROR(VLOOKUP(A9,'Centre WR11'!$A$7:$N$160,9,FALSE),0)+
IFERROR(VLOOKUP(A9,'Centre WV11'!$A$7:$N$163,9,FALSE),0)</f>
        <v>0</v>
      </c>
      <c r="J9" s="10">
        <f>IFERROR(VLOOKUP(A9,'Centre DW11'!$A$7:$N$161,10,FALSE),0)+
IFERROR(VLOOKUP(A9,'Centre WP11'!$A$7:$N$160,10,FALSE),0)+
IFERROR(VLOOKUP(A9,'Centre WR11'!$A$7:$N$160,10,FALSE),0)+
IFERROR(VLOOKUP(A9,'Centre WV11'!$A$7:$N$163,10,FALSE),0)</f>
        <v>0</v>
      </c>
      <c r="K9" s="10">
        <f>IFERROR(VLOOKUP(A9,'Centre DW11'!$A$7:$N$161,11,FALSE),0)+
IFERROR(VLOOKUP(A9,'Centre WP11'!$A$7:$N$160,11,FALSE),0)+
IFERROR(VLOOKUP(A9,'Centre WR11'!$A$7:$N$160,11,FALSE),0)+
IFERROR(VLOOKUP(A9,'Centre WV11'!$A$7:$N$163,11,FALSE),0)</f>
        <v>0</v>
      </c>
      <c r="L9" s="10">
        <f>IFERROR(VLOOKUP(A9,'Centre DW11'!$A$7:$N$161,12,FALSE),0)+
IFERROR(VLOOKUP(A9,'Centre WP11'!$A$7:$N$160,12,FALSE),0)+
IFERROR(VLOOKUP(A9,'Centre WR11'!$A$7:$N$160,12,FALSE),0)+
IFERROR(VLOOKUP(A9,'Centre WV11'!$A$7:$N$163,12,FALSE),0)</f>
        <v>0</v>
      </c>
      <c r="M9" s="10">
        <f>IFERROR(VLOOKUP(A9,'Centre DW11'!$A$7:$N$161,13,FALSE),0)+
IFERROR(VLOOKUP(A9,'Centre WP11'!$A$7:$N$160,13,FALSE),0)+
IFERROR(VLOOKUP(A9,'Centre WR11'!$A$7:$N$160,13,FALSE),0)+
IFERROR(VLOOKUP(A9,'Centre WV11'!$A$7:$N$163,13,FALSE),0)</f>
        <v>0</v>
      </c>
      <c r="N9" s="10">
        <f>IFERROR(VLOOKUP(A9,'Centre DW11'!$A$7:$N$161,14,FALSE),0)+
IFERROR(VLOOKUP(A9,'Centre WP11'!$A$7:$N$160,14,FALSE),0)+
IFERROR(VLOOKUP(A9,'Centre WR11'!$A$7:$N$160,14,FALSE),0)+
IFERROR(VLOOKUP(A9,'Centre WV11'!$A$7:$N$163,14,FALSE),0)</f>
        <v>0</v>
      </c>
    </row>
    <row r="10" spans="1:14" hidden="1" outlineLevel="1" x14ac:dyDescent="0.2">
      <c r="A10" s="9" t="s">
        <v>300</v>
      </c>
      <c r="B10" s="1" t="s">
        <v>36</v>
      </c>
      <c r="C10" s="10">
        <f>IFERROR(VLOOKUP(A10,'Centre DW11'!$A$7:$N$161,3,FALSE),0)+
IFERROR(VLOOKUP(A10,'Centre WP11'!$A$7:$N$160,3,FALSE),0)+
IFERROR(VLOOKUP(A10,'Centre WR11'!$A$7:$N$160,3,FALSE),0)+
IFERROR(VLOOKUP(A10,'Centre WV11'!$A$7:$N$163,3,FALSE),0)</f>
        <v>0</v>
      </c>
      <c r="D10" s="10">
        <f>IFERROR(VLOOKUP(A10,'Centre DW11'!$A$7:$N$161,4,FALSE),0)+
IFERROR(VLOOKUP(A10,'Centre WP11'!$A$7:$N$160,4,FALSE),0)+
IFERROR(VLOOKUP(A10,'Centre WR11'!$A$7:$N$160,4,FALSE),0)+
IFERROR(VLOOKUP(A10,'Centre WV11'!$A$7:$N$163,4,FALSE),0)</f>
        <v>0</v>
      </c>
      <c r="E10" s="10">
        <f>IFERROR(VLOOKUP(A10,'Centre DW11'!$A$7:$N$161,5,FALSE),0)+
IFERROR(VLOOKUP(A10,'Centre WP11'!$A$7:$N$160,5,FALSE),0)+
IFERROR(VLOOKUP(A10,'Centre WR11'!$A$7:$N$160,5,FALSE),0)+
IFERROR(VLOOKUP(A10,'Centre WV11'!$A$7:$N$163,5,FALSE),0)</f>
        <v>0</v>
      </c>
      <c r="F10" s="10">
        <f>IFERROR(VLOOKUP(A10,'Centre DW11'!$A$7:$N$161,6,FALSE),0)+
IFERROR(VLOOKUP(A10,'Centre WP11'!$A$7:$N$160,6,FALSE),0)+
IFERROR(VLOOKUP(A10,'Centre WR11'!$A$7:$N$160,6,FALSE),0)+
IFERROR(VLOOKUP(A10,'Centre WV11'!$A$7:$N$163,6,FALSE),0)</f>
        <v>0</v>
      </c>
      <c r="G10" s="10">
        <f>IFERROR(VLOOKUP(A10,'Centre DW11'!$A$7:$N$161,7,FALSE),0)+
IFERROR(VLOOKUP(A10,'Centre WP11'!$A$7:$N$160,7,FALSE),0)+
IFERROR(VLOOKUP(A10,'Centre WR11'!$A$7:$N$160,7,FALSE),0)+
IFERROR(VLOOKUP(A10,'Centre WV11'!$A$7:$N$163,7,FALSE),0)</f>
        <v>0</v>
      </c>
      <c r="H10" s="10">
        <f>IFERROR(VLOOKUP(A10,'Centre DW11'!$A$7:$N$161,8,FALSE),0)+
IFERROR(VLOOKUP(A10,'Centre WP11'!$A$7:$N$160,8,FALSE),0)+
IFERROR(VLOOKUP(A10,'Centre WR11'!$A$7:$N$160,8,FALSE),0)+
IFERROR(VLOOKUP(A10,'Centre WV11'!$A$7:$N$163,8,FALSE),0)</f>
        <v>0</v>
      </c>
      <c r="I10" s="10">
        <f>IFERROR(VLOOKUP(A10,'Centre DW11'!$A$7:$N$161,9,FALSE),0)+
IFERROR(VLOOKUP(A10,'Centre WP11'!$A$7:$N$160,9,FALSE),0)+
IFERROR(VLOOKUP(A10,'Centre WR11'!$A$7:$N$160,9,FALSE),0)+
IFERROR(VLOOKUP(A10,'Centre WV11'!$A$7:$N$163,9,FALSE),0)</f>
        <v>0</v>
      </c>
      <c r="J10" s="10">
        <f>IFERROR(VLOOKUP(A10,'Centre DW11'!$A$7:$N$161,10,FALSE),0)+
IFERROR(VLOOKUP(A10,'Centre WP11'!$A$7:$N$160,10,FALSE),0)+
IFERROR(VLOOKUP(A10,'Centre WR11'!$A$7:$N$160,10,FALSE),0)+
IFERROR(VLOOKUP(A10,'Centre WV11'!$A$7:$N$163,10,FALSE),0)</f>
        <v>0</v>
      </c>
      <c r="K10" s="10">
        <f>IFERROR(VLOOKUP(A10,'Centre DW11'!$A$7:$N$161,11,FALSE),0)+
IFERROR(VLOOKUP(A10,'Centre WP11'!$A$7:$N$160,11,FALSE),0)+
IFERROR(VLOOKUP(A10,'Centre WR11'!$A$7:$N$160,11,FALSE),0)+
IFERROR(VLOOKUP(A10,'Centre WV11'!$A$7:$N$163,11,FALSE),0)</f>
        <v>0</v>
      </c>
      <c r="L10" s="10">
        <f>IFERROR(VLOOKUP(A10,'Centre DW11'!$A$7:$N$161,12,FALSE),0)+
IFERROR(VLOOKUP(A10,'Centre WP11'!$A$7:$N$160,12,FALSE),0)+
IFERROR(VLOOKUP(A10,'Centre WR11'!$A$7:$N$160,12,FALSE),0)+
IFERROR(VLOOKUP(A10,'Centre WV11'!$A$7:$N$163,12,FALSE),0)</f>
        <v>0</v>
      </c>
      <c r="M10" s="10">
        <f>IFERROR(VLOOKUP(A10,'Centre DW11'!$A$7:$N$161,13,FALSE),0)+
IFERROR(VLOOKUP(A10,'Centre WP11'!$A$7:$N$160,13,FALSE),0)+
IFERROR(VLOOKUP(A10,'Centre WR11'!$A$7:$N$160,13,FALSE),0)+
IFERROR(VLOOKUP(A10,'Centre WV11'!$A$7:$N$163,13,FALSE),0)</f>
        <v>0</v>
      </c>
      <c r="N10" s="10">
        <f>IFERROR(VLOOKUP(A10,'Centre DW11'!$A$7:$N$161,14,FALSE),0)+
IFERROR(VLOOKUP(A10,'Centre WP11'!$A$7:$N$160,14,FALSE),0)+
IFERROR(VLOOKUP(A10,'Centre WR11'!$A$7:$N$160,14,FALSE),0)+
IFERROR(VLOOKUP(A10,'Centre WV11'!$A$7:$N$163,14,FALSE),0)</f>
        <v>0</v>
      </c>
    </row>
    <row r="11" spans="1:14" hidden="1" outlineLevel="1" x14ac:dyDescent="0.2">
      <c r="A11" s="9" t="s">
        <v>27</v>
      </c>
      <c r="B11" s="1" t="s">
        <v>28</v>
      </c>
      <c r="C11" s="10">
        <f>IFERROR(VLOOKUP(A11,'Centre DW11'!$A$7:$N$161,3,FALSE),0)+
IFERROR(VLOOKUP(A11,'Centre WP11'!$A$7:$N$160,3,FALSE),0)+
IFERROR(VLOOKUP(A11,'Centre WR11'!$A$7:$N$160,3,FALSE),0)+
IFERROR(VLOOKUP(A11,'Centre WV11'!$A$7:$N$163,3,FALSE),0)</f>
        <v>2</v>
      </c>
      <c r="D11" s="10">
        <f>IFERROR(VLOOKUP(A11,'Centre DW11'!$A$7:$N$161,4,FALSE),0)+
IFERROR(VLOOKUP(A11,'Centre WP11'!$A$7:$N$160,4,FALSE),0)+
IFERROR(VLOOKUP(A11,'Centre WR11'!$A$7:$N$160,4,FALSE),0)+
IFERROR(VLOOKUP(A11,'Centre WV11'!$A$7:$N$163,4,FALSE),0)</f>
        <v>3</v>
      </c>
      <c r="E11" s="10">
        <f>IFERROR(VLOOKUP(A11,'Centre DW11'!$A$7:$N$161,5,FALSE),0)+
IFERROR(VLOOKUP(A11,'Centre WP11'!$A$7:$N$160,5,FALSE),0)+
IFERROR(VLOOKUP(A11,'Centre WR11'!$A$7:$N$160,5,FALSE),0)+
IFERROR(VLOOKUP(A11,'Centre WV11'!$A$7:$N$163,5,FALSE),0)</f>
        <v>3</v>
      </c>
      <c r="F11" s="10">
        <f>IFERROR(VLOOKUP(A11,'Centre DW11'!$A$7:$N$161,6,FALSE),0)+
IFERROR(VLOOKUP(A11,'Centre WP11'!$A$7:$N$160,6,FALSE),0)+
IFERROR(VLOOKUP(A11,'Centre WR11'!$A$7:$N$160,6,FALSE),0)+
IFERROR(VLOOKUP(A11,'Centre WV11'!$A$7:$N$163,6,FALSE),0)</f>
        <v>3</v>
      </c>
      <c r="G11" s="10">
        <f>IFERROR(VLOOKUP(A11,'Centre DW11'!$A$7:$N$161,7,FALSE),0)+
IFERROR(VLOOKUP(A11,'Centre WP11'!$A$7:$N$160,7,FALSE),0)+
IFERROR(VLOOKUP(A11,'Centre WR11'!$A$7:$N$160,7,FALSE),0)+
IFERROR(VLOOKUP(A11,'Centre WV11'!$A$7:$N$163,7,FALSE),0)</f>
        <v>3</v>
      </c>
      <c r="H11" s="10">
        <f>IFERROR(VLOOKUP(A11,'Centre DW11'!$A$7:$N$161,8,FALSE),0)+
IFERROR(VLOOKUP(A11,'Centre WP11'!$A$7:$N$160,8,FALSE),0)+
IFERROR(VLOOKUP(A11,'Centre WR11'!$A$7:$N$160,8,FALSE),0)+
IFERROR(VLOOKUP(A11,'Centre WV11'!$A$7:$N$163,8,FALSE),0)</f>
        <v>4</v>
      </c>
      <c r="I11" s="10">
        <f>IFERROR(VLOOKUP(A11,'Centre DW11'!$A$7:$N$161,9,FALSE),0)+
IFERROR(VLOOKUP(A11,'Centre WP11'!$A$7:$N$160,9,FALSE),0)+
IFERROR(VLOOKUP(A11,'Centre WR11'!$A$7:$N$160,9,FALSE),0)+
IFERROR(VLOOKUP(A11,'Centre WV11'!$A$7:$N$163,9,FALSE),0)</f>
        <v>3</v>
      </c>
      <c r="J11" s="10">
        <f>IFERROR(VLOOKUP(A11,'Centre DW11'!$A$7:$N$161,10,FALSE),0)+
IFERROR(VLOOKUP(A11,'Centre WP11'!$A$7:$N$160,10,FALSE),0)+
IFERROR(VLOOKUP(A11,'Centre WR11'!$A$7:$N$160,10,FALSE),0)+
IFERROR(VLOOKUP(A11,'Centre WV11'!$A$7:$N$163,10,FALSE),0)</f>
        <v>3</v>
      </c>
      <c r="K11" s="10">
        <f>IFERROR(VLOOKUP(A11,'Centre DW11'!$A$7:$N$161,11,FALSE),0)+
IFERROR(VLOOKUP(A11,'Centre WP11'!$A$7:$N$160,11,FALSE),0)+
IFERROR(VLOOKUP(A11,'Centre WR11'!$A$7:$N$160,11,FALSE),0)+
IFERROR(VLOOKUP(A11,'Centre WV11'!$A$7:$N$163,11,FALSE),0)</f>
        <v>4</v>
      </c>
      <c r="L11" s="10">
        <f>IFERROR(VLOOKUP(A11,'Centre DW11'!$A$7:$N$161,12,FALSE),0)+
IFERROR(VLOOKUP(A11,'Centre WP11'!$A$7:$N$160,12,FALSE),0)+
IFERROR(VLOOKUP(A11,'Centre WR11'!$A$7:$N$160,12,FALSE),0)+
IFERROR(VLOOKUP(A11,'Centre WV11'!$A$7:$N$163,12,FALSE),0)</f>
        <v>3</v>
      </c>
      <c r="M11" s="10">
        <f>IFERROR(VLOOKUP(A11,'Centre DW11'!$A$7:$N$161,13,FALSE),0)+
IFERROR(VLOOKUP(A11,'Centre WP11'!$A$7:$N$160,13,FALSE),0)+
IFERROR(VLOOKUP(A11,'Centre WR11'!$A$7:$N$160,13,FALSE),0)+
IFERROR(VLOOKUP(A11,'Centre WV11'!$A$7:$N$163,13,FALSE),0)</f>
        <v>3</v>
      </c>
      <c r="N11" s="10">
        <f>IFERROR(VLOOKUP(A11,'Centre DW11'!$A$7:$N$161,14,FALSE),0)+
IFERROR(VLOOKUP(A11,'Centre WP11'!$A$7:$N$160,14,FALSE),0)+
IFERROR(VLOOKUP(A11,'Centre WR11'!$A$7:$N$160,14,FALSE),0)+
IFERROR(VLOOKUP(A11,'Centre WV11'!$A$7:$N$163,14,FALSE),0)</f>
        <v>2</v>
      </c>
    </row>
    <row r="12" spans="1:14" hidden="1" outlineLevel="1" x14ac:dyDescent="0.2">
      <c r="A12" s="9" t="s">
        <v>29</v>
      </c>
      <c r="B12" s="1" t="s">
        <v>30</v>
      </c>
      <c r="C12" s="10">
        <f>IFERROR(VLOOKUP(A12,'Centre DW11'!$A$7:$N$161,3,FALSE),0)+
IFERROR(VLOOKUP(A12,'Centre WP11'!$A$7:$N$160,3,FALSE),0)+
IFERROR(VLOOKUP(A12,'Centre WR11'!$A$7:$N$160,3,FALSE),0)+
IFERROR(VLOOKUP(A12,'Centre WV11'!$A$7:$N$163,3,FALSE),0)</f>
        <v>144</v>
      </c>
      <c r="D12" s="10">
        <f>IFERROR(VLOOKUP(A12,'Centre DW11'!$A$7:$N$161,4,FALSE),0)+
IFERROR(VLOOKUP(A12,'Centre WP11'!$A$7:$N$160,4,FALSE),0)+
IFERROR(VLOOKUP(A12,'Centre WR11'!$A$7:$N$160,4,FALSE),0)+
IFERROR(VLOOKUP(A12,'Centre WV11'!$A$7:$N$163,4,FALSE),0)</f>
        <v>168</v>
      </c>
      <c r="E12" s="10">
        <f>IFERROR(VLOOKUP(A12,'Centre DW11'!$A$7:$N$161,5,FALSE),0)+
IFERROR(VLOOKUP(A12,'Centre WP11'!$A$7:$N$160,5,FALSE),0)+
IFERROR(VLOOKUP(A12,'Centre WR11'!$A$7:$N$160,5,FALSE),0)+
IFERROR(VLOOKUP(A12,'Centre WV11'!$A$7:$N$163,5,FALSE),0)</f>
        <v>160</v>
      </c>
      <c r="F12" s="10">
        <f>IFERROR(VLOOKUP(A12,'Centre DW11'!$A$7:$N$161,6,FALSE),0)+
IFERROR(VLOOKUP(A12,'Centre WP11'!$A$7:$N$160,6,FALSE),0)+
IFERROR(VLOOKUP(A12,'Centre WR11'!$A$7:$N$160,6,FALSE),0)+
IFERROR(VLOOKUP(A12,'Centre WV11'!$A$7:$N$163,6,FALSE),0)</f>
        <v>14</v>
      </c>
      <c r="G12" s="10">
        <f>IFERROR(VLOOKUP(A12,'Centre DW11'!$A$7:$N$161,7,FALSE),0)+
IFERROR(VLOOKUP(A12,'Centre WP11'!$A$7:$N$160,7,FALSE),0)+
IFERROR(VLOOKUP(A12,'Centre WR11'!$A$7:$N$160,7,FALSE),0)+
IFERROR(VLOOKUP(A12,'Centre WV11'!$A$7:$N$163,7,FALSE),0)</f>
        <v>11</v>
      </c>
      <c r="H12" s="10">
        <f>IFERROR(VLOOKUP(A12,'Centre DW11'!$A$7:$N$161,8,FALSE),0)+
IFERROR(VLOOKUP(A12,'Centre WP11'!$A$7:$N$160,8,FALSE),0)+
IFERROR(VLOOKUP(A12,'Centre WR11'!$A$7:$N$160,8,FALSE),0)+
IFERROR(VLOOKUP(A12,'Centre WV11'!$A$7:$N$163,8,FALSE),0)</f>
        <v>12</v>
      </c>
      <c r="I12" s="10">
        <f>IFERROR(VLOOKUP(A12,'Centre DW11'!$A$7:$N$161,9,FALSE),0)+
IFERROR(VLOOKUP(A12,'Centre WP11'!$A$7:$N$160,9,FALSE),0)+
IFERROR(VLOOKUP(A12,'Centre WR11'!$A$7:$N$160,9,FALSE),0)+
IFERROR(VLOOKUP(A12,'Centre WV11'!$A$7:$N$163,9,FALSE),0)</f>
        <v>13</v>
      </c>
      <c r="J12" s="10">
        <f>IFERROR(VLOOKUP(A12,'Centre DW11'!$A$7:$N$161,10,FALSE),0)+
IFERROR(VLOOKUP(A12,'Centre WP11'!$A$7:$N$160,10,FALSE),0)+
IFERROR(VLOOKUP(A12,'Centre WR11'!$A$7:$N$160,10,FALSE),0)+
IFERROR(VLOOKUP(A12,'Centre WV11'!$A$7:$N$163,10,FALSE),0)</f>
        <v>12</v>
      </c>
      <c r="K12" s="10">
        <f>IFERROR(VLOOKUP(A12,'Centre DW11'!$A$7:$N$161,11,FALSE),0)+
IFERROR(VLOOKUP(A12,'Centre WP11'!$A$7:$N$160,11,FALSE),0)+
IFERROR(VLOOKUP(A12,'Centre WR11'!$A$7:$N$160,11,FALSE),0)+
IFERROR(VLOOKUP(A12,'Centre WV11'!$A$7:$N$163,11,FALSE),0)</f>
        <v>10</v>
      </c>
      <c r="L12" s="10">
        <f>IFERROR(VLOOKUP(A12,'Centre DW11'!$A$7:$N$161,12,FALSE),0)+
IFERROR(VLOOKUP(A12,'Centre WP11'!$A$7:$N$160,12,FALSE),0)+
IFERROR(VLOOKUP(A12,'Centre WR11'!$A$7:$N$160,12,FALSE),0)+
IFERROR(VLOOKUP(A12,'Centre WV11'!$A$7:$N$163,12,FALSE),0)</f>
        <v>12</v>
      </c>
      <c r="M12" s="10">
        <f>IFERROR(VLOOKUP(A12,'Centre DW11'!$A$7:$N$161,13,FALSE),0)+
IFERROR(VLOOKUP(A12,'Centre WP11'!$A$7:$N$160,13,FALSE),0)+
IFERROR(VLOOKUP(A12,'Centre WR11'!$A$7:$N$160,13,FALSE),0)+
IFERROR(VLOOKUP(A12,'Centre WV11'!$A$7:$N$163,13,FALSE),0)</f>
        <v>13</v>
      </c>
      <c r="N12" s="10">
        <f>IFERROR(VLOOKUP(A12,'Centre DW11'!$A$7:$N$161,14,FALSE),0)+
IFERROR(VLOOKUP(A12,'Centre WP11'!$A$7:$N$160,14,FALSE),0)+
IFERROR(VLOOKUP(A12,'Centre WR11'!$A$7:$N$160,14,FALSE),0)+
IFERROR(VLOOKUP(A12,'Centre WV11'!$A$7:$N$163,14,FALSE),0)</f>
        <v>11</v>
      </c>
    </row>
    <row r="13" spans="1:14" hidden="1" outlineLevel="1" x14ac:dyDescent="0.2">
      <c r="A13" s="9" t="s">
        <v>31</v>
      </c>
      <c r="B13" s="1" t="s">
        <v>32</v>
      </c>
      <c r="C13" s="10">
        <f>IFERROR(VLOOKUP(A13,'Centre DW11'!$A$7:$N$161,3,FALSE),0)+
IFERROR(VLOOKUP(A13,'Centre WP11'!$A$7:$N$160,3,FALSE),0)+
IFERROR(VLOOKUP(A13,'Centre WR11'!$A$7:$N$160,3,FALSE),0)+
IFERROR(VLOOKUP(A13,'Centre WV11'!$A$7:$N$163,3,FALSE),0)</f>
        <v>0</v>
      </c>
      <c r="D13" s="10">
        <f>IFERROR(VLOOKUP(A13,'Centre DW11'!$A$7:$N$161,4,FALSE),0)+
IFERROR(VLOOKUP(A13,'Centre WP11'!$A$7:$N$160,4,FALSE),0)+
IFERROR(VLOOKUP(A13,'Centre WR11'!$A$7:$N$160,4,FALSE),0)+
IFERROR(VLOOKUP(A13,'Centre WV11'!$A$7:$N$163,4,FALSE),0)</f>
        <v>0</v>
      </c>
      <c r="E13" s="10">
        <f>IFERROR(VLOOKUP(A13,'Centre DW11'!$A$7:$N$161,5,FALSE),0)+
IFERROR(VLOOKUP(A13,'Centre WP11'!$A$7:$N$160,5,FALSE),0)+
IFERROR(VLOOKUP(A13,'Centre WR11'!$A$7:$N$160,5,FALSE),0)+
IFERROR(VLOOKUP(A13,'Centre WV11'!$A$7:$N$163,5,FALSE),0)</f>
        <v>0</v>
      </c>
      <c r="F13" s="10">
        <f>IFERROR(VLOOKUP(A13,'Centre DW11'!$A$7:$N$161,6,FALSE),0)+
IFERROR(VLOOKUP(A13,'Centre WP11'!$A$7:$N$160,6,FALSE),0)+
IFERROR(VLOOKUP(A13,'Centre WR11'!$A$7:$N$160,6,FALSE),0)+
IFERROR(VLOOKUP(A13,'Centre WV11'!$A$7:$N$163,6,FALSE),0)</f>
        <v>0</v>
      </c>
      <c r="G13" s="10">
        <f>IFERROR(VLOOKUP(A13,'Centre DW11'!$A$7:$N$161,7,FALSE),0)+
IFERROR(VLOOKUP(A13,'Centre WP11'!$A$7:$N$160,7,FALSE),0)+
IFERROR(VLOOKUP(A13,'Centre WR11'!$A$7:$N$160,7,FALSE),0)+
IFERROR(VLOOKUP(A13,'Centre WV11'!$A$7:$N$163,7,FALSE),0)</f>
        <v>0</v>
      </c>
      <c r="H13" s="10">
        <f>IFERROR(VLOOKUP(A13,'Centre DW11'!$A$7:$N$161,8,FALSE),0)+
IFERROR(VLOOKUP(A13,'Centre WP11'!$A$7:$N$160,8,FALSE),0)+
IFERROR(VLOOKUP(A13,'Centre WR11'!$A$7:$N$160,8,FALSE),0)+
IFERROR(VLOOKUP(A13,'Centre WV11'!$A$7:$N$163,8,FALSE),0)</f>
        <v>147</v>
      </c>
      <c r="I13" s="10">
        <f>IFERROR(VLOOKUP(A13,'Centre DW11'!$A$7:$N$161,9,FALSE),0)+
IFERROR(VLOOKUP(A13,'Centre WP11'!$A$7:$N$160,9,FALSE),0)+
IFERROR(VLOOKUP(A13,'Centre WR11'!$A$7:$N$160,9,FALSE),0)+
IFERROR(VLOOKUP(A13,'Centre WV11'!$A$7:$N$163,9,FALSE),0)</f>
        <v>150</v>
      </c>
      <c r="J13" s="10">
        <f>IFERROR(VLOOKUP(A13,'Centre DW11'!$A$7:$N$161,10,FALSE),0)+
IFERROR(VLOOKUP(A13,'Centre WP11'!$A$7:$N$160,10,FALSE),0)+
IFERROR(VLOOKUP(A13,'Centre WR11'!$A$7:$N$160,10,FALSE),0)+
IFERROR(VLOOKUP(A13,'Centre WV11'!$A$7:$N$163,10,FALSE),0)</f>
        <v>0</v>
      </c>
      <c r="K13" s="10">
        <f>IFERROR(VLOOKUP(A13,'Centre DW11'!$A$7:$N$161,11,FALSE),0)+
IFERROR(VLOOKUP(A13,'Centre WP11'!$A$7:$N$160,11,FALSE),0)+
IFERROR(VLOOKUP(A13,'Centre WR11'!$A$7:$N$160,11,FALSE),0)+
IFERROR(VLOOKUP(A13,'Centre WV11'!$A$7:$N$163,11,FALSE),0)</f>
        <v>0</v>
      </c>
      <c r="L13" s="10">
        <f>IFERROR(VLOOKUP(A13,'Centre DW11'!$A$7:$N$161,12,FALSE),0)+
IFERROR(VLOOKUP(A13,'Centre WP11'!$A$7:$N$160,12,FALSE),0)+
IFERROR(VLOOKUP(A13,'Centre WR11'!$A$7:$N$160,12,FALSE),0)+
IFERROR(VLOOKUP(A13,'Centre WV11'!$A$7:$N$163,12,FALSE),0)</f>
        <v>0</v>
      </c>
      <c r="M13" s="10">
        <f>IFERROR(VLOOKUP(A13,'Centre DW11'!$A$7:$N$161,13,FALSE),0)+
IFERROR(VLOOKUP(A13,'Centre WP11'!$A$7:$N$160,13,FALSE),0)+
IFERROR(VLOOKUP(A13,'Centre WR11'!$A$7:$N$160,13,FALSE),0)+
IFERROR(VLOOKUP(A13,'Centre WV11'!$A$7:$N$163,13,FALSE),0)</f>
        <v>0</v>
      </c>
      <c r="N13" s="10">
        <f>IFERROR(VLOOKUP(A13,'Centre DW11'!$A$7:$N$161,14,FALSE),0)+
IFERROR(VLOOKUP(A13,'Centre WP11'!$A$7:$N$160,14,FALSE),0)+
IFERROR(VLOOKUP(A13,'Centre WR11'!$A$7:$N$160,14,FALSE),0)+
IFERROR(VLOOKUP(A13,'Centre WV11'!$A$7:$N$163,14,FALSE),0)</f>
        <v>0</v>
      </c>
    </row>
    <row r="14" spans="1:14" hidden="1" outlineLevel="1" x14ac:dyDescent="0.2">
      <c r="A14" s="9" t="s">
        <v>33</v>
      </c>
      <c r="B14" s="1" t="s">
        <v>34</v>
      </c>
      <c r="C14" s="10">
        <f>IFERROR(VLOOKUP(A14,'Centre DW11'!$A$7:$N$161,3,FALSE),0)+
IFERROR(VLOOKUP(A14,'Centre WP11'!$A$7:$N$160,3,FALSE),0)+
IFERROR(VLOOKUP(A14,'Centre WR11'!$A$7:$N$160,3,FALSE),0)+
IFERROR(VLOOKUP(A14,'Centre WV11'!$A$7:$N$163,3,FALSE),0)</f>
        <v>221</v>
      </c>
      <c r="D14" s="10">
        <f>IFERROR(VLOOKUP(A14,'Centre DW11'!$A$7:$N$161,4,FALSE),0)+
IFERROR(VLOOKUP(A14,'Centre WP11'!$A$7:$N$160,4,FALSE),0)+
IFERROR(VLOOKUP(A14,'Centre WR11'!$A$7:$N$160,4,FALSE),0)+
IFERROR(VLOOKUP(A14,'Centre WV11'!$A$7:$N$163,4,FALSE),0)</f>
        <v>222</v>
      </c>
      <c r="E14" s="10">
        <f>IFERROR(VLOOKUP(A14,'Centre DW11'!$A$7:$N$161,5,FALSE),0)+
IFERROR(VLOOKUP(A14,'Centre WP11'!$A$7:$N$160,5,FALSE),0)+
IFERROR(VLOOKUP(A14,'Centre WR11'!$A$7:$N$160,5,FALSE),0)+
IFERROR(VLOOKUP(A14,'Centre WV11'!$A$7:$N$163,5,FALSE),0)</f>
        <v>229</v>
      </c>
      <c r="F14" s="10">
        <f>IFERROR(VLOOKUP(A14,'Centre DW11'!$A$7:$N$161,6,FALSE),0)+
IFERROR(VLOOKUP(A14,'Centre WP11'!$A$7:$N$160,6,FALSE),0)+
IFERROR(VLOOKUP(A14,'Centre WR11'!$A$7:$N$160,6,FALSE),0)+
IFERROR(VLOOKUP(A14,'Centre WV11'!$A$7:$N$163,6,FALSE),0)</f>
        <v>320</v>
      </c>
      <c r="G14" s="10">
        <f>IFERROR(VLOOKUP(A14,'Centre DW11'!$A$7:$N$161,7,FALSE),0)+
IFERROR(VLOOKUP(A14,'Centre WP11'!$A$7:$N$160,7,FALSE),0)+
IFERROR(VLOOKUP(A14,'Centre WR11'!$A$7:$N$160,7,FALSE),0)+
IFERROR(VLOOKUP(A14,'Centre WV11'!$A$7:$N$163,7,FALSE),0)</f>
        <v>348</v>
      </c>
      <c r="H14" s="10">
        <f>IFERROR(VLOOKUP(A14,'Centre DW11'!$A$7:$N$161,8,FALSE),0)+
IFERROR(VLOOKUP(A14,'Centre WP11'!$A$7:$N$160,8,FALSE),0)+
IFERROR(VLOOKUP(A14,'Centre WR11'!$A$7:$N$160,8,FALSE),0)+
IFERROR(VLOOKUP(A14,'Centre WV11'!$A$7:$N$163,8,FALSE),0)</f>
        <v>215</v>
      </c>
      <c r="I14" s="10">
        <f>IFERROR(VLOOKUP(A14,'Centre DW11'!$A$7:$N$161,9,FALSE),0)+
IFERROR(VLOOKUP(A14,'Centre WP11'!$A$7:$N$160,9,FALSE),0)+
IFERROR(VLOOKUP(A14,'Centre WR11'!$A$7:$N$160,9,FALSE),0)+
IFERROR(VLOOKUP(A14,'Centre WV11'!$A$7:$N$163,9,FALSE),0)</f>
        <v>173</v>
      </c>
      <c r="J14" s="10">
        <f>IFERROR(VLOOKUP(A14,'Centre DW11'!$A$7:$N$161,10,FALSE),0)+
IFERROR(VLOOKUP(A14,'Centre WP11'!$A$7:$N$160,10,FALSE),0)+
IFERROR(VLOOKUP(A14,'Centre WR11'!$A$7:$N$160,10,FALSE),0)+
IFERROR(VLOOKUP(A14,'Centre WV11'!$A$7:$N$163,10,FALSE),0)</f>
        <v>382</v>
      </c>
      <c r="K14" s="10">
        <f>IFERROR(VLOOKUP(A14,'Centre DW11'!$A$7:$N$161,11,FALSE),0)+
IFERROR(VLOOKUP(A14,'Centre WP11'!$A$7:$N$160,11,FALSE),0)+
IFERROR(VLOOKUP(A14,'Centre WR11'!$A$7:$N$160,11,FALSE),0)+
IFERROR(VLOOKUP(A14,'Centre WV11'!$A$7:$N$163,11,FALSE),0)</f>
        <v>405</v>
      </c>
      <c r="L14" s="10">
        <f>IFERROR(VLOOKUP(A14,'Centre DW11'!$A$7:$N$161,12,FALSE),0)+
IFERROR(VLOOKUP(A14,'Centre WP11'!$A$7:$N$160,12,FALSE),0)+
IFERROR(VLOOKUP(A14,'Centre WR11'!$A$7:$N$160,12,FALSE),0)+
IFERROR(VLOOKUP(A14,'Centre WV11'!$A$7:$N$163,12,FALSE),0)</f>
        <v>360</v>
      </c>
      <c r="M14" s="10">
        <f>IFERROR(VLOOKUP(A14,'Centre DW11'!$A$7:$N$161,13,FALSE),0)+
IFERROR(VLOOKUP(A14,'Centre WP11'!$A$7:$N$160,13,FALSE),0)+
IFERROR(VLOOKUP(A14,'Centre WR11'!$A$7:$N$160,13,FALSE),0)+
IFERROR(VLOOKUP(A14,'Centre WV11'!$A$7:$N$163,13,FALSE),0)</f>
        <v>350</v>
      </c>
      <c r="N14" s="10">
        <f>IFERROR(VLOOKUP(A14,'Centre DW11'!$A$7:$N$161,14,FALSE),0)+
IFERROR(VLOOKUP(A14,'Centre WP11'!$A$7:$N$160,14,FALSE),0)+
IFERROR(VLOOKUP(A14,'Centre WR11'!$A$7:$N$160,14,FALSE),0)+
IFERROR(VLOOKUP(A14,'Centre WV11'!$A$7:$N$163,14,FALSE),0)</f>
        <v>396</v>
      </c>
    </row>
    <row r="15" spans="1:14" hidden="1" outlineLevel="1" x14ac:dyDescent="0.2">
      <c r="A15" s="9" t="s">
        <v>35</v>
      </c>
      <c r="B15" s="1" t="s">
        <v>36</v>
      </c>
      <c r="C15" s="10">
        <f>IFERROR(VLOOKUP(A15,'Centre DW11'!$A$7:$N$161,3,FALSE),0)+
IFERROR(VLOOKUP(A15,'Centre WP11'!$A$7:$N$160,3,FALSE),0)+
IFERROR(VLOOKUP(A15,'Centre WR11'!$A$7:$N$160,3,FALSE),0)+
IFERROR(VLOOKUP(A15,'Centre WV11'!$A$7:$N$163,3,FALSE),0)</f>
        <v>0</v>
      </c>
      <c r="D15" s="10">
        <f>IFERROR(VLOOKUP(A15,'Centre DW11'!$A$7:$N$161,4,FALSE),0)+
IFERROR(VLOOKUP(A15,'Centre WP11'!$A$7:$N$160,4,FALSE),0)+
IFERROR(VLOOKUP(A15,'Centre WR11'!$A$7:$N$160,4,FALSE),0)+
IFERROR(VLOOKUP(A15,'Centre WV11'!$A$7:$N$163,4,FALSE),0)</f>
        <v>0</v>
      </c>
      <c r="E15" s="10">
        <f>IFERROR(VLOOKUP(A15,'Centre DW11'!$A$7:$N$161,5,FALSE),0)+
IFERROR(VLOOKUP(A15,'Centre WP11'!$A$7:$N$160,5,FALSE),0)+
IFERROR(VLOOKUP(A15,'Centre WR11'!$A$7:$N$160,5,FALSE),0)+
IFERROR(VLOOKUP(A15,'Centre WV11'!$A$7:$N$163,5,FALSE),0)</f>
        <v>0</v>
      </c>
      <c r="F15" s="10">
        <f>IFERROR(VLOOKUP(A15,'Centre DW11'!$A$7:$N$161,6,FALSE),0)+
IFERROR(VLOOKUP(A15,'Centre WP11'!$A$7:$N$160,6,FALSE),0)+
IFERROR(VLOOKUP(A15,'Centre WR11'!$A$7:$N$160,6,FALSE),0)+
IFERROR(VLOOKUP(A15,'Centre WV11'!$A$7:$N$163,6,FALSE),0)</f>
        <v>0</v>
      </c>
      <c r="G15" s="10">
        <f>IFERROR(VLOOKUP(A15,'Centre DW11'!$A$7:$N$161,7,FALSE),0)+
IFERROR(VLOOKUP(A15,'Centre WP11'!$A$7:$N$160,7,FALSE),0)+
IFERROR(VLOOKUP(A15,'Centre WR11'!$A$7:$N$160,7,FALSE),0)+
IFERROR(VLOOKUP(A15,'Centre WV11'!$A$7:$N$163,7,FALSE),0)</f>
        <v>0</v>
      </c>
      <c r="H15" s="10">
        <f>IFERROR(VLOOKUP(A15,'Centre DW11'!$A$7:$N$161,8,FALSE),0)+
IFERROR(VLOOKUP(A15,'Centre WP11'!$A$7:$N$160,8,FALSE),0)+
IFERROR(VLOOKUP(A15,'Centre WR11'!$A$7:$N$160,8,FALSE),0)+
IFERROR(VLOOKUP(A15,'Centre WV11'!$A$7:$N$163,8,FALSE),0)</f>
        <v>0</v>
      </c>
      <c r="I15" s="10">
        <f>IFERROR(VLOOKUP(A15,'Centre DW11'!$A$7:$N$161,9,FALSE),0)+
IFERROR(VLOOKUP(A15,'Centre WP11'!$A$7:$N$160,9,FALSE),0)+
IFERROR(VLOOKUP(A15,'Centre WR11'!$A$7:$N$160,9,FALSE),0)+
IFERROR(VLOOKUP(A15,'Centre WV11'!$A$7:$N$163,9,FALSE),0)</f>
        <v>0</v>
      </c>
      <c r="J15" s="10">
        <f>IFERROR(VLOOKUP(A15,'Centre DW11'!$A$7:$N$161,10,FALSE),0)+
IFERROR(VLOOKUP(A15,'Centre WP11'!$A$7:$N$160,10,FALSE),0)+
IFERROR(VLOOKUP(A15,'Centre WR11'!$A$7:$N$160,10,FALSE),0)+
IFERROR(VLOOKUP(A15,'Centre WV11'!$A$7:$N$163,10,FALSE),0)</f>
        <v>0</v>
      </c>
      <c r="K15" s="10">
        <f>IFERROR(VLOOKUP(A15,'Centre DW11'!$A$7:$N$161,11,FALSE),0)+
IFERROR(VLOOKUP(A15,'Centre WP11'!$A$7:$N$160,11,FALSE),0)+
IFERROR(VLOOKUP(A15,'Centre WR11'!$A$7:$N$160,11,FALSE),0)+
IFERROR(VLOOKUP(A15,'Centre WV11'!$A$7:$N$163,11,FALSE),0)</f>
        <v>0</v>
      </c>
      <c r="L15" s="10">
        <f>IFERROR(VLOOKUP(A15,'Centre DW11'!$A$7:$N$161,12,FALSE),0)+
IFERROR(VLOOKUP(A15,'Centre WP11'!$A$7:$N$160,12,FALSE),0)+
IFERROR(VLOOKUP(A15,'Centre WR11'!$A$7:$N$160,12,FALSE),0)+
IFERROR(VLOOKUP(A15,'Centre WV11'!$A$7:$N$163,12,FALSE),0)</f>
        <v>0</v>
      </c>
      <c r="M15" s="10">
        <f>IFERROR(VLOOKUP(A15,'Centre DW11'!$A$7:$N$161,13,FALSE),0)+
IFERROR(VLOOKUP(A15,'Centre WP11'!$A$7:$N$160,13,FALSE),0)+
IFERROR(VLOOKUP(A15,'Centre WR11'!$A$7:$N$160,13,FALSE),0)+
IFERROR(VLOOKUP(A15,'Centre WV11'!$A$7:$N$163,13,FALSE),0)</f>
        <v>0</v>
      </c>
      <c r="N15" s="10">
        <f>IFERROR(VLOOKUP(A15,'Centre DW11'!$A$7:$N$161,14,FALSE),0)+
IFERROR(VLOOKUP(A15,'Centre WP11'!$A$7:$N$160,14,FALSE),0)+
IFERROR(VLOOKUP(A15,'Centre WR11'!$A$7:$N$160,14,FALSE),0)+
IFERROR(VLOOKUP(A15,'Centre WV11'!$A$7:$N$163,14,FALSE),0)</f>
        <v>0</v>
      </c>
    </row>
    <row r="16" spans="1:14" collapsed="1" x14ac:dyDescent="0.2">
      <c r="A16" s="48" t="s">
        <v>37</v>
      </c>
      <c r="B16" s="49" t="s">
        <v>38</v>
      </c>
      <c r="C16" s="50">
        <f>IFERROR(VLOOKUP(A16,'Centre DW11'!$A$7:$N$161,3,FALSE),0)+
IFERROR(VLOOKUP(A16,'Centre WP11'!$A$7:$N$160,3,FALSE),0)+
IFERROR(VLOOKUP(A16,'Centre WR11'!$A$7:$N$160,3,FALSE),0)+
IFERROR(VLOOKUP(A16,'Centre WV11'!$A$7:$N$163,3,FALSE),0)</f>
        <v>0</v>
      </c>
      <c r="D16" s="50">
        <f>IFERROR(VLOOKUP(A16,'Centre DW11'!$A$7:$N$161,4,FALSE),0)+
IFERROR(VLOOKUP(A16,'Centre WP11'!$A$7:$N$160,4,FALSE),0)+
IFERROR(VLOOKUP(A16,'Centre WR11'!$A$7:$N$160,4,FALSE),0)+
IFERROR(VLOOKUP(A16,'Centre WV11'!$A$7:$N$163,4,FALSE),0)</f>
        <v>0</v>
      </c>
      <c r="E16" s="50">
        <f>IFERROR(VLOOKUP(A16,'Centre DW11'!$A$7:$N$161,5,FALSE),0)+
IFERROR(VLOOKUP(A16,'Centre WP11'!$A$7:$N$160,5,FALSE),0)+
IFERROR(VLOOKUP(A16,'Centre WR11'!$A$7:$N$160,5,FALSE),0)+
IFERROR(VLOOKUP(A16,'Centre WV11'!$A$7:$N$163,5,FALSE),0)</f>
        <v>0</v>
      </c>
      <c r="F16" s="50">
        <f>IFERROR(VLOOKUP(A16,'Centre DW11'!$A$7:$N$161,6,FALSE),0)+
IFERROR(VLOOKUP(A16,'Centre WP11'!$A$7:$N$160,6,FALSE),0)+
IFERROR(VLOOKUP(A16,'Centre WR11'!$A$7:$N$160,6,FALSE),0)+
IFERROR(VLOOKUP(A16,'Centre WV11'!$A$7:$N$163,6,FALSE),0)</f>
        <v>0</v>
      </c>
      <c r="G16" s="50">
        <f>IFERROR(VLOOKUP(A16,'Centre DW11'!$A$7:$N$161,7,FALSE),0)+
IFERROR(VLOOKUP(A16,'Centre WP11'!$A$7:$N$160,7,FALSE),0)+
IFERROR(VLOOKUP(A16,'Centre WR11'!$A$7:$N$160,7,FALSE),0)+
IFERROR(VLOOKUP(A16,'Centre WV11'!$A$7:$N$163,7,FALSE),0)</f>
        <v>0</v>
      </c>
      <c r="H16" s="50">
        <f>IFERROR(VLOOKUP(A16,'Centre DW11'!$A$7:$N$161,8,FALSE),0)+
IFERROR(VLOOKUP(A16,'Centre WP11'!$A$7:$N$160,8,FALSE),0)+
IFERROR(VLOOKUP(A16,'Centre WR11'!$A$7:$N$160,8,FALSE),0)+
IFERROR(VLOOKUP(A16,'Centre WV11'!$A$7:$N$163,8,FALSE),0)</f>
        <v>0</v>
      </c>
      <c r="I16" s="50">
        <f>IFERROR(VLOOKUP(A16,'Centre DW11'!$A$7:$N$161,9,FALSE),0)+
IFERROR(VLOOKUP(A16,'Centre WP11'!$A$7:$N$160,9,FALSE),0)+
IFERROR(VLOOKUP(A16,'Centre WR11'!$A$7:$N$160,9,FALSE),0)+
IFERROR(VLOOKUP(A16,'Centre WV11'!$A$7:$N$163,9,FALSE),0)</f>
        <v>0</v>
      </c>
      <c r="J16" s="50">
        <f>IFERROR(VLOOKUP(A16,'Centre DW11'!$A$7:$N$161,10,FALSE),0)+
IFERROR(VLOOKUP(A16,'Centre WP11'!$A$7:$N$160,10,FALSE),0)+
IFERROR(VLOOKUP(A16,'Centre WR11'!$A$7:$N$160,10,FALSE),0)+
IFERROR(VLOOKUP(A16,'Centre WV11'!$A$7:$N$163,10,FALSE),0)</f>
        <v>0</v>
      </c>
      <c r="K16" s="50">
        <f>IFERROR(VLOOKUP(A16,'Centre DW11'!$A$7:$N$161,11,FALSE),0)+
IFERROR(VLOOKUP(A16,'Centre WP11'!$A$7:$N$160,11,FALSE),0)+
IFERROR(VLOOKUP(A16,'Centre WR11'!$A$7:$N$160,11,FALSE),0)+
IFERROR(VLOOKUP(A16,'Centre WV11'!$A$7:$N$163,11,FALSE),0)</f>
        <v>0</v>
      </c>
      <c r="L16" s="50">
        <f>IFERROR(VLOOKUP(A16,'Centre DW11'!$A$7:$N$161,12,FALSE),0)+
IFERROR(VLOOKUP(A16,'Centre WP11'!$A$7:$N$160,12,FALSE),0)+
IFERROR(VLOOKUP(A16,'Centre WR11'!$A$7:$N$160,12,FALSE),0)+
IFERROR(VLOOKUP(A16,'Centre WV11'!$A$7:$N$163,12,FALSE),0)</f>
        <v>0</v>
      </c>
      <c r="M16" s="50">
        <f>IFERROR(VLOOKUP(A16,'Centre DW11'!$A$7:$N$161,13,FALSE),0)+
IFERROR(VLOOKUP(A16,'Centre WP11'!$A$7:$N$160,13,FALSE),0)+
IFERROR(VLOOKUP(A16,'Centre WR11'!$A$7:$N$160,13,FALSE),0)+
IFERROR(VLOOKUP(A16,'Centre WV11'!$A$7:$N$163,13,FALSE),0)</f>
        <v>0</v>
      </c>
      <c r="N16" s="50">
        <f>IFERROR(VLOOKUP(A16,'Centre DW11'!$A$7:$N$161,14,FALSE),0)+
IFERROR(VLOOKUP(A16,'Centre WP11'!$A$7:$N$160,14,FALSE),0)+
IFERROR(VLOOKUP(A16,'Centre WR11'!$A$7:$N$160,14,FALSE),0)+
IFERROR(VLOOKUP(A16,'Centre WV11'!$A$7:$N$163,14,FALSE),0)</f>
        <v>0</v>
      </c>
    </row>
    <row r="17" spans="1:14" x14ac:dyDescent="0.2">
      <c r="A17" s="48" t="s">
        <v>39</v>
      </c>
      <c r="B17" s="49" t="s">
        <v>40</v>
      </c>
      <c r="C17" s="50">
        <f>IFERROR(VLOOKUP(A17,'Centre DW11'!$A$7:$N$161,3,FALSE),0)+
IFERROR(VLOOKUP(A17,'Centre WP11'!$A$7:$N$160,3,FALSE),0)+
IFERROR(VLOOKUP(A17,'Centre WR11'!$A$7:$N$160,3,FALSE),0)+
IFERROR(VLOOKUP(A17,'Centre WV11'!$A$7:$N$163,3,FALSE),0)</f>
        <v>0</v>
      </c>
      <c r="D17" s="50">
        <f>IFERROR(VLOOKUP(A17,'Centre DW11'!$A$7:$N$161,4,FALSE),0)+
IFERROR(VLOOKUP(A17,'Centre WP11'!$A$7:$N$160,4,FALSE),0)+
IFERROR(VLOOKUP(A17,'Centre WR11'!$A$7:$N$160,4,FALSE),0)+
IFERROR(VLOOKUP(A17,'Centre WV11'!$A$7:$N$163,4,FALSE),0)</f>
        <v>0</v>
      </c>
      <c r="E17" s="50">
        <f>IFERROR(VLOOKUP(A17,'Centre DW11'!$A$7:$N$161,5,FALSE),0)+
IFERROR(VLOOKUP(A17,'Centre WP11'!$A$7:$N$160,5,FALSE),0)+
IFERROR(VLOOKUP(A17,'Centre WR11'!$A$7:$N$160,5,FALSE),0)+
IFERROR(VLOOKUP(A17,'Centre WV11'!$A$7:$N$163,5,FALSE),0)</f>
        <v>0</v>
      </c>
      <c r="F17" s="50">
        <f>IFERROR(VLOOKUP(A17,'Centre DW11'!$A$7:$N$161,6,FALSE),0)+
IFERROR(VLOOKUP(A17,'Centre WP11'!$A$7:$N$160,6,FALSE),0)+
IFERROR(VLOOKUP(A17,'Centre WR11'!$A$7:$N$160,6,FALSE),0)+
IFERROR(VLOOKUP(A17,'Centre WV11'!$A$7:$N$163,6,FALSE),0)</f>
        <v>0</v>
      </c>
      <c r="G17" s="50">
        <f>IFERROR(VLOOKUP(A17,'Centre DW11'!$A$7:$N$161,7,FALSE),0)+
IFERROR(VLOOKUP(A17,'Centre WP11'!$A$7:$N$160,7,FALSE),0)+
IFERROR(VLOOKUP(A17,'Centre WR11'!$A$7:$N$160,7,FALSE),0)+
IFERROR(VLOOKUP(A17,'Centre WV11'!$A$7:$N$163,7,FALSE),0)</f>
        <v>0</v>
      </c>
      <c r="H17" s="50">
        <f>IFERROR(VLOOKUP(A17,'Centre DW11'!$A$7:$N$161,8,FALSE),0)+
IFERROR(VLOOKUP(A17,'Centre WP11'!$A$7:$N$160,8,FALSE),0)+
IFERROR(VLOOKUP(A17,'Centre WR11'!$A$7:$N$160,8,FALSE),0)+
IFERROR(VLOOKUP(A17,'Centre WV11'!$A$7:$N$163,8,FALSE),0)</f>
        <v>0</v>
      </c>
      <c r="I17" s="50">
        <f>IFERROR(VLOOKUP(A17,'Centre DW11'!$A$7:$N$161,9,FALSE),0)+
IFERROR(VLOOKUP(A17,'Centre WP11'!$A$7:$N$160,9,FALSE),0)+
IFERROR(VLOOKUP(A17,'Centre WR11'!$A$7:$N$160,9,FALSE),0)+
IFERROR(VLOOKUP(A17,'Centre WV11'!$A$7:$N$163,9,FALSE),0)</f>
        <v>0</v>
      </c>
      <c r="J17" s="50">
        <f>IFERROR(VLOOKUP(A17,'Centre DW11'!$A$7:$N$161,10,FALSE),0)+
IFERROR(VLOOKUP(A17,'Centre WP11'!$A$7:$N$160,10,FALSE),0)+
IFERROR(VLOOKUP(A17,'Centre WR11'!$A$7:$N$160,10,FALSE),0)+
IFERROR(VLOOKUP(A17,'Centre WV11'!$A$7:$N$163,10,FALSE),0)</f>
        <v>0</v>
      </c>
      <c r="K17" s="50">
        <f>IFERROR(VLOOKUP(A17,'Centre DW11'!$A$7:$N$161,11,FALSE),0)+
IFERROR(VLOOKUP(A17,'Centre WP11'!$A$7:$N$160,11,FALSE),0)+
IFERROR(VLOOKUP(A17,'Centre WR11'!$A$7:$N$160,11,FALSE),0)+
IFERROR(VLOOKUP(A17,'Centre WV11'!$A$7:$N$163,11,FALSE),0)</f>
        <v>0</v>
      </c>
      <c r="L17" s="50">
        <f>IFERROR(VLOOKUP(A17,'Centre DW11'!$A$7:$N$161,12,FALSE),0)+
IFERROR(VLOOKUP(A17,'Centre WP11'!$A$7:$N$160,12,FALSE),0)+
IFERROR(VLOOKUP(A17,'Centre WR11'!$A$7:$N$160,12,FALSE),0)+
IFERROR(VLOOKUP(A17,'Centre WV11'!$A$7:$N$163,12,FALSE),0)</f>
        <v>0</v>
      </c>
      <c r="M17" s="50">
        <f>IFERROR(VLOOKUP(A17,'Centre DW11'!$A$7:$N$161,13,FALSE),0)+
IFERROR(VLOOKUP(A17,'Centre WP11'!$A$7:$N$160,13,FALSE),0)+
IFERROR(VLOOKUP(A17,'Centre WR11'!$A$7:$N$160,13,FALSE),0)+
IFERROR(VLOOKUP(A17,'Centre WV11'!$A$7:$N$163,13,FALSE),0)</f>
        <v>0</v>
      </c>
      <c r="N17" s="50">
        <f>IFERROR(VLOOKUP(A17,'Centre DW11'!$A$7:$N$161,14,FALSE),0)+
IFERROR(VLOOKUP(A17,'Centre WP11'!$A$7:$N$160,14,FALSE),0)+
IFERROR(VLOOKUP(A17,'Centre WR11'!$A$7:$N$160,14,FALSE),0)+
IFERROR(VLOOKUP(A17,'Centre WV11'!$A$7:$N$163,14,FALSE),0)</f>
        <v>0</v>
      </c>
    </row>
    <row r="18" spans="1:14" x14ac:dyDescent="0.2">
      <c r="A18" s="48" t="s">
        <v>41</v>
      </c>
      <c r="B18" s="49" t="s">
        <v>42</v>
      </c>
      <c r="C18" s="50">
        <f>+C19</f>
        <v>0</v>
      </c>
      <c r="D18" s="50">
        <f t="shared" ref="D18:N18" si="1">+D19</f>
        <v>0</v>
      </c>
      <c r="E18" s="50">
        <f t="shared" si="1"/>
        <v>0</v>
      </c>
      <c r="F18" s="50">
        <f t="shared" si="1"/>
        <v>0</v>
      </c>
      <c r="G18" s="50">
        <f t="shared" si="1"/>
        <v>0</v>
      </c>
      <c r="H18" s="50">
        <f t="shared" si="1"/>
        <v>0</v>
      </c>
      <c r="I18" s="50">
        <f t="shared" si="1"/>
        <v>0</v>
      </c>
      <c r="J18" s="50">
        <f t="shared" si="1"/>
        <v>0</v>
      </c>
      <c r="K18" s="50">
        <f t="shared" si="1"/>
        <v>0</v>
      </c>
      <c r="L18" s="50">
        <f t="shared" si="1"/>
        <v>0</v>
      </c>
      <c r="M18" s="50">
        <f t="shared" si="1"/>
        <v>0</v>
      </c>
      <c r="N18" s="50">
        <f t="shared" si="1"/>
        <v>0</v>
      </c>
    </row>
    <row r="19" spans="1:14" hidden="1" outlineLevel="1" x14ac:dyDescent="0.2">
      <c r="A19" s="9" t="s">
        <v>43</v>
      </c>
      <c r="B19" s="1" t="s">
        <v>44</v>
      </c>
      <c r="C19" s="10">
        <f>IFERROR(VLOOKUP(A19,'Centre DW11'!$A$7:$N$161,3,FALSE),0)+
IFERROR(VLOOKUP(A19,'Centre WP11'!$A$7:$N$160,3,FALSE),0)+
IFERROR(VLOOKUP(A19,'Centre WR11'!$A$7:$N$160,3,FALSE),0)+
IFERROR(VLOOKUP(A19,'Centre WV11'!$A$7:$N$163,3,FALSE),0)</f>
        <v>0</v>
      </c>
      <c r="D19" s="10">
        <f>IFERROR(VLOOKUP(A19,'Centre DW11'!$A$7:$N$161,4,FALSE),0)+
IFERROR(VLOOKUP(A19,'Centre WP11'!$A$7:$N$160,4,FALSE),0)+
IFERROR(VLOOKUP(A19,'Centre WR11'!$A$7:$N$160,4,FALSE),0)+
IFERROR(VLOOKUP(A19,'Centre WV11'!$A$7:$N$163,4,FALSE),0)</f>
        <v>0</v>
      </c>
      <c r="E19" s="10">
        <f>IFERROR(VLOOKUP(A19,'Centre DW11'!$A$7:$N$161,5,FALSE),0)+
IFERROR(VLOOKUP(A19,'Centre WP11'!$A$7:$N$160,5,FALSE),0)+
IFERROR(VLOOKUP(A19,'Centre WR11'!$A$7:$N$160,5,FALSE),0)+
IFERROR(VLOOKUP(A19,'Centre WV11'!$A$7:$N$163,5,FALSE),0)</f>
        <v>0</v>
      </c>
      <c r="F19" s="10">
        <f>IFERROR(VLOOKUP(A19,'Centre DW11'!$A$7:$N$161,6,FALSE),0)+
IFERROR(VLOOKUP(A19,'Centre WP11'!$A$7:$N$160,6,FALSE),0)+
IFERROR(VLOOKUP(A19,'Centre WR11'!$A$7:$N$160,6,FALSE),0)+
IFERROR(VLOOKUP(A19,'Centre WV11'!$A$7:$N$163,6,FALSE),0)</f>
        <v>0</v>
      </c>
      <c r="G19" s="10">
        <f>IFERROR(VLOOKUP(A19,'Centre DW11'!$A$7:$N$161,7,FALSE),0)+
IFERROR(VLOOKUP(A19,'Centre WP11'!$A$7:$N$160,7,FALSE),0)+
IFERROR(VLOOKUP(A19,'Centre WR11'!$A$7:$N$160,7,FALSE),0)+
IFERROR(VLOOKUP(A19,'Centre WV11'!$A$7:$N$163,7,FALSE),0)</f>
        <v>0</v>
      </c>
      <c r="H19" s="10">
        <f>IFERROR(VLOOKUP(A19,'Centre DW11'!$A$7:$N$161,8,FALSE),0)+
IFERROR(VLOOKUP(A19,'Centre WP11'!$A$7:$N$160,8,FALSE),0)+
IFERROR(VLOOKUP(A19,'Centre WR11'!$A$7:$N$160,8,FALSE),0)+
IFERROR(VLOOKUP(A19,'Centre WV11'!$A$7:$N$163,8,FALSE),0)</f>
        <v>0</v>
      </c>
      <c r="I19" s="10">
        <f>IFERROR(VLOOKUP(A19,'Centre DW11'!$A$7:$N$161,9,FALSE),0)+
IFERROR(VLOOKUP(A19,'Centre WP11'!$A$7:$N$160,9,FALSE),0)+
IFERROR(VLOOKUP(A19,'Centre WR11'!$A$7:$N$160,9,FALSE),0)+
IFERROR(VLOOKUP(A19,'Centre WV11'!$A$7:$N$163,9,FALSE),0)</f>
        <v>0</v>
      </c>
      <c r="J19" s="10">
        <f>IFERROR(VLOOKUP(A19,'Centre DW11'!$A$7:$N$161,10,FALSE),0)+
IFERROR(VLOOKUP(A19,'Centre WP11'!$A$7:$N$160,10,FALSE),0)+
IFERROR(VLOOKUP(A19,'Centre WR11'!$A$7:$N$160,10,FALSE),0)+
IFERROR(VLOOKUP(A19,'Centre WV11'!$A$7:$N$163,10,FALSE),0)</f>
        <v>0</v>
      </c>
      <c r="K19" s="10">
        <f>IFERROR(VLOOKUP(A19,'Centre DW11'!$A$7:$N$161,11,FALSE),0)+
IFERROR(VLOOKUP(A19,'Centre WP11'!$A$7:$N$160,11,FALSE),0)+
IFERROR(VLOOKUP(A19,'Centre WR11'!$A$7:$N$160,11,FALSE),0)+
IFERROR(VLOOKUP(A19,'Centre WV11'!$A$7:$N$163,11,FALSE),0)</f>
        <v>0</v>
      </c>
      <c r="L19" s="10">
        <f>IFERROR(VLOOKUP(A19,'Centre DW11'!$A$7:$N$161,12,FALSE),0)+
IFERROR(VLOOKUP(A19,'Centre WP11'!$A$7:$N$160,12,FALSE),0)+
IFERROR(VLOOKUP(A19,'Centre WR11'!$A$7:$N$160,12,FALSE),0)+
IFERROR(VLOOKUP(A19,'Centre WV11'!$A$7:$N$163,12,FALSE),0)</f>
        <v>0</v>
      </c>
      <c r="M19" s="10">
        <f>IFERROR(VLOOKUP(A19,'Centre DW11'!$A$7:$N$161,13,FALSE),0)+
IFERROR(VLOOKUP(A19,'Centre WP11'!$A$7:$N$160,13,FALSE),0)+
IFERROR(VLOOKUP(A19,'Centre WR11'!$A$7:$N$160,13,FALSE),0)+
IFERROR(VLOOKUP(A19,'Centre WV11'!$A$7:$N$163,13,FALSE),0)</f>
        <v>0</v>
      </c>
      <c r="N19" s="10">
        <f>IFERROR(VLOOKUP(A19,'Centre DW11'!$A$7:$N$161,14,FALSE),0)+
IFERROR(VLOOKUP(A19,'Centre WP11'!$A$7:$N$160,14,FALSE),0)+
IFERROR(VLOOKUP(A19,'Centre WR11'!$A$7:$N$160,14,FALSE),0)+
IFERROR(VLOOKUP(A19,'Centre WV11'!$A$7:$N$163,14,FALSE),0)</f>
        <v>0</v>
      </c>
    </row>
    <row r="20" spans="1:14" collapsed="1" x14ac:dyDescent="0.2">
      <c r="A20" s="48" t="s">
        <v>45</v>
      </c>
      <c r="B20" s="49" t="s">
        <v>46</v>
      </c>
      <c r="C20" s="50">
        <f>IFERROR(VLOOKUP(A20,'Centre DW11'!$A$7:$N$161,3,FALSE),0)+
IFERROR(VLOOKUP(A20,'Centre WP11'!$A$7:$N$160,3,FALSE),0)+
IFERROR(VLOOKUP(A20,'Centre WR11'!$A$7:$N$160,3,FALSE),0)+
IFERROR(VLOOKUP(A20,'Centre WV11'!$A$7:$N$163,3,FALSE),0)</f>
        <v>0</v>
      </c>
      <c r="D20" s="50">
        <f>IFERROR(VLOOKUP(A20,'Centre DW11'!$A$7:$N$161,4,FALSE),0)+
IFERROR(VLOOKUP(A20,'Centre WP11'!$A$7:$N$160,4,FALSE),0)+
IFERROR(VLOOKUP(A20,'Centre WR11'!$A$7:$N$160,4,FALSE),0)+
IFERROR(VLOOKUP(A20,'Centre WV11'!$A$7:$N$163,4,FALSE),0)</f>
        <v>0</v>
      </c>
      <c r="E20" s="50">
        <f>IFERROR(VLOOKUP(A20,'Centre DW11'!$A$7:$N$161,5,FALSE),0)+
IFERROR(VLOOKUP(A20,'Centre WP11'!$A$7:$N$160,5,FALSE),0)+
IFERROR(VLOOKUP(A20,'Centre WR11'!$A$7:$N$160,5,FALSE),0)+
IFERROR(VLOOKUP(A20,'Centre WV11'!$A$7:$N$163,5,FALSE),0)</f>
        <v>0</v>
      </c>
      <c r="F20" s="50">
        <f>IFERROR(VLOOKUP(A20,'Centre DW11'!$A$7:$N$161,6,FALSE),0)+
IFERROR(VLOOKUP(A20,'Centre WP11'!$A$7:$N$160,6,FALSE),0)+
IFERROR(VLOOKUP(A20,'Centre WR11'!$A$7:$N$160,6,FALSE),0)+
IFERROR(VLOOKUP(A20,'Centre WV11'!$A$7:$N$163,6,FALSE),0)</f>
        <v>0</v>
      </c>
      <c r="G20" s="50">
        <f>IFERROR(VLOOKUP(A20,'Centre DW11'!$A$7:$N$161,7,FALSE),0)+
IFERROR(VLOOKUP(A20,'Centre WP11'!$A$7:$N$160,7,FALSE),0)+
IFERROR(VLOOKUP(A20,'Centre WR11'!$A$7:$N$160,7,FALSE),0)+
IFERROR(VLOOKUP(A20,'Centre WV11'!$A$7:$N$163,7,FALSE),0)</f>
        <v>0</v>
      </c>
      <c r="H20" s="50">
        <f>IFERROR(VLOOKUP(A20,'Centre DW11'!$A$7:$N$161,8,FALSE),0)+
IFERROR(VLOOKUP(A20,'Centre WP11'!$A$7:$N$160,8,FALSE),0)+
IFERROR(VLOOKUP(A20,'Centre WR11'!$A$7:$N$160,8,FALSE),0)+
IFERROR(VLOOKUP(A20,'Centre WV11'!$A$7:$N$163,8,FALSE),0)</f>
        <v>0</v>
      </c>
      <c r="I20" s="50">
        <f>IFERROR(VLOOKUP(A20,'Centre DW11'!$A$7:$N$161,9,FALSE),0)+
IFERROR(VLOOKUP(A20,'Centre WP11'!$A$7:$N$160,9,FALSE),0)+
IFERROR(VLOOKUP(A20,'Centre WR11'!$A$7:$N$160,9,FALSE),0)+
IFERROR(VLOOKUP(A20,'Centre WV11'!$A$7:$N$163,9,FALSE),0)</f>
        <v>0</v>
      </c>
      <c r="J20" s="50">
        <f>IFERROR(VLOOKUP(A20,'Centre DW11'!$A$7:$N$161,10,FALSE),0)+
IFERROR(VLOOKUP(A20,'Centre WP11'!$A$7:$N$160,10,FALSE),0)+
IFERROR(VLOOKUP(A20,'Centre WR11'!$A$7:$N$160,10,FALSE),0)+
IFERROR(VLOOKUP(A20,'Centre WV11'!$A$7:$N$163,10,FALSE),0)</f>
        <v>0</v>
      </c>
      <c r="K20" s="50">
        <f>IFERROR(VLOOKUP(A20,'Centre DW11'!$A$7:$N$161,11,FALSE),0)+
IFERROR(VLOOKUP(A20,'Centre WP11'!$A$7:$N$160,11,FALSE),0)+
IFERROR(VLOOKUP(A20,'Centre WR11'!$A$7:$N$160,11,FALSE),0)+
IFERROR(VLOOKUP(A20,'Centre WV11'!$A$7:$N$163,11,FALSE),0)</f>
        <v>0</v>
      </c>
      <c r="L20" s="50">
        <f>IFERROR(VLOOKUP(A20,'Centre DW11'!$A$7:$N$161,12,FALSE),0)+
IFERROR(VLOOKUP(A20,'Centre WP11'!$A$7:$N$160,12,FALSE),0)+
IFERROR(VLOOKUP(A20,'Centre WR11'!$A$7:$N$160,12,FALSE),0)+
IFERROR(VLOOKUP(A20,'Centre WV11'!$A$7:$N$163,12,FALSE),0)</f>
        <v>0</v>
      </c>
      <c r="M20" s="50">
        <f>IFERROR(VLOOKUP(A20,'Centre DW11'!$A$7:$N$161,13,FALSE),0)+
IFERROR(VLOOKUP(A20,'Centre WP11'!$A$7:$N$160,13,FALSE),0)+
IFERROR(VLOOKUP(A20,'Centre WR11'!$A$7:$N$160,13,FALSE),0)+
IFERROR(VLOOKUP(A20,'Centre WV11'!$A$7:$N$163,13,FALSE),0)</f>
        <v>0</v>
      </c>
      <c r="N20" s="50">
        <f>IFERROR(VLOOKUP(A20,'Centre DW11'!$A$7:$N$161,14,FALSE),0)+
IFERROR(VLOOKUP(A20,'Centre WP11'!$A$7:$N$160,14,FALSE),0)+
IFERROR(VLOOKUP(A20,'Centre WR11'!$A$7:$N$160,14,FALSE),0)+
IFERROR(VLOOKUP(A20,'Centre WV11'!$A$7:$N$163,14,FALSE),0)</f>
        <v>0</v>
      </c>
    </row>
    <row r="21" spans="1:14" x14ac:dyDescent="0.2">
      <c r="A21" s="51"/>
      <c r="B21" s="51" t="s">
        <v>47</v>
      </c>
      <c r="C21" s="19">
        <f>+C7+C16+C17+C18+C20</f>
        <v>367</v>
      </c>
      <c r="D21" s="19">
        <f t="shared" ref="D21:N21" si="2">+D7+D16+D17+D18+D20</f>
        <v>393</v>
      </c>
      <c r="E21" s="19">
        <f t="shared" si="2"/>
        <v>392</v>
      </c>
      <c r="F21" s="19">
        <f t="shared" si="2"/>
        <v>337</v>
      </c>
      <c r="G21" s="19">
        <f t="shared" si="2"/>
        <v>362</v>
      </c>
      <c r="H21" s="19">
        <f t="shared" si="2"/>
        <v>378</v>
      </c>
      <c r="I21" s="19">
        <f t="shared" si="2"/>
        <v>339</v>
      </c>
      <c r="J21" s="19">
        <f t="shared" si="2"/>
        <v>397</v>
      </c>
      <c r="K21" s="19">
        <f t="shared" si="2"/>
        <v>419</v>
      </c>
      <c r="L21" s="19">
        <f t="shared" si="2"/>
        <v>375</v>
      </c>
      <c r="M21" s="19">
        <f t="shared" si="2"/>
        <v>366</v>
      </c>
      <c r="N21" s="19">
        <f t="shared" si="2"/>
        <v>409</v>
      </c>
    </row>
    <row r="22" spans="1:14" x14ac:dyDescent="0.2">
      <c r="A22" s="48" t="s">
        <v>48</v>
      </c>
      <c r="B22" s="49" t="s">
        <v>49</v>
      </c>
      <c r="C22" s="50">
        <f>SUM(C23:C27)</f>
        <v>5.3</v>
      </c>
      <c r="D22" s="50">
        <f t="shared" ref="D22:N22" si="3">SUM(D23:D27)</f>
        <v>5.3</v>
      </c>
      <c r="E22" s="50">
        <f t="shared" si="3"/>
        <v>5.3</v>
      </c>
      <c r="F22" s="50">
        <f t="shared" si="3"/>
        <v>5.3</v>
      </c>
      <c r="G22" s="50">
        <f t="shared" si="3"/>
        <v>5.3</v>
      </c>
      <c r="H22" s="50">
        <f t="shared" si="3"/>
        <v>5.3</v>
      </c>
      <c r="I22" s="50">
        <f t="shared" si="3"/>
        <v>5.3</v>
      </c>
      <c r="J22" s="50">
        <f t="shared" si="3"/>
        <v>5.3</v>
      </c>
      <c r="K22" s="50">
        <f t="shared" si="3"/>
        <v>5.3</v>
      </c>
      <c r="L22" s="50">
        <f t="shared" si="3"/>
        <v>5.3</v>
      </c>
      <c r="M22" s="50">
        <f t="shared" si="3"/>
        <v>5.3</v>
      </c>
      <c r="N22" s="50">
        <f t="shared" si="3"/>
        <v>5.3</v>
      </c>
    </row>
    <row r="23" spans="1:14" hidden="1" outlineLevel="1" x14ac:dyDescent="0.2">
      <c r="A23" s="9" t="s">
        <v>50</v>
      </c>
      <c r="B23" s="1" t="s">
        <v>51</v>
      </c>
      <c r="C23" s="10">
        <f>IFERROR(VLOOKUP(A23,'Centre DW11'!$A$7:$N$161,3,FALSE),0)+
IFERROR(VLOOKUP(A23,'Centre WP11'!$A$7:$N$160,3,FALSE),0)+
IFERROR(VLOOKUP(A23,'Centre WR11'!$A$7:$N$160,3,FALSE),0)+
IFERROR(VLOOKUP(A23,'Centre WV11'!$A$7:$N$163,3,FALSE),0)</f>
        <v>0</v>
      </c>
      <c r="D23" s="10">
        <f>IFERROR(VLOOKUP(A23,'Centre DW11'!$A$7:$N$161,4,FALSE),0)+
IFERROR(VLOOKUP(A23,'Centre WP11'!$A$7:$N$160,4,FALSE),0)+
IFERROR(VLOOKUP(A23,'Centre WR11'!$A$7:$N$160,4,FALSE),0)+
IFERROR(VLOOKUP(A23,'Centre WV11'!$A$7:$N$163,4,FALSE),0)</f>
        <v>0</v>
      </c>
      <c r="E23" s="10">
        <f>IFERROR(VLOOKUP(A23,'Centre DW11'!$A$7:$N$161,5,FALSE),0)+
IFERROR(VLOOKUP(A23,'Centre WP11'!$A$7:$N$160,5,FALSE),0)+
IFERROR(VLOOKUP(A23,'Centre WR11'!$A$7:$N$160,5,FALSE),0)+
IFERROR(VLOOKUP(A23,'Centre WV11'!$A$7:$N$163,5,FALSE),0)</f>
        <v>0</v>
      </c>
      <c r="F23" s="10">
        <f>IFERROR(VLOOKUP(A23,'Centre DW11'!$A$7:$N$161,6,FALSE),0)+
IFERROR(VLOOKUP(A23,'Centre WP11'!$A$7:$N$160,6,FALSE),0)+
IFERROR(VLOOKUP(A23,'Centre WR11'!$A$7:$N$160,6,FALSE),0)+
IFERROR(VLOOKUP(A23,'Centre WV11'!$A$7:$N$163,6,FALSE),0)</f>
        <v>0</v>
      </c>
      <c r="G23" s="10">
        <f>IFERROR(VLOOKUP(A23,'Centre DW11'!$A$7:$N$161,7,FALSE),0)+
IFERROR(VLOOKUP(A23,'Centre WP11'!$A$7:$N$160,7,FALSE),0)+
IFERROR(VLOOKUP(A23,'Centre WR11'!$A$7:$N$160,7,FALSE),0)+
IFERROR(VLOOKUP(A23,'Centre WV11'!$A$7:$N$163,7,FALSE),0)</f>
        <v>0</v>
      </c>
      <c r="H23" s="10">
        <f>IFERROR(VLOOKUP(A23,'Centre DW11'!$A$7:$N$161,8,FALSE),0)+
IFERROR(VLOOKUP(A23,'Centre WP11'!$A$7:$N$160,8,FALSE),0)+
IFERROR(VLOOKUP(A23,'Centre WR11'!$A$7:$N$160,8,FALSE),0)+
IFERROR(VLOOKUP(A23,'Centre WV11'!$A$7:$N$163,8,FALSE),0)</f>
        <v>0</v>
      </c>
      <c r="I23" s="10">
        <f>IFERROR(VLOOKUP(A23,'Centre DW11'!$A$7:$N$161,9,FALSE),0)+
IFERROR(VLOOKUP(A23,'Centre WP11'!$A$7:$N$160,9,FALSE),0)+
IFERROR(VLOOKUP(A23,'Centre WR11'!$A$7:$N$160,9,FALSE),0)+
IFERROR(VLOOKUP(A23,'Centre WV11'!$A$7:$N$163,9,FALSE),0)</f>
        <v>0</v>
      </c>
      <c r="J23" s="10">
        <f>IFERROR(VLOOKUP(A23,'Centre DW11'!$A$7:$N$161,10,FALSE),0)+
IFERROR(VLOOKUP(A23,'Centre WP11'!$A$7:$N$160,10,FALSE),0)+
IFERROR(VLOOKUP(A23,'Centre WR11'!$A$7:$N$160,10,FALSE),0)+
IFERROR(VLOOKUP(A23,'Centre WV11'!$A$7:$N$163,10,FALSE),0)</f>
        <v>0</v>
      </c>
      <c r="K23" s="10">
        <f>IFERROR(VLOOKUP(A23,'Centre DW11'!$A$7:$N$161,11,FALSE),0)+
IFERROR(VLOOKUP(A23,'Centre WP11'!$A$7:$N$160,11,FALSE),0)+
IFERROR(VLOOKUP(A23,'Centre WR11'!$A$7:$N$160,11,FALSE),0)+
IFERROR(VLOOKUP(A23,'Centre WV11'!$A$7:$N$163,11,FALSE),0)</f>
        <v>0</v>
      </c>
      <c r="L23" s="10">
        <f>IFERROR(VLOOKUP(A23,'Centre DW11'!$A$7:$N$161,12,FALSE),0)+
IFERROR(VLOOKUP(A23,'Centre WP11'!$A$7:$N$160,12,FALSE),0)+
IFERROR(VLOOKUP(A23,'Centre WR11'!$A$7:$N$160,12,FALSE),0)+
IFERROR(VLOOKUP(A23,'Centre WV11'!$A$7:$N$163,12,FALSE),0)</f>
        <v>0</v>
      </c>
      <c r="M23" s="10">
        <f>IFERROR(VLOOKUP(A23,'Centre DW11'!$A$7:$N$161,13,FALSE),0)+
IFERROR(VLOOKUP(A23,'Centre WP11'!$A$7:$N$160,13,FALSE),0)+
IFERROR(VLOOKUP(A23,'Centre WR11'!$A$7:$N$160,13,FALSE),0)+
IFERROR(VLOOKUP(A23,'Centre WV11'!$A$7:$N$163,13,FALSE),0)</f>
        <v>0</v>
      </c>
      <c r="N23" s="10">
        <f>IFERROR(VLOOKUP(A23,'Centre DW11'!$A$7:$N$161,14,FALSE),0)+
IFERROR(VLOOKUP(A23,'Centre WP11'!$A$7:$N$160,14,FALSE),0)+
IFERROR(VLOOKUP(A23,'Centre WR11'!$A$7:$N$160,14,FALSE),0)+
IFERROR(VLOOKUP(A23,'Centre WV11'!$A$7:$N$163,14,FALSE),0)</f>
        <v>0</v>
      </c>
    </row>
    <row r="24" spans="1:14" hidden="1" outlineLevel="1" x14ac:dyDescent="0.2">
      <c r="A24" s="9" t="s">
        <v>54</v>
      </c>
      <c r="B24" s="1" t="s">
        <v>55</v>
      </c>
      <c r="C24" s="10">
        <f>IFERROR(VLOOKUP(A24,'Centre DW11'!$A$7:$N$161,3,FALSE),0)+
IFERROR(VLOOKUP(A24,'Centre WP11'!$A$7:$N$160,3,FALSE),0)+
IFERROR(VLOOKUP(A24,'Centre WR11'!$A$7:$N$160,3,FALSE),0)+
IFERROR(VLOOKUP(A24,'Centre WV11'!$A$7:$N$163,3,FALSE),0)</f>
        <v>0</v>
      </c>
      <c r="D24" s="10">
        <f>IFERROR(VLOOKUP(A24,'Centre DW11'!$A$7:$N$161,4,FALSE),0)+
IFERROR(VLOOKUP(A24,'Centre WP11'!$A$7:$N$160,4,FALSE),0)+
IFERROR(VLOOKUP(A24,'Centre WR11'!$A$7:$N$160,4,FALSE),0)+
IFERROR(VLOOKUP(A24,'Centre WV11'!$A$7:$N$163,4,FALSE),0)</f>
        <v>0</v>
      </c>
      <c r="E24" s="10">
        <f>IFERROR(VLOOKUP(A24,'Centre DW11'!$A$7:$N$161,5,FALSE),0)+
IFERROR(VLOOKUP(A24,'Centre WP11'!$A$7:$N$160,5,FALSE),0)+
IFERROR(VLOOKUP(A24,'Centre WR11'!$A$7:$N$160,5,FALSE),0)+
IFERROR(VLOOKUP(A24,'Centre WV11'!$A$7:$N$163,5,FALSE),0)</f>
        <v>0</v>
      </c>
      <c r="F24" s="10">
        <f>IFERROR(VLOOKUP(A24,'Centre DW11'!$A$7:$N$161,6,FALSE),0)+
IFERROR(VLOOKUP(A24,'Centre WP11'!$A$7:$N$160,6,FALSE),0)+
IFERROR(VLOOKUP(A24,'Centre WR11'!$A$7:$N$160,6,FALSE),0)+
IFERROR(VLOOKUP(A24,'Centre WV11'!$A$7:$N$163,6,FALSE),0)</f>
        <v>0</v>
      </c>
      <c r="G24" s="10">
        <f>IFERROR(VLOOKUP(A24,'Centre DW11'!$A$7:$N$161,7,FALSE),0)+
IFERROR(VLOOKUP(A24,'Centre WP11'!$A$7:$N$160,7,FALSE),0)+
IFERROR(VLOOKUP(A24,'Centre WR11'!$A$7:$N$160,7,FALSE),0)+
IFERROR(VLOOKUP(A24,'Centre WV11'!$A$7:$N$163,7,FALSE),0)</f>
        <v>0</v>
      </c>
      <c r="H24" s="10">
        <f>IFERROR(VLOOKUP(A24,'Centre DW11'!$A$7:$N$161,8,FALSE),0)+
IFERROR(VLOOKUP(A24,'Centre WP11'!$A$7:$N$160,8,FALSE),0)+
IFERROR(VLOOKUP(A24,'Centre WR11'!$A$7:$N$160,8,FALSE),0)+
IFERROR(VLOOKUP(A24,'Centre WV11'!$A$7:$N$163,8,FALSE),0)</f>
        <v>0</v>
      </c>
      <c r="I24" s="10">
        <f>IFERROR(VLOOKUP(A24,'Centre DW11'!$A$7:$N$161,9,FALSE),0)+
IFERROR(VLOOKUP(A24,'Centre WP11'!$A$7:$N$160,9,FALSE),0)+
IFERROR(VLOOKUP(A24,'Centre WR11'!$A$7:$N$160,9,FALSE),0)+
IFERROR(VLOOKUP(A24,'Centre WV11'!$A$7:$N$163,9,FALSE),0)</f>
        <v>0</v>
      </c>
      <c r="J24" s="10">
        <f>IFERROR(VLOOKUP(A24,'Centre DW11'!$A$7:$N$161,10,FALSE),0)+
IFERROR(VLOOKUP(A24,'Centre WP11'!$A$7:$N$160,10,FALSE),0)+
IFERROR(VLOOKUP(A24,'Centre WR11'!$A$7:$N$160,10,FALSE),0)+
IFERROR(VLOOKUP(A24,'Centre WV11'!$A$7:$N$163,10,FALSE),0)</f>
        <v>0</v>
      </c>
      <c r="K24" s="10">
        <f>IFERROR(VLOOKUP(A24,'Centre DW11'!$A$7:$N$161,11,FALSE),0)+
IFERROR(VLOOKUP(A24,'Centre WP11'!$A$7:$N$160,11,FALSE),0)+
IFERROR(VLOOKUP(A24,'Centre WR11'!$A$7:$N$160,11,FALSE),0)+
IFERROR(VLOOKUP(A24,'Centre WV11'!$A$7:$N$163,11,FALSE),0)</f>
        <v>0</v>
      </c>
      <c r="L24" s="10">
        <f>IFERROR(VLOOKUP(A24,'Centre DW11'!$A$7:$N$161,12,FALSE),0)+
IFERROR(VLOOKUP(A24,'Centre WP11'!$A$7:$N$160,12,FALSE),0)+
IFERROR(VLOOKUP(A24,'Centre WR11'!$A$7:$N$160,12,FALSE),0)+
IFERROR(VLOOKUP(A24,'Centre WV11'!$A$7:$N$163,12,FALSE),0)</f>
        <v>0</v>
      </c>
      <c r="M24" s="10">
        <f>IFERROR(VLOOKUP(A24,'Centre DW11'!$A$7:$N$161,13,FALSE),0)+
IFERROR(VLOOKUP(A24,'Centre WP11'!$A$7:$N$160,13,FALSE),0)+
IFERROR(VLOOKUP(A24,'Centre WR11'!$A$7:$N$160,13,FALSE),0)+
IFERROR(VLOOKUP(A24,'Centre WV11'!$A$7:$N$163,13,FALSE),0)</f>
        <v>0</v>
      </c>
      <c r="N24" s="10">
        <f>IFERROR(VLOOKUP(A24,'Centre DW11'!$A$7:$N$161,14,FALSE),0)+
IFERROR(VLOOKUP(A24,'Centre WP11'!$A$7:$N$160,14,FALSE),0)+
IFERROR(VLOOKUP(A24,'Centre WR11'!$A$7:$N$160,14,FALSE),0)+
IFERROR(VLOOKUP(A24,'Centre WV11'!$A$7:$N$163,14,FALSE),0)</f>
        <v>0</v>
      </c>
    </row>
    <row r="25" spans="1:14" hidden="1" outlineLevel="1" x14ac:dyDescent="0.2">
      <c r="A25" s="9" t="s">
        <v>56</v>
      </c>
      <c r="B25" s="1" t="s">
        <v>51</v>
      </c>
      <c r="C25" s="10">
        <f>IFERROR(VLOOKUP(A25,'Centre DW11'!$A$7:$N$161,3,FALSE),0)+
IFERROR(VLOOKUP(A25,'Centre WP11'!$A$7:$N$160,3,FALSE),0)+
IFERROR(VLOOKUP(A25,'Centre WR11'!$A$7:$N$160,3,FALSE),0)+
IFERROR(VLOOKUP(A25,'Centre WV11'!$A$7:$N$163,3,FALSE),0)</f>
        <v>5.3</v>
      </c>
      <c r="D25" s="10">
        <f>IFERROR(VLOOKUP(A25,'Centre DW11'!$A$7:$N$161,4,FALSE),0)+
IFERROR(VLOOKUP(A25,'Centre WP11'!$A$7:$N$160,4,FALSE),0)+
IFERROR(VLOOKUP(A25,'Centre WR11'!$A$7:$N$160,4,FALSE),0)+
IFERROR(VLOOKUP(A25,'Centre WV11'!$A$7:$N$163,4,FALSE),0)</f>
        <v>5.3</v>
      </c>
      <c r="E25" s="10">
        <f>IFERROR(VLOOKUP(A25,'Centre DW11'!$A$7:$N$161,5,FALSE),0)+
IFERROR(VLOOKUP(A25,'Centre WP11'!$A$7:$N$160,5,FALSE),0)+
IFERROR(VLOOKUP(A25,'Centre WR11'!$A$7:$N$160,5,FALSE),0)+
IFERROR(VLOOKUP(A25,'Centre WV11'!$A$7:$N$163,5,FALSE),0)</f>
        <v>5.3</v>
      </c>
      <c r="F25" s="10">
        <f>IFERROR(VLOOKUP(A25,'Centre DW11'!$A$7:$N$161,6,FALSE),0)+
IFERROR(VLOOKUP(A25,'Centre WP11'!$A$7:$N$160,6,FALSE),0)+
IFERROR(VLOOKUP(A25,'Centre WR11'!$A$7:$N$160,6,FALSE),0)+
IFERROR(VLOOKUP(A25,'Centre WV11'!$A$7:$N$163,6,FALSE),0)</f>
        <v>5.3</v>
      </c>
      <c r="G25" s="10">
        <f>IFERROR(VLOOKUP(A25,'Centre DW11'!$A$7:$N$161,7,FALSE),0)+
IFERROR(VLOOKUP(A25,'Centre WP11'!$A$7:$N$160,7,FALSE),0)+
IFERROR(VLOOKUP(A25,'Centre WR11'!$A$7:$N$160,7,FALSE),0)+
IFERROR(VLOOKUP(A25,'Centre WV11'!$A$7:$N$163,7,FALSE),0)</f>
        <v>5.3</v>
      </c>
      <c r="H25" s="10">
        <f>IFERROR(VLOOKUP(A25,'Centre DW11'!$A$7:$N$161,8,FALSE),0)+
IFERROR(VLOOKUP(A25,'Centre WP11'!$A$7:$N$160,8,FALSE),0)+
IFERROR(VLOOKUP(A25,'Centre WR11'!$A$7:$N$160,8,FALSE),0)+
IFERROR(VLOOKUP(A25,'Centre WV11'!$A$7:$N$163,8,FALSE),0)</f>
        <v>5.3</v>
      </c>
      <c r="I25" s="10">
        <f>IFERROR(VLOOKUP(A25,'Centre DW11'!$A$7:$N$161,9,FALSE),0)+
IFERROR(VLOOKUP(A25,'Centre WP11'!$A$7:$N$160,9,FALSE),0)+
IFERROR(VLOOKUP(A25,'Centre WR11'!$A$7:$N$160,9,FALSE),0)+
IFERROR(VLOOKUP(A25,'Centre WV11'!$A$7:$N$163,9,FALSE),0)</f>
        <v>5.3</v>
      </c>
      <c r="J25" s="10">
        <f>IFERROR(VLOOKUP(A25,'Centre DW11'!$A$7:$N$161,10,FALSE),0)+
IFERROR(VLOOKUP(A25,'Centre WP11'!$A$7:$N$160,10,FALSE),0)+
IFERROR(VLOOKUP(A25,'Centre WR11'!$A$7:$N$160,10,FALSE),0)+
IFERROR(VLOOKUP(A25,'Centre WV11'!$A$7:$N$163,10,FALSE),0)</f>
        <v>5.3</v>
      </c>
      <c r="K25" s="10">
        <f>IFERROR(VLOOKUP(A25,'Centre DW11'!$A$7:$N$161,11,FALSE),0)+
IFERROR(VLOOKUP(A25,'Centre WP11'!$A$7:$N$160,11,FALSE),0)+
IFERROR(VLOOKUP(A25,'Centre WR11'!$A$7:$N$160,11,FALSE),0)+
IFERROR(VLOOKUP(A25,'Centre WV11'!$A$7:$N$163,11,FALSE),0)</f>
        <v>5.3</v>
      </c>
      <c r="L25" s="10">
        <f>IFERROR(VLOOKUP(A25,'Centre DW11'!$A$7:$N$161,12,FALSE),0)+
IFERROR(VLOOKUP(A25,'Centre WP11'!$A$7:$N$160,12,FALSE),0)+
IFERROR(VLOOKUP(A25,'Centre WR11'!$A$7:$N$160,12,FALSE),0)+
IFERROR(VLOOKUP(A25,'Centre WV11'!$A$7:$N$163,12,FALSE),0)</f>
        <v>5.3</v>
      </c>
      <c r="M25" s="10">
        <f>IFERROR(VLOOKUP(A25,'Centre DW11'!$A$7:$N$161,13,FALSE),0)+
IFERROR(VLOOKUP(A25,'Centre WP11'!$A$7:$N$160,13,FALSE),0)+
IFERROR(VLOOKUP(A25,'Centre WR11'!$A$7:$N$160,13,FALSE),0)+
IFERROR(VLOOKUP(A25,'Centre WV11'!$A$7:$N$163,13,FALSE),0)</f>
        <v>5.3</v>
      </c>
      <c r="N25" s="10">
        <f>IFERROR(VLOOKUP(A25,'Centre DW11'!$A$7:$N$161,14,FALSE),0)+
IFERROR(VLOOKUP(A25,'Centre WP11'!$A$7:$N$160,14,FALSE),0)+
IFERROR(VLOOKUP(A25,'Centre WR11'!$A$7:$N$160,14,FALSE),0)+
IFERROR(VLOOKUP(A25,'Centre WV11'!$A$7:$N$163,14,FALSE),0)</f>
        <v>5.3</v>
      </c>
    </row>
    <row r="26" spans="1:14" hidden="1" outlineLevel="1" x14ac:dyDescent="0.2">
      <c r="A26" s="9" t="s">
        <v>57</v>
      </c>
      <c r="B26" s="1" t="s">
        <v>58</v>
      </c>
      <c r="C26" s="10">
        <f>IFERROR(VLOOKUP(A26,'Centre DW11'!$A$7:$N$161,3,FALSE),0)+
IFERROR(VLOOKUP(A26,'Centre WP11'!$A$7:$N$160,3,FALSE),0)+
IFERROR(VLOOKUP(A26,'Centre WR11'!$A$7:$N$160,3,FALSE),0)+
IFERROR(VLOOKUP(A26,'Centre WV11'!$A$7:$N$163,3,FALSE),0)</f>
        <v>0</v>
      </c>
      <c r="D26" s="10">
        <f>IFERROR(VLOOKUP(A26,'Centre DW11'!$A$7:$N$161,4,FALSE),0)+
IFERROR(VLOOKUP(A26,'Centre WP11'!$A$7:$N$160,4,FALSE),0)+
IFERROR(VLOOKUP(A26,'Centre WR11'!$A$7:$N$160,4,FALSE),0)+
IFERROR(VLOOKUP(A26,'Centre WV11'!$A$7:$N$163,4,FALSE),0)</f>
        <v>0</v>
      </c>
      <c r="E26" s="10">
        <f>IFERROR(VLOOKUP(A26,'Centre DW11'!$A$7:$N$161,5,FALSE),0)+
IFERROR(VLOOKUP(A26,'Centre WP11'!$A$7:$N$160,5,FALSE),0)+
IFERROR(VLOOKUP(A26,'Centre WR11'!$A$7:$N$160,5,FALSE),0)+
IFERROR(VLOOKUP(A26,'Centre WV11'!$A$7:$N$163,5,FALSE),0)</f>
        <v>0</v>
      </c>
      <c r="F26" s="10">
        <f>IFERROR(VLOOKUP(A26,'Centre DW11'!$A$7:$N$161,6,FALSE),0)+
IFERROR(VLOOKUP(A26,'Centre WP11'!$A$7:$N$160,6,FALSE),0)+
IFERROR(VLOOKUP(A26,'Centre WR11'!$A$7:$N$160,6,FALSE),0)+
IFERROR(VLOOKUP(A26,'Centre WV11'!$A$7:$N$163,6,FALSE),0)</f>
        <v>0</v>
      </c>
      <c r="G26" s="10">
        <f>IFERROR(VLOOKUP(A26,'Centre DW11'!$A$7:$N$161,7,FALSE),0)+
IFERROR(VLOOKUP(A26,'Centre WP11'!$A$7:$N$160,7,FALSE),0)+
IFERROR(VLOOKUP(A26,'Centre WR11'!$A$7:$N$160,7,FALSE),0)+
IFERROR(VLOOKUP(A26,'Centre WV11'!$A$7:$N$163,7,FALSE),0)</f>
        <v>0</v>
      </c>
      <c r="H26" s="10">
        <f>IFERROR(VLOOKUP(A26,'Centre DW11'!$A$7:$N$161,8,FALSE),0)+
IFERROR(VLOOKUP(A26,'Centre WP11'!$A$7:$N$160,8,FALSE),0)+
IFERROR(VLOOKUP(A26,'Centre WR11'!$A$7:$N$160,8,FALSE),0)+
IFERROR(VLOOKUP(A26,'Centre WV11'!$A$7:$N$163,8,FALSE),0)</f>
        <v>0</v>
      </c>
      <c r="I26" s="10">
        <f>IFERROR(VLOOKUP(A26,'Centre DW11'!$A$7:$N$161,9,FALSE),0)+
IFERROR(VLOOKUP(A26,'Centre WP11'!$A$7:$N$160,9,FALSE),0)+
IFERROR(VLOOKUP(A26,'Centre WR11'!$A$7:$N$160,9,FALSE),0)+
IFERROR(VLOOKUP(A26,'Centre WV11'!$A$7:$N$163,9,FALSE),0)</f>
        <v>0</v>
      </c>
      <c r="J26" s="10">
        <f>IFERROR(VLOOKUP(A26,'Centre DW11'!$A$7:$N$161,10,FALSE),0)+
IFERROR(VLOOKUP(A26,'Centre WP11'!$A$7:$N$160,10,FALSE),0)+
IFERROR(VLOOKUP(A26,'Centre WR11'!$A$7:$N$160,10,FALSE),0)+
IFERROR(VLOOKUP(A26,'Centre WV11'!$A$7:$N$163,10,FALSE),0)</f>
        <v>0</v>
      </c>
      <c r="K26" s="10">
        <f>IFERROR(VLOOKUP(A26,'Centre DW11'!$A$7:$N$161,11,FALSE),0)+
IFERROR(VLOOKUP(A26,'Centre WP11'!$A$7:$N$160,11,FALSE),0)+
IFERROR(VLOOKUP(A26,'Centre WR11'!$A$7:$N$160,11,FALSE),0)+
IFERROR(VLOOKUP(A26,'Centre WV11'!$A$7:$N$163,11,FALSE),0)</f>
        <v>0</v>
      </c>
      <c r="L26" s="10">
        <f>IFERROR(VLOOKUP(A26,'Centre DW11'!$A$7:$N$161,12,FALSE),0)+
IFERROR(VLOOKUP(A26,'Centre WP11'!$A$7:$N$160,12,FALSE),0)+
IFERROR(VLOOKUP(A26,'Centre WR11'!$A$7:$N$160,12,FALSE),0)+
IFERROR(VLOOKUP(A26,'Centre WV11'!$A$7:$N$163,12,FALSE),0)</f>
        <v>0</v>
      </c>
      <c r="M26" s="10">
        <f>IFERROR(VLOOKUP(A26,'Centre DW11'!$A$7:$N$161,13,FALSE),0)+
IFERROR(VLOOKUP(A26,'Centre WP11'!$A$7:$N$160,13,FALSE),0)+
IFERROR(VLOOKUP(A26,'Centre WR11'!$A$7:$N$160,13,FALSE),0)+
IFERROR(VLOOKUP(A26,'Centre WV11'!$A$7:$N$163,13,FALSE),0)</f>
        <v>0</v>
      </c>
      <c r="N26" s="10">
        <f>IFERROR(VLOOKUP(A26,'Centre DW11'!$A$7:$N$161,14,FALSE),0)+
IFERROR(VLOOKUP(A26,'Centre WP11'!$A$7:$N$160,14,FALSE),0)+
IFERROR(VLOOKUP(A26,'Centre WR11'!$A$7:$N$160,14,FALSE),0)+
IFERROR(VLOOKUP(A26,'Centre WV11'!$A$7:$N$163,14,FALSE),0)</f>
        <v>0</v>
      </c>
    </row>
    <row r="27" spans="1:14" hidden="1" outlineLevel="1" x14ac:dyDescent="0.2">
      <c r="A27" s="9" t="s">
        <v>59</v>
      </c>
      <c r="B27" s="1" t="s">
        <v>53</v>
      </c>
      <c r="C27" s="10">
        <f>IFERROR(VLOOKUP(A27,'Centre DW11'!$A$7:$N$161,3,FALSE),0)+
IFERROR(VLOOKUP(A27,'Centre WP11'!$A$7:$N$160,3,FALSE),0)+
IFERROR(VLOOKUP(A27,'Centre WR11'!$A$7:$N$160,3,FALSE),0)+
IFERROR(VLOOKUP(A27,'Centre WV11'!$A$7:$N$163,3,FALSE),0)</f>
        <v>0</v>
      </c>
      <c r="D27" s="10">
        <f>IFERROR(VLOOKUP(A27,'Centre DW11'!$A$7:$N$161,4,FALSE),0)+
IFERROR(VLOOKUP(A27,'Centre WP11'!$A$7:$N$160,4,FALSE),0)+
IFERROR(VLOOKUP(A27,'Centre WR11'!$A$7:$N$160,4,FALSE),0)+
IFERROR(VLOOKUP(A27,'Centre WV11'!$A$7:$N$163,4,FALSE),0)</f>
        <v>0</v>
      </c>
      <c r="E27" s="10">
        <f>IFERROR(VLOOKUP(A27,'Centre DW11'!$A$7:$N$161,5,FALSE),0)+
IFERROR(VLOOKUP(A27,'Centre WP11'!$A$7:$N$160,5,FALSE),0)+
IFERROR(VLOOKUP(A27,'Centre WR11'!$A$7:$N$160,5,FALSE),0)+
IFERROR(VLOOKUP(A27,'Centre WV11'!$A$7:$N$163,5,FALSE),0)</f>
        <v>0</v>
      </c>
      <c r="F27" s="10">
        <f>IFERROR(VLOOKUP(A27,'Centre DW11'!$A$7:$N$161,6,FALSE),0)+
IFERROR(VLOOKUP(A27,'Centre WP11'!$A$7:$N$160,6,FALSE),0)+
IFERROR(VLOOKUP(A27,'Centre WR11'!$A$7:$N$160,6,FALSE),0)+
IFERROR(VLOOKUP(A27,'Centre WV11'!$A$7:$N$163,6,FALSE),0)</f>
        <v>0</v>
      </c>
      <c r="G27" s="10">
        <f>IFERROR(VLOOKUP(A27,'Centre DW11'!$A$7:$N$161,7,FALSE),0)+
IFERROR(VLOOKUP(A27,'Centre WP11'!$A$7:$N$160,7,FALSE),0)+
IFERROR(VLOOKUP(A27,'Centre WR11'!$A$7:$N$160,7,FALSE),0)+
IFERROR(VLOOKUP(A27,'Centre WV11'!$A$7:$N$163,7,FALSE),0)</f>
        <v>0</v>
      </c>
      <c r="H27" s="10">
        <f>IFERROR(VLOOKUP(A27,'Centre DW11'!$A$7:$N$161,8,FALSE),0)+
IFERROR(VLOOKUP(A27,'Centre WP11'!$A$7:$N$160,8,FALSE),0)+
IFERROR(VLOOKUP(A27,'Centre WR11'!$A$7:$N$160,8,FALSE),0)+
IFERROR(VLOOKUP(A27,'Centre WV11'!$A$7:$N$163,8,FALSE),0)</f>
        <v>0</v>
      </c>
      <c r="I27" s="10">
        <f>IFERROR(VLOOKUP(A27,'Centre DW11'!$A$7:$N$161,9,FALSE),0)+
IFERROR(VLOOKUP(A27,'Centre WP11'!$A$7:$N$160,9,FALSE),0)+
IFERROR(VLOOKUP(A27,'Centre WR11'!$A$7:$N$160,9,FALSE),0)+
IFERROR(VLOOKUP(A27,'Centre WV11'!$A$7:$N$163,9,FALSE),0)</f>
        <v>0</v>
      </c>
      <c r="J27" s="10">
        <f>IFERROR(VLOOKUP(A27,'Centre DW11'!$A$7:$N$161,10,FALSE),0)+
IFERROR(VLOOKUP(A27,'Centre WP11'!$A$7:$N$160,10,FALSE),0)+
IFERROR(VLOOKUP(A27,'Centre WR11'!$A$7:$N$160,10,FALSE),0)+
IFERROR(VLOOKUP(A27,'Centre WV11'!$A$7:$N$163,10,FALSE),0)</f>
        <v>0</v>
      </c>
      <c r="K27" s="10">
        <f>IFERROR(VLOOKUP(A27,'Centre DW11'!$A$7:$N$161,11,FALSE),0)+
IFERROR(VLOOKUP(A27,'Centre WP11'!$A$7:$N$160,11,FALSE),0)+
IFERROR(VLOOKUP(A27,'Centre WR11'!$A$7:$N$160,11,FALSE),0)+
IFERROR(VLOOKUP(A27,'Centre WV11'!$A$7:$N$163,11,FALSE),0)</f>
        <v>0</v>
      </c>
      <c r="L27" s="10">
        <f>IFERROR(VLOOKUP(A27,'Centre DW11'!$A$7:$N$161,12,FALSE),0)+
IFERROR(VLOOKUP(A27,'Centre WP11'!$A$7:$N$160,12,FALSE),0)+
IFERROR(VLOOKUP(A27,'Centre WR11'!$A$7:$N$160,12,FALSE),0)+
IFERROR(VLOOKUP(A27,'Centre WV11'!$A$7:$N$163,12,FALSE),0)</f>
        <v>0</v>
      </c>
      <c r="M27" s="10">
        <f>IFERROR(VLOOKUP(A27,'Centre DW11'!$A$7:$N$161,13,FALSE),0)+
IFERROR(VLOOKUP(A27,'Centre WP11'!$A$7:$N$160,13,FALSE),0)+
IFERROR(VLOOKUP(A27,'Centre WR11'!$A$7:$N$160,13,FALSE),0)+
IFERROR(VLOOKUP(A27,'Centre WV11'!$A$7:$N$163,13,FALSE),0)</f>
        <v>0</v>
      </c>
      <c r="N27" s="10">
        <f>IFERROR(VLOOKUP(A27,'Centre DW11'!$A$7:$N$161,14,FALSE),0)+
IFERROR(VLOOKUP(A27,'Centre WP11'!$A$7:$N$160,14,FALSE),0)+
IFERROR(VLOOKUP(A27,'Centre WR11'!$A$7:$N$160,14,FALSE),0)+
IFERROR(VLOOKUP(A27,'Centre WV11'!$A$7:$N$163,14,FALSE),0)</f>
        <v>0</v>
      </c>
    </row>
    <row r="28" spans="1:14" collapsed="1" x14ac:dyDescent="0.2">
      <c r="A28" s="48" t="s">
        <v>60</v>
      </c>
      <c r="B28" s="49" t="s">
        <v>61</v>
      </c>
      <c r="C28" s="50">
        <f>IFERROR(VLOOKUP(A28,'Centre DW11'!$A$7:$N$161,3,FALSE),0)+
IFERROR(VLOOKUP(A28,'Centre WP11'!$A$7:$N$160,3,FALSE),0)+
IFERROR(VLOOKUP(A28,'Centre WR11'!$A$7:$N$160,3,FALSE),0)+
IFERROR(VLOOKUP(A28,'Centre WV11'!$A$7:$N$163,3,FALSE),0)</f>
        <v>0</v>
      </c>
      <c r="D28" s="50">
        <f>IFERROR(VLOOKUP(A28,'Centre DW11'!$A$7:$N$161,4,FALSE),0)+
IFERROR(VLOOKUP(A28,'Centre WP11'!$A$7:$N$160,4,FALSE),0)+
IFERROR(VLOOKUP(A28,'Centre WR11'!$A$7:$N$160,4,FALSE),0)+
IFERROR(VLOOKUP(A28,'Centre WV11'!$A$7:$N$163,4,FALSE),0)</f>
        <v>0</v>
      </c>
      <c r="E28" s="50">
        <f>IFERROR(VLOOKUP(A28,'Centre DW11'!$A$7:$N$161,5,FALSE),0)+
IFERROR(VLOOKUP(A28,'Centre WP11'!$A$7:$N$160,5,FALSE),0)+
IFERROR(VLOOKUP(A28,'Centre WR11'!$A$7:$N$160,5,FALSE),0)+
IFERROR(VLOOKUP(A28,'Centre WV11'!$A$7:$N$163,5,FALSE),0)</f>
        <v>0</v>
      </c>
      <c r="F28" s="50">
        <f>IFERROR(VLOOKUP(A28,'Centre DW11'!$A$7:$N$161,6,FALSE),0)+
IFERROR(VLOOKUP(A28,'Centre WP11'!$A$7:$N$160,6,FALSE),0)+
IFERROR(VLOOKUP(A28,'Centre WR11'!$A$7:$N$160,6,FALSE),0)+
IFERROR(VLOOKUP(A28,'Centre WV11'!$A$7:$N$163,6,FALSE),0)</f>
        <v>0</v>
      </c>
      <c r="G28" s="50">
        <f>IFERROR(VLOOKUP(A28,'Centre DW11'!$A$7:$N$161,7,FALSE),0)+
IFERROR(VLOOKUP(A28,'Centre WP11'!$A$7:$N$160,7,FALSE),0)+
IFERROR(VLOOKUP(A28,'Centre WR11'!$A$7:$N$160,7,FALSE),0)+
IFERROR(VLOOKUP(A28,'Centre WV11'!$A$7:$N$163,7,FALSE),0)</f>
        <v>0</v>
      </c>
      <c r="H28" s="50">
        <f>IFERROR(VLOOKUP(A28,'Centre DW11'!$A$7:$N$161,8,FALSE),0)+
IFERROR(VLOOKUP(A28,'Centre WP11'!$A$7:$N$160,8,FALSE),0)+
IFERROR(VLOOKUP(A28,'Centre WR11'!$A$7:$N$160,8,FALSE),0)+
IFERROR(VLOOKUP(A28,'Centre WV11'!$A$7:$N$163,8,FALSE),0)</f>
        <v>0</v>
      </c>
      <c r="I28" s="50">
        <f>IFERROR(VLOOKUP(A28,'Centre DW11'!$A$7:$N$161,9,FALSE),0)+
IFERROR(VLOOKUP(A28,'Centre WP11'!$A$7:$N$160,9,FALSE),0)+
IFERROR(VLOOKUP(A28,'Centre WR11'!$A$7:$N$160,9,FALSE),0)+
IFERROR(VLOOKUP(A28,'Centre WV11'!$A$7:$N$163,9,FALSE),0)</f>
        <v>0</v>
      </c>
      <c r="J28" s="50">
        <f>IFERROR(VLOOKUP(A28,'Centre DW11'!$A$7:$N$161,10,FALSE),0)+
IFERROR(VLOOKUP(A28,'Centre WP11'!$A$7:$N$160,10,FALSE),0)+
IFERROR(VLOOKUP(A28,'Centre WR11'!$A$7:$N$160,10,FALSE),0)+
IFERROR(VLOOKUP(A28,'Centre WV11'!$A$7:$N$163,10,FALSE),0)</f>
        <v>0</v>
      </c>
      <c r="K28" s="50">
        <f>IFERROR(VLOOKUP(A28,'Centre DW11'!$A$7:$N$161,11,FALSE),0)+
IFERROR(VLOOKUP(A28,'Centre WP11'!$A$7:$N$160,11,FALSE),0)+
IFERROR(VLOOKUP(A28,'Centre WR11'!$A$7:$N$160,11,FALSE),0)+
IFERROR(VLOOKUP(A28,'Centre WV11'!$A$7:$N$163,11,FALSE),0)</f>
        <v>0</v>
      </c>
      <c r="L28" s="50">
        <f>IFERROR(VLOOKUP(A28,'Centre DW11'!$A$7:$N$161,12,FALSE),0)+
IFERROR(VLOOKUP(A28,'Centre WP11'!$A$7:$N$160,12,FALSE),0)+
IFERROR(VLOOKUP(A28,'Centre WR11'!$A$7:$N$160,12,FALSE),0)+
IFERROR(VLOOKUP(A28,'Centre WV11'!$A$7:$N$163,12,FALSE),0)</f>
        <v>0</v>
      </c>
      <c r="M28" s="50">
        <f>IFERROR(VLOOKUP(A28,'Centre DW11'!$A$7:$N$161,13,FALSE),0)+
IFERROR(VLOOKUP(A28,'Centre WP11'!$A$7:$N$160,13,FALSE),0)+
IFERROR(VLOOKUP(A28,'Centre WR11'!$A$7:$N$160,13,FALSE),0)+
IFERROR(VLOOKUP(A28,'Centre WV11'!$A$7:$N$163,13,FALSE),0)</f>
        <v>0</v>
      </c>
      <c r="N28" s="50">
        <f>IFERROR(VLOOKUP(A28,'Centre DW11'!$A$7:$N$161,14,FALSE),0)+
IFERROR(VLOOKUP(A28,'Centre WP11'!$A$7:$N$160,14,FALSE),0)+
IFERROR(VLOOKUP(A28,'Centre WR11'!$A$7:$N$160,14,FALSE),0)+
IFERROR(VLOOKUP(A28,'Centre WV11'!$A$7:$N$163,14,FALSE),0)</f>
        <v>0</v>
      </c>
    </row>
    <row r="29" spans="1:14" x14ac:dyDescent="0.2">
      <c r="A29" s="48" t="s">
        <v>62</v>
      </c>
      <c r="B29" s="49" t="s">
        <v>63</v>
      </c>
      <c r="C29" s="50">
        <f>IFERROR(VLOOKUP(A29,'Centre DW11'!$A$7:$N$161,3,FALSE),0)+
IFERROR(VLOOKUP(A29,'Centre WP11'!$A$7:$N$160,3,FALSE),0)+
IFERROR(VLOOKUP(A29,'Centre WR11'!$A$7:$N$160,3,FALSE),0)+
IFERROR(VLOOKUP(A29,'Centre WV11'!$A$7:$N$163,3,FALSE),0)</f>
        <v>0</v>
      </c>
      <c r="D29" s="50">
        <f>IFERROR(VLOOKUP(A29,'Centre DW11'!$A$7:$N$161,4,FALSE),0)+
IFERROR(VLOOKUP(A29,'Centre WP11'!$A$7:$N$160,4,FALSE),0)+
IFERROR(VLOOKUP(A29,'Centre WR11'!$A$7:$N$160,4,FALSE),0)+
IFERROR(VLOOKUP(A29,'Centre WV11'!$A$7:$N$163,4,FALSE),0)</f>
        <v>0</v>
      </c>
      <c r="E29" s="50">
        <f>IFERROR(VLOOKUP(A29,'Centre DW11'!$A$7:$N$161,5,FALSE),0)+
IFERROR(VLOOKUP(A29,'Centre WP11'!$A$7:$N$160,5,FALSE),0)+
IFERROR(VLOOKUP(A29,'Centre WR11'!$A$7:$N$160,5,FALSE),0)+
IFERROR(VLOOKUP(A29,'Centre WV11'!$A$7:$N$163,5,FALSE),0)</f>
        <v>0</v>
      </c>
      <c r="F29" s="50">
        <f>IFERROR(VLOOKUP(A29,'Centre DW11'!$A$7:$N$161,6,FALSE),0)+
IFERROR(VLOOKUP(A29,'Centre WP11'!$A$7:$N$160,6,FALSE),0)+
IFERROR(VLOOKUP(A29,'Centre WR11'!$A$7:$N$160,6,FALSE),0)+
IFERROR(VLOOKUP(A29,'Centre WV11'!$A$7:$N$163,6,FALSE),0)</f>
        <v>0</v>
      </c>
      <c r="G29" s="50">
        <f>IFERROR(VLOOKUP(A29,'Centre DW11'!$A$7:$N$161,7,FALSE),0)+
IFERROR(VLOOKUP(A29,'Centre WP11'!$A$7:$N$160,7,FALSE),0)+
IFERROR(VLOOKUP(A29,'Centre WR11'!$A$7:$N$160,7,FALSE),0)+
IFERROR(VLOOKUP(A29,'Centre WV11'!$A$7:$N$163,7,FALSE),0)</f>
        <v>0</v>
      </c>
      <c r="H29" s="50">
        <f>IFERROR(VLOOKUP(A29,'Centre DW11'!$A$7:$N$161,8,FALSE),0)+
IFERROR(VLOOKUP(A29,'Centre WP11'!$A$7:$N$160,8,FALSE),0)+
IFERROR(VLOOKUP(A29,'Centre WR11'!$A$7:$N$160,8,FALSE),0)+
IFERROR(VLOOKUP(A29,'Centre WV11'!$A$7:$N$163,8,FALSE),0)</f>
        <v>0</v>
      </c>
      <c r="I29" s="50">
        <f>IFERROR(VLOOKUP(A29,'Centre DW11'!$A$7:$N$161,9,FALSE),0)+
IFERROR(VLOOKUP(A29,'Centre WP11'!$A$7:$N$160,9,FALSE),0)+
IFERROR(VLOOKUP(A29,'Centre WR11'!$A$7:$N$160,9,FALSE),0)+
IFERROR(VLOOKUP(A29,'Centre WV11'!$A$7:$N$163,9,FALSE),0)</f>
        <v>0</v>
      </c>
      <c r="J29" s="50">
        <f>IFERROR(VLOOKUP(A29,'Centre DW11'!$A$7:$N$161,10,FALSE),0)+
IFERROR(VLOOKUP(A29,'Centre WP11'!$A$7:$N$160,10,FALSE),0)+
IFERROR(VLOOKUP(A29,'Centre WR11'!$A$7:$N$160,10,FALSE),0)+
IFERROR(VLOOKUP(A29,'Centre WV11'!$A$7:$N$163,10,FALSE),0)</f>
        <v>0</v>
      </c>
      <c r="K29" s="50">
        <f>IFERROR(VLOOKUP(A29,'Centre DW11'!$A$7:$N$161,11,FALSE),0)+
IFERROR(VLOOKUP(A29,'Centre WP11'!$A$7:$N$160,11,FALSE),0)+
IFERROR(VLOOKUP(A29,'Centre WR11'!$A$7:$N$160,11,FALSE),0)+
IFERROR(VLOOKUP(A29,'Centre WV11'!$A$7:$N$163,11,FALSE),0)</f>
        <v>0</v>
      </c>
      <c r="L29" s="50">
        <f>IFERROR(VLOOKUP(A29,'Centre DW11'!$A$7:$N$161,12,FALSE),0)+
IFERROR(VLOOKUP(A29,'Centre WP11'!$A$7:$N$160,12,FALSE),0)+
IFERROR(VLOOKUP(A29,'Centre WR11'!$A$7:$N$160,12,FALSE),0)+
IFERROR(VLOOKUP(A29,'Centre WV11'!$A$7:$N$163,12,FALSE),0)</f>
        <v>0</v>
      </c>
      <c r="M29" s="50">
        <f>IFERROR(VLOOKUP(A29,'Centre DW11'!$A$7:$N$161,13,FALSE),0)+
IFERROR(VLOOKUP(A29,'Centre WP11'!$A$7:$N$160,13,FALSE),0)+
IFERROR(VLOOKUP(A29,'Centre WR11'!$A$7:$N$160,13,FALSE),0)+
IFERROR(VLOOKUP(A29,'Centre WV11'!$A$7:$N$163,13,FALSE),0)</f>
        <v>0</v>
      </c>
      <c r="N29" s="50">
        <f>IFERROR(VLOOKUP(A29,'Centre DW11'!$A$7:$N$161,14,FALSE),0)+
IFERROR(VLOOKUP(A29,'Centre WP11'!$A$7:$N$160,14,FALSE),0)+
IFERROR(VLOOKUP(A29,'Centre WR11'!$A$7:$N$160,14,FALSE),0)+
IFERROR(VLOOKUP(A29,'Centre WV11'!$A$7:$N$163,14,FALSE),0)</f>
        <v>0</v>
      </c>
    </row>
    <row r="30" spans="1:14" x14ac:dyDescent="0.2">
      <c r="A30" s="48" t="s">
        <v>64</v>
      </c>
      <c r="B30" s="49" t="s">
        <v>65</v>
      </c>
      <c r="C30" s="50">
        <f>+C31</f>
        <v>3.7</v>
      </c>
      <c r="D30" s="50">
        <f t="shared" ref="D30:N30" si="4">+D31</f>
        <v>3.7</v>
      </c>
      <c r="E30" s="50">
        <f t="shared" si="4"/>
        <v>3.7</v>
      </c>
      <c r="F30" s="50">
        <f t="shared" si="4"/>
        <v>3.7</v>
      </c>
      <c r="G30" s="50">
        <f t="shared" si="4"/>
        <v>3.7</v>
      </c>
      <c r="H30" s="50">
        <f t="shared" si="4"/>
        <v>3.7</v>
      </c>
      <c r="I30" s="50">
        <f t="shared" si="4"/>
        <v>3.7</v>
      </c>
      <c r="J30" s="50">
        <f t="shared" si="4"/>
        <v>3.7</v>
      </c>
      <c r="K30" s="50">
        <f t="shared" si="4"/>
        <v>3.7</v>
      </c>
      <c r="L30" s="50">
        <f t="shared" si="4"/>
        <v>3.7</v>
      </c>
      <c r="M30" s="50">
        <f t="shared" si="4"/>
        <v>3.7</v>
      </c>
      <c r="N30" s="50">
        <f t="shared" si="4"/>
        <v>3.7</v>
      </c>
    </row>
    <row r="31" spans="1:14" hidden="1" outlineLevel="1" x14ac:dyDescent="0.2">
      <c r="A31" s="9" t="s">
        <v>66</v>
      </c>
      <c r="B31" s="1" t="s">
        <v>67</v>
      </c>
      <c r="C31" s="10">
        <f>IFERROR(VLOOKUP(A31,'Centre DW11'!$A$7:$N$161,3,FALSE),0)+
IFERROR(VLOOKUP(A31,'Centre WP11'!$A$7:$N$160,3,FALSE),0)+
IFERROR(VLOOKUP(A31,'Centre WR11'!$A$7:$N$160,3,FALSE),0)+
IFERROR(VLOOKUP(A31,'Centre WV11'!$A$7:$N$163,3,FALSE),0)</f>
        <v>3.7</v>
      </c>
      <c r="D31" s="10">
        <f>IFERROR(VLOOKUP(A31,'Centre DW11'!$A$7:$N$161,4,FALSE),0)+
IFERROR(VLOOKUP(A31,'Centre WP11'!$A$7:$N$160,4,FALSE),0)+
IFERROR(VLOOKUP(A31,'Centre WR11'!$A$7:$N$160,4,FALSE),0)+
IFERROR(VLOOKUP(A31,'Centre WV11'!$A$7:$N$163,4,FALSE),0)</f>
        <v>3.7</v>
      </c>
      <c r="E31" s="10">
        <f>IFERROR(VLOOKUP(A31,'Centre DW11'!$A$7:$N$161,5,FALSE),0)+
IFERROR(VLOOKUP(A31,'Centre WP11'!$A$7:$N$160,5,FALSE),0)+
IFERROR(VLOOKUP(A31,'Centre WR11'!$A$7:$N$160,5,FALSE),0)+
IFERROR(VLOOKUP(A31,'Centre WV11'!$A$7:$N$163,5,FALSE),0)</f>
        <v>3.7</v>
      </c>
      <c r="F31" s="10">
        <f>IFERROR(VLOOKUP(A31,'Centre DW11'!$A$7:$N$161,6,FALSE),0)+
IFERROR(VLOOKUP(A31,'Centre WP11'!$A$7:$N$160,6,FALSE),0)+
IFERROR(VLOOKUP(A31,'Centre WR11'!$A$7:$N$160,6,FALSE),0)+
IFERROR(VLOOKUP(A31,'Centre WV11'!$A$7:$N$163,6,FALSE),0)</f>
        <v>3.7</v>
      </c>
      <c r="G31" s="10">
        <f>IFERROR(VLOOKUP(A31,'Centre DW11'!$A$7:$N$161,7,FALSE),0)+
IFERROR(VLOOKUP(A31,'Centre WP11'!$A$7:$N$160,7,FALSE),0)+
IFERROR(VLOOKUP(A31,'Centre WR11'!$A$7:$N$160,7,FALSE),0)+
IFERROR(VLOOKUP(A31,'Centre WV11'!$A$7:$N$163,7,FALSE),0)</f>
        <v>3.7</v>
      </c>
      <c r="H31" s="10">
        <f>IFERROR(VLOOKUP(A31,'Centre DW11'!$A$7:$N$161,8,FALSE),0)+
IFERROR(VLOOKUP(A31,'Centre WP11'!$A$7:$N$160,8,FALSE),0)+
IFERROR(VLOOKUP(A31,'Centre WR11'!$A$7:$N$160,8,FALSE),0)+
IFERROR(VLOOKUP(A31,'Centre WV11'!$A$7:$N$163,8,FALSE),0)</f>
        <v>3.7</v>
      </c>
      <c r="I31" s="10">
        <f>IFERROR(VLOOKUP(A31,'Centre DW11'!$A$7:$N$161,9,FALSE),0)+
IFERROR(VLOOKUP(A31,'Centre WP11'!$A$7:$N$160,9,FALSE),0)+
IFERROR(VLOOKUP(A31,'Centre WR11'!$A$7:$N$160,9,FALSE),0)+
IFERROR(VLOOKUP(A31,'Centre WV11'!$A$7:$N$163,9,FALSE),0)</f>
        <v>3.7</v>
      </c>
      <c r="J31" s="10">
        <f>IFERROR(VLOOKUP(A31,'Centre DW11'!$A$7:$N$161,10,FALSE),0)+
IFERROR(VLOOKUP(A31,'Centre WP11'!$A$7:$N$160,10,FALSE),0)+
IFERROR(VLOOKUP(A31,'Centre WR11'!$A$7:$N$160,10,FALSE),0)+
IFERROR(VLOOKUP(A31,'Centre WV11'!$A$7:$N$163,10,FALSE),0)</f>
        <v>3.7</v>
      </c>
      <c r="K31" s="10">
        <f>IFERROR(VLOOKUP(A31,'Centre DW11'!$A$7:$N$161,11,FALSE),0)+
IFERROR(VLOOKUP(A31,'Centre WP11'!$A$7:$N$160,11,FALSE),0)+
IFERROR(VLOOKUP(A31,'Centre WR11'!$A$7:$N$160,11,FALSE),0)+
IFERROR(VLOOKUP(A31,'Centre WV11'!$A$7:$N$163,11,FALSE),0)</f>
        <v>3.7</v>
      </c>
      <c r="L31" s="10">
        <f>IFERROR(VLOOKUP(A31,'Centre DW11'!$A$7:$N$161,12,FALSE),0)+
IFERROR(VLOOKUP(A31,'Centre WP11'!$A$7:$N$160,12,FALSE),0)+
IFERROR(VLOOKUP(A31,'Centre WR11'!$A$7:$N$160,12,FALSE),0)+
IFERROR(VLOOKUP(A31,'Centre WV11'!$A$7:$N$163,12,FALSE),0)</f>
        <v>3.7</v>
      </c>
      <c r="M31" s="10">
        <f>IFERROR(VLOOKUP(A31,'Centre DW11'!$A$7:$N$161,13,FALSE),0)+
IFERROR(VLOOKUP(A31,'Centre WP11'!$A$7:$N$160,13,FALSE),0)+
IFERROR(VLOOKUP(A31,'Centre WR11'!$A$7:$N$160,13,FALSE),0)+
IFERROR(VLOOKUP(A31,'Centre WV11'!$A$7:$N$163,13,FALSE),0)</f>
        <v>3.7</v>
      </c>
      <c r="N31" s="10">
        <f>IFERROR(VLOOKUP(A31,'Centre DW11'!$A$7:$N$161,14,FALSE),0)+
IFERROR(VLOOKUP(A31,'Centre WP11'!$A$7:$N$160,14,FALSE),0)+
IFERROR(VLOOKUP(A31,'Centre WR11'!$A$7:$N$160,14,FALSE),0)+
IFERROR(VLOOKUP(A31,'Centre WV11'!$A$7:$N$163,14,FALSE),0)</f>
        <v>3.7</v>
      </c>
    </row>
    <row r="32" spans="1:14" collapsed="1" x14ac:dyDescent="0.2">
      <c r="A32" s="48" t="s">
        <v>68</v>
      </c>
      <c r="B32" s="49" t="s">
        <v>69</v>
      </c>
      <c r="C32" s="50">
        <f>+C33</f>
        <v>0</v>
      </c>
      <c r="D32" s="50">
        <f t="shared" ref="D32:N32" si="5">+D33</f>
        <v>0</v>
      </c>
      <c r="E32" s="50">
        <f t="shared" si="5"/>
        <v>0</v>
      </c>
      <c r="F32" s="50">
        <f t="shared" si="5"/>
        <v>0</v>
      </c>
      <c r="G32" s="50">
        <f t="shared" si="5"/>
        <v>0</v>
      </c>
      <c r="H32" s="50">
        <f t="shared" si="5"/>
        <v>0</v>
      </c>
      <c r="I32" s="50">
        <f t="shared" si="5"/>
        <v>0</v>
      </c>
      <c r="J32" s="50">
        <f t="shared" si="5"/>
        <v>0</v>
      </c>
      <c r="K32" s="50">
        <f t="shared" si="5"/>
        <v>0</v>
      </c>
      <c r="L32" s="50">
        <f t="shared" si="5"/>
        <v>0</v>
      </c>
      <c r="M32" s="50">
        <f t="shared" si="5"/>
        <v>0</v>
      </c>
      <c r="N32" s="50">
        <f t="shared" si="5"/>
        <v>0</v>
      </c>
    </row>
    <row r="33" spans="1:14" hidden="1" outlineLevel="1" x14ac:dyDescent="0.2">
      <c r="A33" s="9" t="s">
        <v>70</v>
      </c>
      <c r="B33" s="1" t="s">
        <v>71</v>
      </c>
      <c r="C33" s="10">
        <f>IFERROR(VLOOKUP(A33,'Centre DW11'!$A$7:$N$161,3,FALSE),0)+
IFERROR(VLOOKUP(A33,'Centre WP11'!$A$7:$N$160,3,FALSE),0)+
IFERROR(VLOOKUP(A33,'Centre WR11'!$A$7:$N$160,3,FALSE),0)+
IFERROR(VLOOKUP(A33,'Centre WV11'!$A$7:$N$163,3,FALSE),0)</f>
        <v>0</v>
      </c>
      <c r="D33" s="10">
        <f>IFERROR(VLOOKUP(A33,'Centre DW11'!$A$7:$N$161,4,FALSE),0)+
IFERROR(VLOOKUP(A33,'Centre WP11'!$A$7:$N$160,4,FALSE),0)+
IFERROR(VLOOKUP(A33,'Centre WR11'!$A$7:$N$160,4,FALSE),0)+
IFERROR(VLOOKUP(A33,'Centre WV11'!$A$7:$N$163,4,FALSE),0)</f>
        <v>0</v>
      </c>
      <c r="E33" s="10">
        <f>IFERROR(VLOOKUP(A33,'Centre DW11'!$A$7:$N$161,5,FALSE),0)+
IFERROR(VLOOKUP(A33,'Centre WP11'!$A$7:$N$160,5,FALSE),0)+
IFERROR(VLOOKUP(A33,'Centre WR11'!$A$7:$N$160,5,FALSE),0)+
IFERROR(VLOOKUP(A33,'Centre WV11'!$A$7:$N$163,5,FALSE),0)</f>
        <v>0</v>
      </c>
      <c r="F33" s="10">
        <f>IFERROR(VLOOKUP(A33,'Centre DW11'!$A$7:$N$161,6,FALSE),0)+
IFERROR(VLOOKUP(A33,'Centre WP11'!$A$7:$N$160,6,FALSE),0)+
IFERROR(VLOOKUP(A33,'Centre WR11'!$A$7:$N$160,6,FALSE),0)+
IFERROR(VLOOKUP(A33,'Centre WV11'!$A$7:$N$163,6,FALSE),0)</f>
        <v>0</v>
      </c>
      <c r="G33" s="10">
        <f>IFERROR(VLOOKUP(A33,'Centre DW11'!$A$7:$N$161,7,FALSE),0)+
IFERROR(VLOOKUP(A33,'Centre WP11'!$A$7:$N$160,7,FALSE),0)+
IFERROR(VLOOKUP(A33,'Centre WR11'!$A$7:$N$160,7,FALSE),0)+
IFERROR(VLOOKUP(A33,'Centre WV11'!$A$7:$N$163,7,FALSE),0)</f>
        <v>0</v>
      </c>
      <c r="H33" s="10">
        <f>IFERROR(VLOOKUP(A33,'Centre DW11'!$A$7:$N$161,8,FALSE),0)+
IFERROR(VLOOKUP(A33,'Centre WP11'!$A$7:$N$160,8,FALSE),0)+
IFERROR(VLOOKUP(A33,'Centre WR11'!$A$7:$N$160,8,FALSE),0)+
IFERROR(VLOOKUP(A33,'Centre WV11'!$A$7:$N$163,8,FALSE),0)</f>
        <v>0</v>
      </c>
      <c r="I33" s="10">
        <f>IFERROR(VLOOKUP(A33,'Centre DW11'!$A$7:$N$161,9,FALSE),0)+
IFERROR(VLOOKUP(A33,'Centre WP11'!$A$7:$N$160,9,FALSE),0)+
IFERROR(VLOOKUP(A33,'Centre WR11'!$A$7:$N$160,9,FALSE),0)+
IFERROR(VLOOKUP(A33,'Centre WV11'!$A$7:$N$163,9,FALSE),0)</f>
        <v>0</v>
      </c>
      <c r="J33" s="10">
        <f>IFERROR(VLOOKUP(A33,'Centre DW11'!$A$7:$N$161,10,FALSE),0)+
IFERROR(VLOOKUP(A33,'Centre WP11'!$A$7:$N$160,10,FALSE),0)+
IFERROR(VLOOKUP(A33,'Centre WR11'!$A$7:$N$160,10,FALSE),0)+
IFERROR(VLOOKUP(A33,'Centre WV11'!$A$7:$N$163,10,FALSE),0)</f>
        <v>0</v>
      </c>
      <c r="K33" s="10">
        <f>IFERROR(VLOOKUP(A33,'Centre DW11'!$A$7:$N$161,11,FALSE),0)+
IFERROR(VLOOKUP(A33,'Centre WP11'!$A$7:$N$160,11,FALSE),0)+
IFERROR(VLOOKUP(A33,'Centre WR11'!$A$7:$N$160,11,FALSE),0)+
IFERROR(VLOOKUP(A33,'Centre WV11'!$A$7:$N$163,11,FALSE),0)</f>
        <v>0</v>
      </c>
      <c r="L33" s="10">
        <f>IFERROR(VLOOKUP(A33,'Centre DW11'!$A$7:$N$161,12,FALSE),0)+
IFERROR(VLOOKUP(A33,'Centre WP11'!$A$7:$N$160,12,FALSE),0)+
IFERROR(VLOOKUP(A33,'Centre WR11'!$A$7:$N$160,12,FALSE),0)+
IFERROR(VLOOKUP(A33,'Centre WV11'!$A$7:$N$163,12,FALSE),0)</f>
        <v>0</v>
      </c>
      <c r="M33" s="10">
        <f>IFERROR(VLOOKUP(A33,'Centre DW11'!$A$7:$N$161,13,FALSE),0)+
IFERROR(VLOOKUP(A33,'Centre WP11'!$A$7:$N$160,13,FALSE),0)+
IFERROR(VLOOKUP(A33,'Centre WR11'!$A$7:$N$160,13,FALSE),0)+
IFERROR(VLOOKUP(A33,'Centre WV11'!$A$7:$N$163,13,FALSE),0)</f>
        <v>0</v>
      </c>
      <c r="N33" s="10">
        <f>IFERROR(VLOOKUP(A33,'Centre DW11'!$A$7:$N$161,14,FALSE),0)+
IFERROR(VLOOKUP(A33,'Centre WP11'!$A$7:$N$160,14,FALSE),0)+
IFERROR(VLOOKUP(A33,'Centre WR11'!$A$7:$N$160,14,FALSE),0)+
IFERROR(VLOOKUP(A33,'Centre WV11'!$A$7:$N$163,14,FALSE),0)</f>
        <v>0</v>
      </c>
    </row>
    <row r="34" spans="1:14" collapsed="1" x14ac:dyDescent="0.2">
      <c r="A34" s="52"/>
      <c r="B34" s="52" t="s">
        <v>72</v>
      </c>
      <c r="C34" s="53">
        <f t="shared" ref="C34:N34" si="6">+C22+C28+C29+C30+C32</f>
        <v>9</v>
      </c>
      <c r="D34" s="53">
        <f t="shared" si="6"/>
        <v>9</v>
      </c>
      <c r="E34" s="53">
        <f t="shared" si="6"/>
        <v>9</v>
      </c>
      <c r="F34" s="53">
        <f t="shared" si="6"/>
        <v>9</v>
      </c>
      <c r="G34" s="53">
        <f t="shared" si="6"/>
        <v>9</v>
      </c>
      <c r="H34" s="53">
        <f t="shared" si="6"/>
        <v>9</v>
      </c>
      <c r="I34" s="53">
        <f t="shared" si="6"/>
        <v>9</v>
      </c>
      <c r="J34" s="53">
        <f t="shared" si="6"/>
        <v>9</v>
      </c>
      <c r="K34" s="53">
        <f t="shared" si="6"/>
        <v>9</v>
      </c>
      <c r="L34" s="53">
        <f t="shared" si="6"/>
        <v>9</v>
      </c>
      <c r="M34" s="53">
        <f t="shared" si="6"/>
        <v>9</v>
      </c>
      <c r="N34" s="53">
        <f t="shared" si="6"/>
        <v>9</v>
      </c>
    </row>
    <row r="35" spans="1:14" x14ac:dyDescent="0.2">
      <c r="A35" s="51"/>
      <c r="B35" s="51" t="s">
        <v>73</v>
      </c>
      <c r="C35" s="19">
        <f t="shared" ref="C35:N35" si="7">+C21-C34</f>
        <v>358</v>
      </c>
      <c r="D35" s="19">
        <f t="shared" si="7"/>
        <v>384</v>
      </c>
      <c r="E35" s="19">
        <f t="shared" si="7"/>
        <v>383</v>
      </c>
      <c r="F35" s="19">
        <f t="shared" si="7"/>
        <v>328</v>
      </c>
      <c r="G35" s="19">
        <f t="shared" si="7"/>
        <v>353</v>
      </c>
      <c r="H35" s="19">
        <f t="shared" si="7"/>
        <v>369</v>
      </c>
      <c r="I35" s="19">
        <f t="shared" si="7"/>
        <v>330</v>
      </c>
      <c r="J35" s="19">
        <f t="shared" si="7"/>
        <v>388</v>
      </c>
      <c r="K35" s="19">
        <f t="shared" si="7"/>
        <v>410</v>
      </c>
      <c r="L35" s="19">
        <f t="shared" si="7"/>
        <v>366</v>
      </c>
      <c r="M35" s="19">
        <f t="shared" si="7"/>
        <v>357</v>
      </c>
      <c r="N35" s="19">
        <f t="shared" si="7"/>
        <v>400</v>
      </c>
    </row>
    <row r="36" spans="1:14" x14ac:dyDescent="0.2">
      <c r="A36" s="9" t="s">
        <v>74</v>
      </c>
      <c r="B36" s="1" t="s">
        <v>74</v>
      </c>
      <c r="C36" s="10" t="s">
        <v>74</v>
      </c>
      <c r="D36" s="10" t="s">
        <v>74</v>
      </c>
      <c r="E36" s="10" t="s">
        <v>74</v>
      </c>
      <c r="F36" s="10" t="s">
        <v>74</v>
      </c>
      <c r="G36" s="10" t="s">
        <v>74</v>
      </c>
      <c r="H36" s="10" t="s">
        <v>74</v>
      </c>
      <c r="I36" s="10" t="s">
        <v>74</v>
      </c>
      <c r="J36" s="10" t="s">
        <v>74</v>
      </c>
      <c r="K36" s="10" t="s">
        <v>74</v>
      </c>
      <c r="L36" s="10" t="s">
        <v>74</v>
      </c>
      <c r="M36" s="10" t="s">
        <v>74</v>
      </c>
      <c r="N36" s="10" t="s">
        <v>74</v>
      </c>
    </row>
    <row r="37" spans="1:14" x14ac:dyDescent="0.2">
      <c r="A37" s="48" t="s">
        <v>75</v>
      </c>
      <c r="B37" s="49" t="s">
        <v>76</v>
      </c>
      <c r="C37" s="50">
        <f>SUM(C38:C56)</f>
        <v>82.47</v>
      </c>
      <c r="D37" s="50">
        <f t="shared" ref="D37:N37" si="8">SUM(D38:D56)</f>
        <v>82.57</v>
      </c>
      <c r="E37" s="50">
        <f t="shared" si="8"/>
        <v>82.36999999999999</v>
      </c>
      <c r="F37" s="50">
        <f t="shared" si="8"/>
        <v>82.67</v>
      </c>
      <c r="G37" s="50">
        <f t="shared" si="8"/>
        <v>83.47</v>
      </c>
      <c r="H37" s="50">
        <f t="shared" si="8"/>
        <v>92.77000000000001</v>
      </c>
      <c r="I37" s="50">
        <f t="shared" si="8"/>
        <v>82.77</v>
      </c>
      <c r="J37" s="50">
        <f t="shared" si="8"/>
        <v>82.36999999999999</v>
      </c>
      <c r="K37" s="50">
        <f t="shared" si="8"/>
        <v>82.67</v>
      </c>
      <c r="L37" s="50">
        <f t="shared" si="8"/>
        <v>84.67</v>
      </c>
      <c r="M37" s="50">
        <f t="shared" si="8"/>
        <v>84.17</v>
      </c>
      <c r="N37" s="50">
        <f t="shared" si="8"/>
        <v>94.070000000000007</v>
      </c>
    </row>
    <row r="38" spans="1:14" hidden="1" outlineLevel="1" x14ac:dyDescent="0.2">
      <c r="A38" s="9" t="s">
        <v>77</v>
      </c>
      <c r="B38" s="1" t="s">
        <v>78</v>
      </c>
      <c r="C38" s="10">
        <f>IFERROR(VLOOKUP(A38,'Centre DW11'!$A$7:$N$161,3,FALSE),0)+
IFERROR(VLOOKUP(A38,'Centre WP11'!$A$7:$N$160,3,FALSE),0)+
IFERROR(VLOOKUP(A38,'Centre WR11'!$A$7:$N$160,3,FALSE),0)+
IFERROR(VLOOKUP(A38,'Centre WV11'!$A$7:$N$163,3,FALSE),0)</f>
        <v>35.6</v>
      </c>
      <c r="D38" s="10">
        <f>IFERROR(VLOOKUP(A38,'Centre DW11'!$A$7:$N$161,4,FALSE),0)+
IFERROR(VLOOKUP(A38,'Centre WP11'!$A$7:$N$160,4,FALSE),0)+
IFERROR(VLOOKUP(A38,'Centre WR11'!$A$7:$N$160,4,FALSE),0)+
IFERROR(VLOOKUP(A38,'Centre WV11'!$A$7:$N$163,4,FALSE),0)</f>
        <v>35.6</v>
      </c>
      <c r="E38" s="10">
        <f>IFERROR(VLOOKUP(A38,'Centre DW11'!$A$7:$N$161,5,FALSE),0)+
IFERROR(VLOOKUP(A38,'Centre WP11'!$A$7:$N$160,5,FALSE),0)+
IFERROR(VLOOKUP(A38,'Centre WR11'!$A$7:$N$160,5,FALSE),0)+
IFERROR(VLOOKUP(A38,'Centre WV11'!$A$7:$N$163,5,FALSE),0)</f>
        <v>35.6</v>
      </c>
      <c r="F38" s="10">
        <f>IFERROR(VLOOKUP(A38,'Centre DW11'!$A$7:$N$161,6,FALSE),0)+
IFERROR(VLOOKUP(A38,'Centre WP11'!$A$7:$N$160,6,FALSE),0)+
IFERROR(VLOOKUP(A38,'Centre WR11'!$A$7:$N$160,6,FALSE),0)+
IFERROR(VLOOKUP(A38,'Centre WV11'!$A$7:$N$163,6,FALSE),0)</f>
        <v>35.6</v>
      </c>
      <c r="G38" s="10">
        <f>IFERROR(VLOOKUP(A38,'Centre DW11'!$A$7:$N$161,7,FALSE),0)+
IFERROR(VLOOKUP(A38,'Centre WP11'!$A$7:$N$160,7,FALSE),0)+
IFERROR(VLOOKUP(A38,'Centre WR11'!$A$7:$N$160,7,FALSE),0)+
IFERROR(VLOOKUP(A38,'Centre WV11'!$A$7:$N$163,7,FALSE),0)</f>
        <v>35.6</v>
      </c>
      <c r="H38" s="10">
        <f>IFERROR(VLOOKUP(A38,'Centre DW11'!$A$7:$N$161,8,FALSE),0)+
IFERROR(VLOOKUP(A38,'Centre WP11'!$A$7:$N$160,8,FALSE),0)+
IFERROR(VLOOKUP(A38,'Centre WR11'!$A$7:$N$160,8,FALSE),0)+
IFERROR(VLOOKUP(A38,'Centre WV11'!$A$7:$N$163,8,FALSE),0)</f>
        <v>35.6</v>
      </c>
      <c r="I38" s="10">
        <f>IFERROR(VLOOKUP(A38,'Centre DW11'!$A$7:$N$161,9,FALSE),0)+
IFERROR(VLOOKUP(A38,'Centre WP11'!$A$7:$N$160,9,FALSE),0)+
IFERROR(VLOOKUP(A38,'Centre WR11'!$A$7:$N$160,9,FALSE),0)+
IFERROR(VLOOKUP(A38,'Centre WV11'!$A$7:$N$163,9,FALSE),0)</f>
        <v>35.6</v>
      </c>
      <c r="J38" s="10">
        <f>IFERROR(VLOOKUP(A38,'Centre DW11'!$A$7:$N$161,10,FALSE),0)+
IFERROR(VLOOKUP(A38,'Centre WP11'!$A$7:$N$160,10,FALSE),0)+
IFERROR(VLOOKUP(A38,'Centre WR11'!$A$7:$N$160,10,FALSE),0)+
IFERROR(VLOOKUP(A38,'Centre WV11'!$A$7:$N$163,10,FALSE),0)</f>
        <v>35.6</v>
      </c>
      <c r="K38" s="10">
        <f>IFERROR(VLOOKUP(A38,'Centre DW11'!$A$7:$N$161,11,FALSE),0)+
IFERROR(VLOOKUP(A38,'Centre WP11'!$A$7:$N$160,11,FALSE),0)+
IFERROR(VLOOKUP(A38,'Centre WR11'!$A$7:$N$160,11,FALSE),0)+
IFERROR(VLOOKUP(A38,'Centre WV11'!$A$7:$N$163,11,FALSE),0)</f>
        <v>35.6</v>
      </c>
      <c r="L38" s="10">
        <f>IFERROR(VLOOKUP(A38,'Centre DW11'!$A$7:$N$161,12,FALSE),0)+
IFERROR(VLOOKUP(A38,'Centre WP11'!$A$7:$N$160,12,FALSE),0)+
IFERROR(VLOOKUP(A38,'Centre WR11'!$A$7:$N$160,12,FALSE),0)+
IFERROR(VLOOKUP(A38,'Centre WV11'!$A$7:$N$163,12,FALSE),0)</f>
        <v>35.6</v>
      </c>
      <c r="M38" s="10">
        <f>IFERROR(VLOOKUP(A38,'Centre DW11'!$A$7:$N$161,13,FALSE),0)+
IFERROR(VLOOKUP(A38,'Centre WP11'!$A$7:$N$160,13,FALSE),0)+
IFERROR(VLOOKUP(A38,'Centre WR11'!$A$7:$N$160,13,FALSE),0)+
IFERROR(VLOOKUP(A38,'Centre WV11'!$A$7:$N$163,13,FALSE),0)</f>
        <v>35.6</v>
      </c>
      <c r="N38" s="10">
        <f>IFERROR(VLOOKUP(A38,'Centre DW11'!$A$7:$N$161,14,FALSE),0)+
IFERROR(VLOOKUP(A38,'Centre WP11'!$A$7:$N$160,14,FALSE),0)+
IFERROR(VLOOKUP(A38,'Centre WR11'!$A$7:$N$160,14,FALSE),0)+
IFERROR(VLOOKUP(A38,'Centre WV11'!$A$7:$N$163,14,FALSE),0)</f>
        <v>35.6</v>
      </c>
    </row>
    <row r="39" spans="1:14" hidden="1" outlineLevel="1" x14ac:dyDescent="0.2">
      <c r="A39" s="9" t="s">
        <v>79</v>
      </c>
      <c r="B39" s="1" t="s">
        <v>80</v>
      </c>
      <c r="C39" s="10">
        <f>IFERROR(VLOOKUP(A39,'Centre DW11'!$A$7:$N$161,3,FALSE),0)+
IFERROR(VLOOKUP(A39,'Centre WP11'!$A$7:$N$160,3,FALSE),0)+
IFERROR(VLOOKUP(A39,'Centre WR11'!$A$7:$N$160,3,FALSE),0)+
IFERROR(VLOOKUP(A39,'Centre WV11'!$A$7:$N$163,3,FALSE),0)</f>
        <v>0.4</v>
      </c>
      <c r="D39" s="10">
        <f>IFERROR(VLOOKUP(A39,'Centre DW11'!$A$7:$N$161,4,FALSE),0)+
IFERROR(VLOOKUP(A39,'Centre WP11'!$A$7:$N$160,4,FALSE),0)+
IFERROR(VLOOKUP(A39,'Centre WR11'!$A$7:$N$160,4,FALSE),0)+
IFERROR(VLOOKUP(A39,'Centre WV11'!$A$7:$N$163,4,FALSE),0)</f>
        <v>0.4</v>
      </c>
      <c r="E39" s="10">
        <f>IFERROR(VLOOKUP(A39,'Centre DW11'!$A$7:$N$161,5,FALSE),0)+
IFERROR(VLOOKUP(A39,'Centre WP11'!$A$7:$N$160,5,FALSE),0)+
IFERROR(VLOOKUP(A39,'Centre WR11'!$A$7:$N$160,5,FALSE),0)+
IFERROR(VLOOKUP(A39,'Centre WV11'!$A$7:$N$163,5,FALSE),0)</f>
        <v>0.4</v>
      </c>
      <c r="F39" s="10">
        <f>IFERROR(VLOOKUP(A39,'Centre DW11'!$A$7:$N$161,6,FALSE),0)+
IFERROR(VLOOKUP(A39,'Centre WP11'!$A$7:$N$160,6,FALSE),0)+
IFERROR(VLOOKUP(A39,'Centre WR11'!$A$7:$N$160,6,FALSE),0)+
IFERROR(VLOOKUP(A39,'Centre WV11'!$A$7:$N$163,6,FALSE),0)</f>
        <v>0.4</v>
      </c>
      <c r="G39" s="10">
        <f>IFERROR(VLOOKUP(A39,'Centre DW11'!$A$7:$N$161,7,FALSE),0)+
IFERROR(VLOOKUP(A39,'Centre WP11'!$A$7:$N$160,7,FALSE),0)+
IFERROR(VLOOKUP(A39,'Centre WR11'!$A$7:$N$160,7,FALSE),0)+
IFERROR(VLOOKUP(A39,'Centre WV11'!$A$7:$N$163,7,FALSE),0)</f>
        <v>0.4</v>
      </c>
      <c r="H39" s="10">
        <f>IFERROR(VLOOKUP(A39,'Centre DW11'!$A$7:$N$161,8,FALSE),0)+
IFERROR(VLOOKUP(A39,'Centre WP11'!$A$7:$N$160,8,FALSE),0)+
IFERROR(VLOOKUP(A39,'Centre WR11'!$A$7:$N$160,8,FALSE),0)+
IFERROR(VLOOKUP(A39,'Centre WV11'!$A$7:$N$163,8,FALSE),0)</f>
        <v>0.4</v>
      </c>
      <c r="I39" s="10">
        <f>IFERROR(VLOOKUP(A39,'Centre DW11'!$A$7:$N$161,9,FALSE),0)+
IFERROR(VLOOKUP(A39,'Centre WP11'!$A$7:$N$160,9,FALSE),0)+
IFERROR(VLOOKUP(A39,'Centre WR11'!$A$7:$N$160,9,FALSE),0)+
IFERROR(VLOOKUP(A39,'Centre WV11'!$A$7:$N$163,9,FALSE),0)</f>
        <v>0.4</v>
      </c>
      <c r="J39" s="10">
        <f>IFERROR(VLOOKUP(A39,'Centre DW11'!$A$7:$N$161,10,FALSE),0)+
IFERROR(VLOOKUP(A39,'Centre WP11'!$A$7:$N$160,10,FALSE),0)+
IFERROR(VLOOKUP(A39,'Centre WR11'!$A$7:$N$160,10,FALSE),0)+
IFERROR(VLOOKUP(A39,'Centre WV11'!$A$7:$N$163,10,FALSE),0)</f>
        <v>0.4</v>
      </c>
      <c r="K39" s="10">
        <f>IFERROR(VLOOKUP(A39,'Centre DW11'!$A$7:$N$161,11,FALSE),0)+
IFERROR(VLOOKUP(A39,'Centre WP11'!$A$7:$N$160,11,FALSE),0)+
IFERROR(VLOOKUP(A39,'Centre WR11'!$A$7:$N$160,11,FALSE),0)+
IFERROR(VLOOKUP(A39,'Centre WV11'!$A$7:$N$163,11,FALSE),0)</f>
        <v>0.4</v>
      </c>
      <c r="L39" s="10">
        <f>IFERROR(VLOOKUP(A39,'Centre DW11'!$A$7:$N$161,12,FALSE),0)+
IFERROR(VLOOKUP(A39,'Centre WP11'!$A$7:$N$160,12,FALSE),0)+
IFERROR(VLOOKUP(A39,'Centre WR11'!$A$7:$N$160,12,FALSE),0)+
IFERROR(VLOOKUP(A39,'Centre WV11'!$A$7:$N$163,12,FALSE),0)</f>
        <v>0.4</v>
      </c>
      <c r="M39" s="10">
        <f>IFERROR(VLOOKUP(A39,'Centre DW11'!$A$7:$N$161,13,FALSE),0)+
IFERROR(VLOOKUP(A39,'Centre WP11'!$A$7:$N$160,13,FALSE),0)+
IFERROR(VLOOKUP(A39,'Centre WR11'!$A$7:$N$160,13,FALSE),0)+
IFERROR(VLOOKUP(A39,'Centre WV11'!$A$7:$N$163,13,FALSE),0)</f>
        <v>0.4</v>
      </c>
      <c r="N39" s="10">
        <f>IFERROR(VLOOKUP(A39,'Centre DW11'!$A$7:$N$161,14,FALSE),0)+
IFERROR(VLOOKUP(A39,'Centre WP11'!$A$7:$N$160,14,FALSE),0)+
IFERROR(VLOOKUP(A39,'Centre WR11'!$A$7:$N$160,14,FALSE),0)+
IFERROR(VLOOKUP(A39,'Centre WV11'!$A$7:$N$163,14,FALSE),0)</f>
        <v>0.4</v>
      </c>
    </row>
    <row r="40" spans="1:14" hidden="1" outlineLevel="1" x14ac:dyDescent="0.2">
      <c r="A40" s="9" t="s">
        <v>81</v>
      </c>
      <c r="B40" s="1" t="s">
        <v>82</v>
      </c>
      <c r="C40" s="10">
        <f>IFERROR(VLOOKUP(A40,'Centre DW11'!$A$7:$N$161,3,FALSE),0)+
IFERROR(VLOOKUP(A40,'Centre WP11'!$A$7:$N$160,3,FALSE),0)+
IFERROR(VLOOKUP(A40,'Centre WR11'!$A$7:$N$160,3,FALSE),0)+
IFERROR(VLOOKUP(A40,'Centre WV11'!$A$7:$N$163,3,FALSE),0)</f>
        <v>7.6</v>
      </c>
      <c r="D40" s="10">
        <f>IFERROR(VLOOKUP(A40,'Centre DW11'!$A$7:$N$161,4,FALSE),0)+
IFERROR(VLOOKUP(A40,'Centre WP11'!$A$7:$N$160,4,FALSE),0)+
IFERROR(VLOOKUP(A40,'Centre WR11'!$A$7:$N$160,4,FALSE),0)+
IFERROR(VLOOKUP(A40,'Centre WV11'!$A$7:$N$163,4,FALSE),0)</f>
        <v>7.6</v>
      </c>
      <c r="E40" s="10">
        <f>IFERROR(VLOOKUP(A40,'Centre DW11'!$A$7:$N$161,5,FALSE),0)+
IFERROR(VLOOKUP(A40,'Centre WP11'!$A$7:$N$160,5,FALSE),0)+
IFERROR(VLOOKUP(A40,'Centre WR11'!$A$7:$N$160,5,FALSE),0)+
IFERROR(VLOOKUP(A40,'Centre WV11'!$A$7:$N$163,5,FALSE),0)</f>
        <v>7.6</v>
      </c>
      <c r="F40" s="10">
        <f>IFERROR(VLOOKUP(A40,'Centre DW11'!$A$7:$N$161,6,FALSE),0)+
IFERROR(VLOOKUP(A40,'Centre WP11'!$A$7:$N$160,6,FALSE),0)+
IFERROR(VLOOKUP(A40,'Centre WR11'!$A$7:$N$160,6,FALSE),0)+
IFERROR(VLOOKUP(A40,'Centre WV11'!$A$7:$N$163,6,FALSE),0)</f>
        <v>7.6</v>
      </c>
      <c r="G40" s="10">
        <f>IFERROR(VLOOKUP(A40,'Centre DW11'!$A$7:$N$161,7,FALSE),0)+
IFERROR(VLOOKUP(A40,'Centre WP11'!$A$7:$N$160,7,FALSE),0)+
IFERROR(VLOOKUP(A40,'Centre WR11'!$A$7:$N$160,7,FALSE),0)+
IFERROR(VLOOKUP(A40,'Centre WV11'!$A$7:$N$163,7,FALSE),0)</f>
        <v>7.6</v>
      </c>
      <c r="H40" s="10">
        <f>IFERROR(VLOOKUP(A40,'Centre DW11'!$A$7:$N$161,8,FALSE),0)+
IFERROR(VLOOKUP(A40,'Centre WP11'!$A$7:$N$160,8,FALSE),0)+
IFERROR(VLOOKUP(A40,'Centre WR11'!$A$7:$N$160,8,FALSE),0)+
IFERROR(VLOOKUP(A40,'Centre WV11'!$A$7:$N$163,8,FALSE),0)</f>
        <v>7.6</v>
      </c>
      <c r="I40" s="10">
        <f>IFERROR(VLOOKUP(A40,'Centre DW11'!$A$7:$N$161,9,FALSE),0)+
IFERROR(VLOOKUP(A40,'Centre WP11'!$A$7:$N$160,9,FALSE),0)+
IFERROR(VLOOKUP(A40,'Centre WR11'!$A$7:$N$160,9,FALSE),0)+
IFERROR(VLOOKUP(A40,'Centre WV11'!$A$7:$N$163,9,FALSE),0)</f>
        <v>7.6</v>
      </c>
      <c r="J40" s="10">
        <f>IFERROR(VLOOKUP(A40,'Centre DW11'!$A$7:$N$161,10,FALSE),0)+
IFERROR(VLOOKUP(A40,'Centre WP11'!$A$7:$N$160,10,FALSE),0)+
IFERROR(VLOOKUP(A40,'Centre WR11'!$A$7:$N$160,10,FALSE),0)+
IFERROR(VLOOKUP(A40,'Centre WV11'!$A$7:$N$163,10,FALSE),0)</f>
        <v>7.6</v>
      </c>
      <c r="K40" s="10">
        <f>IFERROR(VLOOKUP(A40,'Centre DW11'!$A$7:$N$161,11,FALSE),0)+
IFERROR(VLOOKUP(A40,'Centre WP11'!$A$7:$N$160,11,FALSE),0)+
IFERROR(VLOOKUP(A40,'Centre WR11'!$A$7:$N$160,11,FALSE),0)+
IFERROR(VLOOKUP(A40,'Centre WV11'!$A$7:$N$163,11,FALSE),0)</f>
        <v>7.6</v>
      </c>
      <c r="L40" s="10">
        <f>IFERROR(VLOOKUP(A40,'Centre DW11'!$A$7:$N$161,12,FALSE),0)+
IFERROR(VLOOKUP(A40,'Centre WP11'!$A$7:$N$160,12,FALSE),0)+
IFERROR(VLOOKUP(A40,'Centre WR11'!$A$7:$N$160,12,FALSE),0)+
IFERROR(VLOOKUP(A40,'Centre WV11'!$A$7:$N$163,12,FALSE),0)</f>
        <v>7.6</v>
      </c>
      <c r="M40" s="10">
        <f>IFERROR(VLOOKUP(A40,'Centre DW11'!$A$7:$N$161,13,FALSE),0)+
IFERROR(VLOOKUP(A40,'Centre WP11'!$A$7:$N$160,13,FALSE),0)+
IFERROR(VLOOKUP(A40,'Centre WR11'!$A$7:$N$160,13,FALSE),0)+
IFERROR(VLOOKUP(A40,'Centre WV11'!$A$7:$N$163,13,FALSE),0)</f>
        <v>7.6</v>
      </c>
      <c r="N40" s="10">
        <f>IFERROR(VLOOKUP(A40,'Centre DW11'!$A$7:$N$161,14,FALSE),0)+
IFERROR(VLOOKUP(A40,'Centre WP11'!$A$7:$N$160,14,FALSE),0)+
IFERROR(VLOOKUP(A40,'Centre WR11'!$A$7:$N$160,14,FALSE),0)+
IFERROR(VLOOKUP(A40,'Centre WV11'!$A$7:$N$163,14,FALSE),0)</f>
        <v>7.6</v>
      </c>
    </row>
    <row r="41" spans="1:14" hidden="1" outlineLevel="1" x14ac:dyDescent="0.2">
      <c r="A41" s="9" t="s">
        <v>83</v>
      </c>
      <c r="B41" s="1" t="s">
        <v>84</v>
      </c>
      <c r="C41" s="10">
        <f>IFERROR(VLOOKUP(A41,'Centre DW11'!$A$7:$N$161,3,FALSE),0)+
IFERROR(VLOOKUP(A41,'Centre WP11'!$A$7:$N$160,3,FALSE),0)+
IFERROR(VLOOKUP(A41,'Centre WR11'!$A$7:$N$160,3,FALSE),0)+
IFERROR(VLOOKUP(A41,'Centre WV11'!$A$7:$N$163,3,FALSE),0)</f>
        <v>0</v>
      </c>
      <c r="D41" s="10">
        <f>IFERROR(VLOOKUP(A41,'Centre DW11'!$A$7:$N$161,4,FALSE),0)+
IFERROR(VLOOKUP(A41,'Centre WP11'!$A$7:$N$160,4,FALSE),0)+
IFERROR(VLOOKUP(A41,'Centre WR11'!$A$7:$N$160,4,FALSE),0)+
IFERROR(VLOOKUP(A41,'Centre WV11'!$A$7:$N$163,4,FALSE),0)</f>
        <v>0</v>
      </c>
      <c r="E41" s="10">
        <f>IFERROR(VLOOKUP(A41,'Centre DW11'!$A$7:$N$161,5,FALSE),0)+
IFERROR(VLOOKUP(A41,'Centre WP11'!$A$7:$N$160,5,FALSE),0)+
IFERROR(VLOOKUP(A41,'Centre WR11'!$A$7:$N$160,5,FALSE),0)+
IFERROR(VLOOKUP(A41,'Centre WV11'!$A$7:$N$163,5,FALSE),0)</f>
        <v>0</v>
      </c>
      <c r="F41" s="10">
        <f>IFERROR(VLOOKUP(A41,'Centre DW11'!$A$7:$N$161,6,FALSE),0)+
IFERROR(VLOOKUP(A41,'Centre WP11'!$A$7:$N$160,6,FALSE),0)+
IFERROR(VLOOKUP(A41,'Centre WR11'!$A$7:$N$160,6,FALSE),0)+
IFERROR(VLOOKUP(A41,'Centre WV11'!$A$7:$N$163,6,FALSE),0)</f>
        <v>0</v>
      </c>
      <c r="G41" s="10">
        <f>IFERROR(VLOOKUP(A41,'Centre DW11'!$A$7:$N$161,7,FALSE),0)+
IFERROR(VLOOKUP(A41,'Centre WP11'!$A$7:$N$160,7,FALSE),0)+
IFERROR(VLOOKUP(A41,'Centre WR11'!$A$7:$N$160,7,FALSE),0)+
IFERROR(VLOOKUP(A41,'Centre WV11'!$A$7:$N$163,7,FALSE),0)</f>
        <v>0</v>
      </c>
      <c r="H41" s="10">
        <f>IFERROR(VLOOKUP(A41,'Centre DW11'!$A$7:$N$161,8,FALSE),0)+
IFERROR(VLOOKUP(A41,'Centre WP11'!$A$7:$N$160,8,FALSE),0)+
IFERROR(VLOOKUP(A41,'Centre WR11'!$A$7:$N$160,8,FALSE),0)+
IFERROR(VLOOKUP(A41,'Centre WV11'!$A$7:$N$163,8,FALSE),0)</f>
        <v>0</v>
      </c>
      <c r="I41" s="10">
        <f>IFERROR(VLOOKUP(A41,'Centre DW11'!$A$7:$N$161,9,FALSE),0)+
IFERROR(VLOOKUP(A41,'Centre WP11'!$A$7:$N$160,9,FALSE),0)+
IFERROR(VLOOKUP(A41,'Centre WR11'!$A$7:$N$160,9,FALSE),0)+
IFERROR(VLOOKUP(A41,'Centre WV11'!$A$7:$N$163,9,FALSE),0)</f>
        <v>0</v>
      </c>
      <c r="J41" s="10">
        <f>IFERROR(VLOOKUP(A41,'Centre DW11'!$A$7:$N$161,10,FALSE),0)+
IFERROR(VLOOKUP(A41,'Centre WP11'!$A$7:$N$160,10,FALSE),0)+
IFERROR(VLOOKUP(A41,'Centre WR11'!$A$7:$N$160,10,FALSE),0)+
IFERROR(VLOOKUP(A41,'Centre WV11'!$A$7:$N$163,10,FALSE),0)</f>
        <v>0</v>
      </c>
      <c r="K41" s="10">
        <f>IFERROR(VLOOKUP(A41,'Centre DW11'!$A$7:$N$161,11,FALSE),0)+
IFERROR(VLOOKUP(A41,'Centre WP11'!$A$7:$N$160,11,FALSE),0)+
IFERROR(VLOOKUP(A41,'Centre WR11'!$A$7:$N$160,11,FALSE),0)+
IFERROR(VLOOKUP(A41,'Centre WV11'!$A$7:$N$163,11,FALSE),0)</f>
        <v>0</v>
      </c>
      <c r="L41" s="10">
        <f>IFERROR(VLOOKUP(A41,'Centre DW11'!$A$7:$N$161,12,FALSE),0)+
IFERROR(VLOOKUP(A41,'Centre WP11'!$A$7:$N$160,12,FALSE),0)+
IFERROR(VLOOKUP(A41,'Centre WR11'!$A$7:$N$160,12,FALSE),0)+
IFERROR(VLOOKUP(A41,'Centre WV11'!$A$7:$N$163,12,FALSE),0)</f>
        <v>0</v>
      </c>
      <c r="M41" s="10">
        <f>IFERROR(VLOOKUP(A41,'Centre DW11'!$A$7:$N$161,13,FALSE),0)+
IFERROR(VLOOKUP(A41,'Centre WP11'!$A$7:$N$160,13,FALSE),0)+
IFERROR(VLOOKUP(A41,'Centre WR11'!$A$7:$N$160,13,FALSE),0)+
IFERROR(VLOOKUP(A41,'Centre WV11'!$A$7:$N$163,13,FALSE),0)</f>
        <v>0</v>
      </c>
      <c r="N41" s="10">
        <f>IFERROR(VLOOKUP(A41,'Centre DW11'!$A$7:$N$161,14,FALSE),0)+
IFERROR(VLOOKUP(A41,'Centre WP11'!$A$7:$N$160,14,FALSE),0)+
IFERROR(VLOOKUP(A41,'Centre WR11'!$A$7:$N$160,14,FALSE),0)+
IFERROR(VLOOKUP(A41,'Centre WV11'!$A$7:$N$163,14,FALSE),0)</f>
        <v>0</v>
      </c>
    </row>
    <row r="42" spans="1:14" hidden="1" outlineLevel="1" x14ac:dyDescent="0.2">
      <c r="A42" s="9" t="s">
        <v>85</v>
      </c>
      <c r="B42" s="1" t="s">
        <v>86</v>
      </c>
      <c r="C42" s="10">
        <f>IFERROR(VLOOKUP(A42,'Centre DW11'!$A$7:$N$161,3,FALSE),0)+
IFERROR(VLOOKUP(A42,'Centre WP11'!$A$7:$N$160,3,FALSE),0)+
IFERROR(VLOOKUP(A42,'Centre WR11'!$A$7:$N$160,3,FALSE),0)+
IFERROR(VLOOKUP(A42,'Centre WV11'!$A$7:$N$163,3,FALSE),0)</f>
        <v>1.3</v>
      </c>
      <c r="D42" s="10">
        <f>IFERROR(VLOOKUP(A42,'Centre DW11'!$A$7:$N$161,4,FALSE),0)+
IFERROR(VLOOKUP(A42,'Centre WP11'!$A$7:$N$160,4,FALSE),0)+
IFERROR(VLOOKUP(A42,'Centre WR11'!$A$7:$N$160,4,FALSE),0)+
IFERROR(VLOOKUP(A42,'Centre WV11'!$A$7:$N$163,4,FALSE),0)</f>
        <v>1.3</v>
      </c>
      <c r="E42" s="10">
        <f>IFERROR(VLOOKUP(A42,'Centre DW11'!$A$7:$N$161,5,FALSE),0)+
IFERROR(VLOOKUP(A42,'Centre WP11'!$A$7:$N$160,5,FALSE),0)+
IFERROR(VLOOKUP(A42,'Centre WR11'!$A$7:$N$160,5,FALSE),0)+
IFERROR(VLOOKUP(A42,'Centre WV11'!$A$7:$N$163,5,FALSE),0)</f>
        <v>1.3</v>
      </c>
      <c r="F42" s="10">
        <f>IFERROR(VLOOKUP(A42,'Centre DW11'!$A$7:$N$161,6,FALSE),0)+
IFERROR(VLOOKUP(A42,'Centre WP11'!$A$7:$N$160,6,FALSE),0)+
IFERROR(VLOOKUP(A42,'Centre WR11'!$A$7:$N$160,6,FALSE),0)+
IFERROR(VLOOKUP(A42,'Centre WV11'!$A$7:$N$163,6,FALSE),0)</f>
        <v>1.3</v>
      </c>
      <c r="G42" s="10">
        <f>IFERROR(VLOOKUP(A42,'Centre DW11'!$A$7:$N$161,7,FALSE),0)+
IFERROR(VLOOKUP(A42,'Centre WP11'!$A$7:$N$160,7,FALSE),0)+
IFERROR(VLOOKUP(A42,'Centre WR11'!$A$7:$N$160,7,FALSE),0)+
IFERROR(VLOOKUP(A42,'Centre WV11'!$A$7:$N$163,7,FALSE),0)</f>
        <v>1.3</v>
      </c>
      <c r="H42" s="10">
        <f>IFERROR(VLOOKUP(A42,'Centre DW11'!$A$7:$N$161,8,FALSE),0)+
IFERROR(VLOOKUP(A42,'Centre WP11'!$A$7:$N$160,8,FALSE),0)+
IFERROR(VLOOKUP(A42,'Centre WR11'!$A$7:$N$160,8,FALSE),0)+
IFERROR(VLOOKUP(A42,'Centre WV11'!$A$7:$N$163,8,FALSE),0)</f>
        <v>1.3</v>
      </c>
      <c r="I42" s="10">
        <f>IFERROR(VLOOKUP(A42,'Centre DW11'!$A$7:$N$161,9,FALSE),0)+
IFERROR(VLOOKUP(A42,'Centre WP11'!$A$7:$N$160,9,FALSE),0)+
IFERROR(VLOOKUP(A42,'Centre WR11'!$A$7:$N$160,9,FALSE),0)+
IFERROR(VLOOKUP(A42,'Centre WV11'!$A$7:$N$163,9,FALSE),0)</f>
        <v>1.3</v>
      </c>
      <c r="J42" s="10">
        <f>IFERROR(VLOOKUP(A42,'Centre DW11'!$A$7:$N$161,10,FALSE),0)+
IFERROR(VLOOKUP(A42,'Centre WP11'!$A$7:$N$160,10,FALSE),0)+
IFERROR(VLOOKUP(A42,'Centre WR11'!$A$7:$N$160,10,FALSE),0)+
IFERROR(VLOOKUP(A42,'Centre WV11'!$A$7:$N$163,10,FALSE),0)</f>
        <v>1.3</v>
      </c>
      <c r="K42" s="10">
        <f>IFERROR(VLOOKUP(A42,'Centre DW11'!$A$7:$N$161,11,FALSE),0)+
IFERROR(VLOOKUP(A42,'Centre WP11'!$A$7:$N$160,11,FALSE),0)+
IFERROR(VLOOKUP(A42,'Centre WR11'!$A$7:$N$160,11,FALSE),0)+
IFERROR(VLOOKUP(A42,'Centre WV11'!$A$7:$N$163,11,FALSE),0)</f>
        <v>1.3</v>
      </c>
      <c r="L42" s="10">
        <f>IFERROR(VLOOKUP(A42,'Centre DW11'!$A$7:$N$161,12,FALSE),0)+
IFERROR(VLOOKUP(A42,'Centre WP11'!$A$7:$N$160,12,FALSE),0)+
IFERROR(VLOOKUP(A42,'Centre WR11'!$A$7:$N$160,12,FALSE),0)+
IFERROR(VLOOKUP(A42,'Centre WV11'!$A$7:$N$163,12,FALSE),0)</f>
        <v>2.5</v>
      </c>
      <c r="M42" s="10">
        <f>IFERROR(VLOOKUP(A42,'Centre DW11'!$A$7:$N$161,13,FALSE),0)+
IFERROR(VLOOKUP(A42,'Centre WP11'!$A$7:$N$160,13,FALSE),0)+
IFERROR(VLOOKUP(A42,'Centre WR11'!$A$7:$N$160,13,FALSE),0)+
IFERROR(VLOOKUP(A42,'Centre WV11'!$A$7:$N$163,13,FALSE),0)</f>
        <v>2.5</v>
      </c>
      <c r="N42" s="10">
        <f>IFERROR(VLOOKUP(A42,'Centre DW11'!$A$7:$N$161,14,FALSE),0)+
IFERROR(VLOOKUP(A42,'Centre WP11'!$A$7:$N$160,14,FALSE),0)+
IFERROR(VLOOKUP(A42,'Centre WR11'!$A$7:$N$160,14,FALSE),0)+
IFERROR(VLOOKUP(A42,'Centre WV11'!$A$7:$N$163,14,FALSE),0)</f>
        <v>2.5</v>
      </c>
    </row>
    <row r="43" spans="1:14" hidden="1" outlineLevel="1" x14ac:dyDescent="0.2">
      <c r="A43" s="9" t="s">
        <v>87</v>
      </c>
      <c r="B43" s="1" t="s">
        <v>88</v>
      </c>
      <c r="C43" s="10">
        <f>IFERROR(VLOOKUP(A43,'Centre DW11'!$A$7:$N$161,3,FALSE),0)+
IFERROR(VLOOKUP(A43,'Centre WP11'!$A$7:$N$160,3,FALSE),0)+
IFERROR(VLOOKUP(A43,'Centre WR11'!$A$7:$N$160,3,FALSE),0)+
IFERROR(VLOOKUP(A43,'Centre WV11'!$A$7:$N$163,3,FALSE),0)</f>
        <v>3.3</v>
      </c>
      <c r="D43" s="10">
        <f>IFERROR(VLOOKUP(A43,'Centre DW11'!$A$7:$N$161,4,FALSE),0)+
IFERROR(VLOOKUP(A43,'Centre WP11'!$A$7:$N$160,4,FALSE),0)+
IFERROR(VLOOKUP(A43,'Centre WR11'!$A$7:$N$160,4,FALSE),0)+
IFERROR(VLOOKUP(A43,'Centre WV11'!$A$7:$N$163,4,FALSE),0)</f>
        <v>3.3</v>
      </c>
      <c r="E43" s="10">
        <f>IFERROR(VLOOKUP(A43,'Centre DW11'!$A$7:$N$161,5,FALSE),0)+
IFERROR(VLOOKUP(A43,'Centre WP11'!$A$7:$N$160,5,FALSE),0)+
IFERROR(VLOOKUP(A43,'Centre WR11'!$A$7:$N$160,5,FALSE),0)+
IFERROR(VLOOKUP(A43,'Centre WV11'!$A$7:$N$163,5,FALSE),0)</f>
        <v>3.3</v>
      </c>
      <c r="F43" s="10">
        <f>IFERROR(VLOOKUP(A43,'Centre DW11'!$A$7:$N$161,6,FALSE),0)+
IFERROR(VLOOKUP(A43,'Centre WP11'!$A$7:$N$160,6,FALSE),0)+
IFERROR(VLOOKUP(A43,'Centre WR11'!$A$7:$N$160,6,FALSE),0)+
IFERROR(VLOOKUP(A43,'Centre WV11'!$A$7:$N$163,6,FALSE),0)</f>
        <v>3.3</v>
      </c>
      <c r="G43" s="10">
        <f>IFERROR(VLOOKUP(A43,'Centre DW11'!$A$7:$N$161,7,FALSE),0)+
IFERROR(VLOOKUP(A43,'Centre WP11'!$A$7:$N$160,7,FALSE),0)+
IFERROR(VLOOKUP(A43,'Centre WR11'!$A$7:$N$160,7,FALSE),0)+
IFERROR(VLOOKUP(A43,'Centre WV11'!$A$7:$N$163,7,FALSE),0)</f>
        <v>3.3</v>
      </c>
      <c r="H43" s="10">
        <f>IFERROR(VLOOKUP(A43,'Centre DW11'!$A$7:$N$161,8,FALSE),0)+
IFERROR(VLOOKUP(A43,'Centre WP11'!$A$7:$N$160,8,FALSE),0)+
IFERROR(VLOOKUP(A43,'Centre WR11'!$A$7:$N$160,8,FALSE),0)+
IFERROR(VLOOKUP(A43,'Centre WV11'!$A$7:$N$163,8,FALSE),0)</f>
        <v>3.3</v>
      </c>
      <c r="I43" s="10">
        <f>IFERROR(VLOOKUP(A43,'Centre DW11'!$A$7:$N$161,9,FALSE),0)+
IFERROR(VLOOKUP(A43,'Centre WP11'!$A$7:$N$160,9,FALSE),0)+
IFERROR(VLOOKUP(A43,'Centre WR11'!$A$7:$N$160,9,FALSE),0)+
IFERROR(VLOOKUP(A43,'Centre WV11'!$A$7:$N$163,9,FALSE),0)</f>
        <v>3.3</v>
      </c>
      <c r="J43" s="10">
        <f>IFERROR(VLOOKUP(A43,'Centre DW11'!$A$7:$N$161,10,FALSE),0)+
IFERROR(VLOOKUP(A43,'Centre WP11'!$A$7:$N$160,10,FALSE),0)+
IFERROR(VLOOKUP(A43,'Centre WR11'!$A$7:$N$160,10,FALSE),0)+
IFERROR(VLOOKUP(A43,'Centre WV11'!$A$7:$N$163,10,FALSE),0)</f>
        <v>3.3</v>
      </c>
      <c r="K43" s="10">
        <f>IFERROR(VLOOKUP(A43,'Centre DW11'!$A$7:$N$161,11,FALSE),0)+
IFERROR(VLOOKUP(A43,'Centre WP11'!$A$7:$N$160,11,FALSE),0)+
IFERROR(VLOOKUP(A43,'Centre WR11'!$A$7:$N$160,11,FALSE),0)+
IFERROR(VLOOKUP(A43,'Centre WV11'!$A$7:$N$163,11,FALSE),0)</f>
        <v>3.3</v>
      </c>
      <c r="L43" s="10">
        <f>IFERROR(VLOOKUP(A43,'Centre DW11'!$A$7:$N$161,12,FALSE),0)+
IFERROR(VLOOKUP(A43,'Centre WP11'!$A$7:$N$160,12,FALSE),0)+
IFERROR(VLOOKUP(A43,'Centre WR11'!$A$7:$N$160,12,FALSE),0)+
IFERROR(VLOOKUP(A43,'Centre WV11'!$A$7:$N$163,12,FALSE),0)</f>
        <v>3.3</v>
      </c>
      <c r="M43" s="10">
        <f>IFERROR(VLOOKUP(A43,'Centre DW11'!$A$7:$N$161,13,FALSE),0)+
IFERROR(VLOOKUP(A43,'Centre WP11'!$A$7:$N$160,13,FALSE),0)+
IFERROR(VLOOKUP(A43,'Centre WR11'!$A$7:$N$160,13,FALSE),0)+
IFERROR(VLOOKUP(A43,'Centre WV11'!$A$7:$N$163,13,FALSE),0)</f>
        <v>3.3</v>
      </c>
      <c r="N43" s="10">
        <f>IFERROR(VLOOKUP(A43,'Centre DW11'!$A$7:$N$161,14,FALSE),0)+
IFERROR(VLOOKUP(A43,'Centre WP11'!$A$7:$N$160,14,FALSE),0)+
IFERROR(VLOOKUP(A43,'Centre WR11'!$A$7:$N$160,14,FALSE),0)+
IFERROR(VLOOKUP(A43,'Centre WV11'!$A$7:$N$163,14,FALSE),0)</f>
        <v>3.3</v>
      </c>
    </row>
    <row r="44" spans="1:14" hidden="1" outlineLevel="1" x14ac:dyDescent="0.2">
      <c r="A44" s="9" t="s">
        <v>89</v>
      </c>
      <c r="B44" s="1" t="s">
        <v>90</v>
      </c>
      <c r="C44" s="10">
        <f>IFERROR(VLOOKUP(A44,'Centre DW11'!$A$7:$N$161,3,FALSE),0)+
IFERROR(VLOOKUP(A44,'Centre WP11'!$A$7:$N$160,3,FALSE),0)+
IFERROR(VLOOKUP(A44,'Centre WR11'!$A$7:$N$160,3,FALSE),0)+
IFERROR(VLOOKUP(A44,'Centre WV11'!$A$7:$N$163,3,FALSE),0)</f>
        <v>4.0999999999999996</v>
      </c>
      <c r="D44" s="10">
        <f>IFERROR(VLOOKUP(A44,'Centre DW11'!$A$7:$N$161,4,FALSE),0)+
IFERROR(VLOOKUP(A44,'Centre WP11'!$A$7:$N$160,4,FALSE),0)+
IFERROR(VLOOKUP(A44,'Centre WR11'!$A$7:$N$160,4,FALSE),0)+
IFERROR(VLOOKUP(A44,'Centre WV11'!$A$7:$N$163,4,FALSE),0)</f>
        <v>4.0999999999999996</v>
      </c>
      <c r="E44" s="10">
        <f>IFERROR(VLOOKUP(A44,'Centre DW11'!$A$7:$N$161,5,FALSE),0)+
IFERROR(VLOOKUP(A44,'Centre WP11'!$A$7:$N$160,5,FALSE),0)+
IFERROR(VLOOKUP(A44,'Centre WR11'!$A$7:$N$160,5,FALSE),0)+
IFERROR(VLOOKUP(A44,'Centre WV11'!$A$7:$N$163,5,FALSE),0)</f>
        <v>4.0999999999999996</v>
      </c>
      <c r="F44" s="10">
        <f>IFERROR(VLOOKUP(A44,'Centre DW11'!$A$7:$N$161,6,FALSE),0)+
IFERROR(VLOOKUP(A44,'Centre WP11'!$A$7:$N$160,6,FALSE),0)+
IFERROR(VLOOKUP(A44,'Centre WR11'!$A$7:$N$160,6,FALSE),0)+
IFERROR(VLOOKUP(A44,'Centre WV11'!$A$7:$N$163,6,FALSE),0)</f>
        <v>4.0999999999999996</v>
      </c>
      <c r="G44" s="10">
        <f>IFERROR(VLOOKUP(A44,'Centre DW11'!$A$7:$N$161,7,FALSE),0)+
IFERROR(VLOOKUP(A44,'Centre WP11'!$A$7:$N$160,7,FALSE),0)+
IFERROR(VLOOKUP(A44,'Centre WR11'!$A$7:$N$160,7,FALSE),0)+
IFERROR(VLOOKUP(A44,'Centre WV11'!$A$7:$N$163,7,FALSE),0)</f>
        <v>4.0999999999999996</v>
      </c>
      <c r="H44" s="10">
        <f>IFERROR(VLOOKUP(A44,'Centre DW11'!$A$7:$N$161,8,FALSE),0)+
IFERROR(VLOOKUP(A44,'Centre WP11'!$A$7:$N$160,8,FALSE),0)+
IFERROR(VLOOKUP(A44,'Centre WR11'!$A$7:$N$160,8,FALSE),0)+
IFERROR(VLOOKUP(A44,'Centre WV11'!$A$7:$N$163,8,FALSE),0)</f>
        <v>4.0999999999999996</v>
      </c>
      <c r="I44" s="10">
        <f>IFERROR(VLOOKUP(A44,'Centre DW11'!$A$7:$N$161,9,FALSE),0)+
IFERROR(VLOOKUP(A44,'Centre WP11'!$A$7:$N$160,9,FALSE),0)+
IFERROR(VLOOKUP(A44,'Centre WR11'!$A$7:$N$160,9,FALSE),0)+
IFERROR(VLOOKUP(A44,'Centre WV11'!$A$7:$N$163,9,FALSE),0)</f>
        <v>4.0999999999999996</v>
      </c>
      <c r="J44" s="10">
        <f>IFERROR(VLOOKUP(A44,'Centre DW11'!$A$7:$N$161,10,FALSE),0)+
IFERROR(VLOOKUP(A44,'Centre WP11'!$A$7:$N$160,10,FALSE),0)+
IFERROR(VLOOKUP(A44,'Centre WR11'!$A$7:$N$160,10,FALSE),0)+
IFERROR(VLOOKUP(A44,'Centre WV11'!$A$7:$N$163,10,FALSE),0)</f>
        <v>4.0999999999999996</v>
      </c>
      <c r="K44" s="10">
        <f>IFERROR(VLOOKUP(A44,'Centre DW11'!$A$7:$N$161,11,FALSE),0)+
IFERROR(VLOOKUP(A44,'Centre WP11'!$A$7:$N$160,11,FALSE),0)+
IFERROR(VLOOKUP(A44,'Centre WR11'!$A$7:$N$160,11,FALSE),0)+
IFERROR(VLOOKUP(A44,'Centre WV11'!$A$7:$N$163,11,FALSE),0)</f>
        <v>4.0999999999999996</v>
      </c>
      <c r="L44" s="10">
        <f>IFERROR(VLOOKUP(A44,'Centre DW11'!$A$7:$N$161,12,FALSE),0)+
IFERROR(VLOOKUP(A44,'Centre WP11'!$A$7:$N$160,12,FALSE),0)+
IFERROR(VLOOKUP(A44,'Centre WR11'!$A$7:$N$160,12,FALSE),0)+
IFERROR(VLOOKUP(A44,'Centre WV11'!$A$7:$N$163,12,FALSE),0)</f>
        <v>4.0999999999999996</v>
      </c>
      <c r="M44" s="10">
        <f>IFERROR(VLOOKUP(A44,'Centre DW11'!$A$7:$N$161,13,FALSE),0)+
IFERROR(VLOOKUP(A44,'Centre WP11'!$A$7:$N$160,13,FALSE),0)+
IFERROR(VLOOKUP(A44,'Centre WR11'!$A$7:$N$160,13,FALSE),0)+
IFERROR(VLOOKUP(A44,'Centre WV11'!$A$7:$N$163,13,FALSE),0)</f>
        <v>4.0999999999999996</v>
      </c>
      <c r="N44" s="10">
        <f>IFERROR(VLOOKUP(A44,'Centre DW11'!$A$7:$N$161,14,FALSE),0)+
IFERROR(VLOOKUP(A44,'Centre WP11'!$A$7:$N$160,14,FALSE),0)+
IFERROR(VLOOKUP(A44,'Centre WR11'!$A$7:$N$160,14,FALSE),0)+
IFERROR(VLOOKUP(A44,'Centre WV11'!$A$7:$N$163,14,FALSE),0)</f>
        <v>4.0999999999999996</v>
      </c>
    </row>
    <row r="45" spans="1:14" hidden="1" outlineLevel="1" x14ac:dyDescent="0.2">
      <c r="A45" s="9" t="s">
        <v>93</v>
      </c>
      <c r="B45" s="1" t="s">
        <v>94</v>
      </c>
      <c r="C45" s="10">
        <f>IFERROR(VLOOKUP(A45,'Centre DW11'!$A$7:$N$161,3,FALSE),0)+
IFERROR(VLOOKUP(A45,'Centre WP11'!$A$7:$N$160,3,FALSE),0)+
IFERROR(VLOOKUP(A45,'Centre WR11'!$A$7:$N$160,3,FALSE),0)+
IFERROR(VLOOKUP(A45,'Centre WV11'!$A$7:$N$163,3,FALSE),0)</f>
        <v>5.0999999999999996</v>
      </c>
      <c r="D45" s="10">
        <f>IFERROR(VLOOKUP(A45,'Centre DW11'!$A$7:$N$161,4,FALSE),0)+
IFERROR(VLOOKUP(A45,'Centre WP11'!$A$7:$N$160,4,FALSE),0)+
IFERROR(VLOOKUP(A45,'Centre WR11'!$A$7:$N$160,4,FALSE),0)+
IFERROR(VLOOKUP(A45,'Centre WV11'!$A$7:$N$163,4,FALSE),0)</f>
        <v>5.0999999999999996</v>
      </c>
      <c r="E45" s="10">
        <f>IFERROR(VLOOKUP(A45,'Centre DW11'!$A$7:$N$161,5,FALSE),0)+
IFERROR(VLOOKUP(A45,'Centre WP11'!$A$7:$N$160,5,FALSE),0)+
IFERROR(VLOOKUP(A45,'Centre WR11'!$A$7:$N$160,5,FALSE),0)+
IFERROR(VLOOKUP(A45,'Centre WV11'!$A$7:$N$163,5,FALSE),0)</f>
        <v>5.0999999999999996</v>
      </c>
      <c r="F45" s="10">
        <f>IFERROR(VLOOKUP(A45,'Centre DW11'!$A$7:$N$161,6,FALSE),0)+
IFERROR(VLOOKUP(A45,'Centre WP11'!$A$7:$N$160,6,FALSE),0)+
IFERROR(VLOOKUP(A45,'Centre WR11'!$A$7:$N$160,6,FALSE),0)+
IFERROR(VLOOKUP(A45,'Centre WV11'!$A$7:$N$163,6,FALSE),0)</f>
        <v>5.0999999999999996</v>
      </c>
      <c r="G45" s="10">
        <f>IFERROR(VLOOKUP(A45,'Centre DW11'!$A$7:$N$161,7,FALSE),0)+
IFERROR(VLOOKUP(A45,'Centre WP11'!$A$7:$N$160,7,FALSE),0)+
IFERROR(VLOOKUP(A45,'Centre WR11'!$A$7:$N$160,7,FALSE),0)+
IFERROR(VLOOKUP(A45,'Centre WV11'!$A$7:$N$163,7,FALSE),0)</f>
        <v>5.0999999999999996</v>
      </c>
      <c r="H45" s="10">
        <f>IFERROR(VLOOKUP(A45,'Centre DW11'!$A$7:$N$161,8,FALSE),0)+
IFERROR(VLOOKUP(A45,'Centre WP11'!$A$7:$N$160,8,FALSE),0)+
IFERROR(VLOOKUP(A45,'Centre WR11'!$A$7:$N$160,8,FALSE),0)+
IFERROR(VLOOKUP(A45,'Centre WV11'!$A$7:$N$163,8,FALSE),0)</f>
        <v>5.0999999999999996</v>
      </c>
      <c r="I45" s="10">
        <f>IFERROR(VLOOKUP(A45,'Centre DW11'!$A$7:$N$161,9,FALSE),0)+
IFERROR(VLOOKUP(A45,'Centre WP11'!$A$7:$N$160,9,FALSE),0)+
IFERROR(VLOOKUP(A45,'Centre WR11'!$A$7:$N$160,9,FALSE),0)+
IFERROR(VLOOKUP(A45,'Centre WV11'!$A$7:$N$163,9,FALSE),0)</f>
        <v>5.0999999999999996</v>
      </c>
      <c r="J45" s="10">
        <f>IFERROR(VLOOKUP(A45,'Centre DW11'!$A$7:$N$161,10,FALSE),0)+
IFERROR(VLOOKUP(A45,'Centre WP11'!$A$7:$N$160,10,FALSE),0)+
IFERROR(VLOOKUP(A45,'Centre WR11'!$A$7:$N$160,10,FALSE),0)+
IFERROR(VLOOKUP(A45,'Centre WV11'!$A$7:$N$163,10,FALSE),0)</f>
        <v>5.0999999999999996</v>
      </c>
      <c r="K45" s="10">
        <f>IFERROR(VLOOKUP(A45,'Centre DW11'!$A$7:$N$161,11,FALSE),0)+
IFERROR(VLOOKUP(A45,'Centre WP11'!$A$7:$N$160,11,FALSE),0)+
IFERROR(VLOOKUP(A45,'Centre WR11'!$A$7:$N$160,11,FALSE),0)+
IFERROR(VLOOKUP(A45,'Centre WV11'!$A$7:$N$163,11,FALSE),0)</f>
        <v>5.0999999999999996</v>
      </c>
      <c r="L45" s="10">
        <f>IFERROR(VLOOKUP(A45,'Centre DW11'!$A$7:$N$161,12,FALSE),0)+
IFERROR(VLOOKUP(A45,'Centre WP11'!$A$7:$N$160,12,FALSE),0)+
IFERROR(VLOOKUP(A45,'Centre WR11'!$A$7:$N$160,12,FALSE),0)+
IFERROR(VLOOKUP(A45,'Centre WV11'!$A$7:$N$163,12,FALSE),0)</f>
        <v>5.0999999999999996</v>
      </c>
      <c r="M45" s="10">
        <f>IFERROR(VLOOKUP(A45,'Centre DW11'!$A$7:$N$161,13,FALSE),0)+
IFERROR(VLOOKUP(A45,'Centre WP11'!$A$7:$N$160,13,FALSE),0)+
IFERROR(VLOOKUP(A45,'Centre WR11'!$A$7:$N$160,13,FALSE),0)+
IFERROR(VLOOKUP(A45,'Centre WV11'!$A$7:$N$163,13,FALSE),0)</f>
        <v>5.0999999999999996</v>
      </c>
      <c r="N45" s="10">
        <f>IFERROR(VLOOKUP(A45,'Centre DW11'!$A$7:$N$161,14,FALSE),0)+
IFERROR(VLOOKUP(A45,'Centre WP11'!$A$7:$N$160,14,FALSE),0)+
IFERROR(VLOOKUP(A45,'Centre WR11'!$A$7:$N$160,14,FALSE),0)+
IFERROR(VLOOKUP(A45,'Centre WV11'!$A$7:$N$163,14,FALSE),0)</f>
        <v>5.0999999999999996</v>
      </c>
    </row>
    <row r="46" spans="1:14" hidden="1" outlineLevel="1" x14ac:dyDescent="0.2">
      <c r="A46" s="9" t="s">
        <v>95</v>
      </c>
      <c r="B46" s="1" t="s">
        <v>96</v>
      </c>
      <c r="C46" s="10">
        <f>IFERROR(VLOOKUP(A46,'Centre DW11'!$A$7:$N$161,3,FALSE),0)+
IFERROR(VLOOKUP(A46,'Centre WP11'!$A$7:$N$160,3,FALSE),0)+
IFERROR(VLOOKUP(A46,'Centre WR11'!$A$7:$N$160,3,FALSE),0)+
IFERROR(VLOOKUP(A46,'Centre WV11'!$A$7:$N$163,3,FALSE),0)</f>
        <v>0.4</v>
      </c>
      <c r="D46" s="10">
        <f>IFERROR(VLOOKUP(A46,'Centre DW11'!$A$7:$N$161,4,FALSE),0)+
IFERROR(VLOOKUP(A46,'Centre WP11'!$A$7:$N$160,4,FALSE),0)+
IFERROR(VLOOKUP(A46,'Centre WR11'!$A$7:$N$160,4,FALSE),0)+
IFERROR(VLOOKUP(A46,'Centre WV11'!$A$7:$N$163,4,FALSE),0)</f>
        <v>0.4</v>
      </c>
      <c r="E46" s="10">
        <f>IFERROR(VLOOKUP(A46,'Centre DW11'!$A$7:$N$161,5,FALSE),0)+
IFERROR(VLOOKUP(A46,'Centre WP11'!$A$7:$N$160,5,FALSE),0)+
IFERROR(VLOOKUP(A46,'Centre WR11'!$A$7:$N$160,5,FALSE),0)+
IFERROR(VLOOKUP(A46,'Centre WV11'!$A$7:$N$163,5,FALSE),0)</f>
        <v>0.4</v>
      </c>
      <c r="F46" s="10">
        <f>IFERROR(VLOOKUP(A46,'Centre DW11'!$A$7:$N$161,6,FALSE),0)+
IFERROR(VLOOKUP(A46,'Centre WP11'!$A$7:$N$160,6,FALSE),0)+
IFERROR(VLOOKUP(A46,'Centre WR11'!$A$7:$N$160,6,FALSE),0)+
IFERROR(VLOOKUP(A46,'Centre WV11'!$A$7:$N$163,6,FALSE),0)</f>
        <v>0.4</v>
      </c>
      <c r="G46" s="10">
        <f>IFERROR(VLOOKUP(A46,'Centre DW11'!$A$7:$N$161,7,FALSE),0)+
IFERROR(VLOOKUP(A46,'Centre WP11'!$A$7:$N$160,7,FALSE),0)+
IFERROR(VLOOKUP(A46,'Centre WR11'!$A$7:$N$160,7,FALSE),0)+
IFERROR(VLOOKUP(A46,'Centre WV11'!$A$7:$N$163,7,FALSE),0)</f>
        <v>0.4</v>
      </c>
      <c r="H46" s="10">
        <f>IFERROR(VLOOKUP(A46,'Centre DW11'!$A$7:$N$161,8,FALSE),0)+
IFERROR(VLOOKUP(A46,'Centre WP11'!$A$7:$N$160,8,FALSE),0)+
IFERROR(VLOOKUP(A46,'Centre WR11'!$A$7:$N$160,8,FALSE),0)+
IFERROR(VLOOKUP(A46,'Centre WV11'!$A$7:$N$163,8,FALSE),0)</f>
        <v>0.4</v>
      </c>
      <c r="I46" s="10">
        <f>IFERROR(VLOOKUP(A46,'Centre DW11'!$A$7:$N$161,9,FALSE),0)+
IFERROR(VLOOKUP(A46,'Centre WP11'!$A$7:$N$160,9,FALSE),0)+
IFERROR(VLOOKUP(A46,'Centre WR11'!$A$7:$N$160,9,FALSE),0)+
IFERROR(VLOOKUP(A46,'Centre WV11'!$A$7:$N$163,9,FALSE),0)</f>
        <v>0.4</v>
      </c>
      <c r="J46" s="10">
        <f>IFERROR(VLOOKUP(A46,'Centre DW11'!$A$7:$N$161,10,FALSE),0)+
IFERROR(VLOOKUP(A46,'Centre WP11'!$A$7:$N$160,10,FALSE),0)+
IFERROR(VLOOKUP(A46,'Centre WR11'!$A$7:$N$160,10,FALSE),0)+
IFERROR(VLOOKUP(A46,'Centre WV11'!$A$7:$N$163,10,FALSE),0)</f>
        <v>0.4</v>
      </c>
      <c r="K46" s="10">
        <f>IFERROR(VLOOKUP(A46,'Centre DW11'!$A$7:$N$161,11,FALSE),0)+
IFERROR(VLOOKUP(A46,'Centre WP11'!$A$7:$N$160,11,FALSE),0)+
IFERROR(VLOOKUP(A46,'Centre WR11'!$A$7:$N$160,11,FALSE),0)+
IFERROR(VLOOKUP(A46,'Centre WV11'!$A$7:$N$163,11,FALSE),0)</f>
        <v>0.4</v>
      </c>
      <c r="L46" s="10">
        <f>IFERROR(VLOOKUP(A46,'Centre DW11'!$A$7:$N$161,12,FALSE),0)+
IFERROR(VLOOKUP(A46,'Centre WP11'!$A$7:$N$160,12,FALSE),0)+
IFERROR(VLOOKUP(A46,'Centre WR11'!$A$7:$N$160,12,FALSE),0)+
IFERROR(VLOOKUP(A46,'Centre WV11'!$A$7:$N$163,12,FALSE),0)</f>
        <v>0.4</v>
      </c>
      <c r="M46" s="10">
        <f>IFERROR(VLOOKUP(A46,'Centre DW11'!$A$7:$N$161,13,FALSE),0)+
IFERROR(VLOOKUP(A46,'Centre WP11'!$A$7:$N$160,13,FALSE),0)+
IFERROR(VLOOKUP(A46,'Centre WR11'!$A$7:$N$160,13,FALSE),0)+
IFERROR(VLOOKUP(A46,'Centre WV11'!$A$7:$N$163,13,FALSE),0)</f>
        <v>0.4</v>
      </c>
      <c r="N46" s="10">
        <f>IFERROR(VLOOKUP(A46,'Centre DW11'!$A$7:$N$161,14,FALSE),0)+
IFERROR(VLOOKUP(A46,'Centre WP11'!$A$7:$N$160,14,FALSE),0)+
IFERROR(VLOOKUP(A46,'Centre WR11'!$A$7:$N$160,14,FALSE),0)+
IFERROR(VLOOKUP(A46,'Centre WV11'!$A$7:$N$163,14,FALSE),0)</f>
        <v>0.4</v>
      </c>
    </row>
    <row r="47" spans="1:14" hidden="1" outlineLevel="1" x14ac:dyDescent="0.2">
      <c r="A47" s="9" t="s">
        <v>97</v>
      </c>
      <c r="B47" s="1" t="s">
        <v>98</v>
      </c>
      <c r="C47" s="10">
        <f>IFERROR(VLOOKUP(A47,'Centre DW11'!$A$7:$N$161,3,FALSE),0)+
IFERROR(VLOOKUP(A47,'Centre WP11'!$A$7:$N$160,3,FALSE),0)+
IFERROR(VLOOKUP(A47,'Centre WR11'!$A$7:$N$160,3,FALSE),0)+
IFERROR(VLOOKUP(A47,'Centre WV11'!$A$7:$N$163,3,FALSE),0)</f>
        <v>4.3</v>
      </c>
      <c r="D47" s="10">
        <f>IFERROR(VLOOKUP(A47,'Centre DW11'!$A$7:$N$161,4,FALSE),0)+
IFERROR(VLOOKUP(A47,'Centre WP11'!$A$7:$N$160,4,FALSE),0)+
IFERROR(VLOOKUP(A47,'Centre WR11'!$A$7:$N$160,4,FALSE),0)+
IFERROR(VLOOKUP(A47,'Centre WV11'!$A$7:$N$163,4,FALSE),0)</f>
        <v>4.3</v>
      </c>
      <c r="E47" s="10">
        <f>IFERROR(VLOOKUP(A47,'Centre DW11'!$A$7:$N$161,5,FALSE),0)+
IFERROR(VLOOKUP(A47,'Centre WP11'!$A$7:$N$160,5,FALSE),0)+
IFERROR(VLOOKUP(A47,'Centre WR11'!$A$7:$N$160,5,FALSE),0)+
IFERROR(VLOOKUP(A47,'Centre WV11'!$A$7:$N$163,5,FALSE),0)</f>
        <v>4.3</v>
      </c>
      <c r="F47" s="10">
        <f>IFERROR(VLOOKUP(A47,'Centre DW11'!$A$7:$N$161,6,FALSE),0)+
IFERROR(VLOOKUP(A47,'Centre WP11'!$A$7:$N$160,6,FALSE),0)+
IFERROR(VLOOKUP(A47,'Centre WR11'!$A$7:$N$160,6,FALSE),0)+
IFERROR(VLOOKUP(A47,'Centre WV11'!$A$7:$N$163,6,FALSE),0)</f>
        <v>4.3</v>
      </c>
      <c r="G47" s="10">
        <f>IFERROR(VLOOKUP(A47,'Centre DW11'!$A$7:$N$161,7,FALSE),0)+
IFERROR(VLOOKUP(A47,'Centre WP11'!$A$7:$N$160,7,FALSE),0)+
IFERROR(VLOOKUP(A47,'Centre WR11'!$A$7:$N$160,7,FALSE),0)+
IFERROR(VLOOKUP(A47,'Centre WV11'!$A$7:$N$163,7,FALSE),0)</f>
        <v>4.3</v>
      </c>
      <c r="H47" s="10">
        <f>IFERROR(VLOOKUP(A47,'Centre DW11'!$A$7:$N$161,8,FALSE),0)+
IFERROR(VLOOKUP(A47,'Centre WP11'!$A$7:$N$160,8,FALSE),0)+
IFERROR(VLOOKUP(A47,'Centre WR11'!$A$7:$N$160,8,FALSE),0)+
IFERROR(VLOOKUP(A47,'Centre WV11'!$A$7:$N$163,8,FALSE),0)</f>
        <v>4.3</v>
      </c>
      <c r="I47" s="10">
        <f>IFERROR(VLOOKUP(A47,'Centre DW11'!$A$7:$N$161,9,FALSE),0)+
IFERROR(VLOOKUP(A47,'Centre WP11'!$A$7:$N$160,9,FALSE),0)+
IFERROR(VLOOKUP(A47,'Centre WR11'!$A$7:$N$160,9,FALSE),0)+
IFERROR(VLOOKUP(A47,'Centre WV11'!$A$7:$N$163,9,FALSE),0)</f>
        <v>4.3</v>
      </c>
      <c r="J47" s="10">
        <f>IFERROR(VLOOKUP(A47,'Centre DW11'!$A$7:$N$161,10,FALSE),0)+
IFERROR(VLOOKUP(A47,'Centre WP11'!$A$7:$N$160,10,FALSE),0)+
IFERROR(VLOOKUP(A47,'Centre WR11'!$A$7:$N$160,10,FALSE),0)+
IFERROR(VLOOKUP(A47,'Centre WV11'!$A$7:$N$163,10,FALSE),0)</f>
        <v>4.3</v>
      </c>
      <c r="K47" s="10">
        <f>IFERROR(VLOOKUP(A47,'Centre DW11'!$A$7:$N$161,11,FALSE),0)+
IFERROR(VLOOKUP(A47,'Centre WP11'!$A$7:$N$160,11,FALSE),0)+
IFERROR(VLOOKUP(A47,'Centre WR11'!$A$7:$N$160,11,FALSE),0)+
IFERROR(VLOOKUP(A47,'Centre WV11'!$A$7:$N$163,11,FALSE),0)</f>
        <v>4.3</v>
      </c>
      <c r="L47" s="10">
        <f>IFERROR(VLOOKUP(A47,'Centre DW11'!$A$7:$N$161,12,FALSE),0)+
IFERROR(VLOOKUP(A47,'Centre WP11'!$A$7:$N$160,12,FALSE),0)+
IFERROR(VLOOKUP(A47,'Centre WR11'!$A$7:$N$160,12,FALSE),0)+
IFERROR(VLOOKUP(A47,'Centre WV11'!$A$7:$N$163,12,FALSE),0)</f>
        <v>4.3</v>
      </c>
      <c r="M47" s="10">
        <f>IFERROR(VLOOKUP(A47,'Centre DW11'!$A$7:$N$161,13,FALSE),0)+
IFERROR(VLOOKUP(A47,'Centre WP11'!$A$7:$N$160,13,FALSE),0)+
IFERROR(VLOOKUP(A47,'Centre WR11'!$A$7:$N$160,13,FALSE),0)+
IFERROR(VLOOKUP(A47,'Centre WV11'!$A$7:$N$163,13,FALSE),0)</f>
        <v>4.5999999999999996</v>
      </c>
      <c r="N47" s="10">
        <f>IFERROR(VLOOKUP(A47,'Centre DW11'!$A$7:$N$161,14,FALSE),0)+
IFERROR(VLOOKUP(A47,'Centre WP11'!$A$7:$N$160,14,FALSE),0)+
IFERROR(VLOOKUP(A47,'Centre WR11'!$A$7:$N$160,14,FALSE),0)+
IFERROR(VLOOKUP(A47,'Centre WV11'!$A$7:$N$163,14,FALSE),0)</f>
        <v>4.3</v>
      </c>
    </row>
    <row r="48" spans="1:14" hidden="1" outlineLevel="1" x14ac:dyDescent="0.2">
      <c r="A48" s="9" t="s">
        <v>303</v>
      </c>
      <c r="B48" s="1" t="s">
        <v>304</v>
      </c>
      <c r="C48" s="10">
        <f>IFERROR(VLOOKUP(A48,'Centre DW11'!$A$7:$N$161,3,FALSE),0)+
IFERROR(VLOOKUP(A48,'Centre WP11'!$A$7:$N$160,3,FALSE),0)+
IFERROR(VLOOKUP(A48,'Centre WR11'!$A$7:$N$160,3,FALSE),0)+
IFERROR(VLOOKUP(A48,'Centre WV11'!$A$7:$N$163,3,FALSE),0)</f>
        <v>0</v>
      </c>
      <c r="D48" s="10">
        <f>IFERROR(VLOOKUP(A48,'Centre DW11'!$A$7:$N$161,4,FALSE),0)+
IFERROR(VLOOKUP(A48,'Centre WP11'!$A$7:$N$160,4,FALSE),0)+
IFERROR(VLOOKUP(A48,'Centre WR11'!$A$7:$N$160,4,FALSE),0)+
IFERROR(VLOOKUP(A48,'Centre WV11'!$A$7:$N$163,4,FALSE),0)</f>
        <v>0.1</v>
      </c>
      <c r="E48" s="10">
        <f>IFERROR(VLOOKUP(A48,'Centre DW11'!$A$7:$N$161,5,FALSE),0)+
IFERROR(VLOOKUP(A48,'Centre WP11'!$A$7:$N$160,5,FALSE),0)+
IFERROR(VLOOKUP(A48,'Centre WR11'!$A$7:$N$160,5,FALSE),0)+
IFERROR(VLOOKUP(A48,'Centre WV11'!$A$7:$N$163,5,FALSE),0)</f>
        <v>0</v>
      </c>
      <c r="F48" s="10">
        <f>IFERROR(VLOOKUP(A48,'Centre DW11'!$A$7:$N$161,6,FALSE),0)+
IFERROR(VLOOKUP(A48,'Centre WP11'!$A$7:$N$160,6,FALSE),0)+
IFERROR(VLOOKUP(A48,'Centre WR11'!$A$7:$N$160,6,FALSE),0)+
IFERROR(VLOOKUP(A48,'Centre WV11'!$A$7:$N$163,6,FALSE),0)</f>
        <v>0</v>
      </c>
      <c r="G48" s="10">
        <f>IFERROR(VLOOKUP(A48,'Centre DW11'!$A$7:$N$161,7,FALSE),0)+
IFERROR(VLOOKUP(A48,'Centre WP11'!$A$7:$N$160,7,FALSE),0)+
IFERROR(VLOOKUP(A48,'Centre WR11'!$A$7:$N$160,7,FALSE),0)+
IFERROR(VLOOKUP(A48,'Centre WV11'!$A$7:$N$163,7,FALSE),0)</f>
        <v>0</v>
      </c>
      <c r="H48" s="10">
        <f>IFERROR(VLOOKUP(A48,'Centre DW11'!$A$7:$N$161,8,FALSE),0)+
IFERROR(VLOOKUP(A48,'Centre WP11'!$A$7:$N$160,8,FALSE),0)+
IFERROR(VLOOKUP(A48,'Centre WR11'!$A$7:$N$160,8,FALSE),0)+
IFERROR(VLOOKUP(A48,'Centre WV11'!$A$7:$N$163,8,FALSE),0)</f>
        <v>0</v>
      </c>
      <c r="I48" s="10">
        <f>IFERROR(VLOOKUP(A48,'Centre DW11'!$A$7:$N$161,9,FALSE),0)+
IFERROR(VLOOKUP(A48,'Centre WP11'!$A$7:$N$160,9,FALSE),0)+
IFERROR(VLOOKUP(A48,'Centre WR11'!$A$7:$N$160,9,FALSE),0)+
IFERROR(VLOOKUP(A48,'Centre WV11'!$A$7:$N$163,9,FALSE),0)</f>
        <v>0</v>
      </c>
      <c r="J48" s="10">
        <f>IFERROR(VLOOKUP(A48,'Centre DW11'!$A$7:$N$161,10,FALSE),0)+
IFERROR(VLOOKUP(A48,'Centre WP11'!$A$7:$N$160,10,FALSE),0)+
IFERROR(VLOOKUP(A48,'Centre WR11'!$A$7:$N$160,10,FALSE),0)+
IFERROR(VLOOKUP(A48,'Centre WV11'!$A$7:$N$163,10,FALSE),0)</f>
        <v>0</v>
      </c>
      <c r="K48" s="10">
        <f>IFERROR(VLOOKUP(A48,'Centre DW11'!$A$7:$N$161,11,FALSE),0)+
IFERROR(VLOOKUP(A48,'Centre WP11'!$A$7:$N$160,11,FALSE),0)+
IFERROR(VLOOKUP(A48,'Centre WR11'!$A$7:$N$160,11,FALSE),0)+
IFERROR(VLOOKUP(A48,'Centre WV11'!$A$7:$N$163,11,FALSE),0)</f>
        <v>0</v>
      </c>
      <c r="L48" s="10">
        <f>IFERROR(VLOOKUP(A48,'Centre DW11'!$A$7:$N$161,12,FALSE),0)+
IFERROR(VLOOKUP(A48,'Centre WP11'!$A$7:$N$160,12,FALSE),0)+
IFERROR(VLOOKUP(A48,'Centre WR11'!$A$7:$N$160,12,FALSE),0)+
IFERROR(VLOOKUP(A48,'Centre WV11'!$A$7:$N$163,12,FALSE),0)</f>
        <v>0</v>
      </c>
      <c r="M48" s="10">
        <f>IFERROR(VLOOKUP(A48,'Centre DW11'!$A$7:$N$161,13,FALSE),0)+
IFERROR(VLOOKUP(A48,'Centre WP11'!$A$7:$N$160,13,FALSE),0)+
IFERROR(VLOOKUP(A48,'Centre WR11'!$A$7:$N$160,13,FALSE),0)+
IFERROR(VLOOKUP(A48,'Centre WV11'!$A$7:$N$163,13,FALSE),0)</f>
        <v>0</v>
      </c>
      <c r="N48" s="10">
        <f>IFERROR(VLOOKUP(A48,'Centre DW11'!$A$7:$N$161,14,FALSE),0)+
IFERROR(VLOOKUP(A48,'Centre WP11'!$A$7:$N$160,14,FALSE),0)+
IFERROR(VLOOKUP(A48,'Centre WR11'!$A$7:$N$160,14,FALSE),0)+
IFERROR(VLOOKUP(A48,'Centre WV11'!$A$7:$N$163,14,FALSE),0)</f>
        <v>0</v>
      </c>
    </row>
    <row r="49" spans="1:14" hidden="1" outlineLevel="1" x14ac:dyDescent="0.2">
      <c r="A49" s="9" t="s">
        <v>99</v>
      </c>
      <c r="B49" s="1" t="s">
        <v>100</v>
      </c>
      <c r="C49" s="10">
        <f>IFERROR(VLOOKUP(A49,'Centre DW11'!$A$7:$N$161,3,FALSE),0)+
IFERROR(VLOOKUP(A49,'Centre WP11'!$A$7:$N$160,3,FALSE),0)+
IFERROR(VLOOKUP(A49,'Centre WR11'!$A$7:$N$160,3,FALSE),0)+
IFERROR(VLOOKUP(A49,'Centre WV11'!$A$7:$N$163,3,FALSE),0)</f>
        <v>0</v>
      </c>
      <c r="D49" s="10">
        <f>IFERROR(VLOOKUP(A49,'Centre DW11'!$A$7:$N$161,4,FALSE),0)+
IFERROR(VLOOKUP(A49,'Centre WP11'!$A$7:$N$160,4,FALSE),0)+
IFERROR(VLOOKUP(A49,'Centre WR11'!$A$7:$N$160,4,FALSE),0)+
IFERROR(VLOOKUP(A49,'Centre WV11'!$A$7:$N$163,4,FALSE),0)</f>
        <v>0</v>
      </c>
      <c r="E49" s="10">
        <f>IFERROR(VLOOKUP(A49,'Centre DW11'!$A$7:$N$161,5,FALSE),0)+
IFERROR(VLOOKUP(A49,'Centre WP11'!$A$7:$N$160,5,FALSE),0)+
IFERROR(VLOOKUP(A49,'Centre WR11'!$A$7:$N$160,5,FALSE),0)+
IFERROR(VLOOKUP(A49,'Centre WV11'!$A$7:$N$163,5,FALSE),0)</f>
        <v>0</v>
      </c>
      <c r="F49" s="10">
        <f>IFERROR(VLOOKUP(A49,'Centre DW11'!$A$7:$N$161,6,FALSE),0)+
IFERROR(VLOOKUP(A49,'Centre WP11'!$A$7:$N$160,6,FALSE),0)+
IFERROR(VLOOKUP(A49,'Centre WR11'!$A$7:$N$160,6,FALSE),0)+
IFERROR(VLOOKUP(A49,'Centre WV11'!$A$7:$N$163,6,FALSE),0)</f>
        <v>0</v>
      </c>
      <c r="G49" s="10">
        <f>IFERROR(VLOOKUP(A49,'Centre DW11'!$A$7:$N$161,7,FALSE),0)+
IFERROR(VLOOKUP(A49,'Centre WP11'!$A$7:$N$160,7,FALSE),0)+
IFERROR(VLOOKUP(A49,'Centre WR11'!$A$7:$N$160,7,FALSE),0)+
IFERROR(VLOOKUP(A49,'Centre WV11'!$A$7:$N$163,7,FALSE),0)</f>
        <v>0</v>
      </c>
      <c r="H49" s="10">
        <f>IFERROR(VLOOKUP(A49,'Centre DW11'!$A$7:$N$161,8,FALSE),0)+
IFERROR(VLOOKUP(A49,'Centre WP11'!$A$7:$N$160,8,FALSE),0)+
IFERROR(VLOOKUP(A49,'Centre WR11'!$A$7:$N$160,8,FALSE),0)+
IFERROR(VLOOKUP(A49,'Centre WV11'!$A$7:$N$163,8,FALSE),0)</f>
        <v>0</v>
      </c>
      <c r="I49" s="10">
        <f>IFERROR(VLOOKUP(A49,'Centre DW11'!$A$7:$N$161,9,FALSE),0)+
IFERROR(VLOOKUP(A49,'Centre WP11'!$A$7:$N$160,9,FALSE),0)+
IFERROR(VLOOKUP(A49,'Centre WR11'!$A$7:$N$160,9,FALSE),0)+
IFERROR(VLOOKUP(A49,'Centre WV11'!$A$7:$N$163,9,FALSE),0)</f>
        <v>0</v>
      </c>
      <c r="J49" s="10">
        <f>IFERROR(VLOOKUP(A49,'Centre DW11'!$A$7:$N$161,10,FALSE),0)+
IFERROR(VLOOKUP(A49,'Centre WP11'!$A$7:$N$160,10,FALSE),0)+
IFERROR(VLOOKUP(A49,'Centre WR11'!$A$7:$N$160,10,FALSE),0)+
IFERROR(VLOOKUP(A49,'Centre WV11'!$A$7:$N$163,10,FALSE),0)</f>
        <v>0</v>
      </c>
      <c r="K49" s="10">
        <f>IFERROR(VLOOKUP(A49,'Centre DW11'!$A$7:$N$161,11,FALSE),0)+
IFERROR(VLOOKUP(A49,'Centre WP11'!$A$7:$N$160,11,FALSE),0)+
IFERROR(VLOOKUP(A49,'Centre WR11'!$A$7:$N$160,11,FALSE),0)+
IFERROR(VLOOKUP(A49,'Centre WV11'!$A$7:$N$163,11,FALSE),0)</f>
        <v>0</v>
      </c>
      <c r="L49" s="10">
        <f>IFERROR(VLOOKUP(A49,'Centre DW11'!$A$7:$N$161,12,FALSE),0)+
IFERROR(VLOOKUP(A49,'Centre WP11'!$A$7:$N$160,12,FALSE),0)+
IFERROR(VLOOKUP(A49,'Centre WR11'!$A$7:$N$160,12,FALSE),0)+
IFERROR(VLOOKUP(A49,'Centre WV11'!$A$7:$N$163,12,FALSE),0)</f>
        <v>0</v>
      </c>
      <c r="M49" s="10">
        <f>IFERROR(VLOOKUP(A49,'Centre DW11'!$A$7:$N$161,13,FALSE),0)+
IFERROR(VLOOKUP(A49,'Centre WP11'!$A$7:$N$160,13,FALSE),0)+
IFERROR(VLOOKUP(A49,'Centre WR11'!$A$7:$N$160,13,FALSE),0)+
IFERROR(VLOOKUP(A49,'Centre WV11'!$A$7:$N$163,13,FALSE),0)</f>
        <v>0</v>
      </c>
      <c r="N49" s="10">
        <f>IFERROR(VLOOKUP(A49,'Centre DW11'!$A$7:$N$161,14,FALSE),0)+
IFERROR(VLOOKUP(A49,'Centre WP11'!$A$7:$N$160,14,FALSE),0)+
IFERROR(VLOOKUP(A49,'Centre WR11'!$A$7:$N$160,14,FALSE),0)+
IFERROR(VLOOKUP(A49,'Centre WV11'!$A$7:$N$163,14,FALSE),0)</f>
        <v>0</v>
      </c>
    </row>
    <row r="50" spans="1:14" hidden="1" outlineLevel="1" x14ac:dyDescent="0.2">
      <c r="A50" s="9" t="s">
        <v>101</v>
      </c>
      <c r="B50" s="1" t="s">
        <v>102</v>
      </c>
      <c r="C50" s="10">
        <f>IFERROR(VLOOKUP(A50,'Centre DW11'!$A$7:$N$161,3,FALSE),0)+
IFERROR(VLOOKUP(A50,'Centre WP11'!$A$7:$N$160,3,FALSE),0)+
IFERROR(VLOOKUP(A50,'Centre WR11'!$A$7:$N$160,3,FALSE),0)+
IFERROR(VLOOKUP(A50,'Centre WV11'!$A$7:$N$163,3,FALSE),0)</f>
        <v>1.2</v>
      </c>
      <c r="D50" s="10">
        <f>IFERROR(VLOOKUP(A50,'Centre DW11'!$A$7:$N$161,4,FALSE),0)+
IFERROR(VLOOKUP(A50,'Centre WP11'!$A$7:$N$160,4,FALSE),0)+
IFERROR(VLOOKUP(A50,'Centre WR11'!$A$7:$N$160,4,FALSE),0)+
IFERROR(VLOOKUP(A50,'Centre WV11'!$A$7:$N$163,4,FALSE),0)</f>
        <v>1.2</v>
      </c>
      <c r="E50" s="10">
        <f>IFERROR(VLOOKUP(A50,'Centre DW11'!$A$7:$N$161,5,FALSE),0)+
IFERROR(VLOOKUP(A50,'Centre WP11'!$A$7:$N$160,5,FALSE),0)+
IFERROR(VLOOKUP(A50,'Centre WR11'!$A$7:$N$160,5,FALSE),0)+
IFERROR(VLOOKUP(A50,'Centre WV11'!$A$7:$N$163,5,FALSE),0)</f>
        <v>1.2</v>
      </c>
      <c r="F50" s="10">
        <f>IFERROR(VLOOKUP(A50,'Centre DW11'!$A$7:$N$161,6,FALSE),0)+
IFERROR(VLOOKUP(A50,'Centre WP11'!$A$7:$N$160,6,FALSE),0)+
IFERROR(VLOOKUP(A50,'Centre WR11'!$A$7:$N$160,6,FALSE),0)+
IFERROR(VLOOKUP(A50,'Centre WV11'!$A$7:$N$163,6,FALSE),0)</f>
        <v>1.2</v>
      </c>
      <c r="G50" s="10">
        <f>IFERROR(VLOOKUP(A50,'Centre DW11'!$A$7:$N$161,7,FALSE),0)+
IFERROR(VLOOKUP(A50,'Centre WP11'!$A$7:$N$160,7,FALSE),0)+
IFERROR(VLOOKUP(A50,'Centre WR11'!$A$7:$N$160,7,FALSE),0)+
IFERROR(VLOOKUP(A50,'Centre WV11'!$A$7:$N$163,7,FALSE),0)</f>
        <v>1.2</v>
      </c>
      <c r="H50" s="10">
        <f>IFERROR(VLOOKUP(A50,'Centre DW11'!$A$7:$N$161,8,FALSE),0)+
IFERROR(VLOOKUP(A50,'Centre WP11'!$A$7:$N$160,8,FALSE),0)+
IFERROR(VLOOKUP(A50,'Centre WR11'!$A$7:$N$160,8,FALSE),0)+
IFERROR(VLOOKUP(A50,'Centre WV11'!$A$7:$N$163,8,FALSE),0)</f>
        <v>1.2</v>
      </c>
      <c r="I50" s="10">
        <f>IFERROR(VLOOKUP(A50,'Centre DW11'!$A$7:$N$161,9,FALSE),0)+
IFERROR(VLOOKUP(A50,'Centre WP11'!$A$7:$N$160,9,FALSE),0)+
IFERROR(VLOOKUP(A50,'Centre WR11'!$A$7:$N$160,9,FALSE),0)+
IFERROR(VLOOKUP(A50,'Centre WV11'!$A$7:$N$163,9,FALSE),0)</f>
        <v>1.2</v>
      </c>
      <c r="J50" s="10">
        <f>IFERROR(VLOOKUP(A50,'Centre DW11'!$A$7:$N$161,10,FALSE),0)+
IFERROR(VLOOKUP(A50,'Centre WP11'!$A$7:$N$160,10,FALSE),0)+
IFERROR(VLOOKUP(A50,'Centre WR11'!$A$7:$N$160,10,FALSE),0)+
IFERROR(VLOOKUP(A50,'Centre WV11'!$A$7:$N$163,10,FALSE),0)</f>
        <v>1.2</v>
      </c>
      <c r="K50" s="10">
        <f>IFERROR(VLOOKUP(A50,'Centre DW11'!$A$7:$N$161,11,FALSE),0)+
IFERROR(VLOOKUP(A50,'Centre WP11'!$A$7:$N$160,11,FALSE),0)+
IFERROR(VLOOKUP(A50,'Centre WR11'!$A$7:$N$160,11,FALSE),0)+
IFERROR(VLOOKUP(A50,'Centre WV11'!$A$7:$N$163,11,FALSE),0)</f>
        <v>1.2</v>
      </c>
      <c r="L50" s="10">
        <f>IFERROR(VLOOKUP(A50,'Centre DW11'!$A$7:$N$161,12,FALSE),0)+
IFERROR(VLOOKUP(A50,'Centre WP11'!$A$7:$N$160,12,FALSE),0)+
IFERROR(VLOOKUP(A50,'Centre WR11'!$A$7:$N$160,12,FALSE),0)+
IFERROR(VLOOKUP(A50,'Centre WV11'!$A$7:$N$163,12,FALSE),0)</f>
        <v>1.2</v>
      </c>
      <c r="M50" s="10">
        <f>IFERROR(VLOOKUP(A50,'Centre DW11'!$A$7:$N$161,13,FALSE),0)+
IFERROR(VLOOKUP(A50,'Centre WP11'!$A$7:$N$160,13,FALSE),0)+
IFERROR(VLOOKUP(A50,'Centre WR11'!$A$7:$N$160,13,FALSE),0)+
IFERROR(VLOOKUP(A50,'Centre WV11'!$A$7:$N$163,13,FALSE),0)</f>
        <v>1.2</v>
      </c>
      <c r="N50" s="10">
        <f>IFERROR(VLOOKUP(A50,'Centre DW11'!$A$7:$N$161,14,FALSE),0)+
IFERROR(VLOOKUP(A50,'Centre WP11'!$A$7:$N$160,14,FALSE),0)+
IFERROR(VLOOKUP(A50,'Centre WR11'!$A$7:$N$160,14,FALSE),0)+
IFERROR(VLOOKUP(A50,'Centre WV11'!$A$7:$N$163,14,FALSE),0)</f>
        <v>1.2</v>
      </c>
    </row>
    <row r="51" spans="1:14" hidden="1" outlineLevel="1" x14ac:dyDescent="0.2">
      <c r="A51" s="9" t="s">
        <v>103</v>
      </c>
      <c r="B51" s="1" t="s">
        <v>104</v>
      </c>
      <c r="C51" s="10">
        <f>IFERROR(VLOOKUP(A51,'Centre DW11'!$A$7:$N$161,3,FALSE),0)+
IFERROR(VLOOKUP(A51,'Centre WP11'!$A$7:$N$160,3,FALSE),0)+
IFERROR(VLOOKUP(A51,'Centre WR11'!$A$7:$N$160,3,FALSE),0)+
IFERROR(VLOOKUP(A51,'Centre WV11'!$A$7:$N$163,3,FALSE),0)</f>
        <v>3.2</v>
      </c>
      <c r="D51" s="10">
        <f>IFERROR(VLOOKUP(A51,'Centre DW11'!$A$7:$N$161,4,FALSE),0)+
IFERROR(VLOOKUP(A51,'Centre WP11'!$A$7:$N$160,4,FALSE),0)+
IFERROR(VLOOKUP(A51,'Centre WR11'!$A$7:$N$160,4,FALSE),0)+
IFERROR(VLOOKUP(A51,'Centre WV11'!$A$7:$N$163,4,FALSE),0)</f>
        <v>3.2</v>
      </c>
      <c r="E51" s="10">
        <f>IFERROR(VLOOKUP(A51,'Centre DW11'!$A$7:$N$161,5,FALSE),0)+
IFERROR(VLOOKUP(A51,'Centre WP11'!$A$7:$N$160,5,FALSE),0)+
IFERROR(VLOOKUP(A51,'Centre WR11'!$A$7:$N$160,5,FALSE),0)+
IFERROR(VLOOKUP(A51,'Centre WV11'!$A$7:$N$163,5,FALSE),0)</f>
        <v>3.1</v>
      </c>
      <c r="F51" s="10">
        <f>IFERROR(VLOOKUP(A51,'Centre DW11'!$A$7:$N$161,6,FALSE),0)+
IFERROR(VLOOKUP(A51,'Centre WP11'!$A$7:$N$160,6,FALSE),0)+
IFERROR(VLOOKUP(A51,'Centre WR11'!$A$7:$N$160,6,FALSE),0)+
IFERROR(VLOOKUP(A51,'Centre WV11'!$A$7:$N$163,6,FALSE),0)</f>
        <v>3.4</v>
      </c>
      <c r="G51" s="10">
        <f>IFERROR(VLOOKUP(A51,'Centre DW11'!$A$7:$N$161,7,FALSE),0)+
IFERROR(VLOOKUP(A51,'Centre WP11'!$A$7:$N$160,7,FALSE),0)+
IFERROR(VLOOKUP(A51,'Centre WR11'!$A$7:$N$160,7,FALSE),0)+
IFERROR(VLOOKUP(A51,'Centre WV11'!$A$7:$N$163,7,FALSE),0)</f>
        <v>3.3</v>
      </c>
      <c r="H51" s="10">
        <f>IFERROR(VLOOKUP(A51,'Centre DW11'!$A$7:$N$161,8,FALSE),0)+
IFERROR(VLOOKUP(A51,'Centre WP11'!$A$7:$N$160,8,FALSE),0)+
IFERROR(VLOOKUP(A51,'Centre WR11'!$A$7:$N$160,8,FALSE),0)+
IFERROR(VLOOKUP(A51,'Centre WV11'!$A$7:$N$163,8,FALSE),0)</f>
        <v>3.4</v>
      </c>
      <c r="I51" s="10">
        <f>IFERROR(VLOOKUP(A51,'Centre DW11'!$A$7:$N$161,9,FALSE),0)+
IFERROR(VLOOKUP(A51,'Centre WP11'!$A$7:$N$160,9,FALSE),0)+
IFERROR(VLOOKUP(A51,'Centre WR11'!$A$7:$N$160,9,FALSE),0)+
IFERROR(VLOOKUP(A51,'Centre WV11'!$A$7:$N$163,9,FALSE),0)</f>
        <v>3.5</v>
      </c>
      <c r="J51" s="10">
        <f>IFERROR(VLOOKUP(A51,'Centre DW11'!$A$7:$N$161,10,FALSE),0)+
IFERROR(VLOOKUP(A51,'Centre WP11'!$A$7:$N$160,10,FALSE),0)+
IFERROR(VLOOKUP(A51,'Centre WR11'!$A$7:$N$160,10,FALSE),0)+
IFERROR(VLOOKUP(A51,'Centre WV11'!$A$7:$N$163,10,FALSE),0)</f>
        <v>3.1</v>
      </c>
      <c r="K51" s="10">
        <f>IFERROR(VLOOKUP(A51,'Centre DW11'!$A$7:$N$161,11,FALSE),0)+
IFERROR(VLOOKUP(A51,'Centre WP11'!$A$7:$N$160,11,FALSE),0)+
IFERROR(VLOOKUP(A51,'Centre WR11'!$A$7:$N$160,11,FALSE),0)+
IFERROR(VLOOKUP(A51,'Centre WV11'!$A$7:$N$163,11,FALSE),0)</f>
        <v>3.4</v>
      </c>
      <c r="L51" s="10">
        <f>IFERROR(VLOOKUP(A51,'Centre DW11'!$A$7:$N$161,12,FALSE),0)+
IFERROR(VLOOKUP(A51,'Centre WP11'!$A$7:$N$160,12,FALSE),0)+
IFERROR(VLOOKUP(A51,'Centre WR11'!$A$7:$N$160,12,FALSE),0)+
IFERROR(VLOOKUP(A51,'Centre WV11'!$A$7:$N$163,12,FALSE),0)</f>
        <v>3.3</v>
      </c>
      <c r="M51" s="10">
        <f>IFERROR(VLOOKUP(A51,'Centre DW11'!$A$7:$N$161,13,FALSE),0)+
IFERROR(VLOOKUP(A51,'Centre WP11'!$A$7:$N$160,13,FALSE),0)+
IFERROR(VLOOKUP(A51,'Centre WR11'!$A$7:$N$160,13,FALSE),0)+
IFERROR(VLOOKUP(A51,'Centre WV11'!$A$7:$N$163,13,FALSE),0)</f>
        <v>3.4</v>
      </c>
      <c r="N51" s="10">
        <f>IFERROR(VLOOKUP(A51,'Centre DW11'!$A$7:$N$161,14,FALSE),0)+
IFERROR(VLOOKUP(A51,'Centre WP11'!$A$7:$N$160,14,FALSE),0)+
IFERROR(VLOOKUP(A51,'Centre WR11'!$A$7:$N$160,14,FALSE),0)+
IFERROR(VLOOKUP(A51,'Centre WV11'!$A$7:$N$163,14,FALSE),0)</f>
        <v>3.5</v>
      </c>
    </row>
    <row r="52" spans="1:14" hidden="1" outlineLevel="1" x14ac:dyDescent="0.2">
      <c r="A52" s="9" t="s">
        <v>305</v>
      </c>
      <c r="B52" s="1" t="s">
        <v>306</v>
      </c>
      <c r="C52" s="10">
        <f>IFERROR(VLOOKUP(A52,'Centre DW11'!$A$7:$N$161,3,FALSE),0)+
IFERROR(VLOOKUP(A52,'Centre WP11'!$A$7:$N$160,3,FALSE),0)+
IFERROR(VLOOKUP(A52,'Centre WR11'!$A$7:$N$160,3,FALSE),0)+
IFERROR(VLOOKUP(A52,'Centre WV11'!$A$7:$N$163,3,FALSE),0)</f>
        <v>0</v>
      </c>
      <c r="D52" s="10">
        <f>IFERROR(VLOOKUP(A52,'Centre DW11'!$A$7:$N$161,4,FALSE),0)+
IFERROR(VLOOKUP(A52,'Centre WP11'!$A$7:$N$160,4,FALSE),0)+
IFERROR(VLOOKUP(A52,'Centre WR11'!$A$7:$N$160,4,FALSE),0)+
IFERROR(VLOOKUP(A52,'Centre WV11'!$A$7:$N$163,4,FALSE),0)</f>
        <v>0</v>
      </c>
      <c r="E52" s="10">
        <f>IFERROR(VLOOKUP(A52,'Centre DW11'!$A$7:$N$161,5,FALSE),0)+
IFERROR(VLOOKUP(A52,'Centre WP11'!$A$7:$N$160,5,FALSE),0)+
IFERROR(VLOOKUP(A52,'Centre WR11'!$A$7:$N$160,5,FALSE),0)+
IFERROR(VLOOKUP(A52,'Centre WV11'!$A$7:$N$163,5,FALSE),0)</f>
        <v>0</v>
      </c>
      <c r="F52" s="10">
        <f>IFERROR(VLOOKUP(A52,'Centre DW11'!$A$7:$N$161,6,FALSE),0)+
IFERROR(VLOOKUP(A52,'Centre WP11'!$A$7:$N$160,6,FALSE),0)+
IFERROR(VLOOKUP(A52,'Centre WR11'!$A$7:$N$160,6,FALSE),0)+
IFERROR(VLOOKUP(A52,'Centre WV11'!$A$7:$N$163,6,FALSE),0)</f>
        <v>0</v>
      </c>
      <c r="G52" s="10">
        <f>IFERROR(VLOOKUP(A52,'Centre DW11'!$A$7:$N$161,7,FALSE),0)+
IFERROR(VLOOKUP(A52,'Centre WP11'!$A$7:$N$160,7,FALSE),0)+
IFERROR(VLOOKUP(A52,'Centre WR11'!$A$7:$N$160,7,FALSE),0)+
IFERROR(VLOOKUP(A52,'Centre WV11'!$A$7:$N$163,7,FALSE),0)</f>
        <v>0</v>
      </c>
      <c r="H52" s="10">
        <f>IFERROR(VLOOKUP(A52,'Centre DW11'!$A$7:$N$161,8,FALSE),0)+
IFERROR(VLOOKUP(A52,'Centre WP11'!$A$7:$N$160,8,FALSE),0)+
IFERROR(VLOOKUP(A52,'Centre WR11'!$A$7:$N$160,8,FALSE),0)+
IFERROR(VLOOKUP(A52,'Centre WV11'!$A$7:$N$163,8,FALSE),0)</f>
        <v>0</v>
      </c>
      <c r="I52" s="10">
        <f>IFERROR(VLOOKUP(A52,'Centre DW11'!$A$7:$N$161,9,FALSE),0)+
IFERROR(VLOOKUP(A52,'Centre WP11'!$A$7:$N$160,9,FALSE),0)+
IFERROR(VLOOKUP(A52,'Centre WR11'!$A$7:$N$160,9,FALSE),0)+
IFERROR(VLOOKUP(A52,'Centre WV11'!$A$7:$N$163,9,FALSE),0)</f>
        <v>0</v>
      </c>
      <c r="J52" s="10">
        <f>IFERROR(VLOOKUP(A52,'Centre DW11'!$A$7:$N$161,10,FALSE),0)+
IFERROR(VLOOKUP(A52,'Centre WP11'!$A$7:$N$160,10,FALSE),0)+
IFERROR(VLOOKUP(A52,'Centre WR11'!$A$7:$N$160,10,FALSE),0)+
IFERROR(VLOOKUP(A52,'Centre WV11'!$A$7:$N$163,10,FALSE),0)</f>
        <v>0</v>
      </c>
      <c r="K52" s="10">
        <f>IFERROR(VLOOKUP(A52,'Centre DW11'!$A$7:$N$161,11,FALSE),0)+
IFERROR(VLOOKUP(A52,'Centre WP11'!$A$7:$N$160,11,FALSE),0)+
IFERROR(VLOOKUP(A52,'Centre WR11'!$A$7:$N$160,11,FALSE),0)+
IFERROR(VLOOKUP(A52,'Centre WV11'!$A$7:$N$163,11,FALSE),0)</f>
        <v>0</v>
      </c>
      <c r="L52" s="10">
        <f>IFERROR(VLOOKUP(A52,'Centre DW11'!$A$7:$N$161,12,FALSE),0)+
IFERROR(VLOOKUP(A52,'Centre WP11'!$A$7:$N$160,12,FALSE),0)+
IFERROR(VLOOKUP(A52,'Centre WR11'!$A$7:$N$160,12,FALSE),0)+
IFERROR(VLOOKUP(A52,'Centre WV11'!$A$7:$N$163,12,FALSE),0)</f>
        <v>0</v>
      </c>
      <c r="M52" s="10">
        <f>IFERROR(VLOOKUP(A52,'Centre DW11'!$A$7:$N$161,13,FALSE),0)+
IFERROR(VLOOKUP(A52,'Centre WP11'!$A$7:$N$160,13,FALSE),0)+
IFERROR(VLOOKUP(A52,'Centre WR11'!$A$7:$N$160,13,FALSE),0)+
IFERROR(VLOOKUP(A52,'Centre WV11'!$A$7:$N$163,13,FALSE),0)</f>
        <v>0</v>
      </c>
      <c r="N52" s="10">
        <f>IFERROR(VLOOKUP(A52,'Centre DW11'!$A$7:$N$161,14,FALSE),0)+
IFERROR(VLOOKUP(A52,'Centre WP11'!$A$7:$N$160,14,FALSE),0)+
IFERROR(VLOOKUP(A52,'Centre WR11'!$A$7:$N$160,14,FALSE),0)+
IFERROR(VLOOKUP(A52,'Centre WV11'!$A$7:$N$163,14,FALSE),0)</f>
        <v>0</v>
      </c>
    </row>
    <row r="53" spans="1:14" hidden="1" outlineLevel="1" x14ac:dyDescent="0.2">
      <c r="A53" s="9" t="s">
        <v>105</v>
      </c>
      <c r="B53" s="1" t="s">
        <v>106</v>
      </c>
      <c r="C53" s="10">
        <f>IFERROR(VLOOKUP(A53,'Centre DW11'!$A$7:$N$161,3,FALSE),0)+
IFERROR(VLOOKUP(A53,'Centre WP11'!$A$7:$N$160,3,FALSE),0)+
IFERROR(VLOOKUP(A53,'Centre WR11'!$A$7:$N$160,3,FALSE),0)+
IFERROR(VLOOKUP(A53,'Centre WV11'!$A$7:$N$163,3,FALSE),0)</f>
        <v>13.2</v>
      </c>
      <c r="D53" s="10">
        <f>IFERROR(VLOOKUP(A53,'Centre DW11'!$A$7:$N$161,4,FALSE),0)+
IFERROR(VLOOKUP(A53,'Centre WP11'!$A$7:$N$160,4,FALSE),0)+
IFERROR(VLOOKUP(A53,'Centre WR11'!$A$7:$N$160,4,FALSE),0)+
IFERROR(VLOOKUP(A53,'Centre WV11'!$A$7:$N$163,4,FALSE),0)</f>
        <v>13.2</v>
      </c>
      <c r="E53" s="10">
        <f>IFERROR(VLOOKUP(A53,'Centre DW11'!$A$7:$N$161,5,FALSE),0)+
IFERROR(VLOOKUP(A53,'Centre WP11'!$A$7:$N$160,5,FALSE),0)+
IFERROR(VLOOKUP(A53,'Centre WR11'!$A$7:$N$160,5,FALSE),0)+
IFERROR(VLOOKUP(A53,'Centre WV11'!$A$7:$N$163,5,FALSE),0)</f>
        <v>13.2</v>
      </c>
      <c r="F53" s="10">
        <f>IFERROR(VLOOKUP(A53,'Centre DW11'!$A$7:$N$161,6,FALSE),0)+
IFERROR(VLOOKUP(A53,'Centre WP11'!$A$7:$N$160,6,FALSE),0)+
IFERROR(VLOOKUP(A53,'Centre WR11'!$A$7:$N$160,6,FALSE),0)+
IFERROR(VLOOKUP(A53,'Centre WV11'!$A$7:$N$163,6,FALSE),0)</f>
        <v>13.2</v>
      </c>
      <c r="G53" s="10">
        <f>IFERROR(VLOOKUP(A53,'Centre DW11'!$A$7:$N$161,7,FALSE),0)+
IFERROR(VLOOKUP(A53,'Centre WP11'!$A$7:$N$160,7,FALSE),0)+
IFERROR(VLOOKUP(A53,'Centre WR11'!$A$7:$N$160,7,FALSE),0)+
IFERROR(VLOOKUP(A53,'Centre WV11'!$A$7:$N$163,7,FALSE),0)</f>
        <v>13.2</v>
      </c>
      <c r="H53" s="10">
        <f>IFERROR(VLOOKUP(A53,'Centre DW11'!$A$7:$N$161,8,FALSE),0)+
IFERROR(VLOOKUP(A53,'Centre WP11'!$A$7:$N$160,8,FALSE),0)+
IFERROR(VLOOKUP(A53,'Centre WR11'!$A$7:$N$160,8,FALSE),0)+
IFERROR(VLOOKUP(A53,'Centre WV11'!$A$7:$N$163,8,FALSE),0)</f>
        <v>13.2</v>
      </c>
      <c r="I53" s="10">
        <f>IFERROR(VLOOKUP(A53,'Centre DW11'!$A$7:$N$161,9,FALSE),0)+
IFERROR(VLOOKUP(A53,'Centre WP11'!$A$7:$N$160,9,FALSE),0)+
IFERROR(VLOOKUP(A53,'Centre WR11'!$A$7:$N$160,9,FALSE),0)+
IFERROR(VLOOKUP(A53,'Centre WV11'!$A$7:$N$163,9,FALSE),0)</f>
        <v>13.2</v>
      </c>
      <c r="J53" s="10">
        <f>IFERROR(VLOOKUP(A53,'Centre DW11'!$A$7:$N$161,10,FALSE),0)+
IFERROR(VLOOKUP(A53,'Centre WP11'!$A$7:$N$160,10,FALSE),0)+
IFERROR(VLOOKUP(A53,'Centre WR11'!$A$7:$N$160,10,FALSE),0)+
IFERROR(VLOOKUP(A53,'Centre WV11'!$A$7:$N$163,10,FALSE),0)</f>
        <v>13.2</v>
      </c>
      <c r="K53" s="10">
        <f>IFERROR(VLOOKUP(A53,'Centre DW11'!$A$7:$N$161,11,FALSE),0)+
IFERROR(VLOOKUP(A53,'Centre WP11'!$A$7:$N$160,11,FALSE),0)+
IFERROR(VLOOKUP(A53,'Centre WR11'!$A$7:$N$160,11,FALSE),0)+
IFERROR(VLOOKUP(A53,'Centre WV11'!$A$7:$N$163,11,FALSE),0)</f>
        <v>13.2</v>
      </c>
      <c r="L53" s="10">
        <f>IFERROR(VLOOKUP(A53,'Centre DW11'!$A$7:$N$161,12,FALSE),0)+
IFERROR(VLOOKUP(A53,'Centre WP11'!$A$7:$N$160,12,FALSE),0)+
IFERROR(VLOOKUP(A53,'Centre WR11'!$A$7:$N$160,12,FALSE),0)+
IFERROR(VLOOKUP(A53,'Centre WV11'!$A$7:$N$163,12,FALSE),0)</f>
        <v>13.2</v>
      </c>
      <c r="M53" s="10">
        <f>IFERROR(VLOOKUP(A53,'Centre DW11'!$A$7:$N$161,13,FALSE),0)+
IFERROR(VLOOKUP(A53,'Centre WP11'!$A$7:$N$160,13,FALSE),0)+
IFERROR(VLOOKUP(A53,'Centre WR11'!$A$7:$N$160,13,FALSE),0)+
IFERROR(VLOOKUP(A53,'Centre WV11'!$A$7:$N$163,13,FALSE),0)</f>
        <v>13.2</v>
      </c>
      <c r="N53" s="10">
        <f>IFERROR(VLOOKUP(A53,'Centre DW11'!$A$7:$N$161,14,FALSE),0)+
IFERROR(VLOOKUP(A53,'Centre WP11'!$A$7:$N$160,14,FALSE),0)+
IFERROR(VLOOKUP(A53,'Centre WR11'!$A$7:$N$160,14,FALSE),0)+
IFERROR(VLOOKUP(A53,'Centre WV11'!$A$7:$N$163,14,FALSE),0)</f>
        <v>13.2</v>
      </c>
    </row>
    <row r="54" spans="1:14" hidden="1" outlineLevel="1" x14ac:dyDescent="0.2">
      <c r="A54" s="9" t="s">
        <v>107</v>
      </c>
      <c r="B54" s="1" t="s">
        <v>108</v>
      </c>
      <c r="C54" s="10">
        <f>IFERROR(VLOOKUP(A54,'Centre DW11'!$A$7:$N$161,3,FALSE),0)+
IFERROR(VLOOKUP(A54,'Centre WP11'!$A$7:$N$160,3,FALSE),0)+
IFERROR(VLOOKUP(A54,'Centre WR11'!$A$7:$N$160,3,FALSE),0)+
IFERROR(VLOOKUP(A54,'Centre WV11'!$A$7:$N$163,3,FALSE),0)</f>
        <v>1.1000000000000001</v>
      </c>
      <c r="D54" s="10">
        <f>IFERROR(VLOOKUP(A54,'Centre DW11'!$A$7:$N$161,4,FALSE),0)+
IFERROR(VLOOKUP(A54,'Centre WP11'!$A$7:$N$160,4,FALSE),0)+
IFERROR(VLOOKUP(A54,'Centre WR11'!$A$7:$N$160,4,FALSE),0)+
IFERROR(VLOOKUP(A54,'Centre WV11'!$A$7:$N$163,4,FALSE),0)</f>
        <v>1.1000000000000001</v>
      </c>
      <c r="E54" s="10">
        <f>IFERROR(VLOOKUP(A54,'Centre DW11'!$A$7:$N$161,5,FALSE),0)+
IFERROR(VLOOKUP(A54,'Centre WP11'!$A$7:$N$160,5,FALSE),0)+
IFERROR(VLOOKUP(A54,'Centre WR11'!$A$7:$N$160,5,FALSE),0)+
IFERROR(VLOOKUP(A54,'Centre WV11'!$A$7:$N$163,5,FALSE),0)</f>
        <v>1.1000000000000001</v>
      </c>
      <c r="F54" s="10">
        <f>IFERROR(VLOOKUP(A54,'Centre DW11'!$A$7:$N$161,6,FALSE),0)+
IFERROR(VLOOKUP(A54,'Centre WP11'!$A$7:$N$160,6,FALSE),0)+
IFERROR(VLOOKUP(A54,'Centre WR11'!$A$7:$N$160,6,FALSE),0)+
IFERROR(VLOOKUP(A54,'Centre WV11'!$A$7:$N$163,6,FALSE),0)</f>
        <v>1.1000000000000001</v>
      </c>
      <c r="G54" s="10">
        <f>IFERROR(VLOOKUP(A54,'Centre DW11'!$A$7:$N$161,7,FALSE),0)+
IFERROR(VLOOKUP(A54,'Centre WP11'!$A$7:$N$160,7,FALSE),0)+
IFERROR(VLOOKUP(A54,'Centre WR11'!$A$7:$N$160,7,FALSE),0)+
IFERROR(VLOOKUP(A54,'Centre WV11'!$A$7:$N$163,7,FALSE),0)</f>
        <v>1.1000000000000001</v>
      </c>
      <c r="H54" s="10">
        <f>IFERROR(VLOOKUP(A54,'Centre DW11'!$A$7:$N$161,8,FALSE),0)+
IFERROR(VLOOKUP(A54,'Centre WP11'!$A$7:$N$160,8,FALSE),0)+
IFERROR(VLOOKUP(A54,'Centre WR11'!$A$7:$N$160,8,FALSE),0)+
IFERROR(VLOOKUP(A54,'Centre WV11'!$A$7:$N$163,8,FALSE),0)</f>
        <v>11.2</v>
      </c>
      <c r="I54" s="10">
        <f>IFERROR(VLOOKUP(A54,'Centre DW11'!$A$7:$N$161,9,FALSE),0)+
IFERROR(VLOOKUP(A54,'Centre WP11'!$A$7:$N$160,9,FALSE),0)+
IFERROR(VLOOKUP(A54,'Centre WR11'!$A$7:$N$160,9,FALSE),0)+
IFERROR(VLOOKUP(A54,'Centre WV11'!$A$7:$N$163,9,FALSE),0)</f>
        <v>1.1000000000000001</v>
      </c>
      <c r="J54" s="10">
        <f>IFERROR(VLOOKUP(A54,'Centre DW11'!$A$7:$N$161,10,FALSE),0)+
IFERROR(VLOOKUP(A54,'Centre WP11'!$A$7:$N$160,10,FALSE),0)+
IFERROR(VLOOKUP(A54,'Centre WR11'!$A$7:$N$160,10,FALSE),0)+
IFERROR(VLOOKUP(A54,'Centre WV11'!$A$7:$N$163,10,FALSE),0)</f>
        <v>1.1000000000000001</v>
      </c>
      <c r="K54" s="10">
        <f>IFERROR(VLOOKUP(A54,'Centre DW11'!$A$7:$N$161,11,FALSE),0)+
IFERROR(VLOOKUP(A54,'Centre WP11'!$A$7:$N$160,11,FALSE),0)+
IFERROR(VLOOKUP(A54,'Centre WR11'!$A$7:$N$160,11,FALSE),0)+
IFERROR(VLOOKUP(A54,'Centre WV11'!$A$7:$N$163,11,FALSE),0)</f>
        <v>1.1000000000000001</v>
      </c>
      <c r="L54" s="10">
        <f>IFERROR(VLOOKUP(A54,'Centre DW11'!$A$7:$N$161,12,FALSE),0)+
IFERROR(VLOOKUP(A54,'Centre WP11'!$A$7:$N$160,12,FALSE),0)+
IFERROR(VLOOKUP(A54,'Centre WR11'!$A$7:$N$160,12,FALSE),0)+
IFERROR(VLOOKUP(A54,'Centre WV11'!$A$7:$N$163,12,FALSE),0)</f>
        <v>1.1000000000000001</v>
      </c>
      <c r="M54" s="10">
        <f>IFERROR(VLOOKUP(A54,'Centre DW11'!$A$7:$N$161,13,FALSE),0)+
IFERROR(VLOOKUP(A54,'Centre WP11'!$A$7:$N$160,13,FALSE),0)+
IFERROR(VLOOKUP(A54,'Centre WR11'!$A$7:$N$160,13,FALSE),0)+
IFERROR(VLOOKUP(A54,'Centre WV11'!$A$7:$N$163,13,FALSE),0)</f>
        <v>1.1000000000000001</v>
      </c>
      <c r="N54" s="10">
        <f>IFERROR(VLOOKUP(A54,'Centre DW11'!$A$7:$N$161,14,FALSE),0)+
IFERROR(VLOOKUP(A54,'Centre WP11'!$A$7:$N$160,14,FALSE),0)+
IFERROR(VLOOKUP(A54,'Centre WR11'!$A$7:$N$160,14,FALSE),0)+
IFERROR(VLOOKUP(A54,'Centre WV11'!$A$7:$N$163,14,FALSE),0)</f>
        <v>11.2</v>
      </c>
    </row>
    <row r="55" spans="1:14" hidden="1" outlineLevel="1" x14ac:dyDescent="0.2">
      <c r="A55" s="9" t="s">
        <v>109</v>
      </c>
      <c r="B55" s="1" t="s">
        <v>110</v>
      </c>
      <c r="C55" s="10">
        <f>IFERROR(VLOOKUP(A55,'Centre DW11'!$A$7:$N$161,3,FALSE),0)+
IFERROR(VLOOKUP(A55,'Centre WP11'!$A$7:$N$160,3,FALSE),0)+
IFERROR(VLOOKUP(A55,'Centre WR11'!$A$7:$N$160,3,FALSE),0)+
IFERROR(VLOOKUP(A55,'Centre WV11'!$A$7:$N$163,3,FALSE),0)</f>
        <v>1.67</v>
      </c>
      <c r="D55" s="10">
        <f>IFERROR(VLOOKUP(A55,'Centre DW11'!$A$7:$N$161,4,FALSE),0)+
IFERROR(VLOOKUP(A55,'Centre WP11'!$A$7:$N$160,4,FALSE),0)+
IFERROR(VLOOKUP(A55,'Centre WR11'!$A$7:$N$160,4,FALSE),0)+
IFERROR(VLOOKUP(A55,'Centre WV11'!$A$7:$N$163,4,FALSE),0)</f>
        <v>1.67</v>
      </c>
      <c r="E55" s="10">
        <f>IFERROR(VLOOKUP(A55,'Centre DW11'!$A$7:$N$161,5,FALSE),0)+
IFERROR(VLOOKUP(A55,'Centre WP11'!$A$7:$N$160,5,FALSE),0)+
IFERROR(VLOOKUP(A55,'Centre WR11'!$A$7:$N$160,5,FALSE),0)+
IFERROR(VLOOKUP(A55,'Centre WV11'!$A$7:$N$163,5,FALSE),0)</f>
        <v>1.67</v>
      </c>
      <c r="F55" s="10">
        <f>IFERROR(VLOOKUP(A55,'Centre DW11'!$A$7:$N$161,6,FALSE),0)+
IFERROR(VLOOKUP(A55,'Centre WP11'!$A$7:$N$160,6,FALSE),0)+
IFERROR(VLOOKUP(A55,'Centre WR11'!$A$7:$N$160,6,FALSE),0)+
IFERROR(VLOOKUP(A55,'Centre WV11'!$A$7:$N$163,6,FALSE),0)</f>
        <v>1.67</v>
      </c>
      <c r="G55" s="10">
        <f>IFERROR(VLOOKUP(A55,'Centre DW11'!$A$7:$N$161,7,FALSE),0)+
IFERROR(VLOOKUP(A55,'Centre WP11'!$A$7:$N$160,7,FALSE),0)+
IFERROR(VLOOKUP(A55,'Centre WR11'!$A$7:$N$160,7,FALSE),0)+
IFERROR(VLOOKUP(A55,'Centre WV11'!$A$7:$N$163,7,FALSE),0)</f>
        <v>1.67</v>
      </c>
      <c r="H55" s="10">
        <f>IFERROR(VLOOKUP(A55,'Centre DW11'!$A$7:$N$161,8,FALSE),0)+
IFERROR(VLOOKUP(A55,'Centre WP11'!$A$7:$N$160,8,FALSE),0)+
IFERROR(VLOOKUP(A55,'Centre WR11'!$A$7:$N$160,8,FALSE),0)+
IFERROR(VLOOKUP(A55,'Centre WV11'!$A$7:$N$163,8,FALSE),0)</f>
        <v>1.67</v>
      </c>
      <c r="I55" s="10">
        <f>IFERROR(VLOOKUP(A55,'Centre DW11'!$A$7:$N$161,9,FALSE),0)+
IFERROR(VLOOKUP(A55,'Centre WP11'!$A$7:$N$160,9,FALSE),0)+
IFERROR(VLOOKUP(A55,'Centre WR11'!$A$7:$N$160,9,FALSE),0)+
IFERROR(VLOOKUP(A55,'Centre WV11'!$A$7:$N$163,9,FALSE),0)</f>
        <v>1.67</v>
      </c>
      <c r="J55" s="10">
        <f>IFERROR(VLOOKUP(A55,'Centre DW11'!$A$7:$N$161,10,FALSE),0)+
IFERROR(VLOOKUP(A55,'Centre WP11'!$A$7:$N$160,10,FALSE),0)+
IFERROR(VLOOKUP(A55,'Centre WR11'!$A$7:$N$160,10,FALSE),0)+
IFERROR(VLOOKUP(A55,'Centre WV11'!$A$7:$N$163,10,FALSE),0)</f>
        <v>1.67</v>
      </c>
      <c r="K55" s="10">
        <f>IFERROR(VLOOKUP(A55,'Centre DW11'!$A$7:$N$161,11,FALSE),0)+
IFERROR(VLOOKUP(A55,'Centre WP11'!$A$7:$N$160,11,FALSE),0)+
IFERROR(VLOOKUP(A55,'Centre WR11'!$A$7:$N$160,11,FALSE),0)+
IFERROR(VLOOKUP(A55,'Centre WV11'!$A$7:$N$163,11,FALSE),0)</f>
        <v>1.67</v>
      </c>
      <c r="L55" s="10">
        <f>IFERROR(VLOOKUP(A55,'Centre DW11'!$A$7:$N$161,12,FALSE),0)+
IFERROR(VLOOKUP(A55,'Centre WP11'!$A$7:$N$160,12,FALSE),0)+
IFERROR(VLOOKUP(A55,'Centre WR11'!$A$7:$N$160,12,FALSE),0)+
IFERROR(VLOOKUP(A55,'Centre WV11'!$A$7:$N$163,12,FALSE),0)</f>
        <v>1.67</v>
      </c>
      <c r="M55" s="10">
        <f>IFERROR(VLOOKUP(A55,'Centre DW11'!$A$7:$N$161,13,FALSE),0)+
IFERROR(VLOOKUP(A55,'Centre WP11'!$A$7:$N$160,13,FALSE),0)+
IFERROR(VLOOKUP(A55,'Centre WR11'!$A$7:$N$160,13,FALSE),0)+
IFERROR(VLOOKUP(A55,'Centre WV11'!$A$7:$N$163,13,FALSE),0)</f>
        <v>1.67</v>
      </c>
      <c r="N55" s="10">
        <f>IFERROR(VLOOKUP(A55,'Centre DW11'!$A$7:$N$161,14,FALSE),0)+
IFERROR(VLOOKUP(A55,'Centre WP11'!$A$7:$N$160,14,FALSE),0)+
IFERROR(VLOOKUP(A55,'Centre WR11'!$A$7:$N$160,14,FALSE),0)+
IFERROR(VLOOKUP(A55,'Centre WV11'!$A$7:$N$163,14,FALSE),0)</f>
        <v>1.67</v>
      </c>
    </row>
    <row r="56" spans="1:14" hidden="1" outlineLevel="1" x14ac:dyDescent="0.2">
      <c r="A56" s="9" t="s">
        <v>307</v>
      </c>
      <c r="B56" s="1" t="s">
        <v>308</v>
      </c>
      <c r="C56" s="10">
        <f>IFERROR(VLOOKUP(A56,'Centre DW11'!$A$7:$N$161,3,FALSE),0)+
IFERROR(VLOOKUP(A56,'Centre WP11'!$A$7:$N$160,3,FALSE),0)+
IFERROR(VLOOKUP(A56,'Centre WR11'!$A$7:$N$160,3,FALSE),0)+
IFERROR(VLOOKUP(A56,'Centre WV11'!$A$7:$N$163,3,FALSE),0)</f>
        <v>0</v>
      </c>
      <c r="D56" s="10">
        <f>IFERROR(VLOOKUP(A56,'Centre DW11'!$A$7:$N$161,4,FALSE),0)+
IFERROR(VLOOKUP(A56,'Centre WP11'!$A$7:$N$160,4,FALSE),0)+
IFERROR(VLOOKUP(A56,'Centre WR11'!$A$7:$N$160,4,FALSE),0)+
IFERROR(VLOOKUP(A56,'Centre WV11'!$A$7:$N$163,4,FALSE),0)</f>
        <v>0</v>
      </c>
      <c r="E56" s="10">
        <f>IFERROR(VLOOKUP(A56,'Centre DW11'!$A$7:$N$161,5,FALSE),0)+
IFERROR(VLOOKUP(A56,'Centre WP11'!$A$7:$N$160,5,FALSE),0)+
IFERROR(VLOOKUP(A56,'Centre WR11'!$A$7:$N$160,5,FALSE),0)+
IFERROR(VLOOKUP(A56,'Centre WV11'!$A$7:$N$163,5,FALSE),0)</f>
        <v>0</v>
      </c>
      <c r="F56" s="10">
        <f>IFERROR(VLOOKUP(A56,'Centre DW11'!$A$7:$N$161,6,FALSE),0)+
IFERROR(VLOOKUP(A56,'Centre WP11'!$A$7:$N$160,6,FALSE),0)+
IFERROR(VLOOKUP(A56,'Centre WR11'!$A$7:$N$160,6,FALSE),0)+
IFERROR(VLOOKUP(A56,'Centre WV11'!$A$7:$N$163,6,FALSE),0)</f>
        <v>0</v>
      </c>
      <c r="G56" s="10">
        <f>IFERROR(VLOOKUP(A56,'Centre DW11'!$A$7:$N$161,7,FALSE),0)+
IFERROR(VLOOKUP(A56,'Centre WP11'!$A$7:$N$160,7,FALSE),0)+
IFERROR(VLOOKUP(A56,'Centre WR11'!$A$7:$N$160,7,FALSE),0)+
IFERROR(VLOOKUP(A56,'Centre WV11'!$A$7:$N$163,7,FALSE),0)</f>
        <v>0.9</v>
      </c>
      <c r="H56" s="10">
        <f>IFERROR(VLOOKUP(A56,'Centre DW11'!$A$7:$N$161,8,FALSE),0)+
IFERROR(VLOOKUP(A56,'Centre WP11'!$A$7:$N$160,8,FALSE),0)+
IFERROR(VLOOKUP(A56,'Centre WR11'!$A$7:$N$160,8,FALSE),0)+
IFERROR(VLOOKUP(A56,'Centre WV11'!$A$7:$N$163,8,FALSE),0)</f>
        <v>0</v>
      </c>
      <c r="I56" s="10">
        <f>IFERROR(VLOOKUP(A56,'Centre DW11'!$A$7:$N$161,9,FALSE),0)+
IFERROR(VLOOKUP(A56,'Centre WP11'!$A$7:$N$160,9,FALSE),0)+
IFERROR(VLOOKUP(A56,'Centre WR11'!$A$7:$N$160,9,FALSE),0)+
IFERROR(VLOOKUP(A56,'Centre WV11'!$A$7:$N$163,9,FALSE),0)</f>
        <v>0</v>
      </c>
      <c r="J56" s="10">
        <f>IFERROR(VLOOKUP(A56,'Centre DW11'!$A$7:$N$161,10,FALSE),0)+
IFERROR(VLOOKUP(A56,'Centre WP11'!$A$7:$N$160,10,FALSE),0)+
IFERROR(VLOOKUP(A56,'Centre WR11'!$A$7:$N$160,10,FALSE),0)+
IFERROR(VLOOKUP(A56,'Centre WV11'!$A$7:$N$163,10,FALSE),0)</f>
        <v>0</v>
      </c>
      <c r="K56" s="10">
        <f>IFERROR(VLOOKUP(A56,'Centre DW11'!$A$7:$N$161,11,FALSE),0)+
IFERROR(VLOOKUP(A56,'Centre WP11'!$A$7:$N$160,11,FALSE),0)+
IFERROR(VLOOKUP(A56,'Centre WR11'!$A$7:$N$160,11,FALSE),0)+
IFERROR(VLOOKUP(A56,'Centre WV11'!$A$7:$N$163,11,FALSE),0)</f>
        <v>0</v>
      </c>
      <c r="L56" s="10">
        <f>IFERROR(VLOOKUP(A56,'Centre DW11'!$A$7:$N$161,12,FALSE),0)+
IFERROR(VLOOKUP(A56,'Centre WP11'!$A$7:$N$160,12,FALSE),0)+
IFERROR(VLOOKUP(A56,'Centre WR11'!$A$7:$N$160,12,FALSE),0)+
IFERROR(VLOOKUP(A56,'Centre WV11'!$A$7:$N$163,12,FALSE),0)</f>
        <v>0.9</v>
      </c>
      <c r="M56" s="10">
        <f>IFERROR(VLOOKUP(A56,'Centre DW11'!$A$7:$N$161,13,FALSE),0)+
IFERROR(VLOOKUP(A56,'Centre WP11'!$A$7:$N$160,13,FALSE),0)+
IFERROR(VLOOKUP(A56,'Centre WR11'!$A$7:$N$160,13,FALSE),0)+
IFERROR(VLOOKUP(A56,'Centre WV11'!$A$7:$N$163,13,FALSE),0)</f>
        <v>0</v>
      </c>
      <c r="N56" s="10">
        <f>IFERROR(VLOOKUP(A56,'Centre DW11'!$A$7:$N$161,14,FALSE),0)+
IFERROR(VLOOKUP(A56,'Centre WP11'!$A$7:$N$160,14,FALSE),0)+
IFERROR(VLOOKUP(A56,'Centre WR11'!$A$7:$N$160,14,FALSE),0)+
IFERROR(VLOOKUP(A56,'Centre WV11'!$A$7:$N$163,14,FALSE),0)</f>
        <v>0</v>
      </c>
    </row>
    <row r="57" spans="1:14" collapsed="1" x14ac:dyDescent="0.2">
      <c r="A57" s="48" t="s">
        <v>111</v>
      </c>
      <c r="B57" s="49" t="s">
        <v>112</v>
      </c>
      <c r="C57" s="50">
        <f>SUM(C58:C62)</f>
        <v>2.5</v>
      </c>
      <c r="D57" s="50">
        <f t="shared" ref="D57:N57" si="9">SUM(D58:D62)</f>
        <v>2.5</v>
      </c>
      <c r="E57" s="50">
        <f t="shared" si="9"/>
        <v>2.5</v>
      </c>
      <c r="F57" s="50">
        <f t="shared" si="9"/>
        <v>2.5</v>
      </c>
      <c r="G57" s="50">
        <f t="shared" si="9"/>
        <v>2.5</v>
      </c>
      <c r="H57" s="50">
        <f t="shared" si="9"/>
        <v>2.5</v>
      </c>
      <c r="I57" s="50">
        <f t="shared" si="9"/>
        <v>2.5</v>
      </c>
      <c r="J57" s="50">
        <f t="shared" si="9"/>
        <v>2.5</v>
      </c>
      <c r="K57" s="50">
        <f t="shared" si="9"/>
        <v>2.5</v>
      </c>
      <c r="L57" s="50">
        <f t="shared" si="9"/>
        <v>2.5</v>
      </c>
      <c r="M57" s="50">
        <f t="shared" si="9"/>
        <v>2.5</v>
      </c>
      <c r="N57" s="50">
        <f t="shared" si="9"/>
        <v>2.6</v>
      </c>
    </row>
    <row r="58" spans="1:14" hidden="1" outlineLevel="1" x14ac:dyDescent="0.2">
      <c r="A58" s="9" t="s">
        <v>113</v>
      </c>
      <c r="B58" s="1" t="s">
        <v>114</v>
      </c>
      <c r="C58" s="10">
        <f>IFERROR(VLOOKUP(A58,'Centre DW11'!$A$7:$N$161,3,FALSE),0)+
IFERROR(VLOOKUP(A58,'Centre WP11'!$A$7:$N$160,3,FALSE),0)+
IFERROR(VLOOKUP(A58,'Centre WR11'!$A$7:$N$160,3,FALSE),0)+
IFERROR(VLOOKUP(A58,'Centre WV11'!$A$7:$N$163,3,FALSE),0)</f>
        <v>0.4</v>
      </c>
      <c r="D58" s="10">
        <f>IFERROR(VLOOKUP(A58,'Centre DW11'!$A$7:$N$161,4,FALSE),0)+
IFERROR(VLOOKUP(A58,'Centre WP11'!$A$7:$N$160,4,FALSE),0)+
IFERROR(VLOOKUP(A58,'Centre WR11'!$A$7:$N$160,4,FALSE),0)+
IFERROR(VLOOKUP(A58,'Centre WV11'!$A$7:$N$163,4,FALSE),0)</f>
        <v>0.4</v>
      </c>
      <c r="E58" s="10">
        <f>IFERROR(VLOOKUP(A58,'Centre DW11'!$A$7:$N$161,5,FALSE),0)+
IFERROR(VLOOKUP(A58,'Centre WP11'!$A$7:$N$160,5,FALSE),0)+
IFERROR(VLOOKUP(A58,'Centre WR11'!$A$7:$N$160,5,FALSE),0)+
IFERROR(VLOOKUP(A58,'Centre WV11'!$A$7:$N$163,5,FALSE),0)</f>
        <v>0.4</v>
      </c>
      <c r="F58" s="10">
        <f>IFERROR(VLOOKUP(A58,'Centre DW11'!$A$7:$N$161,6,FALSE),0)+
IFERROR(VLOOKUP(A58,'Centre WP11'!$A$7:$N$160,6,FALSE),0)+
IFERROR(VLOOKUP(A58,'Centre WR11'!$A$7:$N$160,6,FALSE),0)+
IFERROR(VLOOKUP(A58,'Centre WV11'!$A$7:$N$163,6,FALSE),0)</f>
        <v>0.4</v>
      </c>
      <c r="G58" s="10">
        <f>IFERROR(VLOOKUP(A58,'Centre DW11'!$A$7:$N$161,7,FALSE),0)+
IFERROR(VLOOKUP(A58,'Centre WP11'!$A$7:$N$160,7,FALSE),0)+
IFERROR(VLOOKUP(A58,'Centre WR11'!$A$7:$N$160,7,FALSE),0)+
IFERROR(VLOOKUP(A58,'Centre WV11'!$A$7:$N$163,7,FALSE),0)</f>
        <v>0.4</v>
      </c>
      <c r="H58" s="10">
        <f>IFERROR(VLOOKUP(A58,'Centre DW11'!$A$7:$N$161,8,FALSE),0)+
IFERROR(VLOOKUP(A58,'Centre WP11'!$A$7:$N$160,8,FALSE),0)+
IFERROR(VLOOKUP(A58,'Centre WR11'!$A$7:$N$160,8,FALSE),0)+
IFERROR(VLOOKUP(A58,'Centre WV11'!$A$7:$N$163,8,FALSE),0)</f>
        <v>0.4</v>
      </c>
      <c r="I58" s="10">
        <f>IFERROR(VLOOKUP(A58,'Centre DW11'!$A$7:$N$161,9,FALSE),0)+
IFERROR(VLOOKUP(A58,'Centre WP11'!$A$7:$N$160,9,FALSE),0)+
IFERROR(VLOOKUP(A58,'Centre WR11'!$A$7:$N$160,9,FALSE),0)+
IFERROR(VLOOKUP(A58,'Centre WV11'!$A$7:$N$163,9,FALSE),0)</f>
        <v>0.4</v>
      </c>
      <c r="J58" s="10">
        <f>IFERROR(VLOOKUP(A58,'Centre DW11'!$A$7:$N$161,10,FALSE),0)+
IFERROR(VLOOKUP(A58,'Centre WP11'!$A$7:$N$160,10,FALSE),0)+
IFERROR(VLOOKUP(A58,'Centre WR11'!$A$7:$N$160,10,FALSE),0)+
IFERROR(VLOOKUP(A58,'Centre WV11'!$A$7:$N$163,10,FALSE),0)</f>
        <v>0.4</v>
      </c>
      <c r="K58" s="10">
        <f>IFERROR(VLOOKUP(A58,'Centre DW11'!$A$7:$N$161,11,FALSE),0)+
IFERROR(VLOOKUP(A58,'Centre WP11'!$A$7:$N$160,11,FALSE),0)+
IFERROR(VLOOKUP(A58,'Centre WR11'!$A$7:$N$160,11,FALSE),0)+
IFERROR(VLOOKUP(A58,'Centre WV11'!$A$7:$N$163,11,FALSE),0)</f>
        <v>0.4</v>
      </c>
      <c r="L58" s="10">
        <f>IFERROR(VLOOKUP(A58,'Centre DW11'!$A$7:$N$161,12,FALSE),0)+
IFERROR(VLOOKUP(A58,'Centre WP11'!$A$7:$N$160,12,FALSE),0)+
IFERROR(VLOOKUP(A58,'Centre WR11'!$A$7:$N$160,12,FALSE),0)+
IFERROR(VLOOKUP(A58,'Centre WV11'!$A$7:$N$163,12,FALSE),0)</f>
        <v>0.4</v>
      </c>
      <c r="M58" s="10">
        <f>IFERROR(VLOOKUP(A58,'Centre DW11'!$A$7:$N$161,13,FALSE),0)+
IFERROR(VLOOKUP(A58,'Centre WP11'!$A$7:$N$160,13,FALSE),0)+
IFERROR(VLOOKUP(A58,'Centre WR11'!$A$7:$N$160,13,FALSE),0)+
IFERROR(VLOOKUP(A58,'Centre WV11'!$A$7:$N$163,13,FALSE),0)</f>
        <v>0.4</v>
      </c>
      <c r="N58" s="10">
        <f>IFERROR(VLOOKUP(A58,'Centre DW11'!$A$7:$N$161,14,FALSE),0)+
IFERROR(VLOOKUP(A58,'Centre WP11'!$A$7:$N$160,14,FALSE),0)+
IFERROR(VLOOKUP(A58,'Centre WR11'!$A$7:$N$160,14,FALSE),0)+
IFERROR(VLOOKUP(A58,'Centre WV11'!$A$7:$N$163,14,FALSE),0)</f>
        <v>0.4</v>
      </c>
    </row>
    <row r="59" spans="1:14" hidden="1" outlineLevel="1" x14ac:dyDescent="0.2">
      <c r="A59" s="9" t="s">
        <v>115</v>
      </c>
      <c r="B59" s="1" t="s">
        <v>116</v>
      </c>
      <c r="C59" s="10">
        <f>IFERROR(VLOOKUP(A59,'Centre DW11'!$A$7:$N$161,3,FALSE),0)+
IFERROR(VLOOKUP(A59,'Centre WP11'!$A$7:$N$160,3,FALSE),0)+
IFERROR(VLOOKUP(A59,'Centre WR11'!$A$7:$N$160,3,FALSE),0)+
IFERROR(VLOOKUP(A59,'Centre WV11'!$A$7:$N$163,3,FALSE),0)</f>
        <v>1.3</v>
      </c>
      <c r="D59" s="10">
        <f>IFERROR(VLOOKUP(A59,'Centre DW11'!$A$7:$N$161,4,FALSE),0)+
IFERROR(VLOOKUP(A59,'Centre WP11'!$A$7:$N$160,4,FALSE),0)+
IFERROR(VLOOKUP(A59,'Centre WR11'!$A$7:$N$160,4,FALSE),0)+
IFERROR(VLOOKUP(A59,'Centre WV11'!$A$7:$N$163,4,FALSE),0)</f>
        <v>1.3</v>
      </c>
      <c r="E59" s="10">
        <f>IFERROR(VLOOKUP(A59,'Centre DW11'!$A$7:$N$161,5,FALSE),0)+
IFERROR(VLOOKUP(A59,'Centre WP11'!$A$7:$N$160,5,FALSE),0)+
IFERROR(VLOOKUP(A59,'Centre WR11'!$A$7:$N$160,5,FALSE),0)+
IFERROR(VLOOKUP(A59,'Centre WV11'!$A$7:$N$163,5,FALSE),0)</f>
        <v>1.3</v>
      </c>
      <c r="F59" s="10">
        <f>IFERROR(VLOOKUP(A59,'Centre DW11'!$A$7:$N$161,6,FALSE),0)+
IFERROR(VLOOKUP(A59,'Centre WP11'!$A$7:$N$160,6,FALSE),0)+
IFERROR(VLOOKUP(A59,'Centre WR11'!$A$7:$N$160,6,FALSE),0)+
IFERROR(VLOOKUP(A59,'Centre WV11'!$A$7:$N$163,6,FALSE),0)</f>
        <v>1.3</v>
      </c>
      <c r="G59" s="10">
        <f>IFERROR(VLOOKUP(A59,'Centre DW11'!$A$7:$N$161,7,FALSE),0)+
IFERROR(VLOOKUP(A59,'Centre WP11'!$A$7:$N$160,7,FALSE),0)+
IFERROR(VLOOKUP(A59,'Centre WR11'!$A$7:$N$160,7,FALSE),0)+
IFERROR(VLOOKUP(A59,'Centre WV11'!$A$7:$N$163,7,FALSE),0)</f>
        <v>1.3</v>
      </c>
      <c r="H59" s="10">
        <f>IFERROR(VLOOKUP(A59,'Centre DW11'!$A$7:$N$161,8,FALSE),0)+
IFERROR(VLOOKUP(A59,'Centre WP11'!$A$7:$N$160,8,FALSE),0)+
IFERROR(VLOOKUP(A59,'Centre WR11'!$A$7:$N$160,8,FALSE),0)+
IFERROR(VLOOKUP(A59,'Centre WV11'!$A$7:$N$163,8,FALSE),0)</f>
        <v>1.3</v>
      </c>
      <c r="I59" s="10">
        <f>IFERROR(VLOOKUP(A59,'Centre DW11'!$A$7:$N$161,9,FALSE),0)+
IFERROR(VLOOKUP(A59,'Centre WP11'!$A$7:$N$160,9,FALSE),0)+
IFERROR(VLOOKUP(A59,'Centre WR11'!$A$7:$N$160,9,FALSE),0)+
IFERROR(VLOOKUP(A59,'Centre WV11'!$A$7:$N$163,9,FALSE),0)</f>
        <v>1.3</v>
      </c>
      <c r="J59" s="10">
        <f>IFERROR(VLOOKUP(A59,'Centre DW11'!$A$7:$N$161,10,FALSE),0)+
IFERROR(VLOOKUP(A59,'Centre WP11'!$A$7:$N$160,10,FALSE),0)+
IFERROR(VLOOKUP(A59,'Centre WR11'!$A$7:$N$160,10,FALSE),0)+
IFERROR(VLOOKUP(A59,'Centre WV11'!$A$7:$N$163,10,FALSE),0)</f>
        <v>1.3</v>
      </c>
      <c r="K59" s="10">
        <f>IFERROR(VLOOKUP(A59,'Centre DW11'!$A$7:$N$161,11,FALSE),0)+
IFERROR(VLOOKUP(A59,'Centre WP11'!$A$7:$N$160,11,FALSE),0)+
IFERROR(VLOOKUP(A59,'Centre WR11'!$A$7:$N$160,11,FALSE),0)+
IFERROR(VLOOKUP(A59,'Centre WV11'!$A$7:$N$163,11,FALSE),0)</f>
        <v>1.3</v>
      </c>
      <c r="L59" s="10">
        <f>IFERROR(VLOOKUP(A59,'Centre DW11'!$A$7:$N$161,12,FALSE),0)+
IFERROR(VLOOKUP(A59,'Centre WP11'!$A$7:$N$160,12,FALSE),0)+
IFERROR(VLOOKUP(A59,'Centre WR11'!$A$7:$N$160,12,FALSE),0)+
IFERROR(VLOOKUP(A59,'Centre WV11'!$A$7:$N$163,12,FALSE),0)</f>
        <v>1.3</v>
      </c>
      <c r="M59" s="10">
        <f>IFERROR(VLOOKUP(A59,'Centre DW11'!$A$7:$N$161,13,FALSE),0)+
IFERROR(VLOOKUP(A59,'Centre WP11'!$A$7:$N$160,13,FALSE),0)+
IFERROR(VLOOKUP(A59,'Centre WR11'!$A$7:$N$160,13,FALSE),0)+
IFERROR(VLOOKUP(A59,'Centre WV11'!$A$7:$N$163,13,FALSE),0)</f>
        <v>1.3</v>
      </c>
      <c r="N59" s="10">
        <f>IFERROR(VLOOKUP(A59,'Centre DW11'!$A$7:$N$161,14,FALSE),0)+
IFERROR(VLOOKUP(A59,'Centre WP11'!$A$7:$N$160,14,FALSE),0)+
IFERROR(VLOOKUP(A59,'Centre WR11'!$A$7:$N$160,14,FALSE),0)+
IFERROR(VLOOKUP(A59,'Centre WV11'!$A$7:$N$163,14,FALSE),0)</f>
        <v>1.3</v>
      </c>
    </row>
    <row r="60" spans="1:14" hidden="1" outlineLevel="1" x14ac:dyDescent="0.2">
      <c r="A60" s="9" t="s">
        <v>311</v>
      </c>
      <c r="B60" s="1" t="s">
        <v>312</v>
      </c>
      <c r="C60" s="10">
        <f>IFERROR(VLOOKUP(A60,'Centre DW11'!$A$7:$N$161,3,FALSE),0)+
IFERROR(VLOOKUP(A60,'Centre WP11'!$A$7:$N$160,3,FALSE),0)+
IFERROR(VLOOKUP(A60,'Centre WR11'!$A$7:$N$160,3,FALSE),0)+
IFERROR(VLOOKUP(A60,'Centre WV11'!$A$7:$N$163,3,FALSE),0)</f>
        <v>0.3</v>
      </c>
      <c r="D60" s="10">
        <f>IFERROR(VLOOKUP(A60,'Centre DW11'!$A$7:$N$161,4,FALSE),0)+
IFERROR(VLOOKUP(A60,'Centre WP11'!$A$7:$N$160,4,FALSE),0)+
IFERROR(VLOOKUP(A60,'Centre WR11'!$A$7:$N$160,4,FALSE),0)+
IFERROR(VLOOKUP(A60,'Centre WV11'!$A$7:$N$163,4,FALSE),0)</f>
        <v>0.3</v>
      </c>
      <c r="E60" s="10">
        <f>IFERROR(VLOOKUP(A60,'Centre DW11'!$A$7:$N$161,5,FALSE),0)+
IFERROR(VLOOKUP(A60,'Centre WP11'!$A$7:$N$160,5,FALSE),0)+
IFERROR(VLOOKUP(A60,'Centre WR11'!$A$7:$N$160,5,FALSE),0)+
IFERROR(VLOOKUP(A60,'Centre WV11'!$A$7:$N$163,5,FALSE),0)</f>
        <v>0.3</v>
      </c>
      <c r="F60" s="10">
        <f>IFERROR(VLOOKUP(A60,'Centre DW11'!$A$7:$N$161,6,FALSE),0)+
IFERROR(VLOOKUP(A60,'Centre WP11'!$A$7:$N$160,6,FALSE),0)+
IFERROR(VLOOKUP(A60,'Centre WR11'!$A$7:$N$160,6,FALSE),0)+
IFERROR(VLOOKUP(A60,'Centre WV11'!$A$7:$N$163,6,FALSE),0)</f>
        <v>0.3</v>
      </c>
      <c r="G60" s="10">
        <f>IFERROR(VLOOKUP(A60,'Centre DW11'!$A$7:$N$161,7,FALSE),0)+
IFERROR(VLOOKUP(A60,'Centre WP11'!$A$7:$N$160,7,FALSE),0)+
IFERROR(VLOOKUP(A60,'Centre WR11'!$A$7:$N$160,7,FALSE),0)+
IFERROR(VLOOKUP(A60,'Centre WV11'!$A$7:$N$163,7,FALSE),0)</f>
        <v>0.3</v>
      </c>
      <c r="H60" s="10">
        <f>IFERROR(VLOOKUP(A60,'Centre DW11'!$A$7:$N$161,8,FALSE),0)+
IFERROR(VLOOKUP(A60,'Centre WP11'!$A$7:$N$160,8,FALSE),0)+
IFERROR(VLOOKUP(A60,'Centre WR11'!$A$7:$N$160,8,FALSE),0)+
IFERROR(VLOOKUP(A60,'Centre WV11'!$A$7:$N$163,8,FALSE),0)</f>
        <v>0.3</v>
      </c>
      <c r="I60" s="10">
        <f>IFERROR(VLOOKUP(A60,'Centre DW11'!$A$7:$N$161,9,FALSE),0)+
IFERROR(VLOOKUP(A60,'Centre WP11'!$A$7:$N$160,9,FALSE),0)+
IFERROR(VLOOKUP(A60,'Centre WR11'!$A$7:$N$160,9,FALSE),0)+
IFERROR(VLOOKUP(A60,'Centre WV11'!$A$7:$N$163,9,FALSE),0)</f>
        <v>0.3</v>
      </c>
      <c r="J60" s="10">
        <f>IFERROR(VLOOKUP(A60,'Centre DW11'!$A$7:$N$161,10,FALSE),0)+
IFERROR(VLOOKUP(A60,'Centre WP11'!$A$7:$N$160,10,FALSE),0)+
IFERROR(VLOOKUP(A60,'Centre WR11'!$A$7:$N$160,10,FALSE),0)+
IFERROR(VLOOKUP(A60,'Centre WV11'!$A$7:$N$163,10,FALSE),0)</f>
        <v>0.3</v>
      </c>
      <c r="K60" s="10">
        <f>IFERROR(VLOOKUP(A60,'Centre DW11'!$A$7:$N$161,11,FALSE),0)+
IFERROR(VLOOKUP(A60,'Centre WP11'!$A$7:$N$160,11,FALSE),0)+
IFERROR(VLOOKUP(A60,'Centre WR11'!$A$7:$N$160,11,FALSE),0)+
IFERROR(VLOOKUP(A60,'Centre WV11'!$A$7:$N$163,11,FALSE),0)</f>
        <v>0.3</v>
      </c>
      <c r="L60" s="10">
        <f>IFERROR(VLOOKUP(A60,'Centre DW11'!$A$7:$N$161,12,FALSE),0)+
IFERROR(VLOOKUP(A60,'Centre WP11'!$A$7:$N$160,12,FALSE),0)+
IFERROR(VLOOKUP(A60,'Centre WR11'!$A$7:$N$160,12,FALSE),0)+
IFERROR(VLOOKUP(A60,'Centre WV11'!$A$7:$N$163,12,FALSE),0)</f>
        <v>0.3</v>
      </c>
      <c r="M60" s="10">
        <f>IFERROR(VLOOKUP(A60,'Centre DW11'!$A$7:$N$161,13,FALSE),0)+
IFERROR(VLOOKUP(A60,'Centre WP11'!$A$7:$N$160,13,FALSE),0)+
IFERROR(VLOOKUP(A60,'Centre WR11'!$A$7:$N$160,13,FALSE),0)+
IFERROR(VLOOKUP(A60,'Centre WV11'!$A$7:$N$163,13,FALSE),0)</f>
        <v>0.3</v>
      </c>
      <c r="N60" s="10">
        <f>IFERROR(VLOOKUP(A60,'Centre DW11'!$A$7:$N$161,14,FALSE),0)+
IFERROR(VLOOKUP(A60,'Centre WP11'!$A$7:$N$160,14,FALSE),0)+
IFERROR(VLOOKUP(A60,'Centre WR11'!$A$7:$N$160,14,FALSE),0)+
IFERROR(VLOOKUP(A60,'Centre WV11'!$A$7:$N$163,14,FALSE),0)</f>
        <v>0.4</v>
      </c>
    </row>
    <row r="61" spans="1:14" hidden="1" outlineLevel="1" x14ac:dyDescent="0.2">
      <c r="A61" s="9" t="s">
        <v>117</v>
      </c>
      <c r="B61" s="1" t="s">
        <v>118</v>
      </c>
      <c r="C61" s="10">
        <f>IFERROR(VLOOKUP(A61,'Centre DW11'!$A$7:$N$161,3,FALSE),0)+
IFERROR(VLOOKUP(A61,'Centre WP11'!$A$7:$N$160,3,FALSE),0)+
IFERROR(VLOOKUP(A61,'Centre WR11'!$A$7:$N$160,3,FALSE),0)+
IFERROR(VLOOKUP(A61,'Centre WV11'!$A$7:$N$163,3,FALSE),0)</f>
        <v>0.5</v>
      </c>
      <c r="D61" s="10">
        <f>IFERROR(VLOOKUP(A61,'Centre DW11'!$A$7:$N$161,4,FALSE),0)+
IFERROR(VLOOKUP(A61,'Centre WP11'!$A$7:$N$160,4,FALSE),0)+
IFERROR(VLOOKUP(A61,'Centre WR11'!$A$7:$N$160,4,FALSE),0)+
IFERROR(VLOOKUP(A61,'Centre WV11'!$A$7:$N$163,4,FALSE),0)</f>
        <v>0.5</v>
      </c>
      <c r="E61" s="10">
        <f>IFERROR(VLOOKUP(A61,'Centre DW11'!$A$7:$N$161,5,FALSE),0)+
IFERROR(VLOOKUP(A61,'Centre WP11'!$A$7:$N$160,5,FALSE),0)+
IFERROR(VLOOKUP(A61,'Centre WR11'!$A$7:$N$160,5,FALSE),0)+
IFERROR(VLOOKUP(A61,'Centre WV11'!$A$7:$N$163,5,FALSE),0)</f>
        <v>0.5</v>
      </c>
      <c r="F61" s="10">
        <f>IFERROR(VLOOKUP(A61,'Centre DW11'!$A$7:$N$161,6,FALSE),0)+
IFERROR(VLOOKUP(A61,'Centre WP11'!$A$7:$N$160,6,FALSE),0)+
IFERROR(VLOOKUP(A61,'Centre WR11'!$A$7:$N$160,6,FALSE),0)+
IFERROR(VLOOKUP(A61,'Centre WV11'!$A$7:$N$163,6,FALSE),0)</f>
        <v>0.5</v>
      </c>
      <c r="G61" s="10">
        <f>IFERROR(VLOOKUP(A61,'Centre DW11'!$A$7:$N$161,7,FALSE),0)+
IFERROR(VLOOKUP(A61,'Centre WP11'!$A$7:$N$160,7,FALSE),0)+
IFERROR(VLOOKUP(A61,'Centre WR11'!$A$7:$N$160,7,FALSE),0)+
IFERROR(VLOOKUP(A61,'Centre WV11'!$A$7:$N$163,7,FALSE),0)</f>
        <v>0.5</v>
      </c>
      <c r="H61" s="10">
        <f>IFERROR(VLOOKUP(A61,'Centre DW11'!$A$7:$N$161,8,FALSE),0)+
IFERROR(VLOOKUP(A61,'Centre WP11'!$A$7:$N$160,8,FALSE),0)+
IFERROR(VLOOKUP(A61,'Centre WR11'!$A$7:$N$160,8,FALSE),0)+
IFERROR(VLOOKUP(A61,'Centre WV11'!$A$7:$N$163,8,FALSE),0)</f>
        <v>0.5</v>
      </c>
      <c r="I61" s="10">
        <f>IFERROR(VLOOKUP(A61,'Centre DW11'!$A$7:$N$161,9,FALSE),0)+
IFERROR(VLOOKUP(A61,'Centre WP11'!$A$7:$N$160,9,FALSE),0)+
IFERROR(VLOOKUP(A61,'Centre WR11'!$A$7:$N$160,9,FALSE),0)+
IFERROR(VLOOKUP(A61,'Centre WV11'!$A$7:$N$163,9,FALSE),0)</f>
        <v>0.5</v>
      </c>
      <c r="J61" s="10">
        <f>IFERROR(VLOOKUP(A61,'Centre DW11'!$A$7:$N$161,10,FALSE),0)+
IFERROR(VLOOKUP(A61,'Centre WP11'!$A$7:$N$160,10,FALSE),0)+
IFERROR(VLOOKUP(A61,'Centre WR11'!$A$7:$N$160,10,FALSE),0)+
IFERROR(VLOOKUP(A61,'Centre WV11'!$A$7:$N$163,10,FALSE),0)</f>
        <v>0.5</v>
      </c>
      <c r="K61" s="10">
        <f>IFERROR(VLOOKUP(A61,'Centre DW11'!$A$7:$N$161,11,FALSE),0)+
IFERROR(VLOOKUP(A61,'Centre WP11'!$A$7:$N$160,11,FALSE),0)+
IFERROR(VLOOKUP(A61,'Centre WR11'!$A$7:$N$160,11,FALSE),0)+
IFERROR(VLOOKUP(A61,'Centre WV11'!$A$7:$N$163,11,FALSE),0)</f>
        <v>0.5</v>
      </c>
      <c r="L61" s="10">
        <f>IFERROR(VLOOKUP(A61,'Centre DW11'!$A$7:$N$161,12,FALSE),0)+
IFERROR(VLOOKUP(A61,'Centre WP11'!$A$7:$N$160,12,FALSE),0)+
IFERROR(VLOOKUP(A61,'Centre WR11'!$A$7:$N$160,12,FALSE),0)+
IFERROR(VLOOKUP(A61,'Centre WV11'!$A$7:$N$163,12,FALSE),0)</f>
        <v>0.5</v>
      </c>
      <c r="M61" s="10">
        <f>IFERROR(VLOOKUP(A61,'Centre DW11'!$A$7:$N$161,13,FALSE),0)+
IFERROR(VLOOKUP(A61,'Centre WP11'!$A$7:$N$160,13,FALSE),0)+
IFERROR(VLOOKUP(A61,'Centre WR11'!$A$7:$N$160,13,FALSE),0)+
IFERROR(VLOOKUP(A61,'Centre WV11'!$A$7:$N$163,13,FALSE),0)</f>
        <v>0.5</v>
      </c>
      <c r="N61" s="10">
        <f>IFERROR(VLOOKUP(A61,'Centre DW11'!$A$7:$N$161,14,FALSE),0)+
IFERROR(VLOOKUP(A61,'Centre WP11'!$A$7:$N$160,14,FALSE),0)+
IFERROR(VLOOKUP(A61,'Centre WR11'!$A$7:$N$160,14,FALSE),0)+
IFERROR(VLOOKUP(A61,'Centre WV11'!$A$7:$N$163,14,FALSE),0)</f>
        <v>0.5</v>
      </c>
    </row>
    <row r="62" spans="1:14" hidden="1" outlineLevel="1" x14ac:dyDescent="0.2">
      <c r="A62" s="9" t="s">
        <v>313</v>
      </c>
      <c r="B62" s="1" t="s">
        <v>314</v>
      </c>
      <c r="C62" s="10">
        <f>IFERROR(VLOOKUP(A62,'Centre DW11'!$A$7:$N$161,3,FALSE),0)+
IFERROR(VLOOKUP(A62,'Centre WP11'!$A$7:$N$160,3,FALSE),0)+
IFERROR(VLOOKUP(A62,'Centre WR11'!$A$7:$N$160,3,FALSE),0)+
IFERROR(VLOOKUP(A62,'Centre WV11'!$A$7:$N$163,3,FALSE),0)</f>
        <v>0</v>
      </c>
      <c r="D62" s="10">
        <f>IFERROR(VLOOKUP(A62,'Centre DW11'!$A$7:$N$161,4,FALSE),0)+
IFERROR(VLOOKUP(A62,'Centre WP11'!$A$7:$N$160,4,FALSE),0)+
IFERROR(VLOOKUP(A62,'Centre WR11'!$A$7:$N$160,4,FALSE),0)+
IFERROR(VLOOKUP(A62,'Centre WV11'!$A$7:$N$163,4,FALSE),0)</f>
        <v>0</v>
      </c>
      <c r="E62" s="10">
        <f>IFERROR(VLOOKUP(A62,'Centre DW11'!$A$7:$N$161,5,FALSE),0)+
IFERROR(VLOOKUP(A62,'Centre WP11'!$A$7:$N$160,5,FALSE),0)+
IFERROR(VLOOKUP(A62,'Centre WR11'!$A$7:$N$160,5,FALSE),0)+
IFERROR(VLOOKUP(A62,'Centre WV11'!$A$7:$N$163,5,FALSE),0)</f>
        <v>0</v>
      </c>
      <c r="F62" s="10">
        <f>IFERROR(VLOOKUP(A62,'Centre DW11'!$A$7:$N$161,6,FALSE),0)+
IFERROR(VLOOKUP(A62,'Centre WP11'!$A$7:$N$160,6,FALSE),0)+
IFERROR(VLOOKUP(A62,'Centre WR11'!$A$7:$N$160,6,FALSE),0)+
IFERROR(VLOOKUP(A62,'Centre WV11'!$A$7:$N$163,6,FALSE),0)</f>
        <v>0</v>
      </c>
      <c r="G62" s="10">
        <f>IFERROR(VLOOKUP(A62,'Centre DW11'!$A$7:$N$161,7,FALSE),0)+
IFERROR(VLOOKUP(A62,'Centre WP11'!$A$7:$N$160,7,FALSE),0)+
IFERROR(VLOOKUP(A62,'Centre WR11'!$A$7:$N$160,7,FALSE),0)+
IFERROR(VLOOKUP(A62,'Centre WV11'!$A$7:$N$163,7,FALSE),0)</f>
        <v>0</v>
      </c>
      <c r="H62" s="10">
        <f>IFERROR(VLOOKUP(A62,'Centre DW11'!$A$7:$N$161,8,FALSE),0)+
IFERROR(VLOOKUP(A62,'Centre WP11'!$A$7:$N$160,8,FALSE),0)+
IFERROR(VLOOKUP(A62,'Centre WR11'!$A$7:$N$160,8,FALSE),0)+
IFERROR(VLOOKUP(A62,'Centre WV11'!$A$7:$N$163,8,FALSE),0)</f>
        <v>0</v>
      </c>
      <c r="I62" s="10">
        <f>IFERROR(VLOOKUP(A62,'Centre DW11'!$A$7:$N$161,9,FALSE),0)+
IFERROR(VLOOKUP(A62,'Centre WP11'!$A$7:$N$160,9,FALSE),0)+
IFERROR(VLOOKUP(A62,'Centre WR11'!$A$7:$N$160,9,FALSE),0)+
IFERROR(VLOOKUP(A62,'Centre WV11'!$A$7:$N$163,9,FALSE),0)</f>
        <v>0</v>
      </c>
      <c r="J62" s="10">
        <f>IFERROR(VLOOKUP(A62,'Centre DW11'!$A$7:$N$161,10,FALSE),0)+
IFERROR(VLOOKUP(A62,'Centre WP11'!$A$7:$N$160,10,FALSE),0)+
IFERROR(VLOOKUP(A62,'Centre WR11'!$A$7:$N$160,10,FALSE),0)+
IFERROR(VLOOKUP(A62,'Centre WV11'!$A$7:$N$163,10,FALSE),0)</f>
        <v>0</v>
      </c>
      <c r="K62" s="10">
        <f>IFERROR(VLOOKUP(A62,'Centre DW11'!$A$7:$N$161,11,FALSE),0)+
IFERROR(VLOOKUP(A62,'Centre WP11'!$A$7:$N$160,11,FALSE),0)+
IFERROR(VLOOKUP(A62,'Centre WR11'!$A$7:$N$160,11,FALSE),0)+
IFERROR(VLOOKUP(A62,'Centre WV11'!$A$7:$N$163,11,FALSE),0)</f>
        <v>0</v>
      </c>
      <c r="L62" s="10">
        <f>IFERROR(VLOOKUP(A62,'Centre DW11'!$A$7:$N$161,12,FALSE),0)+
IFERROR(VLOOKUP(A62,'Centre WP11'!$A$7:$N$160,12,FALSE),0)+
IFERROR(VLOOKUP(A62,'Centre WR11'!$A$7:$N$160,12,FALSE),0)+
IFERROR(VLOOKUP(A62,'Centre WV11'!$A$7:$N$163,12,FALSE),0)</f>
        <v>0</v>
      </c>
      <c r="M62" s="10">
        <f>IFERROR(VLOOKUP(A62,'Centre DW11'!$A$7:$N$161,13,FALSE),0)+
IFERROR(VLOOKUP(A62,'Centre WP11'!$A$7:$N$160,13,FALSE),0)+
IFERROR(VLOOKUP(A62,'Centre WR11'!$A$7:$N$160,13,FALSE),0)+
IFERROR(VLOOKUP(A62,'Centre WV11'!$A$7:$N$163,13,FALSE),0)</f>
        <v>0</v>
      </c>
      <c r="N62" s="10">
        <f>IFERROR(VLOOKUP(A62,'Centre DW11'!$A$7:$N$161,14,FALSE),0)+
IFERROR(VLOOKUP(A62,'Centre WP11'!$A$7:$N$160,14,FALSE),0)+
IFERROR(VLOOKUP(A62,'Centre WR11'!$A$7:$N$160,14,FALSE),0)+
IFERROR(VLOOKUP(A62,'Centre WV11'!$A$7:$N$163,14,FALSE),0)</f>
        <v>0</v>
      </c>
    </row>
    <row r="63" spans="1:14" collapsed="1" x14ac:dyDescent="0.2">
      <c r="A63" s="48" t="s">
        <v>119</v>
      </c>
      <c r="B63" s="49" t="s">
        <v>120</v>
      </c>
      <c r="C63" s="50">
        <f>+SUM(C64:C65)</f>
        <v>0.9</v>
      </c>
      <c r="D63" s="50">
        <f t="shared" ref="D63:N63" si="10">+SUM(D64:D65)</f>
        <v>0.9</v>
      </c>
      <c r="E63" s="50">
        <f t="shared" si="10"/>
        <v>0.5</v>
      </c>
      <c r="F63" s="50">
        <f t="shared" si="10"/>
        <v>0.5</v>
      </c>
      <c r="G63" s="50">
        <f t="shared" si="10"/>
        <v>0.5</v>
      </c>
      <c r="H63" s="50">
        <f t="shared" si="10"/>
        <v>0.4</v>
      </c>
      <c r="I63" s="50">
        <f t="shared" si="10"/>
        <v>0.5</v>
      </c>
      <c r="J63" s="50">
        <f t="shared" si="10"/>
        <v>0.5</v>
      </c>
      <c r="K63" s="50">
        <f t="shared" si="10"/>
        <v>0.5</v>
      </c>
      <c r="L63" s="50">
        <f t="shared" si="10"/>
        <v>0.5</v>
      </c>
      <c r="M63" s="50">
        <f t="shared" si="10"/>
        <v>0.5</v>
      </c>
      <c r="N63" s="50">
        <f t="shared" si="10"/>
        <v>0.4</v>
      </c>
    </row>
    <row r="64" spans="1:14" hidden="1" outlineLevel="1" x14ac:dyDescent="0.2">
      <c r="A64" s="9" t="s">
        <v>121</v>
      </c>
      <c r="B64" s="1" t="s">
        <v>122</v>
      </c>
      <c r="C64" s="10">
        <f>IFERROR(VLOOKUP(A64,'Centre DW11'!$A$7:$N$161,3,FALSE),0)+
IFERROR(VLOOKUP(A64,'Centre WP11'!$A$7:$N$160,3,FALSE),0)+
IFERROR(VLOOKUP(A64,'Centre WR11'!$A$7:$N$160,3,FALSE),0)+
IFERROR(VLOOKUP(A64,'Centre WV11'!$A$7:$N$163,3,FALSE),0)</f>
        <v>0.5</v>
      </c>
      <c r="D64" s="10">
        <f>IFERROR(VLOOKUP(A64,'Centre DW11'!$A$7:$N$161,4,FALSE),0)+
IFERROR(VLOOKUP(A64,'Centre WP11'!$A$7:$N$160,4,FALSE),0)+
IFERROR(VLOOKUP(A64,'Centre WR11'!$A$7:$N$160,4,FALSE),0)+
IFERROR(VLOOKUP(A64,'Centre WV11'!$A$7:$N$163,4,FALSE),0)</f>
        <v>0.5</v>
      </c>
      <c r="E64" s="10">
        <f>IFERROR(VLOOKUP(A64,'Centre DW11'!$A$7:$N$161,5,FALSE),0)+
IFERROR(VLOOKUP(A64,'Centre WP11'!$A$7:$N$160,5,FALSE),0)+
IFERROR(VLOOKUP(A64,'Centre WR11'!$A$7:$N$160,5,FALSE),0)+
IFERROR(VLOOKUP(A64,'Centre WV11'!$A$7:$N$163,5,FALSE),0)</f>
        <v>0.1</v>
      </c>
      <c r="F64" s="10">
        <f>IFERROR(VLOOKUP(A64,'Centre DW11'!$A$7:$N$161,6,FALSE),0)+
IFERROR(VLOOKUP(A64,'Centre WP11'!$A$7:$N$160,6,FALSE),0)+
IFERROR(VLOOKUP(A64,'Centre WR11'!$A$7:$N$160,6,FALSE),0)+
IFERROR(VLOOKUP(A64,'Centre WV11'!$A$7:$N$163,6,FALSE),0)</f>
        <v>0.1</v>
      </c>
      <c r="G64" s="10">
        <f>IFERROR(VLOOKUP(A64,'Centre DW11'!$A$7:$N$161,7,FALSE),0)+
IFERROR(VLOOKUP(A64,'Centre WP11'!$A$7:$N$160,7,FALSE),0)+
IFERROR(VLOOKUP(A64,'Centre WR11'!$A$7:$N$160,7,FALSE),0)+
IFERROR(VLOOKUP(A64,'Centre WV11'!$A$7:$N$163,7,FALSE),0)</f>
        <v>0.1</v>
      </c>
      <c r="H64" s="10">
        <f>IFERROR(VLOOKUP(A64,'Centre DW11'!$A$7:$N$161,8,FALSE),0)+
IFERROR(VLOOKUP(A64,'Centre WP11'!$A$7:$N$160,8,FALSE),0)+
IFERROR(VLOOKUP(A64,'Centre WR11'!$A$7:$N$160,8,FALSE),0)+
IFERROR(VLOOKUP(A64,'Centre WV11'!$A$7:$N$163,8,FALSE),0)</f>
        <v>0.1</v>
      </c>
      <c r="I64" s="10">
        <f>IFERROR(VLOOKUP(A64,'Centre DW11'!$A$7:$N$161,9,FALSE),0)+
IFERROR(VLOOKUP(A64,'Centre WP11'!$A$7:$N$160,9,FALSE),0)+
IFERROR(VLOOKUP(A64,'Centre WR11'!$A$7:$N$160,9,FALSE),0)+
IFERROR(VLOOKUP(A64,'Centre WV11'!$A$7:$N$163,9,FALSE),0)</f>
        <v>0.1</v>
      </c>
      <c r="J64" s="10">
        <f>IFERROR(VLOOKUP(A64,'Centre DW11'!$A$7:$N$161,10,FALSE),0)+
IFERROR(VLOOKUP(A64,'Centre WP11'!$A$7:$N$160,10,FALSE),0)+
IFERROR(VLOOKUP(A64,'Centre WR11'!$A$7:$N$160,10,FALSE),0)+
IFERROR(VLOOKUP(A64,'Centre WV11'!$A$7:$N$163,10,FALSE),0)</f>
        <v>0.1</v>
      </c>
      <c r="K64" s="10">
        <f>IFERROR(VLOOKUP(A64,'Centre DW11'!$A$7:$N$161,11,FALSE),0)+
IFERROR(VLOOKUP(A64,'Centre WP11'!$A$7:$N$160,11,FALSE),0)+
IFERROR(VLOOKUP(A64,'Centre WR11'!$A$7:$N$160,11,FALSE),0)+
IFERROR(VLOOKUP(A64,'Centre WV11'!$A$7:$N$163,11,FALSE),0)</f>
        <v>0.1</v>
      </c>
      <c r="L64" s="10">
        <f>IFERROR(VLOOKUP(A64,'Centre DW11'!$A$7:$N$161,12,FALSE),0)+
IFERROR(VLOOKUP(A64,'Centre WP11'!$A$7:$N$160,12,FALSE),0)+
IFERROR(VLOOKUP(A64,'Centre WR11'!$A$7:$N$160,12,FALSE),0)+
IFERROR(VLOOKUP(A64,'Centre WV11'!$A$7:$N$163,12,FALSE),0)</f>
        <v>0.1</v>
      </c>
      <c r="M64" s="10">
        <f>IFERROR(VLOOKUP(A64,'Centre DW11'!$A$7:$N$161,13,FALSE),0)+
IFERROR(VLOOKUP(A64,'Centre WP11'!$A$7:$N$160,13,FALSE),0)+
IFERROR(VLOOKUP(A64,'Centre WR11'!$A$7:$N$160,13,FALSE),0)+
IFERROR(VLOOKUP(A64,'Centre WV11'!$A$7:$N$163,13,FALSE),0)</f>
        <v>0.1</v>
      </c>
      <c r="N64" s="10">
        <f>IFERROR(VLOOKUP(A64,'Centre DW11'!$A$7:$N$161,14,FALSE),0)+
IFERROR(VLOOKUP(A64,'Centre WP11'!$A$7:$N$160,14,FALSE),0)+
IFERROR(VLOOKUP(A64,'Centre WR11'!$A$7:$N$160,14,FALSE),0)+
IFERROR(VLOOKUP(A64,'Centre WV11'!$A$7:$N$163,14,FALSE),0)</f>
        <v>0.1</v>
      </c>
    </row>
    <row r="65" spans="1:14" hidden="1" outlineLevel="1" x14ac:dyDescent="0.2">
      <c r="A65" s="9" t="s">
        <v>123</v>
      </c>
      <c r="B65" s="1" t="s">
        <v>124</v>
      </c>
      <c r="C65" s="10">
        <f>IFERROR(VLOOKUP(A65,'Centre DW11'!$A$7:$N$161,3,FALSE),0)+
IFERROR(VLOOKUP(A65,'Centre WP11'!$A$7:$N$160,3,FALSE),0)+
IFERROR(VLOOKUP(A65,'Centre WR11'!$A$7:$N$160,3,FALSE),0)+
IFERROR(VLOOKUP(A65,'Centre WV11'!$A$7:$N$163,3,FALSE),0)</f>
        <v>0.4</v>
      </c>
      <c r="D65" s="10">
        <f>IFERROR(VLOOKUP(A65,'Centre DW11'!$A$7:$N$161,4,FALSE),0)+
IFERROR(VLOOKUP(A65,'Centre WP11'!$A$7:$N$160,4,FALSE),0)+
IFERROR(VLOOKUP(A65,'Centre WR11'!$A$7:$N$160,4,FALSE),0)+
IFERROR(VLOOKUP(A65,'Centre WV11'!$A$7:$N$163,4,FALSE),0)</f>
        <v>0.4</v>
      </c>
      <c r="E65" s="10">
        <f>IFERROR(VLOOKUP(A65,'Centre DW11'!$A$7:$N$161,5,FALSE),0)+
IFERROR(VLOOKUP(A65,'Centre WP11'!$A$7:$N$160,5,FALSE),0)+
IFERROR(VLOOKUP(A65,'Centre WR11'!$A$7:$N$160,5,FALSE),0)+
IFERROR(VLOOKUP(A65,'Centre WV11'!$A$7:$N$163,5,FALSE),0)</f>
        <v>0.4</v>
      </c>
      <c r="F65" s="10">
        <f>IFERROR(VLOOKUP(A65,'Centre DW11'!$A$7:$N$161,6,FALSE),0)+
IFERROR(VLOOKUP(A65,'Centre WP11'!$A$7:$N$160,6,FALSE),0)+
IFERROR(VLOOKUP(A65,'Centre WR11'!$A$7:$N$160,6,FALSE),0)+
IFERROR(VLOOKUP(A65,'Centre WV11'!$A$7:$N$163,6,FALSE),0)</f>
        <v>0.4</v>
      </c>
      <c r="G65" s="10">
        <f>IFERROR(VLOOKUP(A65,'Centre DW11'!$A$7:$N$161,7,FALSE),0)+
IFERROR(VLOOKUP(A65,'Centre WP11'!$A$7:$N$160,7,FALSE),0)+
IFERROR(VLOOKUP(A65,'Centre WR11'!$A$7:$N$160,7,FALSE),0)+
IFERROR(VLOOKUP(A65,'Centre WV11'!$A$7:$N$163,7,FALSE),0)</f>
        <v>0.4</v>
      </c>
      <c r="H65" s="10">
        <f>IFERROR(VLOOKUP(A65,'Centre DW11'!$A$7:$N$161,8,FALSE),0)+
IFERROR(VLOOKUP(A65,'Centre WP11'!$A$7:$N$160,8,FALSE),0)+
IFERROR(VLOOKUP(A65,'Centre WR11'!$A$7:$N$160,8,FALSE),0)+
IFERROR(VLOOKUP(A65,'Centre WV11'!$A$7:$N$163,8,FALSE),0)</f>
        <v>0.3</v>
      </c>
      <c r="I65" s="10">
        <f>IFERROR(VLOOKUP(A65,'Centre DW11'!$A$7:$N$161,9,FALSE),0)+
IFERROR(VLOOKUP(A65,'Centre WP11'!$A$7:$N$160,9,FALSE),0)+
IFERROR(VLOOKUP(A65,'Centre WR11'!$A$7:$N$160,9,FALSE),0)+
IFERROR(VLOOKUP(A65,'Centre WV11'!$A$7:$N$163,9,FALSE),0)</f>
        <v>0.4</v>
      </c>
      <c r="J65" s="10">
        <f>IFERROR(VLOOKUP(A65,'Centre DW11'!$A$7:$N$161,10,FALSE),0)+
IFERROR(VLOOKUP(A65,'Centre WP11'!$A$7:$N$160,10,FALSE),0)+
IFERROR(VLOOKUP(A65,'Centre WR11'!$A$7:$N$160,10,FALSE),0)+
IFERROR(VLOOKUP(A65,'Centre WV11'!$A$7:$N$163,10,FALSE),0)</f>
        <v>0.4</v>
      </c>
      <c r="K65" s="10">
        <f>IFERROR(VLOOKUP(A65,'Centre DW11'!$A$7:$N$161,11,FALSE),0)+
IFERROR(VLOOKUP(A65,'Centre WP11'!$A$7:$N$160,11,FALSE),0)+
IFERROR(VLOOKUP(A65,'Centre WR11'!$A$7:$N$160,11,FALSE),0)+
IFERROR(VLOOKUP(A65,'Centre WV11'!$A$7:$N$163,11,FALSE),0)</f>
        <v>0.4</v>
      </c>
      <c r="L65" s="10">
        <f>IFERROR(VLOOKUP(A65,'Centre DW11'!$A$7:$N$161,12,FALSE),0)+
IFERROR(VLOOKUP(A65,'Centre WP11'!$A$7:$N$160,12,FALSE),0)+
IFERROR(VLOOKUP(A65,'Centre WR11'!$A$7:$N$160,12,FALSE),0)+
IFERROR(VLOOKUP(A65,'Centre WV11'!$A$7:$N$163,12,FALSE),0)</f>
        <v>0.4</v>
      </c>
      <c r="M65" s="10">
        <f>IFERROR(VLOOKUP(A65,'Centre DW11'!$A$7:$N$161,13,FALSE),0)+
IFERROR(VLOOKUP(A65,'Centre WP11'!$A$7:$N$160,13,FALSE),0)+
IFERROR(VLOOKUP(A65,'Centre WR11'!$A$7:$N$160,13,FALSE),0)+
IFERROR(VLOOKUP(A65,'Centre WV11'!$A$7:$N$163,13,FALSE),0)</f>
        <v>0.4</v>
      </c>
      <c r="N65" s="10">
        <f>IFERROR(VLOOKUP(A65,'Centre DW11'!$A$7:$N$161,14,FALSE),0)+
IFERROR(VLOOKUP(A65,'Centre WP11'!$A$7:$N$160,14,FALSE),0)+
IFERROR(VLOOKUP(A65,'Centre WR11'!$A$7:$N$160,14,FALSE),0)+
IFERROR(VLOOKUP(A65,'Centre WV11'!$A$7:$N$163,14,FALSE),0)</f>
        <v>0.3</v>
      </c>
    </row>
    <row r="66" spans="1:14" collapsed="1" x14ac:dyDescent="0.2">
      <c r="A66" s="48" t="s">
        <v>127</v>
      </c>
      <c r="B66" s="49" t="s">
        <v>128</v>
      </c>
      <c r="C66" s="50">
        <f>SUM(C67:C70)</f>
        <v>32.299999999999997</v>
      </c>
      <c r="D66" s="50">
        <f t="shared" ref="D66:N66" si="11">SUM(D67:D70)</f>
        <v>33.199999999999996</v>
      </c>
      <c r="E66" s="50">
        <f t="shared" si="11"/>
        <v>32.299999999999997</v>
      </c>
      <c r="F66" s="50">
        <f t="shared" si="11"/>
        <v>32.299999999999997</v>
      </c>
      <c r="G66" s="50">
        <f t="shared" si="11"/>
        <v>32.4</v>
      </c>
      <c r="H66" s="50">
        <f t="shared" si="11"/>
        <v>32.299999999999997</v>
      </c>
      <c r="I66" s="50">
        <f t="shared" si="11"/>
        <v>32.299999999999997</v>
      </c>
      <c r="J66" s="50">
        <f t="shared" si="11"/>
        <v>32.299999999999997</v>
      </c>
      <c r="K66" s="50">
        <f t="shared" si="11"/>
        <v>32.299999999999997</v>
      </c>
      <c r="L66" s="50">
        <f t="shared" si="11"/>
        <v>32.299999999999997</v>
      </c>
      <c r="M66" s="50">
        <f t="shared" si="11"/>
        <v>32.299999999999997</v>
      </c>
      <c r="N66" s="50">
        <f t="shared" si="11"/>
        <v>45.3</v>
      </c>
    </row>
    <row r="67" spans="1:14" hidden="1" outlineLevel="1" x14ac:dyDescent="0.2">
      <c r="A67" s="9" t="s">
        <v>129</v>
      </c>
      <c r="B67" s="1" t="s">
        <v>130</v>
      </c>
      <c r="C67" s="10">
        <f>IFERROR(VLOOKUP(A67,'Centre DW11'!$A$7:$N$161,3,FALSE),0)+
IFERROR(VLOOKUP(A67,'Centre WP11'!$A$7:$N$160,3,FALSE),0)+
IFERROR(VLOOKUP(A67,'Centre WR11'!$A$7:$N$160,3,FALSE),0)+
IFERROR(VLOOKUP(A67,'Centre WV11'!$A$7:$N$163,3,FALSE),0)</f>
        <v>32.299999999999997</v>
      </c>
      <c r="D67" s="10">
        <f>IFERROR(VLOOKUP(A67,'Centre DW11'!$A$7:$N$161,4,FALSE),0)+
IFERROR(VLOOKUP(A67,'Centre WP11'!$A$7:$N$160,4,FALSE),0)+
IFERROR(VLOOKUP(A67,'Centre WR11'!$A$7:$N$160,4,FALSE),0)+
IFERROR(VLOOKUP(A67,'Centre WV11'!$A$7:$N$163,4,FALSE),0)</f>
        <v>32.299999999999997</v>
      </c>
      <c r="E67" s="10">
        <f>IFERROR(VLOOKUP(A67,'Centre DW11'!$A$7:$N$161,5,FALSE),0)+
IFERROR(VLOOKUP(A67,'Centre WP11'!$A$7:$N$160,5,FALSE),0)+
IFERROR(VLOOKUP(A67,'Centre WR11'!$A$7:$N$160,5,FALSE),0)+
IFERROR(VLOOKUP(A67,'Centre WV11'!$A$7:$N$163,5,FALSE),0)</f>
        <v>32.299999999999997</v>
      </c>
      <c r="F67" s="10">
        <f>IFERROR(VLOOKUP(A67,'Centre DW11'!$A$7:$N$161,6,FALSE),0)+
IFERROR(VLOOKUP(A67,'Centre WP11'!$A$7:$N$160,6,FALSE),0)+
IFERROR(VLOOKUP(A67,'Centre WR11'!$A$7:$N$160,6,FALSE),0)+
IFERROR(VLOOKUP(A67,'Centre WV11'!$A$7:$N$163,6,FALSE),0)</f>
        <v>32.299999999999997</v>
      </c>
      <c r="G67" s="10">
        <f>IFERROR(VLOOKUP(A67,'Centre DW11'!$A$7:$N$161,7,FALSE),0)+
IFERROR(VLOOKUP(A67,'Centre WP11'!$A$7:$N$160,7,FALSE),0)+
IFERROR(VLOOKUP(A67,'Centre WR11'!$A$7:$N$160,7,FALSE),0)+
IFERROR(VLOOKUP(A67,'Centre WV11'!$A$7:$N$163,7,FALSE),0)</f>
        <v>32.299999999999997</v>
      </c>
      <c r="H67" s="10">
        <f>IFERROR(VLOOKUP(A67,'Centre DW11'!$A$7:$N$161,8,FALSE),0)+
IFERROR(VLOOKUP(A67,'Centre WP11'!$A$7:$N$160,8,FALSE),0)+
IFERROR(VLOOKUP(A67,'Centre WR11'!$A$7:$N$160,8,FALSE),0)+
IFERROR(VLOOKUP(A67,'Centre WV11'!$A$7:$N$163,8,FALSE),0)</f>
        <v>32.299999999999997</v>
      </c>
      <c r="I67" s="10">
        <f>IFERROR(VLOOKUP(A67,'Centre DW11'!$A$7:$N$161,9,FALSE),0)+
IFERROR(VLOOKUP(A67,'Centre WP11'!$A$7:$N$160,9,FALSE),0)+
IFERROR(VLOOKUP(A67,'Centre WR11'!$A$7:$N$160,9,FALSE),0)+
IFERROR(VLOOKUP(A67,'Centre WV11'!$A$7:$N$163,9,FALSE),0)</f>
        <v>32.299999999999997</v>
      </c>
      <c r="J67" s="10">
        <f>IFERROR(VLOOKUP(A67,'Centre DW11'!$A$7:$N$161,10,FALSE),0)+
IFERROR(VLOOKUP(A67,'Centre WP11'!$A$7:$N$160,10,FALSE),0)+
IFERROR(VLOOKUP(A67,'Centre WR11'!$A$7:$N$160,10,FALSE),0)+
IFERROR(VLOOKUP(A67,'Centre WV11'!$A$7:$N$163,10,FALSE),0)</f>
        <v>32.299999999999997</v>
      </c>
      <c r="K67" s="10">
        <f>IFERROR(VLOOKUP(A67,'Centre DW11'!$A$7:$N$161,11,FALSE),0)+
IFERROR(VLOOKUP(A67,'Centre WP11'!$A$7:$N$160,11,FALSE),0)+
IFERROR(VLOOKUP(A67,'Centre WR11'!$A$7:$N$160,11,FALSE),0)+
IFERROR(VLOOKUP(A67,'Centre WV11'!$A$7:$N$163,11,FALSE),0)</f>
        <v>32.299999999999997</v>
      </c>
      <c r="L67" s="10">
        <f>IFERROR(VLOOKUP(A67,'Centre DW11'!$A$7:$N$161,12,FALSE),0)+
IFERROR(VLOOKUP(A67,'Centre WP11'!$A$7:$N$160,12,FALSE),0)+
IFERROR(VLOOKUP(A67,'Centre WR11'!$A$7:$N$160,12,FALSE),0)+
IFERROR(VLOOKUP(A67,'Centre WV11'!$A$7:$N$163,12,FALSE),0)</f>
        <v>32.299999999999997</v>
      </c>
      <c r="M67" s="10">
        <f>IFERROR(VLOOKUP(A67,'Centre DW11'!$A$7:$N$161,13,FALSE),0)+
IFERROR(VLOOKUP(A67,'Centre WP11'!$A$7:$N$160,13,FALSE),0)+
IFERROR(VLOOKUP(A67,'Centre WR11'!$A$7:$N$160,13,FALSE),0)+
IFERROR(VLOOKUP(A67,'Centre WV11'!$A$7:$N$163,13,FALSE),0)</f>
        <v>32.299999999999997</v>
      </c>
      <c r="N67" s="10">
        <f>IFERROR(VLOOKUP(A67,'Centre DW11'!$A$7:$N$161,14,FALSE),0)+
IFERROR(VLOOKUP(A67,'Centre WP11'!$A$7:$N$160,14,FALSE),0)+
IFERROR(VLOOKUP(A67,'Centre WR11'!$A$7:$N$160,14,FALSE),0)+
IFERROR(VLOOKUP(A67,'Centre WV11'!$A$7:$N$163,14,FALSE),0)</f>
        <v>45.3</v>
      </c>
    </row>
    <row r="68" spans="1:14" hidden="1" outlineLevel="1" x14ac:dyDescent="0.2">
      <c r="A68" s="9" t="s">
        <v>371</v>
      </c>
      <c r="B68" s="1" t="s">
        <v>372</v>
      </c>
      <c r="C68" s="10">
        <f>IFERROR(VLOOKUP(A68,'Centre DW11'!$A$7:$N$161,3,FALSE),0)+
IFERROR(VLOOKUP(A68,'Centre WP11'!$A$7:$N$160,3,FALSE),0)+
IFERROR(VLOOKUP(A68,'Centre WR11'!$A$7:$N$160,3,FALSE),0)+
IFERROR(VLOOKUP(A68,'Centre WV11'!$A$7:$N$163,3,FALSE),0)</f>
        <v>0</v>
      </c>
      <c r="D68" s="10">
        <f>IFERROR(VLOOKUP(A68,'Centre DW11'!$A$7:$N$161,4,FALSE),0)+
IFERROR(VLOOKUP(A68,'Centre WP11'!$A$7:$N$160,4,FALSE),0)+
IFERROR(VLOOKUP(A68,'Centre WR11'!$A$7:$N$160,4,FALSE),0)+
IFERROR(VLOOKUP(A68,'Centre WV11'!$A$7:$N$163,4,FALSE),0)</f>
        <v>0</v>
      </c>
      <c r="E68" s="10">
        <f>IFERROR(VLOOKUP(A68,'Centre DW11'!$A$7:$N$161,5,FALSE),0)+
IFERROR(VLOOKUP(A68,'Centre WP11'!$A$7:$N$160,5,FALSE),0)+
IFERROR(VLOOKUP(A68,'Centre WR11'!$A$7:$N$160,5,FALSE),0)+
IFERROR(VLOOKUP(A68,'Centre WV11'!$A$7:$N$163,5,FALSE),0)</f>
        <v>0</v>
      </c>
      <c r="F68" s="10">
        <f>IFERROR(VLOOKUP(A68,'Centre DW11'!$A$7:$N$161,6,FALSE),0)+
IFERROR(VLOOKUP(A68,'Centre WP11'!$A$7:$N$160,6,FALSE),0)+
IFERROR(VLOOKUP(A68,'Centre WR11'!$A$7:$N$160,6,FALSE),0)+
IFERROR(VLOOKUP(A68,'Centre WV11'!$A$7:$N$163,6,FALSE),0)</f>
        <v>0</v>
      </c>
      <c r="G68" s="10">
        <f>IFERROR(VLOOKUP(A68,'Centre DW11'!$A$7:$N$161,7,FALSE),0)+
IFERROR(VLOOKUP(A68,'Centre WP11'!$A$7:$N$160,7,FALSE),0)+
IFERROR(VLOOKUP(A68,'Centre WR11'!$A$7:$N$160,7,FALSE),0)+
IFERROR(VLOOKUP(A68,'Centre WV11'!$A$7:$N$163,7,FALSE),0)</f>
        <v>0.1</v>
      </c>
      <c r="H68" s="10">
        <f>IFERROR(VLOOKUP(A68,'Centre DW11'!$A$7:$N$161,8,FALSE),0)+
IFERROR(VLOOKUP(A68,'Centre WP11'!$A$7:$N$160,8,FALSE),0)+
IFERROR(VLOOKUP(A68,'Centre WR11'!$A$7:$N$160,8,FALSE),0)+
IFERROR(VLOOKUP(A68,'Centre WV11'!$A$7:$N$163,8,FALSE),0)</f>
        <v>0</v>
      </c>
      <c r="I68" s="10">
        <f>IFERROR(VLOOKUP(A68,'Centre DW11'!$A$7:$N$161,9,FALSE),0)+
IFERROR(VLOOKUP(A68,'Centre WP11'!$A$7:$N$160,9,FALSE),0)+
IFERROR(VLOOKUP(A68,'Centre WR11'!$A$7:$N$160,9,FALSE),0)+
IFERROR(VLOOKUP(A68,'Centre WV11'!$A$7:$N$163,9,FALSE),0)</f>
        <v>0</v>
      </c>
      <c r="J68" s="10">
        <f>IFERROR(VLOOKUP(A68,'Centre DW11'!$A$7:$N$161,10,FALSE),0)+
IFERROR(VLOOKUP(A68,'Centre WP11'!$A$7:$N$160,10,FALSE),0)+
IFERROR(VLOOKUP(A68,'Centre WR11'!$A$7:$N$160,10,FALSE),0)+
IFERROR(VLOOKUP(A68,'Centre WV11'!$A$7:$N$163,10,FALSE),0)</f>
        <v>0</v>
      </c>
      <c r="K68" s="10">
        <f>IFERROR(VLOOKUP(A68,'Centre DW11'!$A$7:$N$161,11,FALSE),0)+
IFERROR(VLOOKUP(A68,'Centre WP11'!$A$7:$N$160,11,FALSE),0)+
IFERROR(VLOOKUP(A68,'Centre WR11'!$A$7:$N$160,11,FALSE),0)+
IFERROR(VLOOKUP(A68,'Centre WV11'!$A$7:$N$163,11,FALSE),0)</f>
        <v>0</v>
      </c>
      <c r="L68" s="10">
        <f>IFERROR(VLOOKUP(A68,'Centre DW11'!$A$7:$N$161,12,FALSE),0)+
IFERROR(VLOOKUP(A68,'Centre WP11'!$A$7:$N$160,12,FALSE),0)+
IFERROR(VLOOKUP(A68,'Centre WR11'!$A$7:$N$160,12,FALSE),0)+
IFERROR(VLOOKUP(A68,'Centre WV11'!$A$7:$N$163,12,FALSE),0)</f>
        <v>0</v>
      </c>
      <c r="M68" s="10">
        <f>IFERROR(VLOOKUP(A68,'Centre DW11'!$A$7:$N$161,13,FALSE),0)+
IFERROR(VLOOKUP(A68,'Centre WP11'!$A$7:$N$160,13,FALSE),0)+
IFERROR(VLOOKUP(A68,'Centre WR11'!$A$7:$N$160,13,FALSE),0)+
IFERROR(VLOOKUP(A68,'Centre WV11'!$A$7:$N$163,13,FALSE),0)</f>
        <v>0</v>
      </c>
      <c r="N68" s="10">
        <f>IFERROR(VLOOKUP(A68,'Centre DW11'!$A$7:$N$161,14,FALSE),0)+
IFERROR(VLOOKUP(A68,'Centre WP11'!$A$7:$N$160,14,FALSE),0)+
IFERROR(VLOOKUP(A68,'Centre WR11'!$A$7:$N$160,14,FALSE),0)+
IFERROR(VLOOKUP(A68,'Centre WV11'!$A$7:$N$163,14,FALSE),0)</f>
        <v>0</v>
      </c>
    </row>
    <row r="69" spans="1:14" hidden="1" outlineLevel="1" x14ac:dyDescent="0.2">
      <c r="A69" s="9" t="s">
        <v>131</v>
      </c>
      <c r="B69" s="1" t="s">
        <v>132</v>
      </c>
      <c r="C69" s="10">
        <f>IFERROR(VLOOKUP(A69,'Centre DW11'!$A$7:$N$161,3,FALSE),0)+
IFERROR(VLOOKUP(A69,'Centre WP11'!$A$7:$N$160,3,FALSE),0)+
IFERROR(VLOOKUP(A69,'Centre WR11'!$A$7:$N$160,3,FALSE),0)+
IFERROR(VLOOKUP(A69,'Centre WV11'!$A$7:$N$163,3,FALSE),0)</f>
        <v>0</v>
      </c>
      <c r="D69" s="10">
        <f>IFERROR(VLOOKUP(A69,'Centre DW11'!$A$7:$N$161,4,FALSE),0)+
IFERROR(VLOOKUP(A69,'Centre WP11'!$A$7:$N$160,4,FALSE),0)+
IFERROR(VLOOKUP(A69,'Centre WR11'!$A$7:$N$160,4,FALSE),0)+
IFERROR(VLOOKUP(A69,'Centre WV11'!$A$7:$N$163,4,FALSE),0)</f>
        <v>0</v>
      </c>
      <c r="E69" s="10">
        <f>IFERROR(VLOOKUP(A69,'Centre DW11'!$A$7:$N$161,5,FALSE),0)+
IFERROR(VLOOKUP(A69,'Centre WP11'!$A$7:$N$160,5,FALSE),0)+
IFERROR(VLOOKUP(A69,'Centre WR11'!$A$7:$N$160,5,FALSE),0)+
IFERROR(VLOOKUP(A69,'Centre WV11'!$A$7:$N$163,5,FALSE),0)</f>
        <v>0</v>
      </c>
      <c r="F69" s="10">
        <f>IFERROR(VLOOKUP(A69,'Centre DW11'!$A$7:$N$161,6,FALSE),0)+
IFERROR(VLOOKUP(A69,'Centre WP11'!$A$7:$N$160,6,FALSE),0)+
IFERROR(VLOOKUP(A69,'Centre WR11'!$A$7:$N$160,6,FALSE),0)+
IFERROR(VLOOKUP(A69,'Centre WV11'!$A$7:$N$163,6,FALSE),0)</f>
        <v>0</v>
      </c>
      <c r="G69" s="10">
        <f>IFERROR(VLOOKUP(A69,'Centre DW11'!$A$7:$N$161,7,FALSE),0)+
IFERROR(VLOOKUP(A69,'Centre WP11'!$A$7:$N$160,7,FALSE),0)+
IFERROR(VLOOKUP(A69,'Centre WR11'!$A$7:$N$160,7,FALSE),0)+
IFERROR(VLOOKUP(A69,'Centre WV11'!$A$7:$N$163,7,FALSE),0)</f>
        <v>0</v>
      </c>
      <c r="H69" s="10">
        <f>IFERROR(VLOOKUP(A69,'Centre DW11'!$A$7:$N$161,8,FALSE),0)+
IFERROR(VLOOKUP(A69,'Centre WP11'!$A$7:$N$160,8,FALSE),0)+
IFERROR(VLOOKUP(A69,'Centre WR11'!$A$7:$N$160,8,FALSE),0)+
IFERROR(VLOOKUP(A69,'Centre WV11'!$A$7:$N$163,8,FALSE),0)</f>
        <v>0</v>
      </c>
      <c r="I69" s="10">
        <f>IFERROR(VLOOKUP(A69,'Centre DW11'!$A$7:$N$161,9,FALSE),0)+
IFERROR(VLOOKUP(A69,'Centre WP11'!$A$7:$N$160,9,FALSE),0)+
IFERROR(VLOOKUP(A69,'Centre WR11'!$A$7:$N$160,9,FALSE),0)+
IFERROR(VLOOKUP(A69,'Centre WV11'!$A$7:$N$163,9,FALSE),0)</f>
        <v>0</v>
      </c>
      <c r="J69" s="10">
        <f>IFERROR(VLOOKUP(A69,'Centre DW11'!$A$7:$N$161,10,FALSE),0)+
IFERROR(VLOOKUP(A69,'Centre WP11'!$A$7:$N$160,10,FALSE),0)+
IFERROR(VLOOKUP(A69,'Centre WR11'!$A$7:$N$160,10,FALSE),0)+
IFERROR(VLOOKUP(A69,'Centre WV11'!$A$7:$N$163,10,FALSE),0)</f>
        <v>0</v>
      </c>
      <c r="K69" s="10">
        <f>IFERROR(VLOOKUP(A69,'Centre DW11'!$A$7:$N$161,11,FALSE),0)+
IFERROR(VLOOKUP(A69,'Centre WP11'!$A$7:$N$160,11,FALSE),0)+
IFERROR(VLOOKUP(A69,'Centre WR11'!$A$7:$N$160,11,FALSE),0)+
IFERROR(VLOOKUP(A69,'Centre WV11'!$A$7:$N$163,11,FALSE),0)</f>
        <v>0</v>
      </c>
      <c r="L69" s="10">
        <f>IFERROR(VLOOKUP(A69,'Centre DW11'!$A$7:$N$161,12,FALSE),0)+
IFERROR(VLOOKUP(A69,'Centre WP11'!$A$7:$N$160,12,FALSE),0)+
IFERROR(VLOOKUP(A69,'Centre WR11'!$A$7:$N$160,12,FALSE),0)+
IFERROR(VLOOKUP(A69,'Centre WV11'!$A$7:$N$163,12,FALSE),0)</f>
        <v>0</v>
      </c>
      <c r="M69" s="10">
        <f>IFERROR(VLOOKUP(A69,'Centre DW11'!$A$7:$N$161,13,FALSE),0)+
IFERROR(VLOOKUP(A69,'Centre WP11'!$A$7:$N$160,13,FALSE),0)+
IFERROR(VLOOKUP(A69,'Centre WR11'!$A$7:$N$160,13,FALSE),0)+
IFERROR(VLOOKUP(A69,'Centre WV11'!$A$7:$N$163,13,FALSE),0)</f>
        <v>0</v>
      </c>
      <c r="N69" s="10">
        <f>IFERROR(VLOOKUP(A69,'Centre DW11'!$A$7:$N$161,14,FALSE),0)+
IFERROR(VLOOKUP(A69,'Centre WP11'!$A$7:$N$160,14,FALSE),0)+
IFERROR(VLOOKUP(A69,'Centre WR11'!$A$7:$N$160,14,FALSE),0)+
IFERROR(VLOOKUP(A69,'Centre WV11'!$A$7:$N$163,14,FALSE),0)</f>
        <v>0</v>
      </c>
    </row>
    <row r="70" spans="1:14" hidden="1" outlineLevel="1" x14ac:dyDescent="0.2">
      <c r="A70" s="9" t="s">
        <v>325</v>
      </c>
      <c r="B70" s="1" t="s">
        <v>326</v>
      </c>
      <c r="C70" s="10">
        <f>IFERROR(VLOOKUP(A70,'Centre DW11'!$A$7:$N$161,3,FALSE),0)+
IFERROR(VLOOKUP(A70,'Centre WP11'!$A$7:$N$160,3,FALSE),0)+
IFERROR(VLOOKUP(A70,'Centre WR11'!$A$7:$N$160,3,FALSE),0)+
IFERROR(VLOOKUP(A70,'Centre WV11'!$A$7:$N$163,3,FALSE),0)</f>
        <v>0</v>
      </c>
      <c r="D70" s="10">
        <f>IFERROR(VLOOKUP(A70,'Centre DW11'!$A$7:$N$161,4,FALSE),0)+
IFERROR(VLOOKUP(A70,'Centre WP11'!$A$7:$N$160,4,FALSE),0)+
IFERROR(VLOOKUP(A70,'Centre WR11'!$A$7:$N$160,4,FALSE),0)+
IFERROR(VLOOKUP(A70,'Centre WV11'!$A$7:$N$163,4,FALSE),0)</f>
        <v>0.9</v>
      </c>
      <c r="E70" s="10">
        <f>IFERROR(VLOOKUP(A70,'Centre DW11'!$A$7:$N$161,5,FALSE),0)+
IFERROR(VLOOKUP(A70,'Centre WP11'!$A$7:$N$160,5,FALSE),0)+
IFERROR(VLOOKUP(A70,'Centre WR11'!$A$7:$N$160,5,FALSE),0)+
IFERROR(VLOOKUP(A70,'Centre WV11'!$A$7:$N$163,5,FALSE),0)</f>
        <v>0</v>
      </c>
      <c r="F70" s="10">
        <f>IFERROR(VLOOKUP(A70,'Centre DW11'!$A$7:$N$161,6,FALSE),0)+
IFERROR(VLOOKUP(A70,'Centre WP11'!$A$7:$N$160,6,FALSE),0)+
IFERROR(VLOOKUP(A70,'Centre WR11'!$A$7:$N$160,6,FALSE),0)+
IFERROR(VLOOKUP(A70,'Centre WV11'!$A$7:$N$163,6,FALSE),0)</f>
        <v>0</v>
      </c>
      <c r="G70" s="10">
        <f>IFERROR(VLOOKUP(A70,'Centre DW11'!$A$7:$N$161,7,FALSE),0)+
IFERROR(VLOOKUP(A70,'Centre WP11'!$A$7:$N$160,7,FALSE),0)+
IFERROR(VLOOKUP(A70,'Centre WR11'!$A$7:$N$160,7,FALSE),0)+
IFERROR(VLOOKUP(A70,'Centre WV11'!$A$7:$N$163,7,FALSE),0)</f>
        <v>0</v>
      </c>
      <c r="H70" s="10">
        <f>IFERROR(VLOOKUP(A70,'Centre DW11'!$A$7:$N$161,8,FALSE),0)+
IFERROR(VLOOKUP(A70,'Centre WP11'!$A$7:$N$160,8,FALSE),0)+
IFERROR(VLOOKUP(A70,'Centre WR11'!$A$7:$N$160,8,FALSE),0)+
IFERROR(VLOOKUP(A70,'Centre WV11'!$A$7:$N$163,8,FALSE),0)</f>
        <v>0</v>
      </c>
      <c r="I70" s="10">
        <f>IFERROR(VLOOKUP(A70,'Centre DW11'!$A$7:$N$161,9,FALSE),0)+
IFERROR(VLOOKUP(A70,'Centre WP11'!$A$7:$N$160,9,FALSE),0)+
IFERROR(VLOOKUP(A70,'Centre WR11'!$A$7:$N$160,9,FALSE),0)+
IFERROR(VLOOKUP(A70,'Centre WV11'!$A$7:$N$163,9,FALSE),0)</f>
        <v>0</v>
      </c>
      <c r="J70" s="10">
        <f>IFERROR(VLOOKUP(A70,'Centre DW11'!$A$7:$N$161,10,FALSE),0)+
IFERROR(VLOOKUP(A70,'Centre WP11'!$A$7:$N$160,10,FALSE),0)+
IFERROR(VLOOKUP(A70,'Centre WR11'!$A$7:$N$160,10,FALSE),0)+
IFERROR(VLOOKUP(A70,'Centre WV11'!$A$7:$N$163,10,FALSE),0)</f>
        <v>0</v>
      </c>
      <c r="K70" s="10">
        <f>IFERROR(VLOOKUP(A70,'Centre DW11'!$A$7:$N$161,11,FALSE),0)+
IFERROR(VLOOKUP(A70,'Centre WP11'!$A$7:$N$160,11,FALSE),0)+
IFERROR(VLOOKUP(A70,'Centre WR11'!$A$7:$N$160,11,FALSE),0)+
IFERROR(VLOOKUP(A70,'Centre WV11'!$A$7:$N$163,11,FALSE),0)</f>
        <v>0</v>
      </c>
      <c r="L70" s="10">
        <f>IFERROR(VLOOKUP(A70,'Centre DW11'!$A$7:$N$161,12,FALSE),0)+
IFERROR(VLOOKUP(A70,'Centre WP11'!$A$7:$N$160,12,FALSE),0)+
IFERROR(VLOOKUP(A70,'Centre WR11'!$A$7:$N$160,12,FALSE),0)+
IFERROR(VLOOKUP(A70,'Centre WV11'!$A$7:$N$163,12,FALSE),0)</f>
        <v>0</v>
      </c>
      <c r="M70" s="10">
        <f>IFERROR(VLOOKUP(A70,'Centre DW11'!$A$7:$N$161,13,FALSE),0)+
IFERROR(VLOOKUP(A70,'Centre WP11'!$A$7:$N$160,13,FALSE),0)+
IFERROR(VLOOKUP(A70,'Centre WR11'!$A$7:$N$160,13,FALSE),0)+
IFERROR(VLOOKUP(A70,'Centre WV11'!$A$7:$N$163,13,FALSE),0)</f>
        <v>0</v>
      </c>
      <c r="N70" s="10">
        <f>IFERROR(VLOOKUP(A70,'Centre DW11'!$A$7:$N$161,14,FALSE),0)+
IFERROR(VLOOKUP(A70,'Centre WP11'!$A$7:$N$160,14,FALSE),0)+
IFERROR(VLOOKUP(A70,'Centre WR11'!$A$7:$N$160,14,FALSE),0)+
IFERROR(VLOOKUP(A70,'Centre WV11'!$A$7:$N$163,14,FALSE),0)</f>
        <v>0</v>
      </c>
    </row>
    <row r="71" spans="1:14" collapsed="1" x14ac:dyDescent="0.2">
      <c r="A71" s="48" t="s">
        <v>133</v>
      </c>
      <c r="B71" s="49" t="s">
        <v>134</v>
      </c>
      <c r="C71" s="50">
        <f>SUM(C72:C79)</f>
        <v>18.399999999999999</v>
      </c>
      <c r="D71" s="50">
        <f t="shared" ref="D71:N71" si="12">SUM(D72:D79)</f>
        <v>18.399999999999999</v>
      </c>
      <c r="E71" s="50">
        <f t="shared" si="12"/>
        <v>18.399999999999999</v>
      </c>
      <c r="F71" s="50">
        <f t="shared" si="12"/>
        <v>18.399999999999999</v>
      </c>
      <c r="G71" s="50">
        <f t="shared" si="12"/>
        <v>19.2</v>
      </c>
      <c r="H71" s="50">
        <f t="shared" si="12"/>
        <v>34</v>
      </c>
      <c r="I71" s="50">
        <f t="shared" si="12"/>
        <v>22.4</v>
      </c>
      <c r="J71" s="50">
        <f t="shared" si="12"/>
        <v>21.4</v>
      </c>
      <c r="K71" s="50">
        <f t="shared" si="12"/>
        <v>20.399999999999999</v>
      </c>
      <c r="L71" s="50">
        <f t="shared" si="12"/>
        <v>21.4</v>
      </c>
      <c r="M71" s="50">
        <f t="shared" si="12"/>
        <v>19.399999999999999</v>
      </c>
      <c r="N71" s="50">
        <f t="shared" si="12"/>
        <v>24.4</v>
      </c>
    </row>
    <row r="72" spans="1:14" hidden="1" outlineLevel="1" x14ac:dyDescent="0.2">
      <c r="A72" s="9" t="s">
        <v>327</v>
      </c>
      <c r="B72" s="1" t="s">
        <v>328</v>
      </c>
      <c r="C72" s="10">
        <f>IFERROR(VLOOKUP(A72,'Centre DW11'!$A$7:$N$161,3,FALSE),0)+
IFERROR(VLOOKUP(A72,'Centre WP11'!$A$7:$N$160,3,FALSE),0)+
IFERROR(VLOOKUP(A72,'Centre WR11'!$A$7:$N$160,3,FALSE),0)+
IFERROR(VLOOKUP(A72,'Centre WV11'!$A$7:$N$163,3,FALSE),0)</f>
        <v>0</v>
      </c>
      <c r="D72" s="10">
        <f>IFERROR(VLOOKUP(A72,'Centre DW11'!$A$7:$N$161,4,FALSE),0)+
IFERROR(VLOOKUP(A72,'Centre WP11'!$A$7:$N$160,4,FALSE),0)+
IFERROR(VLOOKUP(A72,'Centre WR11'!$A$7:$N$160,4,FALSE),0)+
IFERROR(VLOOKUP(A72,'Centre WV11'!$A$7:$N$163,4,FALSE),0)</f>
        <v>0</v>
      </c>
      <c r="E72" s="10">
        <f>IFERROR(VLOOKUP(A72,'Centre DW11'!$A$7:$N$161,5,FALSE),0)+
IFERROR(VLOOKUP(A72,'Centre WP11'!$A$7:$N$160,5,FALSE),0)+
IFERROR(VLOOKUP(A72,'Centre WR11'!$A$7:$N$160,5,FALSE),0)+
IFERROR(VLOOKUP(A72,'Centre WV11'!$A$7:$N$163,5,FALSE),0)</f>
        <v>0</v>
      </c>
      <c r="F72" s="10">
        <f>IFERROR(VLOOKUP(A72,'Centre DW11'!$A$7:$N$161,6,FALSE),0)+
IFERROR(VLOOKUP(A72,'Centre WP11'!$A$7:$N$160,6,FALSE),0)+
IFERROR(VLOOKUP(A72,'Centre WR11'!$A$7:$N$160,6,FALSE),0)+
IFERROR(VLOOKUP(A72,'Centre WV11'!$A$7:$N$163,6,FALSE),0)</f>
        <v>0</v>
      </c>
      <c r="G72" s="10">
        <f>IFERROR(VLOOKUP(A72,'Centre DW11'!$A$7:$N$161,7,FALSE),0)+
IFERROR(VLOOKUP(A72,'Centre WP11'!$A$7:$N$160,7,FALSE),0)+
IFERROR(VLOOKUP(A72,'Centre WR11'!$A$7:$N$160,7,FALSE),0)+
IFERROR(VLOOKUP(A72,'Centre WV11'!$A$7:$N$163,7,FALSE),0)</f>
        <v>0</v>
      </c>
      <c r="H72" s="10">
        <f>IFERROR(VLOOKUP(A72,'Centre DW11'!$A$7:$N$161,8,FALSE),0)+
IFERROR(VLOOKUP(A72,'Centre WP11'!$A$7:$N$160,8,FALSE),0)+
IFERROR(VLOOKUP(A72,'Centre WR11'!$A$7:$N$160,8,FALSE),0)+
IFERROR(VLOOKUP(A72,'Centre WV11'!$A$7:$N$163,8,FALSE),0)</f>
        <v>0</v>
      </c>
      <c r="I72" s="10">
        <f>IFERROR(VLOOKUP(A72,'Centre DW11'!$A$7:$N$161,9,FALSE),0)+
IFERROR(VLOOKUP(A72,'Centre WP11'!$A$7:$N$160,9,FALSE),0)+
IFERROR(VLOOKUP(A72,'Centre WR11'!$A$7:$N$160,9,FALSE),0)+
IFERROR(VLOOKUP(A72,'Centre WV11'!$A$7:$N$163,9,FALSE),0)</f>
        <v>0</v>
      </c>
      <c r="J72" s="10">
        <f>IFERROR(VLOOKUP(A72,'Centre DW11'!$A$7:$N$161,10,FALSE),0)+
IFERROR(VLOOKUP(A72,'Centre WP11'!$A$7:$N$160,10,FALSE),0)+
IFERROR(VLOOKUP(A72,'Centre WR11'!$A$7:$N$160,10,FALSE),0)+
IFERROR(VLOOKUP(A72,'Centre WV11'!$A$7:$N$163,10,FALSE),0)</f>
        <v>0</v>
      </c>
      <c r="K72" s="10">
        <f>IFERROR(VLOOKUP(A72,'Centre DW11'!$A$7:$N$161,11,FALSE),0)+
IFERROR(VLOOKUP(A72,'Centre WP11'!$A$7:$N$160,11,FALSE),0)+
IFERROR(VLOOKUP(A72,'Centre WR11'!$A$7:$N$160,11,FALSE),0)+
IFERROR(VLOOKUP(A72,'Centre WV11'!$A$7:$N$163,11,FALSE),0)</f>
        <v>0</v>
      </c>
      <c r="L72" s="10">
        <f>IFERROR(VLOOKUP(A72,'Centre DW11'!$A$7:$N$161,12,FALSE),0)+
IFERROR(VLOOKUP(A72,'Centre WP11'!$A$7:$N$160,12,FALSE),0)+
IFERROR(VLOOKUP(A72,'Centre WR11'!$A$7:$N$160,12,FALSE),0)+
IFERROR(VLOOKUP(A72,'Centre WV11'!$A$7:$N$163,12,FALSE),0)</f>
        <v>0</v>
      </c>
      <c r="M72" s="10">
        <f>IFERROR(VLOOKUP(A72,'Centre DW11'!$A$7:$N$161,13,FALSE),0)+
IFERROR(VLOOKUP(A72,'Centre WP11'!$A$7:$N$160,13,FALSE),0)+
IFERROR(VLOOKUP(A72,'Centre WR11'!$A$7:$N$160,13,FALSE),0)+
IFERROR(VLOOKUP(A72,'Centre WV11'!$A$7:$N$163,13,FALSE),0)</f>
        <v>0</v>
      </c>
      <c r="N72" s="10">
        <f>IFERROR(VLOOKUP(A72,'Centre DW11'!$A$7:$N$161,14,FALSE),0)+
IFERROR(VLOOKUP(A72,'Centre WP11'!$A$7:$N$160,14,FALSE),0)+
IFERROR(VLOOKUP(A72,'Centre WR11'!$A$7:$N$160,14,FALSE),0)+
IFERROR(VLOOKUP(A72,'Centre WV11'!$A$7:$N$163,14,FALSE),0)</f>
        <v>0</v>
      </c>
    </row>
    <row r="73" spans="1:14" hidden="1" outlineLevel="1" x14ac:dyDescent="0.2">
      <c r="A73" s="9" t="s">
        <v>329</v>
      </c>
      <c r="B73" s="1" t="s">
        <v>330</v>
      </c>
      <c r="C73" s="10">
        <f>IFERROR(VLOOKUP(A73,'Centre DW11'!$A$7:$N$161,3,FALSE),0)+
IFERROR(VLOOKUP(A73,'Centre WP11'!$A$7:$N$160,3,FALSE),0)+
IFERROR(VLOOKUP(A73,'Centre WR11'!$A$7:$N$160,3,FALSE),0)+
IFERROR(VLOOKUP(A73,'Centre WV11'!$A$7:$N$163,3,FALSE),0)</f>
        <v>15.4</v>
      </c>
      <c r="D73" s="10">
        <f>IFERROR(VLOOKUP(A73,'Centre DW11'!$A$7:$N$161,4,FALSE),0)+
IFERROR(VLOOKUP(A73,'Centre WP11'!$A$7:$N$160,4,FALSE),0)+
IFERROR(VLOOKUP(A73,'Centre WR11'!$A$7:$N$160,4,FALSE),0)+
IFERROR(VLOOKUP(A73,'Centre WV11'!$A$7:$N$163,4,FALSE),0)</f>
        <v>15.4</v>
      </c>
      <c r="E73" s="10">
        <f>IFERROR(VLOOKUP(A73,'Centre DW11'!$A$7:$N$161,5,FALSE),0)+
IFERROR(VLOOKUP(A73,'Centre WP11'!$A$7:$N$160,5,FALSE),0)+
IFERROR(VLOOKUP(A73,'Centre WR11'!$A$7:$N$160,5,FALSE),0)+
IFERROR(VLOOKUP(A73,'Centre WV11'!$A$7:$N$163,5,FALSE),0)</f>
        <v>15.4</v>
      </c>
      <c r="F73" s="10">
        <f>IFERROR(VLOOKUP(A73,'Centre DW11'!$A$7:$N$161,6,FALSE),0)+
IFERROR(VLOOKUP(A73,'Centre WP11'!$A$7:$N$160,6,FALSE),0)+
IFERROR(VLOOKUP(A73,'Centre WR11'!$A$7:$N$160,6,FALSE),0)+
IFERROR(VLOOKUP(A73,'Centre WV11'!$A$7:$N$163,6,FALSE),0)</f>
        <v>15.4</v>
      </c>
      <c r="G73" s="10">
        <f>IFERROR(VLOOKUP(A73,'Centre DW11'!$A$7:$N$161,7,FALSE),0)+
IFERROR(VLOOKUP(A73,'Centre WP11'!$A$7:$N$160,7,FALSE),0)+
IFERROR(VLOOKUP(A73,'Centre WR11'!$A$7:$N$160,7,FALSE),0)+
IFERROR(VLOOKUP(A73,'Centre WV11'!$A$7:$N$163,7,FALSE),0)</f>
        <v>15.4</v>
      </c>
      <c r="H73" s="10">
        <f>IFERROR(VLOOKUP(A73,'Centre DW11'!$A$7:$N$161,8,FALSE),0)+
IFERROR(VLOOKUP(A73,'Centre WP11'!$A$7:$N$160,8,FALSE),0)+
IFERROR(VLOOKUP(A73,'Centre WR11'!$A$7:$N$160,8,FALSE),0)+
IFERROR(VLOOKUP(A73,'Centre WV11'!$A$7:$N$163,8,FALSE),0)</f>
        <v>31</v>
      </c>
      <c r="I73" s="10">
        <f>IFERROR(VLOOKUP(A73,'Centre DW11'!$A$7:$N$161,9,FALSE),0)+
IFERROR(VLOOKUP(A73,'Centre WP11'!$A$7:$N$160,9,FALSE),0)+
IFERROR(VLOOKUP(A73,'Centre WR11'!$A$7:$N$160,9,FALSE),0)+
IFERROR(VLOOKUP(A73,'Centre WV11'!$A$7:$N$163,9,FALSE),0)</f>
        <v>19.399999999999999</v>
      </c>
      <c r="J73" s="10">
        <f>IFERROR(VLOOKUP(A73,'Centre DW11'!$A$7:$N$161,10,FALSE),0)+
IFERROR(VLOOKUP(A73,'Centre WP11'!$A$7:$N$160,10,FALSE),0)+
IFERROR(VLOOKUP(A73,'Centre WR11'!$A$7:$N$160,10,FALSE),0)+
IFERROR(VLOOKUP(A73,'Centre WV11'!$A$7:$N$163,10,FALSE),0)</f>
        <v>18.399999999999999</v>
      </c>
      <c r="K73" s="10">
        <f>IFERROR(VLOOKUP(A73,'Centre DW11'!$A$7:$N$161,11,FALSE),0)+
IFERROR(VLOOKUP(A73,'Centre WP11'!$A$7:$N$160,11,FALSE),0)+
IFERROR(VLOOKUP(A73,'Centre WR11'!$A$7:$N$160,11,FALSE),0)+
IFERROR(VLOOKUP(A73,'Centre WV11'!$A$7:$N$163,11,FALSE),0)</f>
        <v>17.399999999999999</v>
      </c>
      <c r="L73" s="10">
        <f>IFERROR(VLOOKUP(A73,'Centre DW11'!$A$7:$N$161,12,FALSE),0)+
IFERROR(VLOOKUP(A73,'Centre WP11'!$A$7:$N$160,12,FALSE),0)+
IFERROR(VLOOKUP(A73,'Centre WR11'!$A$7:$N$160,12,FALSE),0)+
IFERROR(VLOOKUP(A73,'Centre WV11'!$A$7:$N$163,12,FALSE),0)</f>
        <v>18.399999999999999</v>
      </c>
      <c r="M73" s="10">
        <f>IFERROR(VLOOKUP(A73,'Centre DW11'!$A$7:$N$161,13,FALSE),0)+
IFERROR(VLOOKUP(A73,'Centre WP11'!$A$7:$N$160,13,FALSE),0)+
IFERROR(VLOOKUP(A73,'Centre WR11'!$A$7:$N$160,13,FALSE),0)+
IFERROR(VLOOKUP(A73,'Centre WV11'!$A$7:$N$163,13,FALSE),0)</f>
        <v>16.399999999999999</v>
      </c>
      <c r="N73" s="10">
        <f>IFERROR(VLOOKUP(A73,'Centre DW11'!$A$7:$N$161,14,FALSE),0)+
IFERROR(VLOOKUP(A73,'Centre WP11'!$A$7:$N$160,14,FALSE),0)+
IFERROR(VLOOKUP(A73,'Centre WR11'!$A$7:$N$160,14,FALSE),0)+
IFERROR(VLOOKUP(A73,'Centre WV11'!$A$7:$N$163,14,FALSE),0)</f>
        <v>21.4</v>
      </c>
    </row>
    <row r="74" spans="1:14" hidden="1" outlineLevel="1" x14ac:dyDescent="0.2">
      <c r="A74" s="9" t="s">
        <v>331</v>
      </c>
      <c r="B74" s="1" t="s">
        <v>332</v>
      </c>
      <c r="C74" s="10">
        <f>IFERROR(VLOOKUP(A74,'Centre DW11'!$A$7:$N$161,3,FALSE),0)+
IFERROR(VLOOKUP(A74,'Centre WP11'!$A$7:$N$160,3,FALSE),0)+
IFERROR(VLOOKUP(A74,'Centre WR11'!$A$7:$N$160,3,FALSE),0)+
IFERROR(VLOOKUP(A74,'Centre WV11'!$A$7:$N$163,3,FALSE),0)</f>
        <v>0</v>
      </c>
      <c r="D74" s="10">
        <f>IFERROR(VLOOKUP(A74,'Centre DW11'!$A$7:$N$161,4,FALSE),0)+
IFERROR(VLOOKUP(A74,'Centre WP11'!$A$7:$N$160,4,FALSE),0)+
IFERROR(VLOOKUP(A74,'Centre WR11'!$A$7:$N$160,4,FALSE),0)+
IFERROR(VLOOKUP(A74,'Centre WV11'!$A$7:$N$163,4,FALSE),0)</f>
        <v>0</v>
      </c>
      <c r="E74" s="10">
        <f>IFERROR(VLOOKUP(A74,'Centre DW11'!$A$7:$N$161,5,FALSE),0)+
IFERROR(VLOOKUP(A74,'Centre WP11'!$A$7:$N$160,5,FALSE),0)+
IFERROR(VLOOKUP(A74,'Centre WR11'!$A$7:$N$160,5,FALSE),0)+
IFERROR(VLOOKUP(A74,'Centre WV11'!$A$7:$N$163,5,FALSE),0)</f>
        <v>0</v>
      </c>
      <c r="F74" s="10">
        <f>IFERROR(VLOOKUP(A74,'Centre DW11'!$A$7:$N$161,6,FALSE),0)+
IFERROR(VLOOKUP(A74,'Centre WP11'!$A$7:$N$160,6,FALSE),0)+
IFERROR(VLOOKUP(A74,'Centre WR11'!$A$7:$N$160,6,FALSE),0)+
IFERROR(VLOOKUP(A74,'Centre WV11'!$A$7:$N$163,6,FALSE),0)</f>
        <v>0</v>
      </c>
      <c r="G74" s="10">
        <f>IFERROR(VLOOKUP(A74,'Centre DW11'!$A$7:$N$161,7,FALSE),0)+
IFERROR(VLOOKUP(A74,'Centre WP11'!$A$7:$N$160,7,FALSE),0)+
IFERROR(VLOOKUP(A74,'Centre WR11'!$A$7:$N$160,7,FALSE),0)+
IFERROR(VLOOKUP(A74,'Centre WV11'!$A$7:$N$163,7,FALSE),0)</f>
        <v>0</v>
      </c>
      <c r="H74" s="10">
        <f>IFERROR(VLOOKUP(A74,'Centre DW11'!$A$7:$N$161,8,FALSE),0)+
IFERROR(VLOOKUP(A74,'Centre WP11'!$A$7:$N$160,8,FALSE),0)+
IFERROR(VLOOKUP(A74,'Centre WR11'!$A$7:$N$160,8,FALSE),0)+
IFERROR(VLOOKUP(A74,'Centre WV11'!$A$7:$N$163,8,FALSE),0)</f>
        <v>0</v>
      </c>
      <c r="I74" s="10">
        <f>IFERROR(VLOOKUP(A74,'Centre DW11'!$A$7:$N$161,9,FALSE),0)+
IFERROR(VLOOKUP(A74,'Centre WP11'!$A$7:$N$160,9,FALSE),0)+
IFERROR(VLOOKUP(A74,'Centre WR11'!$A$7:$N$160,9,FALSE),0)+
IFERROR(VLOOKUP(A74,'Centre WV11'!$A$7:$N$163,9,FALSE),0)</f>
        <v>0</v>
      </c>
      <c r="J74" s="10">
        <f>IFERROR(VLOOKUP(A74,'Centre DW11'!$A$7:$N$161,10,FALSE),0)+
IFERROR(VLOOKUP(A74,'Centre WP11'!$A$7:$N$160,10,FALSE),0)+
IFERROR(VLOOKUP(A74,'Centre WR11'!$A$7:$N$160,10,FALSE),0)+
IFERROR(VLOOKUP(A74,'Centre WV11'!$A$7:$N$163,10,FALSE),0)</f>
        <v>0</v>
      </c>
      <c r="K74" s="10">
        <f>IFERROR(VLOOKUP(A74,'Centre DW11'!$A$7:$N$161,11,FALSE),0)+
IFERROR(VLOOKUP(A74,'Centre WP11'!$A$7:$N$160,11,FALSE),0)+
IFERROR(VLOOKUP(A74,'Centre WR11'!$A$7:$N$160,11,FALSE),0)+
IFERROR(VLOOKUP(A74,'Centre WV11'!$A$7:$N$163,11,FALSE),0)</f>
        <v>0</v>
      </c>
      <c r="L74" s="10">
        <f>IFERROR(VLOOKUP(A74,'Centre DW11'!$A$7:$N$161,12,FALSE),0)+
IFERROR(VLOOKUP(A74,'Centre WP11'!$A$7:$N$160,12,FALSE),0)+
IFERROR(VLOOKUP(A74,'Centre WR11'!$A$7:$N$160,12,FALSE),0)+
IFERROR(VLOOKUP(A74,'Centre WV11'!$A$7:$N$163,12,FALSE),0)</f>
        <v>0</v>
      </c>
      <c r="M74" s="10">
        <f>IFERROR(VLOOKUP(A74,'Centre DW11'!$A$7:$N$161,13,FALSE),0)+
IFERROR(VLOOKUP(A74,'Centre WP11'!$A$7:$N$160,13,FALSE),0)+
IFERROR(VLOOKUP(A74,'Centre WR11'!$A$7:$N$160,13,FALSE),0)+
IFERROR(VLOOKUP(A74,'Centre WV11'!$A$7:$N$163,13,FALSE),0)</f>
        <v>0</v>
      </c>
      <c r="N74" s="10">
        <f>IFERROR(VLOOKUP(A74,'Centre DW11'!$A$7:$N$161,14,FALSE),0)+
IFERROR(VLOOKUP(A74,'Centre WP11'!$A$7:$N$160,14,FALSE),0)+
IFERROR(VLOOKUP(A74,'Centre WR11'!$A$7:$N$160,14,FALSE),0)+
IFERROR(VLOOKUP(A74,'Centre WV11'!$A$7:$N$163,14,FALSE),0)</f>
        <v>0</v>
      </c>
    </row>
    <row r="75" spans="1:14" hidden="1" outlineLevel="1" x14ac:dyDescent="0.2">
      <c r="A75" s="9" t="s">
        <v>135</v>
      </c>
      <c r="B75" s="1" t="s">
        <v>136</v>
      </c>
      <c r="C75" s="10">
        <f>IFERROR(VLOOKUP(A75,'Centre DW11'!$A$7:$N$161,3,FALSE),0)+
IFERROR(VLOOKUP(A75,'Centre WP11'!$A$7:$N$160,3,FALSE),0)+
IFERROR(VLOOKUP(A75,'Centre WR11'!$A$7:$N$160,3,FALSE),0)+
IFERROR(VLOOKUP(A75,'Centre WV11'!$A$7:$N$163,3,FALSE),0)</f>
        <v>0</v>
      </c>
      <c r="D75" s="10">
        <f>IFERROR(VLOOKUP(A75,'Centre DW11'!$A$7:$N$161,4,FALSE),0)+
IFERROR(VLOOKUP(A75,'Centre WP11'!$A$7:$N$160,4,FALSE),0)+
IFERROR(VLOOKUP(A75,'Centre WR11'!$A$7:$N$160,4,FALSE),0)+
IFERROR(VLOOKUP(A75,'Centre WV11'!$A$7:$N$163,4,FALSE),0)</f>
        <v>0</v>
      </c>
      <c r="E75" s="10">
        <f>IFERROR(VLOOKUP(A75,'Centre DW11'!$A$7:$N$161,5,FALSE),0)+
IFERROR(VLOOKUP(A75,'Centre WP11'!$A$7:$N$160,5,FALSE),0)+
IFERROR(VLOOKUP(A75,'Centre WR11'!$A$7:$N$160,5,FALSE),0)+
IFERROR(VLOOKUP(A75,'Centre WV11'!$A$7:$N$163,5,FALSE),0)</f>
        <v>0</v>
      </c>
      <c r="F75" s="10">
        <f>IFERROR(VLOOKUP(A75,'Centre DW11'!$A$7:$N$161,6,FALSE),0)+
IFERROR(VLOOKUP(A75,'Centre WP11'!$A$7:$N$160,6,FALSE),0)+
IFERROR(VLOOKUP(A75,'Centre WR11'!$A$7:$N$160,6,FALSE),0)+
IFERROR(VLOOKUP(A75,'Centre WV11'!$A$7:$N$163,6,FALSE),0)</f>
        <v>0</v>
      </c>
      <c r="G75" s="10">
        <f>IFERROR(VLOOKUP(A75,'Centre DW11'!$A$7:$N$161,7,FALSE),0)+
IFERROR(VLOOKUP(A75,'Centre WP11'!$A$7:$N$160,7,FALSE),0)+
IFERROR(VLOOKUP(A75,'Centre WR11'!$A$7:$N$160,7,FALSE),0)+
IFERROR(VLOOKUP(A75,'Centre WV11'!$A$7:$N$163,7,FALSE),0)</f>
        <v>0</v>
      </c>
      <c r="H75" s="10">
        <f>IFERROR(VLOOKUP(A75,'Centre DW11'!$A$7:$N$161,8,FALSE),0)+
IFERROR(VLOOKUP(A75,'Centre WP11'!$A$7:$N$160,8,FALSE),0)+
IFERROR(VLOOKUP(A75,'Centre WR11'!$A$7:$N$160,8,FALSE),0)+
IFERROR(VLOOKUP(A75,'Centre WV11'!$A$7:$N$163,8,FALSE),0)</f>
        <v>0</v>
      </c>
      <c r="I75" s="10">
        <f>IFERROR(VLOOKUP(A75,'Centre DW11'!$A$7:$N$161,9,FALSE),0)+
IFERROR(VLOOKUP(A75,'Centre WP11'!$A$7:$N$160,9,FALSE),0)+
IFERROR(VLOOKUP(A75,'Centre WR11'!$A$7:$N$160,9,FALSE),0)+
IFERROR(VLOOKUP(A75,'Centre WV11'!$A$7:$N$163,9,FALSE),0)</f>
        <v>0</v>
      </c>
      <c r="J75" s="10">
        <f>IFERROR(VLOOKUP(A75,'Centre DW11'!$A$7:$N$161,10,FALSE),0)+
IFERROR(VLOOKUP(A75,'Centre WP11'!$A$7:$N$160,10,FALSE),0)+
IFERROR(VLOOKUP(A75,'Centre WR11'!$A$7:$N$160,10,FALSE),0)+
IFERROR(VLOOKUP(A75,'Centre WV11'!$A$7:$N$163,10,FALSE),0)</f>
        <v>0</v>
      </c>
      <c r="K75" s="10">
        <f>IFERROR(VLOOKUP(A75,'Centre DW11'!$A$7:$N$161,11,FALSE),0)+
IFERROR(VLOOKUP(A75,'Centre WP11'!$A$7:$N$160,11,FALSE),0)+
IFERROR(VLOOKUP(A75,'Centre WR11'!$A$7:$N$160,11,FALSE),0)+
IFERROR(VLOOKUP(A75,'Centre WV11'!$A$7:$N$163,11,FALSE),0)</f>
        <v>0</v>
      </c>
      <c r="L75" s="10">
        <f>IFERROR(VLOOKUP(A75,'Centre DW11'!$A$7:$N$161,12,FALSE),0)+
IFERROR(VLOOKUP(A75,'Centre WP11'!$A$7:$N$160,12,FALSE),0)+
IFERROR(VLOOKUP(A75,'Centre WR11'!$A$7:$N$160,12,FALSE),0)+
IFERROR(VLOOKUP(A75,'Centre WV11'!$A$7:$N$163,12,FALSE),0)</f>
        <v>0</v>
      </c>
      <c r="M75" s="10">
        <f>IFERROR(VLOOKUP(A75,'Centre DW11'!$A$7:$N$161,13,FALSE),0)+
IFERROR(VLOOKUP(A75,'Centre WP11'!$A$7:$N$160,13,FALSE),0)+
IFERROR(VLOOKUP(A75,'Centre WR11'!$A$7:$N$160,13,FALSE),0)+
IFERROR(VLOOKUP(A75,'Centre WV11'!$A$7:$N$163,13,FALSE),0)</f>
        <v>0</v>
      </c>
      <c r="N75" s="10">
        <f>IFERROR(VLOOKUP(A75,'Centre DW11'!$A$7:$N$161,14,FALSE),0)+
IFERROR(VLOOKUP(A75,'Centre WP11'!$A$7:$N$160,14,FALSE),0)+
IFERROR(VLOOKUP(A75,'Centre WR11'!$A$7:$N$160,14,FALSE),0)+
IFERROR(VLOOKUP(A75,'Centre WV11'!$A$7:$N$163,14,FALSE),0)</f>
        <v>0</v>
      </c>
    </row>
    <row r="76" spans="1:14" hidden="1" outlineLevel="1" x14ac:dyDescent="0.2">
      <c r="A76" s="9" t="s">
        <v>373</v>
      </c>
      <c r="B76" s="1" t="s">
        <v>374</v>
      </c>
      <c r="C76" s="10">
        <f>IFERROR(VLOOKUP(A76,'Centre DW11'!$A$7:$N$161,3,FALSE),0)+
IFERROR(VLOOKUP(A76,'Centre WP11'!$A$7:$N$160,3,FALSE),0)+
IFERROR(VLOOKUP(A76,'Centre WR11'!$A$7:$N$160,3,FALSE),0)+
IFERROR(VLOOKUP(A76,'Centre WV11'!$A$7:$N$163,3,FALSE),0)</f>
        <v>0</v>
      </c>
      <c r="D76" s="10">
        <f>IFERROR(VLOOKUP(A76,'Centre DW11'!$A$7:$N$161,4,FALSE),0)+
IFERROR(VLOOKUP(A76,'Centre WP11'!$A$7:$N$160,4,FALSE),0)+
IFERROR(VLOOKUP(A76,'Centre WR11'!$A$7:$N$160,4,FALSE),0)+
IFERROR(VLOOKUP(A76,'Centre WV11'!$A$7:$N$163,4,FALSE),0)</f>
        <v>0</v>
      </c>
      <c r="E76" s="10">
        <f>IFERROR(VLOOKUP(A76,'Centre DW11'!$A$7:$N$161,5,FALSE),0)+
IFERROR(VLOOKUP(A76,'Centre WP11'!$A$7:$N$160,5,FALSE),0)+
IFERROR(VLOOKUP(A76,'Centre WR11'!$A$7:$N$160,5,FALSE),0)+
IFERROR(VLOOKUP(A76,'Centre WV11'!$A$7:$N$163,5,FALSE),0)</f>
        <v>0</v>
      </c>
      <c r="F76" s="10">
        <f>IFERROR(VLOOKUP(A76,'Centre DW11'!$A$7:$N$161,6,FALSE),0)+
IFERROR(VLOOKUP(A76,'Centre WP11'!$A$7:$N$160,6,FALSE),0)+
IFERROR(VLOOKUP(A76,'Centre WR11'!$A$7:$N$160,6,FALSE),0)+
IFERROR(VLOOKUP(A76,'Centre WV11'!$A$7:$N$163,6,FALSE),0)</f>
        <v>0</v>
      </c>
      <c r="G76" s="10">
        <f>IFERROR(VLOOKUP(A76,'Centre DW11'!$A$7:$N$161,7,FALSE),0)+
IFERROR(VLOOKUP(A76,'Centre WP11'!$A$7:$N$160,7,FALSE),0)+
IFERROR(VLOOKUP(A76,'Centre WR11'!$A$7:$N$160,7,FALSE),0)+
IFERROR(VLOOKUP(A76,'Centre WV11'!$A$7:$N$163,7,FALSE),0)</f>
        <v>0</v>
      </c>
      <c r="H76" s="10">
        <f>IFERROR(VLOOKUP(A76,'Centre DW11'!$A$7:$N$161,8,FALSE),0)+
IFERROR(VLOOKUP(A76,'Centre WP11'!$A$7:$N$160,8,FALSE),0)+
IFERROR(VLOOKUP(A76,'Centre WR11'!$A$7:$N$160,8,FALSE),0)+
IFERROR(VLOOKUP(A76,'Centre WV11'!$A$7:$N$163,8,FALSE),0)</f>
        <v>0</v>
      </c>
      <c r="I76" s="10">
        <f>IFERROR(VLOOKUP(A76,'Centre DW11'!$A$7:$N$161,9,FALSE),0)+
IFERROR(VLOOKUP(A76,'Centre WP11'!$A$7:$N$160,9,FALSE),0)+
IFERROR(VLOOKUP(A76,'Centre WR11'!$A$7:$N$160,9,FALSE),0)+
IFERROR(VLOOKUP(A76,'Centre WV11'!$A$7:$N$163,9,FALSE),0)</f>
        <v>0</v>
      </c>
      <c r="J76" s="10">
        <f>IFERROR(VLOOKUP(A76,'Centre DW11'!$A$7:$N$161,10,FALSE),0)+
IFERROR(VLOOKUP(A76,'Centre WP11'!$A$7:$N$160,10,FALSE),0)+
IFERROR(VLOOKUP(A76,'Centre WR11'!$A$7:$N$160,10,FALSE),0)+
IFERROR(VLOOKUP(A76,'Centre WV11'!$A$7:$N$163,10,FALSE),0)</f>
        <v>0</v>
      </c>
      <c r="K76" s="10">
        <f>IFERROR(VLOOKUP(A76,'Centre DW11'!$A$7:$N$161,11,FALSE),0)+
IFERROR(VLOOKUP(A76,'Centre WP11'!$A$7:$N$160,11,FALSE),0)+
IFERROR(VLOOKUP(A76,'Centre WR11'!$A$7:$N$160,11,FALSE),0)+
IFERROR(VLOOKUP(A76,'Centre WV11'!$A$7:$N$163,11,FALSE),0)</f>
        <v>0</v>
      </c>
      <c r="L76" s="10">
        <f>IFERROR(VLOOKUP(A76,'Centre DW11'!$A$7:$N$161,12,FALSE),0)+
IFERROR(VLOOKUP(A76,'Centre WP11'!$A$7:$N$160,12,FALSE),0)+
IFERROR(VLOOKUP(A76,'Centre WR11'!$A$7:$N$160,12,FALSE),0)+
IFERROR(VLOOKUP(A76,'Centre WV11'!$A$7:$N$163,12,FALSE),0)</f>
        <v>0</v>
      </c>
      <c r="M76" s="10">
        <f>IFERROR(VLOOKUP(A76,'Centre DW11'!$A$7:$N$161,13,FALSE),0)+
IFERROR(VLOOKUP(A76,'Centre WP11'!$A$7:$N$160,13,FALSE),0)+
IFERROR(VLOOKUP(A76,'Centre WR11'!$A$7:$N$160,13,FALSE),0)+
IFERROR(VLOOKUP(A76,'Centre WV11'!$A$7:$N$163,13,FALSE),0)</f>
        <v>0</v>
      </c>
      <c r="N76" s="10">
        <f>IFERROR(VLOOKUP(A76,'Centre DW11'!$A$7:$N$161,14,FALSE),0)+
IFERROR(VLOOKUP(A76,'Centre WP11'!$A$7:$N$160,14,FALSE),0)+
IFERROR(VLOOKUP(A76,'Centre WR11'!$A$7:$N$160,14,FALSE),0)+
IFERROR(VLOOKUP(A76,'Centre WV11'!$A$7:$N$163,14,FALSE),0)</f>
        <v>0</v>
      </c>
    </row>
    <row r="77" spans="1:14" hidden="1" outlineLevel="1" x14ac:dyDescent="0.2">
      <c r="A77" s="9" t="s">
        <v>335</v>
      </c>
      <c r="B77" s="1" t="s">
        <v>336</v>
      </c>
      <c r="C77" s="10">
        <f>IFERROR(VLOOKUP(A77,'Centre DW11'!$A$7:$N$161,3,FALSE),0)+
IFERROR(VLOOKUP(A77,'Centre WP11'!$A$7:$N$160,3,FALSE),0)+
IFERROR(VLOOKUP(A77,'Centre WR11'!$A$7:$N$160,3,FALSE),0)+
IFERROR(VLOOKUP(A77,'Centre WV11'!$A$7:$N$163,3,FALSE),0)</f>
        <v>3</v>
      </c>
      <c r="D77" s="10">
        <f>IFERROR(VLOOKUP(A77,'Centre DW11'!$A$7:$N$161,4,FALSE),0)+
IFERROR(VLOOKUP(A77,'Centre WP11'!$A$7:$N$160,4,FALSE),0)+
IFERROR(VLOOKUP(A77,'Centre WR11'!$A$7:$N$160,4,FALSE),0)+
IFERROR(VLOOKUP(A77,'Centre WV11'!$A$7:$N$163,4,FALSE),0)</f>
        <v>3</v>
      </c>
      <c r="E77" s="10">
        <f>IFERROR(VLOOKUP(A77,'Centre DW11'!$A$7:$N$161,5,FALSE),0)+
IFERROR(VLOOKUP(A77,'Centre WP11'!$A$7:$N$160,5,FALSE),0)+
IFERROR(VLOOKUP(A77,'Centre WR11'!$A$7:$N$160,5,FALSE),0)+
IFERROR(VLOOKUP(A77,'Centre WV11'!$A$7:$N$163,5,FALSE),0)</f>
        <v>3</v>
      </c>
      <c r="F77" s="10">
        <f>IFERROR(VLOOKUP(A77,'Centre DW11'!$A$7:$N$161,6,FALSE),0)+
IFERROR(VLOOKUP(A77,'Centre WP11'!$A$7:$N$160,6,FALSE),0)+
IFERROR(VLOOKUP(A77,'Centre WR11'!$A$7:$N$160,6,FALSE),0)+
IFERROR(VLOOKUP(A77,'Centre WV11'!$A$7:$N$163,6,FALSE),0)</f>
        <v>3</v>
      </c>
      <c r="G77" s="10">
        <f>IFERROR(VLOOKUP(A77,'Centre DW11'!$A$7:$N$161,7,FALSE),0)+
IFERROR(VLOOKUP(A77,'Centre WP11'!$A$7:$N$160,7,FALSE),0)+
IFERROR(VLOOKUP(A77,'Centre WR11'!$A$7:$N$160,7,FALSE),0)+
IFERROR(VLOOKUP(A77,'Centre WV11'!$A$7:$N$163,7,FALSE),0)</f>
        <v>3</v>
      </c>
      <c r="H77" s="10">
        <f>IFERROR(VLOOKUP(A77,'Centre DW11'!$A$7:$N$161,8,FALSE),0)+
IFERROR(VLOOKUP(A77,'Centre WP11'!$A$7:$N$160,8,FALSE),0)+
IFERROR(VLOOKUP(A77,'Centre WR11'!$A$7:$N$160,8,FALSE),0)+
IFERROR(VLOOKUP(A77,'Centre WV11'!$A$7:$N$163,8,FALSE),0)</f>
        <v>3</v>
      </c>
      <c r="I77" s="10">
        <f>IFERROR(VLOOKUP(A77,'Centre DW11'!$A$7:$N$161,9,FALSE),0)+
IFERROR(VLOOKUP(A77,'Centre WP11'!$A$7:$N$160,9,FALSE),0)+
IFERROR(VLOOKUP(A77,'Centre WR11'!$A$7:$N$160,9,FALSE),0)+
IFERROR(VLOOKUP(A77,'Centre WV11'!$A$7:$N$163,9,FALSE),0)</f>
        <v>3</v>
      </c>
      <c r="J77" s="10">
        <f>IFERROR(VLOOKUP(A77,'Centre DW11'!$A$7:$N$161,10,FALSE),0)+
IFERROR(VLOOKUP(A77,'Centre WP11'!$A$7:$N$160,10,FALSE),0)+
IFERROR(VLOOKUP(A77,'Centre WR11'!$A$7:$N$160,10,FALSE),0)+
IFERROR(VLOOKUP(A77,'Centre WV11'!$A$7:$N$163,10,FALSE),0)</f>
        <v>3</v>
      </c>
      <c r="K77" s="10">
        <f>IFERROR(VLOOKUP(A77,'Centre DW11'!$A$7:$N$161,11,FALSE),0)+
IFERROR(VLOOKUP(A77,'Centre WP11'!$A$7:$N$160,11,FALSE),0)+
IFERROR(VLOOKUP(A77,'Centre WR11'!$A$7:$N$160,11,FALSE),0)+
IFERROR(VLOOKUP(A77,'Centre WV11'!$A$7:$N$163,11,FALSE),0)</f>
        <v>3</v>
      </c>
      <c r="L77" s="10">
        <f>IFERROR(VLOOKUP(A77,'Centre DW11'!$A$7:$N$161,12,FALSE),0)+
IFERROR(VLOOKUP(A77,'Centre WP11'!$A$7:$N$160,12,FALSE),0)+
IFERROR(VLOOKUP(A77,'Centre WR11'!$A$7:$N$160,12,FALSE),0)+
IFERROR(VLOOKUP(A77,'Centre WV11'!$A$7:$N$163,12,FALSE),0)</f>
        <v>3</v>
      </c>
      <c r="M77" s="10">
        <f>IFERROR(VLOOKUP(A77,'Centre DW11'!$A$7:$N$161,13,FALSE),0)+
IFERROR(VLOOKUP(A77,'Centre WP11'!$A$7:$N$160,13,FALSE),0)+
IFERROR(VLOOKUP(A77,'Centre WR11'!$A$7:$N$160,13,FALSE),0)+
IFERROR(VLOOKUP(A77,'Centre WV11'!$A$7:$N$163,13,FALSE),0)</f>
        <v>3</v>
      </c>
      <c r="N77" s="10">
        <f>IFERROR(VLOOKUP(A77,'Centre DW11'!$A$7:$N$161,14,FALSE),0)+
IFERROR(VLOOKUP(A77,'Centre WP11'!$A$7:$N$160,14,FALSE),0)+
IFERROR(VLOOKUP(A77,'Centre WR11'!$A$7:$N$160,14,FALSE),0)+
IFERROR(VLOOKUP(A77,'Centre WV11'!$A$7:$N$163,14,FALSE),0)</f>
        <v>3</v>
      </c>
    </row>
    <row r="78" spans="1:14" hidden="1" outlineLevel="1" x14ac:dyDescent="0.2">
      <c r="A78" s="9" t="s">
        <v>375</v>
      </c>
      <c r="B78" s="1" t="s">
        <v>376</v>
      </c>
      <c r="C78" s="10">
        <f>IFERROR(VLOOKUP(A78,'Centre DW11'!$A$7:$N$161,3,FALSE),0)+
IFERROR(VLOOKUP(A78,'Centre WP11'!$A$7:$N$160,3,FALSE),0)+
IFERROR(VLOOKUP(A78,'Centre WR11'!$A$7:$N$160,3,FALSE),0)+
IFERROR(VLOOKUP(A78,'Centre WV11'!$A$7:$N$163,3,FALSE),0)</f>
        <v>0</v>
      </c>
      <c r="D78" s="10">
        <f>IFERROR(VLOOKUP(A78,'Centre DW11'!$A$7:$N$161,4,FALSE),0)+
IFERROR(VLOOKUP(A78,'Centre WP11'!$A$7:$N$160,4,FALSE),0)+
IFERROR(VLOOKUP(A78,'Centre WR11'!$A$7:$N$160,4,FALSE),0)+
IFERROR(VLOOKUP(A78,'Centre WV11'!$A$7:$N$163,4,FALSE),0)</f>
        <v>0</v>
      </c>
      <c r="E78" s="10">
        <f>IFERROR(VLOOKUP(A78,'Centre DW11'!$A$7:$N$161,5,FALSE),0)+
IFERROR(VLOOKUP(A78,'Centre WP11'!$A$7:$N$160,5,FALSE),0)+
IFERROR(VLOOKUP(A78,'Centre WR11'!$A$7:$N$160,5,FALSE),0)+
IFERROR(VLOOKUP(A78,'Centre WV11'!$A$7:$N$163,5,FALSE),0)</f>
        <v>0</v>
      </c>
      <c r="F78" s="10">
        <f>IFERROR(VLOOKUP(A78,'Centre DW11'!$A$7:$N$161,6,FALSE),0)+
IFERROR(VLOOKUP(A78,'Centre WP11'!$A$7:$N$160,6,FALSE),0)+
IFERROR(VLOOKUP(A78,'Centre WR11'!$A$7:$N$160,6,FALSE),0)+
IFERROR(VLOOKUP(A78,'Centre WV11'!$A$7:$N$163,6,FALSE),0)</f>
        <v>0</v>
      </c>
      <c r="G78" s="10">
        <f>IFERROR(VLOOKUP(A78,'Centre DW11'!$A$7:$N$161,7,FALSE),0)+
IFERROR(VLOOKUP(A78,'Centre WP11'!$A$7:$N$160,7,FALSE),0)+
IFERROR(VLOOKUP(A78,'Centre WR11'!$A$7:$N$160,7,FALSE),0)+
IFERROR(VLOOKUP(A78,'Centre WV11'!$A$7:$N$163,7,FALSE),0)</f>
        <v>0</v>
      </c>
      <c r="H78" s="10">
        <f>IFERROR(VLOOKUP(A78,'Centre DW11'!$A$7:$N$161,8,FALSE),0)+
IFERROR(VLOOKUP(A78,'Centre WP11'!$A$7:$N$160,8,FALSE),0)+
IFERROR(VLOOKUP(A78,'Centre WR11'!$A$7:$N$160,8,FALSE),0)+
IFERROR(VLOOKUP(A78,'Centre WV11'!$A$7:$N$163,8,FALSE),0)</f>
        <v>0</v>
      </c>
      <c r="I78" s="10">
        <f>IFERROR(VLOOKUP(A78,'Centre DW11'!$A$7:$N$161,9,FALSE),0)+
IFERROR(VLOOKUP(A78,'Centre WP11'!$A$7:$N$160,9,FALSE),0)+
IFERROR(VLOOKUP(A78,'Centre WR11'!$A$7:$N$160,9,FALSE),0)+
IFERROR(VLOOKUP(A78,'Centre WV11'!$A$7:$N$163,9,FALSE),0)</f>
        <v>0</v>
      </c>
      <c r="J78" s="10">
        <f>IFERROR(VLOOKUP(A78,'Centre DW11'!$A$7:$N$161,10,FALSE),0)+
IFERROR(VLOOKUP(A78,'Centre WP11'!$A$7:$N$160,10,FALSE),0)+
IFERROR(VLOOKUP(A78,'Centre WR11'!$A$7:$N$160,10,FALSE),0)+
IFERROR(VLOOKUP(A78,'Centre WV11'!$A$7:$N$163,10,FALSE),0)</f>
        <v>0</v>
      </c>
      <c r="K78" s="10">
        <f>IFERROR(VLOOKUP(A78,'Centre DW11'!$A$7:$N$161,11,FALSE),0)+
IFERROR(VLOOKUP(A78,'Centre WP11'!$A$7:$N$160,11,FALSE),0)+
IFERROR(VLOOKUP(A78,'Centre WR11'!$A$7:$N$160,11,FALSE),0)+
IFERROR(VLOOKUP(A78,'Centre WV11'!$A$7:$N$163,11,FALSE),0)</f>
        <v>0</v>
      </c>
      <c r="L78" s="10">
        <f>IFERROR(VLOOKUP(A78,'Centre DW11'!$A$7:$N$161,12,FALSE),0)+
IFERROR(VLOOKUP(A78,'Centre WP11'!$A$7:$N$160,12,FALSE),0)+
IFERROR(VLOOKUP(A78,'Centre WR11'!$A$7:$N$160,12,FALSE),0)+
IFERROR(VLOOKUP(A78,'Centre WV11'!$A$7:$N$163,12,FALSE),0)</f>
        <v>0</v>
      </c>
      <c r="M78" s="10">
        <f>IFERROR(VLOOKUP(A78,'Centre DW11'!$A$7:$N$161,13,FALSE),0)+
IFERROR(VLOOKUP(A78,'Centre WP11'!$A$7:$N$160,13,FALSE),0)+
IFERROR(VLOOKUP(A78,'Centre WR11'!$A$7:$N$160,13,FALSE),0)+
IFERROR(VLOOKUP(A78,'Centre WV11'!$A$7:$N$163,13,FALSE),0)</f>
        <v>0</v>
      </c>
      <c r="N78" s="10">
        <f>IFERROR(VLOOKUP(A78,'Centre DW11'!$A$7:$N$161,14,FALSE),0)+
IFERROR(VLOOKUP(A78,'Centre WP11'!$A$7:$N$160,14,FALSE),0)+
IFERROR(VLOOKUP(A78,'Centre WR11'!$A$7:$N$160,14,FALSE),0)+
IFERROR(VLOOKUP(A78,'Centre WV11'!$A$7:$N$163,14,FALSE),0)</f>
        <v>0</v>
      </c>
    </row>
    <row r="79" spans="1:14" hidden="1" outlineLevel="1" x14ac:dyDescent="0.2">
      <c r="A79" s="9" t="s">
        <v>337</v>
      </c>
      <c r="B79" s="1" t="s">
        <v>338</v>
      </c>
      <c r="C79" s="10">
        <f>IFERROR(VLOOKUP(A79,'Centre DW11'!$A$7:$N$161,3,FALSE),0)+
IFERROR(VLOOKUP(A79,'Centre WP11'!$A$7:$N$160,3,FALSE),0)+
IFERROR(VLOOKUP(A79,'Centre WR11'!$A$7:$N$160,3,FALSE),0)+
IFERROR(VLOOKUP(A79,'Centre WV11'!$A$7:$N$163,3,FALSE),0)</f>
        <v>0</v>
      </c>
      <c r="D79" s="10">
        <f>IFERROR(VLOOKUP(A79,'Centre DW11'!$A$7:$N$161,4,FALSE),0)+
IFERROR(VLOOKUP(A79,'Centre WP11'!$A$7:$N$160,4,FALSE),0)+
IFERROR(VLOOKUP(A79,'Centre WR11'!$A$7:$N$160,4,FALSE),0)+
IFERROR(VLOOKUP(A79,'Centre WV11'!$A$7:$N$163,4,FALSE),0)</f>
        <v>0</v>
      </c>
      <c r="E79" s="10">
        <f>IFERROR(VLOOKUP(A79,'Centre DW11'!$A$7:$N$161,5,FALSE),0)+
IFERROR(VLOOKUP(A79,'Centre WP11'!$A$7:$N$160,5,FALSE),0)+
IFERROR(VLOOKUP(A79,'Centre WR11'!$A$7:$N$160,5,FALSE),0)+
IFERROR(VLOOKUP(A79,'Centre WV11'!$A$7:$N$163,5,FALSE),0)</f>
        <v>0</v>
      </c>
      <c r="F79" s="10">
        <f>IFERROR(VLOOKUP(A79,'Centre DW11'!$A$7:$N$161,6,FALSE),0)+
IFERROR(VLOOKUP(A79,'Centre WP11'!$A$7:$N$160,6,FALSE),0)+
IFERROR(VLOOKUP(A79,'Centre WR11'!$A$7:$N$160,6,FALSE),0)+
IFERROR(VLOOKUP(A79,'Centre WV11'!$A$7:$N$163,6,FALSE),0)</f>
        <v>0</v>
      </c>
      <c r="G79" s="10">
        <f>IFERROR(VLOOKUP(A79,'Centre DW11'!$A$7:$N$161,7,FALSE),0)+
IFERROR(VLOOKUP(A79,'Centre WP11'!$A$7:$N$160,7,FALSE),0)+
IFERROR(VLOOKUP(A79,'Centre WR11'!$A$7:$N$160,7,FALSE),0)+
IFERROR(VLOOKUP(A79,'Centre WV11'!$A$7:$N$163,7,FALSE),0)</f>
        <v>0.8</v>
      </c>
      <c r="H79" s="10">
        <f>IFERROR(VLOOKUP(A79,'Centre DW11'!$A$7:$N$161,8,FALSE),0)+
IFERROR(VLOOKUP(A79,'Centre WP11'!$A$7:$N$160,8,FALSE),0)+
IFERROR(VLOOKUP(A79,'Centre WR11'!$A$7:$N$160,8,FALSE),0)+
IFERROR(VLOOKUP(A79,'Centre WV11'!$A$7:$N$163,8,FALSE),0)</f>
        <v>0</v>
      </c>
      <c r="I79" s="10">
        <f>IFERROR(VLOOKUP(A79,'Centre DW11'!$A$7:$N$161,9,FALSE),0)+
IFERROR(VLOOKUP(A79,'Centre WP11'!$A$7:$N$160,9,FALSE),0)+
IFERROR(VLOOKUP(A79,'Centre WR11'!$A$7:$N$160,9,FALSE),0)+
IFERROR(VLOOKUP(A79,'Centre WV11'!$A$7:$N$163,9,FALSE),0)</f>
        <v>0</v>
      </c>
      <c r="J79" s="10">
        <f>IFERROR(VLOOKUP(A79,'Centre DW11'!$A$7:$N$161,10,FALSE),0)+
IFERROR(VLOOKUP(A79,'Centre WP11'!$A$7:$N$160,10,FALSE),0)+
IFERROR(VLOOKUP(A79,'Centre WR11'!$A$7:$N$160,10,FALSE),0)+
IFERROR(VLOOKUP(A79,'Centre WV11'!$A$7:$N$163,10,FALSE),0)</f>
        <v>0</v>
      </c>
      <c r="K79" s="10">
        <f>IFERROR(VLOOKUP(A79,'Centre DW11'!$A$7:$N$161,11,FALSE),0)+
IFERROR(VLOOKUP(A79,'Centre WP11'!$A$7:$N$160,11,FALSE),0)+
IFERROR(VLOOKUP(A79,'Centre WR11'!$A$7:$N$160,11,FALSE),0)+
IFERROR(VLOOKUP(A79,'Centre WV11'!$A$7:$N$163,11,FALSE),0)</f>
        <v>0</v>
      </c>
      <c r="L79" s="10">
        <f>IFERROR(VLOOKUP(A79,'Centre DW11'!$A$7:$N$161,12,FALSE),0)+
IFERROR(VLOOKUP(A79,'Centre WP11'!$A$7:$N$160,12,FALSE),0)+
IFERROR(VLOOKUP(A79,'Centre WR11'!$A$7:$N$160,12,FALSE),0)+
IFERROR(VLOOKUP(A79,'Centre WV11'!$A$7:$N$163,12,FALSE),0)</f>
        <v>0</v>
      </c>
      <c r="M79" s="10">
        <f>IFERROR(VLOOKUP(A79,'Centre DW11'!$A$7:$N$161,13,FALSE),0)+
IFERROR(VLOOKUP(A79,'Centre WP11'!$A$7:$N$160,13,FALSE),0)+
IFERROR(VLOOKUP(A79,'Centre WR11'!$A$7:$N$160,13,FALSE),0)+
IFERROR(VLOOKUP(A79,'Centre WV11'!$A$7:$N$163,13,FALSE),0)</f>
        <v>0</v>
      </c>
      <c r="N79" s="10">
        <f>IFERROR(VLOOKUP(A79,'Centre DW11'!$A$7:$N$161,14,FALSE),0)+
IFERROR(VLOOKUP(A79,'Centre WP11'!$A$7:$N$160,14,FALSE),0)+
IFERROR(VLOOKUP(A79,'Centre WR11'!$A$7:$N$160,14,FALSE),0)+
IFERROR(VLOOKUP(A79,'Centre WV11'!$A$7:$N$163,14,FALSE),0)</f>
        <v>0</v>
      </c>
    </row>
    <row r="80" spans="1:14" collapsed="1" x14ac:dyDescent="0.2">
      <c r="A80" s="48" t="s">
        <v>137</v>
      </c>
      <c r="B80" s="49" t="s">
        <v>138</v>
      </c>
      <c r="C80" s="50">
        <f>SUM(C81:C87)</f>
        <v>14.85</v>
      </c>
      <c r="D80" s="50">
        <f t="shared" ref="D80:N80" si="13">SUM(D81:D87)</f>
        <v>14.85</v>
      </c>
      <c r="E80" s="50">
        <f t="shared" si="13"/>
        <v>14.85</v>
      </c>
      <c r="F80" s="50">
        <f t="shared" si="13"/>
        <v>14.85</v>
      </c>
      <c r="G80" s="50">
        <f t="shared" si="13"/>
        <v>14.85</v>
      </c>
      <c r="H80" s="50">
        <f t="shared" si="13"/>
        <v>12.549999999999999</v>
      </c>
      <c r="I80" s="50">
        <f t="shared" si="13"/>
        <v>14.85</v>
      </c>
      <c r="J80" s="50">
        <f t="shared" si="13"/>
        <v>13.649999999999999</v>
      </c>
      <c r="K80" s="50">
        <f t="shared" si="13"/>
        <v>13.449999999999998</v>
      </c>
      <c r="L80" s="50">
        <f t="shared" si="13"/>
        <v>14.75</v>
      </c>
      <c r="M80" s="50">
        <f t="shared" si="13"/>
        <v>14.75</v>
      </c>
      <c r="N80" s="50">
        <f t="shared" si="13"/>
        <v>-0.85000000000000142</v>
      </c>
    </row>
    <row r="81" spans="1:14" hidden="1" outlineLevel="1" x14ac:dyDescent="0.2">
      <c r="A81" s="9" t="s">
        <v>377</v>
      </c>
      <c r="B81" s="1" t="s">
        <v>378</v>
      </c>
      <c r="C81" s="10">
        <f>IFERROR(VLOOKUP(A81,'Centre DW11'!$A$7:$N$161,3,FALSE),0)+
IFERROR(VLOOKUP(A81,'Centre WP11'!$A$7:$N$160,3,FALSE),0)+
IFERROR(VLOOKUP(A81,'Centre WR11'!$A$7:$N$160,3,FALSE),0)+
IFERROR(VLOOKUP(A81,'Centre WV11'!$A$7:$N$163,3,FALSE),0)</f>
        <v>0.6</v>
      </c>
      <c r="D81" s="10">
        <f>IFERROR(VLOOKUP(A81,'Centre DW11'!$A$7:$N$161,4,FALSE),0)+
IFERROR(VLOOKUP(A81,'Centre WP11'!$A$7:$N$160,4,FALSE),0)+
IFERROR(VLOOKUP(A81,'Centre WR11'!$A$7:$N$160,4,FALSE),0)+
IFERROR(VLOOKUP(A81,'Centre WV11'!$A$7:$N$163,4,FALSE),0)</f>
        <v>0.6</v>
      </c>
      <c r="E81" s="10">
        <f>IFERROR(VLOOKUP(A81,'Centre DW11'!$A$7:$N$161,5,FALSE),0)+
IFERROR(VLOOKUP(A81,'Centre WP11'!$A$7:$N$160,5,FALSE),0)+
IFERROR(VLOOKUP(A81,'Centre WR11'!$A$7:$N$160,5,FALSE),0)+
IFERROR(VLOOKUP(A81,'Centre WV11'!$A$7:$N$163,5,FALSE),0)</f>
        <v>0.6</v>
      </c>
      <c r="F81" s="10">
        <f>IFERROR(VLOOKUP(A81,'Centre DW11'!$A$7:$N$161,6,FALSE),0)+
IFERROR(VLOOKUP(A81,'Centre WP11'!$A$7:$N$160,6,FALSE),0)+
IFERROR(VLOOKUP(A81,'Centre WR11'!$A$7:$N$160,6,FALSE),0)+
IFERROR(VLOOKUP(A81,'Centre WV11'!$A$7:$N$163,6,FALSE),0)</f>
        <v>0.6</v>
      </c>
      <c r="G81" s="10">
        <f>IFERROR(VLOOKUP(A81,'Centre DW11'!$A$7:$N$161,7,FALSE),0)+
IFERROR(VLOOKUP(A81,'Centre WP11'!$A$7:$N$160,7,FALSE),0)+
IFERROR(VLOOKUP(A81,'Centre WR11'!$A$7:$N$160,7,FALSE),0)+
IFERROR(VLOOKUP(A81,'Centre WV11'!$A$7:$N$163,7,FALSE),0)</f>
        <v>0.6</v>
      </c>
      <c r="H81" s="10">
        <f>IFERROR(VLOOKUP(A81,'Centre DW11'!$A$7:$N$161,8,FALSE),0)+
IFERROR(VLOOKUP(A81,'Centre WP11'!$A$7:$N$160,8,FALSE),0)+
IFERROR(VLOOKUP(A81,'Centre WR11'!$A$7:$N$160,8,FALSE),0)+
IFERROR(VLOOKUP(A81,'Centre WV11'!$A$7:$N$163,8,FALSE),0)</f>
        <v>0.6</v>
      </c>
      <c r="I81" s="10">
        <f>IFERROR(VLOOKUP(A81,'Centre DW11'!$A$7:$N$161,9,FALSE),0)+
IFERROR(VLOOKUP(A81,'Centre WP11'!$A$7:$N$160,9,FALSE),0)+
IFERROR(VLOOKUP(A81,'Centre WR11'!$A$7:$N$160,9,FALSE),0)+
IFERROR(VLOOKUP(A81,'Centre WV11'!$A$7:$N$163,9,FALSE),0)</f>
        <v>0.6</v>
      </c>
      <c r="J81" s="10">
        <f>IFERROR(VLOOKUP(A81,'Centre DW11'!$A$7:$N$161,10,FALSE),0)+
IFERROR(VLOOKUP(A81,'Centre WP11'!$A$7:$N$160,10,FALSE),0)+
IFERROR(VLOOKUP(A81,'Centre WR11'!$A$7:$N$160,10,FALSE),0)+
IFERROR(VLOOKUP(A81,'Centre WV11'!$A$7:$N$163,10,FALSE),0)</f>
        <v>0.6</v>
      </c>
      <c r="K81" s="10">
        <f>IFERROR(VLOOKUP(A81,'Centre DW11'!$A$7:$N$161,11,FALSE),0)+
IFERROR(VLOOKUP(A81,'Centre WP11'!$A$7:$N$160,11,FALSE),0)+
IFERROR(VLOOKUP(A81,'Centre WR11'!$A$7:$N$160,11,FALSE),0)+
IFERROR(VLOOKUP(A81,'Centre WV11'!$A$7:$N$163,11,FALSE),0)</f>
        <v>0.6</v>
      </c>
      <c r="L81" s="10">
        <f>IFERROR(VLOOKUP(A81,'Centre DW11'!$A$7:$N$161,12,FALSE),0)+
IFERROR(VLOOKUP(A81,'Centre WP11'!$A$7:$N$160,12,FALSE),0)+
IFERROR(VLOOKUP(A81,'Centre WR11'!$A$7:$N$160,12,FALSE),0)+
IFERROR(VLOOKUP(A81,'Centre WV11'!$A$7:$N$163,12,FALSE),0)</f>
        <v>0.6</v>
      </c>
      <c r="M81" s="10">
        <f>IFERROR(VLOOKUP(A81,'Centre DW11'!$A$7:$N$161,13,FALSE),0)+
IFERROR(VLOOKUP(A81,'Centre WP11'!$A$7:$N$160,13,FALSE),0)+
IFERROR(VLOOKUP(A81,'Centre WR11'!$A$7:$N$160,13,FALSE),0)+
IFERROR(VLOOKUP(A81,'Centre WV11'!$A$7:$N$163,13,FALSE),0)</f>
        <v>0.6</v>
      </c>
      <c r="N81" s="10">
        <f>IFERROR(VLOOKUP(A81,'Centre DW11'!$A$7:$N$161,14,FALSE),0)+
IFERROR(VLOOKUP(A81,'Centre WP11'!$A$7:$N$160,14,FALSE),0)+
IFERROR(VLOOKUP(A81,'Centre WR11'!$A$7:$N$160,14,FALSE),0)+
IFERROR(VLOOKUP(A81,'Centre WV11'!$A$7:$N$163,14,FALSE),0)</f>
        <v>0.6</v>
      </c>
    </row>
    <row r="82" spans="1:14" hidden="1" outlineLevel="1" x14ac:dyDescent="0.2">
      <c r="A82" s="9" t="s">
        <v>339</v>
      </c>
      <c r="B82" s="1" t="s">
        <v>340</v>
      </c>
      <c r="C82" s="10">
        <f>IFERROR(VLOOKUP(A82,'Centre DW11'!$A$7:$N$161,3,FALSE),0)+
IFERROR(VLOOKUP(A82,'Centre WP11'!$A$7:$N$160,3,FALSE),0)+
IFERROR(VLOOKUP(A82,'Centre WR11'!$A$7:$N$160,3,FALSE),0)+
IFERROR(VLOOKUP(A82,'Centre WV11'!$A$7:$N$163,3,FALSE),0)</f>
        <v>10.5</v>
      </c>
      <c r="D82" s="10">
        <f>IFERROR(VLOOKUP(A82,'Centre DW11'!$A$7:$N$161,4,FALSE),0)+
IFERROR(VLOOKUP(A82,'Centre WP11'!$A$7:$N$160,4,FALSE),0)+
IFERROR(VLOOKUP(A82,'Centre WR11'!$A$7:$N$160,4,FALSE),0)+
IFERROR(VLOOKUP(A82,'Centre WV11'!$A$7:$N$163,4,FALSE),0)</f>
        <v>10.5</v>
      </c>
      <c r="E82" s="10">
        <f>IFERROR(VLOOKUP(A82,'Centre DW11'!$A$7:$N$161,5,FALSE),0)+
IFERROR(VLOOKUP(A82,'Centre WP11'!$A$7:$N$160,5,FALSE),0)+
IFERROR(VLOOKUP(A82,'Centre WR11'!$A$7:$N$160,5,FALSE),0)+
IFERROR(VLOOKUP(A82,'Centre WV11'!$A$7:$N$163,5,FALSE),0)</f>
        <v>10.5</v>
      </c>
      <c r="F82" s="10">
        <f>IFERROR(VLOOKUP(A82,'Centre DW11'!$A$7:$N$161,6,FALSE),0)+
IFERROR(VLOOKUP(A82,'Centre WP11'!$A$7:$N$160,6,FALSE),0)+
IFERROR(VLOOKUP(A82,'Centre WR11'!$A$7:$N$160,6,FALSE),0)+
IFERROR(VLOOKUP(A82,'Centre WV11'!$A$7:$N$163,6,FALSE),0)</f>
        <v>10.5</v>
      </c>
      <c r="G82" s="10">
        <f>IFERROR(VLOOKUP(A82,'Centre DW11'!$A$7:$N$161,7,FALSE),0)+
IFERROR(VLOOKUP(A82,'Centre WP11'!$A$7:$N$160,7,FALSE),0)+
IFERROR(VLOOKUP(A82,'Centre WR11'!$A$7:$N$160,7,FALSE),0)+
IFERROR(VLOOKUP(A82,'Centre WV11'!$A$7:$N$163,7,FALSE),0)</f>
        <v>10.5</v>
      </c>
      <c r="H82" s="10">
        <f>IFERROR(VLOOKUP(A82,'Centre DW11'!$A$7:$N$161,8,FALSE),0)+
IFERROR(VLOOKUP(A82,'Centre WP11'!$A$7:$N$160,8,FALSE),0)+
IFERROR(VLOOKUP(A82,'Centre WR11'!$A$7:$N$160,8,FALSE),0)+
IFERROR(VLOOKUP(A82,'Centre WV11'!$A$7:$N$163,8,FALSE),0)</f>
        <v>8.3000000000000007</v>
      </c>
      <c r="I82" s="10">
        <f>IFERROR(VLOOKUP(A82,'Centre DW11'!$A$7:$N$161,9,FALSE),0)+
IFERROR(VLOOKUP(A82,'Centre WP11'!$A$7:$N$160,9,FALSE),0)+
IFERROR(VLOOKUP(A82,'Centre WR11'!$A$7:$N$160,9,FALSE),0)+
IFERROR(VLOOKUP(A82,'Centre WV11'!$A$7:$N$163,9,FALSE),0)</f>
        <v>10.5</v>
      </c>
      <c r="J82" s="10">
        <f>IFERROR(VLOOKUP(A82,'Centre DW11'!$A$7:$N$161,10,FALSE),0)+
IFERROR(VLOOKUP(A82,'Centre WP11'!$A$7:$N$160,10,FALSE),0)+
IFERROR(VLOOKUP(A82,'Centre WR11'!$A$7:$N$160,10,FALSE),0)+
IFERROR(VLOOKUP(A82,'Centre WV11'!$A$7:$N$163,10,FALSE),0)</f>
        <v>9.4</v>
      </c>
      <c r="K82" s="10">
        <f>IFERROR(VLOOKUP(A82,'Centre DW11'!$A$7:$N$161,11,FALSE),0)+
IFERROR(VLOOKUP(A82,'Centre WP11'!$A$7:$N$160,11,FALSE),0)+
IFERROR(VLOOKUP(A82,'Centre WR11'!$A$7:$N$160,11,FALSE),0)+
IFERROR(VLOOKUP(A82,'Centre WV11'!$A$7:$N$163,11,FALSE),0)</f>
        <v>9.4</v>
      </c>
      <c r="L82" s="10">
        <f>IFERROR(VLOOKUP(A82,'Centre DW11'!$A$7:$N$161,12,FALSE),0)+
IFERROR(VLOOKUP(A82,'Centre WP11'!$A$7:$N$160,12,FALSE),0)+
IFERROR(VLOOKUP(A82,'Centre WR11'!$A$7:$N$160,12,FALSE),0)+
IFERROR(VLOOKUP(A82,'Centre WV11'!$A$7:$N$163,12,FALSE),0)</f>
        <v>9.4</v>
      </c>
      <c r="M82" s="10">
        <f>IFERROR(VLOOKUP(A82,'Centre DW11'!$A$7:$N$161,13,FALSE),0)+
IFERROR(VLOOKUP(A82,'Centre WP11'!$A$7:$N$160,13,FALSE),0)+
IFERROR(VLOOKUP(A82,'Centre WR11'!$A$7:$N$160,13,FALSE),0)+
IFERROR(VLOOKUP(A82,'Centre WV11'!$A$7:$N$163,13,FALSE),0)</f>
        <v>9.4</v>
      </c>
      <c r="N82" s="10">
        <f>IFERROR(VLOOKUP(A82,'Centre DW11'!$A$7:$N$161,14,FALSE),0)+
IFERROR(VLOOKUP(A82,'Centre WP11'!$A$7:$N$160,14,FALSE),0)+
IFERROR(VLOOKUP(A82,'Centre WR11'!$A$7:$N$160,14,FALSE),0)+
IFERROR(VLOOKUP(A82,'Centre WV11'!$A$7:$N$163,14,FALSE),0)</f>
        <v>4.3</v>
      </c>
    </row>
    <row r="83" spans="1:14" hidden="1" outlineLevel="1" x14ac:dyDescent="0.2">
      <c r="A83" s="9" t="s">
        <v>341</v>
      </c>
      <c r="B83" s="1" t="s">
        <v>342</v>
      </c>
      <c r="C83" s="10">
        <f>IFERROR(VLOOKUP(A83,'Centre DW11'!$A$7:$N$161,3,FALSE),0)+
IFERROR(VLOOKUP(A83,'Centre WP11'!$A$7:$N$160,3,FALSE),0)+
IFERROR(VLOOKUP(A83,'Centre WR11'!$A$7:$N$160,3,FALSE),0)+
IFERROR(VLOOKUP(A83,'Centre WV11'!$A$7:$N$163,3,FALSE),0)</f>
        <v>1.05</v>
      </c>
      <c r="D83" s="10">
        <f>IFERROR(VLOOKUP(A83,'Centre DW11'!$A$7:$N$161,4,FALSE),0)+
IFERROR(VLOOKUP(A83,'Centre WP11'!$A$7:$N$160,4,FALSE),0)+
IFERROR(VLOOKUP(A83,'Centre WR11'!$A$7:$N$160,4,FALSE),0)+
IFERROR(VLOOKUP(A83,'Centre WV11'!$A$7:$N$163,4,FALSE),0)</f>
        <v>1.05</v>
      </c>
      <c r="E83" s="10">
        <f>IFERROR(VLOOKUP(A83,'Centre DW11'!$A$7:$N$161,5,FALSE),0)+
IFERROR(VLOOKUP(A83,'Centre WP11'!$A$7:$N$160,5,FALSE),0)+
IFERROR(VLOOKUP(A83,'Centre WR11'!$A$7:$N$160,5,FALSE),0)+
IFERROR(VLOOKUP(A83,'Centre WV11'!$A$7:$N$163,5,FALSE),0)</f>
        <v>1.05</v>
      </c>
      <c r="F83" s="10">
        <f>IFERROR(VLOOKUP(A83,'Centre DW11'!$A$7:$N$161,6,FALSE),0)+
IFERROR(VLOOKUP(A83,'Centre WP11'!$A$7:$N$160,6,FALSE),0)+
IFERROR(VLOOKUP(A83,'Centre WR11'!$A$7:$N$160,6,FALSE),0)+
IFERROR(VLOOKUP(A83,'Centre WV11'!$A$7:$N$163,6,FALSE),0)</f>
        <v>1.05</v>
      </c>
      <c r="G83" s="10">
        <f>IFERROR(VLOOKUP(A83,'Centre DW11'!$A$7:$N$161,7,FALSE),0)+
IFERROR(VLOOKUP(A83,'Centre WP11'!$A$7:$N$160,7,FALSE),0)+
IFERROR(VLOOKUP(A83,'Centre WR11'!$A$7:$N$160,7,FALSE),0)+
IFERROR(VLOOKUP(A83,'Centre WV11'!$A$7:$N$163,7,FALSE),0)</f>
        <v>1.05</v>
      </c>
      <c r="H83" s="10">
        <f>IFERROR(VLOOKUP(A83,'Centre DW11'!$A$7:$N$161,8,FALSE),0)+
IFERROR(VLOOKUP(A83,'Centre WP11'!$A$7:$N$160,8,FALSE),0)+
IFERROR(VLOOKUP(A83,'Centre WR11'!$A$7:$N$160,8,FALSE),0)+
IFERROR(VLOOKUP(A83,'Centre WV11'!$A$7:$N$163,8,FALSE),0)</f>
        <v>1.05</v>
      </c>
      <c r="I83" s="10">
        <f>IFERROR(VLOOKUP(A83,'Centre DW11'!$A$7:$N$161,9,FALSE),0)+
IFERROR(VLOOKUP(A83,'Centre WP11'!$A$7:$N$160,9,FALSE),0)+
IFERROR(VLOOKUP(A83,'Centre WR11'!$A$7:$N$160,9,FALSE),0)+
IFERROR(VLOOKUP(A83,'Centre WV11'!$A$7:$N$163,9,FALSE),0)</f>
        <v>1.05</v>
      </c>
      <c r="J83" s="10">
        <f>IFERROR(VLOOKUP(A83,'Centre DW11'!$A$7:$N$161,10,FALSE),0)+
IFERROR(VLOOKUP(A83,'Centre WP11'!$A$7:$N$160,10,FALSE),0)+
IFERROR(VLOOKUP(A83,'Centre WR11'!$A$7:$N$160,10,FALSE),0)+
IFERROR(VLOOKUP(A83,'Centre WV11'!$A$7:$N$163,10,FALSE),0)</f>
        <v>1.05</v>
      </c>
      <c r="K83" s="10">
        <f>IFERROR(VLOOKUP(A83,'Centre DW11'!$A$7:$N$161,11,FALSE),0)+
IFERROR(VLOOKUP(A83,'Centre WP11'!$A$7:$N$160,11,FALSE),0)+
IFERROR(VLOOKUP(A83,'Centre WR11'!$A$7:$N$160,11,FALSE),0)+
IFERROR(VLOOKUP(A83,'Centre WV11'!$A$7:$N$163,11,FALSE),0)</f>
        <v>0.85</v>
      </c>
      <c r="L83" s="10">
        <f>IFERROR(VLOOKUP(A83,'Centre DW11'!$A$7:$N$161,12,FALSE),0)+
IFERROR(VLOOKUP(A83,'Centre WP11'!$A$7:$N$160,12,FALSE),0)+
IFERROR(VLOOKUP(A83,'Centre WR11'!$A$7:$N$160,12,FALSE),0)+
IFERROR(VLOOKUP(A83,'Centre WV11'!$A$7:$N$163,12,FALSE),0)</f>
        <v>2.0499999999999998</v>
      </c>
      <c r="M83" s="10">
        <f>IFERROR(VLOOKUP(A83,'Centre DW11'!$A$7:$N$161,13,FALSE),0)+
IFERROR(VLOOKUP(A83,'Centre WP11'!$A$7:$N$160,13,FALSE),0)+
IFERROR(VLOOKUP(A83,'Centre WR11'!$A$7:$N$160,13,FALSE),0)+
IFERROR(VLOOKUP(A83,'Centre WV11'!$A$7:$N$163,13,FALSE),0)</f>
        <v>2.0499999999999998</v>
      </c>
      <c r="N83" s="10">
        <f>IFERROR(VLOOKUP(A83,'Centre DW11'!$A$7:$N$161,14,FALSE),0)+
IFERROR(VLOOKUP(A83,'Centre WP11'!$A$7:$N$160,14,FALSE),0)+
IFERROR(VLOOKUP(A83,'Centre WR11'!$A$7:$N$160,14,FALSE),0)+
IFERROR(VLOOKUP(A83,'Centre WV11'!$A$7:$N$163,14,FALSE),0)</f>
        <v>2.0499999999999998</v>
      </c>
    </row>
    <row r="84" spans="1:14" hidden="1" outlineLevel="1" x14ac:dyDescent="0.2">
      <c r="A84" s="9" t="s">
        <v>343</v>
      </c>
      <c r="B84" s="1" t="s">
        <v>344</v>
      </c>
      <c r="C84" s="10">
        <f>IFERROR(VLOOKUP(A84,'Centre DW11'!$A$7:$N$161,3,FALSE),0)+
IFERROR(VLOOKUP(A84,'Centre WP11'!$A$7:$N$160,3,FALSE),0)+
IFERROR(VLOOKUP(A84,'Centre WR11'!$A$7:$N$160,3,FALSE),0)+
IFERROR(VLOOKUP(A84,'Centre WV11'!$A$7:$N$163,3,FALSE),0)</f>
        <v>0.2</v>
      </c>
      <c r="D84" s="10">
        <f>IFERROR(VLOOKUP(A84,'Centre DW11'!$A$7:$N$161,4,FALSE),0)+
IFERROR(VLOOKUP(A84,'Centre WP11'!$A$7:$N$160,4,FALSE),0)+
IFERROR(VLOOKUP(A84,'Centre WR11'!$A$7:$N$160,4,FALSE),0)+
IFERROR(VLOOKUP(A84,'Centre WV11'!$A$7:$N$163,4,FALSE),0)</f>
        <v>0.2</v>
      </c>
      <c r="E84" s="10">
        <f>IFERROR(VLOOKUP(A84,'Centre DW11'!$A$7:$N$161,5,FALSE),0)+
IFERROR(VLOOKUP(A84,'Centre WP11'!$A$7:$N$160,5,FALSE),0)+
IFERROR(VLOOKUP(A84,'Centre WR11'!$A$7:$N$160,5,FALSE),0)+
IFERROR(VLOOKUP(A84,'Centre WV11'!$A$7:$N$163,5,FALSE),0)</f>
        <v>0.2</v>
      </c>
      <c r="F84" s="10">
        <f>IFERROR(VLOOKUP(A84,'Centre DW11'!$A$7:$N$161,6,FALSE),0)+
IFERROR(VLOOKUP(A84,'Centre WP11'!$A$7:$N$160,6,FALSE),0)+
IFERROR(VLOOKUP(A84,'Centre WR11'!$A$7:$N$160,6,FALSE),0)+
IFERROR(VLOOKUP(A84,'Centre WV11'!$A$7:$N$163,6,FALSE),0)</f>
        <v>0.2</v>
      </c>
      <c r="G84" s="10">
        <f>IFERROR(VLOOKUP(A84,'Centre DW11'!$A$7:$N$161,7,FALSE),0)+
IFERROR(VLOOKUP(A84,'Centre WP11'!$A$7:$N$160,7,FALSE),0)+
IFERROR(VLOOKUP(A84,'Centre WR11'!$A$7:$N$160,7,FALSE),0)+
IFERROR(VLOOKUP(A84,'Centre WV11'!$A$7:$N$163,7,FALSE),0)</f>
        <v>0.2</v>
      </c>
      <c r="H84" s="10">
        <f>IFERROR(VLOOKUP(A84,'Centre DW11'!$A$7:$N$161,8,FALSE),0)+
IFERROR(VLOOKUP(A84,'Centre WP11'!$A$7:$N$160,8,FALSE),0)+
IFERROR(VLOOKUP(A84,'Centre WR11'!$A$7:$N$160,8,FALSE),0)+
IFERROR(VLOOKUP(A84,'Centre WV11'!$A$7:$N$163,8,FALSE),0)</f>
        <v>0.2</v>
      </c>
      <c r="I84" s="10">
        <f>IFERROR(VLOOKUP(A84,'Centre DW11'!$A$7:$N$161,9,FALSE),0)+
IFERROR(VLOOKUP(A84,'Centre WP11'!$A$7:$N$160,9,FALSE),0)+
IFERROR(VLOOKUP(A84,'Centre WR11'!$A$7:$N$160,9,FALSE),0)+
IFERROR(VLOOKUP(A84,'Centre WV11'!$A$7:$N$163,9,FALSE),0)</f>
        <v>0.2</v>
      </c>
      <c r="J84" s="10">
        <f>IFERROR(VLOOKUP(A84,'Centre DW11'!$A$7:$N$161,10,FALSE),0)+
IFERROR(VLOOKUP(A84,'Centre WP11'!$A$7:$N$160,10,FALSE),0)+
IFERROR(VLOOKUP(A84,'Centre WR11'!$A$7:$N$160,10,FALSE),0)+
IFERROR(VLOOKUP(A84,'Centre WV11'!$A$7:$N$163,10,FALSE),0)</f>
        <v>0.2</v>
      </c>
      <c r="K84" s="10">
        <f>IFERROR(VLOOKUP(A84,'Centre DW11'!$A$7:$N$161,11,FALSE),0)+
IFERROR(VLOOKUP(A84,'Centre WP11'!$A$7:$N$160,11,FALSE),0)+
IFERROR(VLOOKUP(A84,'Centre WR11'!$A$7:$N$160,11,FALSE),0)+
IFERROR(VLOOKUP(A84,'Centre WV11'!$A$7:$N$163,11,FALSE),0)</f>
        <v>0.2</v>
      </c>
      <c r="L84" s="10">
        <f>IFERROR(VLOOKUP(A84,'Centre DW11'!$A$7:$N$161,12,FALSE),0)+
IFERROR(VLOOKUP(A84,'Centre WP11'!$A$7:$N$160,12,FALSE),0)+
IFERROR(VLOOKUP(A84,'Centre WR11'!$A$7:$N$160,12,FALSE),0)+
IFERROR(VLOOKUP(A84,'Centre WV11'!$A$7:$N$163,12,FALSE),0)</f>
        <v>0.2</v>
      </c>
      <c r="M84" s="10">
        <f>IFERROR(VLOOKUP(A84,'Centre DW11'!$A$7:$N$161,13,FALSE),0)+
IFERROR(VLOOKUP(A84,'Centre WP11'!$A$7:$N$160,13,FALSE),0)+
IFERROR(VLOOKUP(A84,'Centre WR11'!$A$7:$N$160,13,FALSE),0)+
IFERROR(VLOOKUP(A84,'Centre WV11'!$A$7:$N$163,13,FALSE),0)</f>
        <v>0.2</v>
      </c>
      <c r="N84" s="10">
        <f>IFERROR(VLOOKUP(A84,'Centre DW11'!$A$7:$N$161,14,FALSE),0)+
IFERROR(VLOOKUP(A84,'Centre WP11'!$A$7:$N$160,14,FALSE),0)+
IFERROR(VLOOKUP(A84,'Centre WR11'!$A$7:$N$160,14,FALSE),0)+
IFERROR(VLOOKUP(A84,'Centre WV11'!$A$7:$N$163,14,FALSE),0)</f>
        <v>0.2</v>
      </c>
    </row>
    <row r="85" spans="1:14" hidden="1" outlineLevel="1" x14ac:dyDescent="0.2">
      <c r="A85" s="9" t="s">
        <v>345</v>
      </c>
      <c r="B85" s="1" t="s">
        <v>346</v>
      </c>
      <c r="C85" s="10">
        <f>IFERROR(VLOOKUP(A85,'Centre DW11'!$A$7:$N$161,3,FALSE),0)+
IFERROR(VLOOKUP(A85,'Centre WP11'!$A$7:$N$160,3,FALSE),0)+
IFERROR(VLOOKUP(A85,'Centre WR11'!$A$7:$N$160,3,FALSE),0)+
IFERROR(VLOOKUP(A85,'Centre WV11'!$A$7:$N$163,3,FALSE),0)</f>
        <v>0.2</v>
      </c>
      <c r="D85" s="10">
        <f>IFERROR(VLOOKUP(A85,'Centre DW11'!$A$7:$N$161,4,FALSE),0)+
IFERROR(VLOOKUP(A85,'Centre WP11'!$A$7:$N$160,4,FALSE),0)+
IFERROR(VLOOKUP(A85,'Centre WR11'!$A$7:$N$160,4,FALSE),0)+
IFERROR(VLOOKUP(A85,'Centre WV11'!$A$7:$N$163,4,FALSE),0)</f>
        <v>0.2</v>
      </c>
      <c r="E85" s="10">
        <f>IFERROR(VLOOKUP(A85,'Centre DW11'!$A$7:$N$161,5,FALSE),0)+
IFERROR(VLOOKUP(A85,'Centre WP11'!$A$7:$N$160,5,FALSE),0)+
IFERROR(VLOOKUP(A85,'Centre WR11'!$A$7:$N$160,5,FALSE),0)+
IFERROR(VLOOKUP(A85,'Centre WV11'!$A$7:$N$163,5,FALSE),0)</f>
        <v>0.2</v>
      </c>
      <c r="F85" s="10">
        <f>IFERROR(VLOOKUP(A85,'Centre DW11'!$A$7:$N$161,6,FALSE),0)+
IFERROR(VLOOKUP(A85,'Centre WP11'!$A$7:$N$160,6,FALSE),0)+
IFERROR(VLOOKUP(A85,'Centre WR11'!$A$7:$N$160,6,FALSE),0)+
IFERROR(VLOOKUP(A85,'Centre WV11'!$A$7:$N$163,6,FALSE),0)</f>
        <v>0.2</v>
      </c>
      <c r="G85" s="10">
        <f>IFERROR(VLOOKUP(A85,'Centre DW11'!$A$7:$N$161,7,FALSE),0)+
IFERROR(VLOOKUP(A85,'Centre WP11'!$A$7:$N$160,7,FALSE),0)+
IFERROR(VLOOKUP(A85,'Centre WR11'!$A$7:$N$160,7,FALSE),0)+
IFERROR(VLOOKUP(A85,'Centre WV11'!$A$7:$N$163,7,FALSE),0)</f>
        <v>0.2</v>
      </c>
      <c r="H85" s="10">
        <f>IFERROR(VLOOKUP(A85,'Centre DW11'!$A$7:$N$161,8,FALSE),0)+
IFERROR(VLOOKUP(A85,'Centre WP11'!$A$7:$N$160,8,FALSE),0)+
IFERROR(VLOOKUP(A85,'Centre WR11'!$A$7:$N$160,8,FALSE),0)+
IFERROR(VLOOKUP(A85,'Centre WV11'!$A$7:$N$163,8,FALSE),0)</f>
        <v>0.2</v>
      </c>
      <c r="I85" s="10">
        <f>IFERROR(VLOOKUP(A85,'Centre DW11'!$A$7:$N$161,9,FALSE),0)+
IFERROR(VLOOKUP(A85,'Centre WP11'!$A$7:$N$160,9,FALSE),0)+
IFERROR(VLOOKUP(A85,'Centre WR11'!$A$7:$N$160,9,FALSE),0)+
IFERROR(VLOOKUP(A85,'Centre WV11'!$A$7:$N$163,9,FALSE),0)</f>
        <v>0.2</v>
      </c>
      <c r="J85" s="10">
        <f>IFERROR(VLOOKUP(A85,'Centre DW11'!$A$7:$N$161,10,FALSE),0)+
IFERROR(VLOOKUP(A85,'Centre WP11'!$A$7:$N$160,10,FALSE),0)+
IFERROR(VLOOKUP(A85,'Centre WR11'!$A$7:$N$160,10,FALSE),0)+
IFERROR(VLOOKUP(A85,'Centre WV11'!$A$7:$N$163,10,FALSE),0)</f>
        <v>0.2</v>
      </c>
      <c r="K85" s="10">
        <f>IFERROR(VLOOKUP(A85,'Centre DW11'!$A$7:$N$161,11,FALSE),0)+
IFERROR(VLOOKUP(A85,'Centre WP11'!$A$7:$N$160,11,FALSE),0)+
IFERROR(VLOOKUP(A85,'Centre WR11'!$A$7:$N$160,11,FALSE),0)+
IFERROR(VLOOKUP(A85,'Centre WV11'!$A$7:$N$163,11,FALSE),0)</f>
        <v>0.2</v>
      </c>
      <c r="L85" s="10">
        <f>IFERROR(VLOOKUP(A85,'Centre DW11'!$A$7:$N$161,12,FALSE),0)+
IFERROR(VLOOKUP(A85,'Centre WP11'!$A$7:$N$160,12,FALSE),0)+
IFERROR(VLOOKUP(A85,'Centre WR11'!$A$7:$N$160,12,FALSE),0)+
IFERROR(VLOOKUP(A85,'Centre WV11'!$A$7:$N$163,12,FALSE),0)</f>
        <v>0.2</v>
      </c>
      <c r="M85" s="10">
        <f>IFERROR(VLOOKUP(A85,'Centre DW11'!$A$7:$N$161,13,FALSE),0)+
IFERROR(VLOOKUP(A85,'Centre WP11'!$A$7:$N$160,13,FALSE),0)+
IFERROR(VLOOKUP(A85,'Centre WR11'!$A$7:$N$160,13,FALSE),0)+
IFERROR(VLOOKUP(A85,'Centre WV11'!$A$7:$N$163,13,FALSE),0)</f>
        <v>0.2</v>
      </c>
      <c r="N85" s="10">
        <f>IFERROR(VLOOKUP(A85,'Centre DW11'!$A$7:$N$161,14,FALSE),0)+
IFERROR(VLOOKUP(A85,'Centre WP11'!$A$7:$N$160,14,FALSE),0)+
IFERROR(VLOOKUP(A85,'Centre WR11'!$A$7:$N$160,14,FALSE),0)+
IFERROR(VLOOKUP(A85,'Centre WV11'!$A$7:$N$163,14,FALSE),0)</f>
        <v>0.1</v>
      </c>
    </row>
    <row r="86" spans="1:14" hidden="1" outlineLevel="1" x14ac:dyDescent="0.2">
      <c r="A86" s="9" t="s">
        <v>347</v>
      </c>
      <c r="B86" s="1" t="s">
        <v>348</v>
      </c>
      <c r="C86" s="10">
        <f>IFERROR(VLOOKUP(A86,'Centre DW11'!$A$7:$N$161,3,FALSE),0)+
IFERROR(VLOOKUP(A86,'Centre WP11'!$A$7:$N$160,3,FALSE),0)+
IFERROR(VLOOKUP(A86,'Centre WR11'!$A$7:$N$160,3,FALSE),0)+
IFERROR(VLOOKUP(A86,'Centre WV11'!$A$7:$N$163,3,FALSE),0)</f>
        <v>1.5</v>
      </c>
      <c r="D86" s="10">
        <f>IFERROR(VLOOKUP(A86,'Centre DW11'!$A$7:$N$161,4,FALSE),0)+
IFERROR(VLOOKUP(A86,'Centre WP11'!$A$7:$N$160,4,FALSE),0)+
IFERROR(VLOOKUP(A86,'Centre WR11'!$A$7:$N$160,4,FALSE),0)+
IFERROR(VLOOKUP(A86,'Centre WV11'!$A$7:$N$163,4,FALSE),0)</f>
        <v>1.5</v>
      </c>
      <c r="E86" s="10">
        <f>IFERROR(VLOOKUP(A86,'Centre DW11'!$A$7:$N$161,5,FALSE),0)+
IFERROR(VLOOKUP(A86,'Centre WP11'!$A$7:$N$160,5,FALSE),0)+
IFERROR(VLOOKUP(A86,'Centre WR11'!$A$7:$N$160,5,FALSE),0)+
IFERROR(VLOOKUP(A86,'Centre WV11'!$A$7:$N$163,5,FALSE),0)</f>
        <v>1.5</v>
      </c>
      <c r="F86" s="10">
        <f>IFERROR(VLOOKUP(A86,'Centre DW11'!$A$7:$N$161,6,FALSE),0)+
IFERROR(VLOOKUP(A86,'Centre WP11'!$A$7:$N$160,6,FALSE),0)+
IFERROR(VLOOKUP(A86,'Centre WR11'!$A$7:$N$160,6,FALSE),0)+
IFERROR(VLOOKUP(A86,'Centre WV11'!$A$7:$N$163,6,FALSE),0)</f>
        <v>1.5</v>
      </c>
      <c r="G86" s="10">
        <f>IFERROR(VLOOKUP(A86,'Centre DW11'!$A$7:$N$161,7,FALSE),0)+
IFERROR(VLOOKUP(A86,'Centre WP11'!$A$7:$N$160,7,FALSE),0)+
IFERROR(VLOOKUP(A86,'Centre WR11'!$A$7:$N$160,7,FALSE),0)+
IFERROR(VLOOKUP(A86,'Centre WV11'!$A$7:$N$163,7,FALSE),0)</f>
        <v>1.5</v>
      </c>
      <c r="H86" s="10">
        <f>IFERROR(VLOOKUP(A86,'Centre DW11'!$A$7:$N$161,8,FALSE),0)+
IFERROR(VLOOKUP(A86,'Centre WP11'!$A$7:$N$160,8,FALSE),0)+
IFERROR(VLOOKUP(A86,'Centre WR11'!$A$7:$N$160,8,FALSE),0)+
IFERROR(VLOOKUP(A86,'Centre WV11'!$A$7:$N$163,8,FALSE),0)</f>
        <v>1.5</v>
      </c>
      <c r="I86" s="10">
        <f>IFERROR(VLOOKUP(A86,'Centre DW11'!$A$7:$N$161,9,FALSE),0)+
IFERROR(VLOOKUP(A86,'Centre WP11'!$A$7:$N$160,9,FALSE),0)+
IFERROR(VLOOKUP(A86,'Centre WR11'!$A$7:$N$160,9,FALSE),0)+
IFERROR(VLOOKUP(A86,'Centre WV11'!$A$7:$N$163,9,FALSE),0)</f>
        <v>1.5</v>
      </c>
      <c r="J86" s="10">
        <f>IFERROR(VLOOKUP(A86,'Centre DW11'!$A$7:$N$161,10,FALSE),0)+
IFERROR(VLOOKUP(A86,'Centre WP11'!$A$7:$N$160,10,FALSE),0)+
IFERROR(VLOOKUP(A86,'Centre WR11'!$A$7:$N$160,10,FALSE),0)+
IFERROR(VLOOKUP(A86,'Centre WV11'!$A$7:$N$163,10,FALSE),0)</f>
        <v>1.5</v>
      </c>
      <c r="K86" s="10">
        <f>IFERROR(VLOOKUP(A86,'Centre DW11'!$A$7:$N$161,11,FALSE),0)+
IFERROR(VLOOKUP(A86,'Centre WP11'!$A$7:$N$160,11,FALSE),0)+
IFERROR(VLOOKUP(A86,'Centre WR11'!$A$7:$N$160,11,FALSE),0)+
IFERROR(VLOOKUP(A86,'Centre WV11'!$A$7:$N$163,11,FALSE),0)</f>
        <v>1.5</v>
      </c>
      <c r="L86" s="10">
        <f>IFERROR(VLOOKUP(A86,'Centre DW11'!$A$7:$N$161,12,FALSE),0)+
IFERROR(VLOOKUP(A86,'Centre WP11'!$A$7:$N$160,12,FALSE),0)+
IFERROR(VLOOKUP(A86,'Centre WR11'!$A$7:$N$160,12,FALSE),0)+
IFERROR(VLOOKUP(A86,'Centre WV11'!$A$7:$N$163,12,FALSE),0)</f>
        <v>1.5</v>
      </c>
      <c r="M86" s="10">
        <f>IFERROR(VLOOKUP(A86,'Centre DW11'!$A$7:$N$161,13,FALSE),0)+
IFERROR(VLOOKUP(A86,'Centre WP11'!$A$7:$N$160,13,FALSE),0)+
IFERROR(VLOOKUP(A86,'Centre WR11'!$A$7:$N$160,13,FALSE),0)+
IFERROR(VLOOKUP(A86,'Centre WV11'!$A$7:$N$163,13,FALSE),0)</f>
        <v>1.5</v>
      </c>
      <c r="N86" s="10">
        <f>IFERROR(VLOOKUP(A86,'Centre DW11'!$A$7:$N$161,14,FALSE),0)+
IFERROR(VLOOKUP(A86,'Centre WP11'!$A$7:$N$160,14,FALSE),0)+
IFERROR(VLOOKUP(A86,'Centre WR11'!$A$7:$N$160,14,FALSE),0)+
IFERROR(VLOOKUP(A86,'Centre WV11'!$A$7:$N$163,14,FALSE),0)</f>
        <v>-3.2</v>
      </c>
    </row>
    <row r="87" spans="1:14" hidden="1" outlineLevel="1" x14ac:dyDescent="0.2">
      <c r="A87" s="9" t="s">
        <v>349</v>
      </c>
      <c r="B87" s="1" t="s">
        <v>350</v>
      </c>
      <c r="C87" s="10">
        <f>IFERROR(VLOOKUP(A87,'Centre DW11'!$A$7:$N$161,3,FALSE),0)+
IFERROR(VLOOKUP(A87,'Centre WP11'!$A$7:$N$160,3,FALSE),0)+
IFERROR(VLOOKUP(A87,'Centre WR11'!$A$7:$N$160,3,FALSE),0)+
IFERROR(VLOOKUP(A87,'Centre WV11'!$A$7:$N$163,3,FALSE),0)</f>
        <v>0.79999999999999993</v>
      </c>
      <c r="D87" s="10">
        <f>IFERROR(VLOOKUP(A87,'Centre DW11'!$A$7:$N$161,4,FALSE),0)+
IFERROR(VLOOKUP(A87,'Centre WP11'!$A$7:$N$160,4,FALSE),0)+
IFERROR(VLOOKUP(A87,'Centre WR11'!$A$7:$N$160,4,FALSE),0)+
IFERROR(VLOOKUP(A87,'Centre WV11'!$A$7:$N$163,4,FALSE),0)</f>
        <v>0.79999999999999993</v>
      </c>
      <c r="E87" s="10">
        <f>IFERROR(VLOOKUP(A87,'Centre DW11'!$A$7:$N$161,5,FALSE),0)+
IFERROR(VLOOKUP(A87,'Centre WP11'!$A$7:$N$160,5,FALSE),0)+
IFERROR(VLOOKUP(A87,'Centre WR11'!$A$7:$N$160,5,FALSE),0)+
IFERROR(VLOOKUP(A87,'Centre WV11'!$A$7:$N$163,5,FALSE),0)</f>
        <v>0.79999999999999993</v>
      </c>
      <c r="F87" s="10">
        <f>IFERROR(VLOOKUP(A87,'Centre DW11'!$A$7:$N$161,6,FALSE),0)+
IFERROR(VLOOKUP(A87,'Centre WP11'!$A$7:$N$160,6,FALSE),0)+
IFERROR(VLOOKUP(A87,'Centre WR11'!$A$7:$N$160,6,FALSE),0)+
IFERROR(VLOOKUP(A87,'Centre WV11'!$A$7:$N$163,6,FALSE),0)</f>
        <v>0.79999999999999993</v>
      </c>
      <c r="G87" s="10">
        <f>IFERROR(VLOOKUP(A87,'Centre DW11'!$A$7:$N$161,7,FALSE),0)+
IFERROR(VLOOKUP(A87,'Centre WP11'!$A$7:$N$160,7,FALSE),0)+
IFERROR(VLOOKUP(A87,'Centre WR11'!$A$7:$N$160,7,FALSE),0)+
IFERROR(VLOOKUP(A87,'Centre WV11'!$A$7:$N$163,7,FALSE),0)</f>
        <v>0.79999999999999993</v>
      </c>
      <c r="H87" s="10">
        <f>IFERROR(VLOOKUP(A87,'Centre DW11'!$A$7:$N$161,8,FALSE),0)+
IFERROR(VLOOKUP(A87,'Centre WP11'!$A$7:$N$160,8,FALSE),0)+
IFERROR(VLOOKUP(A87,'Centre WR11'!$A$7:$N$160,8,FALSE),0)+
IFERROR(VLOOKUP(A87,'Centre WV11'!$A$7:$N$163,8,FALSE),0)</f>
        <v>0.7</v>
      </c>
      <c r="I87" s="10">
        <f>IFERROR(VLOOKUP(A87,'Centre DW11'!$A$7:$N$161,9,FALSE),0)+
IFERROR(VLOOKUP(A87,'Centre WP11'!$A$7:$N$160,9,FALSE),0)+
IFERROR(VLOOKUP(A87,'Centre WR11'!$A$7:$N$160,9,FALSE),0)+
IFERROR(VLOOKUP(A87,'Centre WV11'!$A$7:$N$163,9,FALSE),0)</f>
        <v>0.79999999999999993</v>
      </c>
      <c r="J87" s="10">
        <f>IFERROR(VLOOKUP(A87,'Centre DW11'!$A$7:$N$161,10,FALSE),0)+
IFERROR(VLOOKUP(A87,'Centre WP11'!$A$7:$N$160,10,FALSE),0)+
IFERROR(VLOOKUP(A87,'Centre WR11'!$A$7:$N$160,10,FALSE),0)+
IFERROR(VLOOKUP(A87,'Centre WV11'!$A$7:$N$163,10,FALSE),0)</f>
        <v>0.7</v>
      </c>
      <c r="K87" s="10">
        <f>IFERROR(VLOOKUP(A87,'Centre DW11'!$A$7:$N$161,11,FALSE),0)+
IFERROR(VLOOKUP(A87,'Centre WP11'!$A$7:$N$160,11,FALSE),0)+
IFERROR(VLOOKUP(A87,'Centre WR11'!$A$7:$N$160,11,FALSE),0)+
IFERROR(VLOOKUP(A87,'Centre WV11'!$A$7:$N$163,11,FALSE),0)</f>
        <v>0.7</v>
      </c>
      <c r="L87" s="10">
        <f>IFERROR(VLOOKUP(A87,'Centre DW11'!$A$7:$N$161,12,FALSE),0)+
IFERROR(VLOOKUP(A87,'Centre WP11'!$A$7:$N$160,12,FALSE),0)+
IFERROR(VLOOKUP(A87,'Centre WR11'!$A$7:$N$160,12,FALSE),0)+
IFERROR(VLOOKUP(A87,'Centre WV11'!$A$7:$N$163,12,FALSE),0)</f>
        <v>0.79999999999999993</v>
      </c>
      <c r="M87" s="10">
        <f>IFERROR(VLOOKUP(A87,'Centre DW11'!$A$7:$N$161,13,FALSE),0)+
IFERROR(VLOOKUP(A87,'Centre WP11'!$A$7:$N$160,13,FALSE),0)+
IFERROR(VLOOKUP(A87,'Centre WR11'!$A$7:$N$160,13,FALSE),0)+
IFERROR(VLOOKUP(A87,'Centre WV11'!$A$7:$N$163,13,FALSE),0)</f>
        <v>0.79999999999999993</v>
      </c>
      <c r="N87" s="10">
        <f>IFERROR(VLOOKUP(A87,'Centre DW11'!$A$7:$N$161,14,FALSE),0)+
IFERROR(VLOOKUP(A87,'Centre WP11'!$A$7:$N$160,14,FALSE),0)+
IFERROR(VLOOKUP(A87,'Centre WR11'!$A$7:$N$160,14,FALSE),0)+
IFERROR(VLOOKUP(A87,'Centre WV11'!$A$7:$N$163,14,FALSE),0)</f>
        <v>-4.9000000000000004</v>
      </c>
    </row>
    <row r="88" spans="1:14" collapsed="1" x14ac:dyDescent="0.2">
      <c r="A88" s="48" t="s">
        <v>139</v>
      </c>
      <c r="B88" s="49" t="s">
        <v>140</v>
      </c>
      <c r="C88" s="50">
        <f>+C89</f>
        <v>0</v>
      </c>
      <c r="D88" s="50">
        <f t="shared" ref="D88:N88" si="14">+D89</f>
        <v>0</v>
      </c>
      <c r="E88" s="50">
        <f t="shared" si="14"/>
        <v>0</v>
      </c>
      <c r="F88" s="50">
        <f t="shared" si="14"/>
        <v>0</v>
      </c>
      <c r="G88" s="50">
        <f t="shared" si="14"/>
        <v>0</v>
      </c>
      <c r="H88" s="50">
        <f t="shared" si="14"/>
        <v>0</v>
      </c>
      <c r="I88" s="50">
        <f t="shared" si="14"/>
        <v>0</v>
      </c>
      <c r="J88" s="50">
        <f t="shared" si="14"/>
        <v>0</v>
      </c>
      <c r="K88" s="50">
        <f t="shared" si="14"/>
        <v>0</v>
      </c>
      <c r="L88" s="50">
        <f t="shared" si="14"/>
        <v>0</v>
      </c>
      <c r="M88" s="50">
        <f t="shared" si="14"/>
        <v>0</v>
      </c>
      <c r="N88" s="50">
        <f t="shared" si="14"/>
        <v>0</v>
      </c>
    </row>
    <row r="89" spans="1:14" hidden="1" outlineLevel="1" x14ac:dyDescent="0.2">
      <c r="A89" s="9" t="s">
        <v>353</v>
      </c>
      <c r="B89" s="1" t="s">
        <v>354</v>
      </c>
      <c r="C89" s="10">
        <f>IFERROR(VLOOKUP(A89,'Centre DW11'!$A$7:$N$161,3,FALSE),0)+
IFERROR(VLOOKUP(A89,'Centre WP11'!$A$7:$N$160,3,FALSE),0)+
IFERROR(VLOOKUP(A89,'Centre WR11'!$A$7:$N$160,3,FALSE),0)+
IFERROR(VLOOKUP(A89,'Centre WV11'!$A$7:$N$163,3,FALSE),0)</f>
        <v>0</v>
      </c>
      <c r="D89" s="10">
        <f>IFERROR(VLOOKUP(A89,'Centre DW11'!$A$7:$N$161,4,FALSE),0)+
IFERROR(VLOOKUP(A89,'Centre WP11'!$A$7:$N$160,4,FALSE),0)+
IFERROR(VLOOKUP(A89,'Centre WR11'!$A$7:$N$160,4,FALSE),0)+
IFERROR(VLOOKUP(A89,'Centre WV11'!$A$7:$N$163,4,FALSE),0)</f>
        <v>0</v>
      </c>
      <c r="E89" s="10">
        <f>IFERROR(VLOOKUP(A89,'Centre DW11'!$A$7:$N$161,5,FALSE),0)+
IFERROR(VLOOKUP(A89,'Centre WP11'!$A$7:$N$160,5,FALSE),0)+
IFERROR(VLOOKUP(A89,'Centre WR11'!$A$7:$N$160,5,FALSE),0)+
IFERROR(VLOOKUP(A89,'Centre WV11'!$A$7:$N$163,5,FALSE),0)</f>
        <v>0</v>
      </c>
      <c r="F89" s="10">
        <f>IFERROR(VLOOKUP(A89,'Centre DW11'!$A$7:$N$161,6,FALSE),0)+
IFERROR(VLOOKUP(A89,'Centre WP11'!$A$7:$N$160,6,FALSE),0)+
IFERROR(VLOOKUP(A89,'Centre WR11'!$A$7:$N$160,6,FALSE),0)+
IFERROR(VLOOKUP(A89,'Centre WV11'!$A$7:$N$163,6,FALSE),0)</f>
        <v>0</v>
      </c>
      <c r="G89" s="10">
        <f>IFERROR(VLOOKUP(A89,'Centre DW11'!$A$7:$N$161,7,FALSE),0)+
IFERROR(VLOOKUP(A89,'Centre WP11'!$A$7:$N$160,7,FALSE),0)+
IFERROR(VLOOKUP(A89,'Centre WR11'!$A$7:$N$160,7,FALSE),0)+
IFERROR(VLOOKUP(A89,'Centre WV11'!$A$7:$N$163,7,FALSE),0)</f>
        <v>0</v>
      </c>
      <c r="H89" s="10">
        <f>IFERROR(VLOOKUP(A89,'Centre DW11'!$A$7:$N$161,8,FALSE),0)+
IFERROR(VLOOKUP(A89,'Centre WP11'!$A$7:$N$160,8,FALSE),0)+
IFERROR(VLOOKUP(A89,'Centre WR11'!$A$7:$N$160,8,FALSE),0)+
IFERROR(VLOOKUP(A89,'Centre WV11'!$A$7:$N$163,8,FALSE),0)</f>
        <v>0</v>
      </c>
      <c r="I89" s="10">
        <f>IFERROR(VLOOKUP(A89,'Centre DW11'!$A$7:$N$161,9,FALSE),0)+
IFERROR(VLOOKUP(A89,'Centre WP11'!$A$7:$N$160,9,FALSE),0)+
IFERROR(VLOOKUP(A89,'Centre WR11'!$A$7:$N$160,9,FALSE),0)+
IFERROR(VLOOKUP(A89,'Centre WV11'!$A$7:$N$163,9,FALSE),0)</f>
        <v>0</v>
      </c>
      <c r="J89" s="10">
        <f>IFERROR(VLOOKUP(A89,'Centre DW11'!$A$7:$N$161,10,FALSE),0)+
IFERROR(VLOOKUP(A89,'Centre WP11'!$A$7:$N$160,10,FALSE),0)+
IFERROR(VLOOKUP(A89,'Centre WR11'!$A$7:$N$160,10,FALSE),0)+
IFERROR(VLOOKUP(A89,'Centre WV11'!$A$7:$N$163,10,FALSE),0)</f>
        <v>0</v>
      </c>
      <c r="K89" s="10">
        <f>IFERROR(VLOOKUP(A89,'Centre DW11'!$A$7:$N$161,11,FALSE),0)+
IFERROR(VLOOKUP(A89,'Centre WP11'!$A$7:$N$160,11,FALSE),0)+
IFERROR(VLOOKUP(A89,'Centre WR11'!$A$7:$N$160,11,FALSE),0)+
IFERROR(VLOOKUP(A89,'Centre WV11'!$A$7:$N$163,11,FALSE),0)</f>
        <v>0</v>
      </c>
      <c r="L89" s="10">
        <f>IFERROR(VLOOKUP(A89,'Centre DW11'!$A$7:$N$161,12,FALSE),0)+
IFERROR(VLOOKUP(A89,'Centre WP11'!$A$7:$N$160,12,FALSE),0)+
IFERROR(VLOOKUP(A89,'Centre WR11'!$A$7:$N$160,12,FALSE),0)+
IFERROR(VLOOKUP(A89,'Centre WV11'!$A$7:$N$163,12,FALSE),0)</f>
        <v>0</v>
      </c>
      <c r="M89" s="10">
        <f>IFERROR(VLOOKUP(A89,'Centre DW11'!$A$7:$N$161,13,FALSE),0)+
IFERROR(VLOOKUP(A89,'Centre WP11'!$A$7:$N$160,13,FALSE),0)+
IFERROR(VLOOKUP(A89,'Centre WR11'!$A$7:$N$160,13,FALSE),0)+
IFERROR(VLOOKUP(A89,'Centre WV11'!$A$7:$N$163,13,FALSE),0)</f>
        <v>0</v>
      </c>
      <c r="N89" s="10">
        <f>IFERROR(VLOOKUP(A89,'Centre DW11'!$A$7:$N$161,14,FALSE),0)+
IFERROR(VLOOKUP(A89,'Centre WP11'!$A$7:$N$160,14,FALSE),0)+
IFERROR(VLOOKUP(A89,'Centre WR11'!$A$7:$N$160,14,FALSE),0)+
IFERROR(VLOOKUP(A89,'Centre WV11'!$A$7:$N$163,14,FALSE),0)</f>
        <v>0</v>
      </c>
    </row>
    <row r="90" spans="1:14" collapsed="1" x14ac:dyDescent="0.2">
      <c r="A90" s="48" t="s">
        <v>141</v>
      </c>
      <c r="B90" s="49" t="s">
        <v>142</v>
      </c>
      <c r="C90" s="50">
        <f>+C91</f>
        <v>0</v>
      </c>
      <c r="D90" s="50">
        <f t="shared" ref="D90:N90" si="15">+D91</f>
        <v>0</v>
      </c>
      <c r="E90" s="50">
        <f t="shared" si="15"/>
        <v>0</v>
      </c>
      <c r="F90" s="50">
        <f t="shared" si="15"/>
        <v>0</v>
      </c>
      <c r="G90" s="50">
        <f t="shared" si="15"/>
        <v>0</v>
      </c>
      <c r="H90" s="50">
        <f t="shared" si="15"/>
        <v>0</v>
      </c>
      <c r="I90" s="50">
        <f t="shared" si="15"/>
        <v>0</v>
      </c>
      <c r="J90" s="50">
        <f t="shared" si="15"/>
        <v>0</v>
      </c>
      <c r="K90" s="50">
        <f t="shared" si="15"/>
        <v>0</v>
      </c>
      <c r="L90" s="50">
        <f t="shared" si="15"/>
        <v>0</v>
      </c>
      <c r="M90" s="50">
        <f t="shared" si="15"/>
        <v>0</v>
      </c>
      <c r="N90" s="50">
        <f t="shared" si="15"/>
        <v>0</v>
      </c>
    </row>
    <row r="91" spans="1:14" hidden="1" outlineLevel="1" x14ac:dyDescent="0.2">
      <c r="A91" s="9" t="s">
        <v>379</v>
      </c>
      <c r="B91" s="1" t="s">
        <v>380</v>
      </c>
      <c r="C91" s="10">
        <f>IFERROR(VLOOKUP(A91,'Centre DW11'!$A$7:$N$161,3,FALSE),0)+
IFERROR(VLOOKUP(A91,'Centre WP11'!$A$7:$N$160,3,FALSE),0)+
IFERROR(VLOOKUP(A91,'Centre WR11'!$A$7:$N$160,3,FALSE),0)+
IFERROR(VLOOKUP(A91,'Centre WV11'!$A$7:$N$163,3,FALSE),0)</f>
        <v>0</v>
      </c>
      <c r="D91" s="10">
        <f>IFERROR(VLOOKUP(A91,'Centre DW11'!$A$7:$N$161,4,FALSE),0)+
IFERROR(VLOOKUP(A91,'Centre WP11'!$A$7:$N$160,4,FALSE),0)+
IFERROR(VLOOKUP(A91,'Centre WR11'!$A$7:$N$160,4,FALSE),0)+
IFERROR(VLOOKUP(A91,'Centre WV11'!$A$7:$N$163,4,FALSE),0)</f>
        <v>0</v>
      </c>
      <c r="E91" s="10">
        <f>IFERROR(VLOOKUP(A91,'Centre DW11'!$A$7:$N$161,5,FALSE),0)+
IFERROR(VLOOKUP(A91,'Centre WP11'!$A$7:$N$160,5,FALSE),0)+
IFERROR(VLOOKUP(A91,'Centre WR11'!$A$7:$N$160,5,FALSE),0)+
IFERROR(VLOOKUP(A91,'Centre WV11'!$A$7:$N$163,5,FALSE),0)</f>
        <v>0</v>
      </c>
      <c r="F91" s="10">
        <f>IFERROR(VLOOKUP(A91,'Centre DW11'!$A$7:$N$161,6,FALSE),0)+
IFERROR(VLOOKUP(A91,'Centre WP11'!$A$7:$N$160,6,FALSE),0)+
IFERROR(VLOOKUP(A91,'Centre WR11'!$A$7:$N$160,6,FALSE),0)+
IFERROR(VLOOKUP(A91,'Centre WV11'!$A$7:$N$163,6,FALSE),0)</f>
        <v>0</v>
      </c>
      <c r="G91" s="10">
        <f>IFERROR(VLOOKUP(A91,'Centre DW11'!$A$7:$N$161,7,FALSE),0)+
IFERROR(VLOOKUP(A91,'Centre WP11'!$A$7:$N$160,7,FALSE),0)+
IFERROR(VLOOKUP(A91,'Centre WR11'!$A$7:$N$160,7,FALSE),0)+
IFERROR(VLOOKUP(A91,'Centre WV11'!$A$7:$N$163,7,FALSE),0)</f>
        <v>0</v>
      </c>
      <c r="H91" s="10">
        <f>IFERROR(VLOOKUP(A91,'Centre DW11'!$A$7:$N$161,8,FALSE),0)+
IFERROR(VLOOKUP(A91,'Centre WP11'!$A$7:$N$160,8,FALSE),0)+
IFERROR(VLOOKUP(A91,'Centre WR11'!$A$7:$N$160,8,FALSE),0)+
IFERROR(VLOOKUP(A91,'Centre WV11'!$A$7:$N$163,8,FALSE),0)</f>
        <v>0</v>
      </c>
      <c r="I91" s="10">
        <f>IFERROR(VLOOKUP(A91,'Centre DW11'!$A$7:$N$161,9,FALSE),0)+
IFERROR(VLOOKUP(A91,'Centre WP11'!$A$7:$N$160,9,FALSE),0)+
IFERROR(VLOOKUP(A91,'Centre WR11'!$A$7:$N$160,9,FALSE),0)+
IFERROR(VLOOKUP(A91,'Centre WV11'!$A$7:$N$163,9,FALSE),0)</f>
        <v>0</v>
      </c>
      <c r="J91" s="10">
        <f>IFERROR(VLOOKUP(A91,'Centre DW11'!$A$7:$N$161,10,FALSE),0)+
IFERROR(VLOOKUP(A91,'Centre WP11'!$A$7:$N$160,10,FALSE),0)+
IFERROR(VLOOKUP(A91,'Centre WR11'!$A$7:$N$160,10,FALSE),0)+
IFERROR(VLOOKUP(A91,'Centre WV11'!$A$7:$N$163,10,FALSE),0)</f>
        <v>0</v>
      </c>
      <c r="K91" s="10">
        <f>IFERROR(VLOOKUP(A91,'Centre DW11'!$A$7:$N$161,11,FALSE),0)+
IFERROR(VLOOKUP(A91,'Centre WP11'!$A$7:$N$160,11,FALSE),0)+
IFERROR(VLOOKUP(A91,'Centre WR11'!$A$7:$N$160,11,FALSE),0)+
IFERROR(VLOOKUP(A91,'Centre WV11'!$A$7:$N$163,11,FALSE),0)</f>
        <v>0</v>
      </c>
      <c r="L91" s="10">
        <f>IFERROR(VLOOKUP(A91,'Centre DW11'!$A$7:$N$161,12,FALSE),0)+
IFERROR(VLOOKUP(A91,'Centre WP11'!$A$7:$N$160,12,FALSE),0)+
IFERROR(VLOOKUP(A91,'Centre WR11'!$A$7:$N$160,12,FALSE),0)+
IFERROR(VLOOKUP(A91,'Centre WV11'!$A$7:$N$163,12,FALSE),0)</f>
        <v>0</v>
      </c>
      <c r="M91" s="10">
        <f>IFERROR(VLOOKUP(A91,'Centre DW11'!$A$7:$N$161,13,FALSE),0)+
IFERROR(VLOOKUP(A91,'Centre WP11'!$A$7:$N$160,13,FALSE),0)+
IFERROR(VLOOKUP(A91,'Centre WR11'!$A$7:$N$160,13,FALSE),0)+
IFERROR(VLOOKUP(A91,'Centre WV11'!$A$7:$N$163,13,FALSE),0)</f>
        <v>0</v>
      </c>
      <c r="N91" s="10">
        <f>IFERROR(VLOOKUP(A91,'Centre DW11'!$A$7:$N$161,14,FALSE),0)+
IFERROR(VLOOKUP(A91,'Centre WP11'!$A$7:$N$160,14,FALSE),0)+
IFERROR(VLOOKUP(A91,'Centre WR11'!$A$7:$N$160,14,FALSE),0)+
IFERROR(VLOOKUP(A91,'Centre WV11'!$A$7:$N$163,14,FALSE),0)</f>
        <v>0</v>
      </c>
    </row>
    <row r="92" spans="1:14" collapsed="1" x14ac:dyDescent="0.2">
      <c r="A92" s="48" t="s">
        <v>143</v>
      </c>
      <c r="B92" s="49" t="s">
        <v>144</v>
      </c>
      <c r="C92" s="50">
        <f>SUM(C93:C99)</f>
        <v>85.4</v>
      </c>
      <c r="D92" s="50">
        <f t="shared" ref="D92:N92" si="16">SUM(D93:D99)</f>
        <v>85.4</v>
      </c>
      <c r="E92" s="50">
        <f t="shared" si="16"/>
        <v>85.4</v>
      </c>
      <c r="F92" s="50">
        <f t="shared" si="16"/>
        <v>94.3</v>
      </c>
      <c r="G92" s="50">
        <f t="shared" si="16"/>
        <v>85.4</v>
      </c>
      <c r="H92" s="50">
        <f t="shared" si="16"/>
        <v>85.4</v>
      </c>
      <c r="I92" s="50">
        <f t="shared" si="16"/>
        <v>85.4</v>
      </c>
      <c r="J92" s="50">
        <f t="shared" si="16"/>
        <v>85.4</v>
      </c>
      <c r="K92" s="50">
        <f t="shared" si="16"/>
        <v>75.7</v>
      </c>
      <c r="L92" s="50">
        <f t="shared" si="16"/>
        <v>79.100000000000009</v>
      </c>
      <c r="M92" s="50">
        <f t="shared" si="16"/>
        <v>79.500000000000014</v>
      </c>
      <c r="N92" s="50">
        <f t="shared" si="16"/>
        <v>82.899999999999991</v>
      </c>
    </row>
    <row r="93" spans="1:14" hidden="1" outlineLevel="1" x14ac:dyDescent="0.2">
      <c r="A93" s="9" t="s">
        <v>145</v>
      </c>
      <c r="B93" s="1" t="s">
        <v>146</v>
      </c>
      <c r="C93" s="10">
        <f>IFERROR(VLOOKUP(A93,'Centre DW11'!$A$7:$N$161,3,FALSE),0)+
IFERROR(VLOOKUP(A93,'Centre WP11'!$A$7:$N$160,3,FALSE),0)+
IFERROR(VLOOKUP(A93,'Centre WR11'!$A$7:$N$160,3,FALSE),0)+
IFERROR(VLOOKUP(A93,'Centre WV11'!$A$7:$N$163,3,FALSE),0)</f>
        <v>33</v>
      </c>
      <c r="D93" s="10">
        <f>IFERROR(VLOOKUP(A93,'Centre DW11'!$A$7:$N$161,4,FALSE),0)+
IFERROR(VLOOKUP(A93,'Centre WP11'!$A$7:$N$160,4,FALSE),0)+
IFERROR(VLOOKUP(A93,'Centre WR11'!$A$7:$N$160,4,FALSE),0)+
IFERROR(VLOOKUP(A93,'Centre WV11'!$A$7:$N$163,4,FALSE),0)</f>
        <v>33</v>
      </c>
      <c r="E93" s="10">
        <f>IFERROR(VLOOKUP(A93,'Centre DW11'!$A$7:$N$161,5,FALSE),0)+
IFERROR(VLOOKUP(A93,'Centre WP11'!$A$7:$N$160,5,FALSE),0)+
IFERROR(VLOOKUP(A93,'Centre WR11'!$A$7:$N$160,5,FALSE),0)+
IFERROR(VLOOKUP(A93,'Centre WV11'!$A$7:$N$163,5,FALSE),0)</f>
        <v>33</v>
      </c>
      <c r="F93" s="10">
        <f>IFERROR(VLOOKUP(A93,'Centre DW11'!$A$7:$N$161,6,FALSE),0)+
IFERROR(VLOOKUP(A93,'Centre WP11'!$A$7:$N$160,6,FALSE),0)+
IFERROR(VLOOKUP(A93,'Centre WR11'!$A$7:$N$160,6,FALSE),0)+
IFERROR(VLOOKUP(A93,'Centre WV11'!$A$7:$N$163,6,FALSE),0)</f>
        <v>33</v>
      </c>
      <c r="G93" s="10">
        <f>IFERROR(VLOOKUP(A93,'Centre DW11'!$A$7:$N$161,7,FALSE),0)+
IFERROR(VLOOKUP(A93,'Centre WP11'!$A$7:$N$160,7,FALSE),0)+
IFERROR(VLOOKUP(A93,'Centre WR11'!$A$7:$N$160,7,FALSE),0)+
IFERROR(VLOOKUP(A93,'Centre WV11'!$A$7:$N$163,7,FALSE),0)</f>
        <v>33</v>
      </c>
      <c r="H93" s="10">
        <f>IFERROR(VLOOKUP(A93,'Centre DW11'!$A$7:$N$161,8,FALSE),0)+
IFERROR(VLOOKUP(A93,'Centre WP11'!$A$7:$N$160,8,FALSE),0)+
IFERROR(VLOOKUP(A93,'Centre WR11'!$A$7:$N$160,8,FALSE),0)+
IFERROR(VLOOKUP(A93,'Centre WV11'!$A$7:$N$163,8,FALSE),0)</f>
        <v>33</v>
      </c>
      <c r="I93" s="10">
        <f>IFERROR(VLOOKUP(A93,'Centre DW11'!$A$7:$N$161,9,FALSE),0)+
IFERROR(VLOOKUP(A93,'Centre WP11'!$A$7:$N$160,9,FALSE),0)+
IFERROR(VLOOKUP(A93,'Centre WR11'!$A$7:$N$160,9,FALSE),0)+
IFERROR(VLOOKUP(A93,'Centre WV11'!$A$7:$N$163,9,FALSE),0)</f>
        <v>33</v>
      </c>
      <c r="J93" s="10">
        <f>IFERROR(VLOOKUP(A93,'Centre DW11'!$A$7:$N$161,10,FALSE),0)+
IFERROR(VLOOKUP(A93,'Centre WP11'!$A$7:$N$160,10,FALSE),0)+
IFERROR(VLOOKUP(A93,'Centre WR11'!$A$7:$N$160,10,FALSE),0)+
IFERROR(VLOOKUP(A93,'Centre WV11'!$A$7:$N$163,10,FALSE),0)</f>
        <v>33</v>
      </c>
      <c r="K93" s="10">
        <f>IFERROR(VLOOKUP(A93,'Centre DW11'!$A$7:$N$161,11,FALSE),0)+
IFERROR(VLOOKUP(A93,'Centre WP11'!$A$7:$N$160,11,FALSE),0)+
IFERROR(VLOOKUP(A93,'Centre WR11'!$A$7:$N$160,11,FALSE),0)+
IFERROR(VLOOKUP(A93,'Centre WV11'!$A$7:$N$163,11,FALSE),0)</f>
        <v>33</v>
      </c>
      <c r="L93" s="10">
        <f>IFERROR(VLOOKUP(A93,'Centre DW11'!$A$7:$N$161,12,FALSE),0)+
IFERROR(VLOOKUP(A93,'Centre WP11'!$A$7:$N$160,12,FALSE),0)+
IFERROR(VLOOKUP(A93,'Centre WR11'!$A$7:$N$160,12,FALSE),0)+
IFERROR(VLOOKUP(A93,'Centre WV11'!$A$7:$N$163,12,FALSE),0)</f>
        <v>33</v>
      </c>
      <c r="M93" s="10">
        <f>IFERROR(VLOOKUP(A93,'Centre DW11'!$A$7:$N$161,13,FALSE),0)+
IFERROR(VLOOKUP(A93,'Centre WP11'!$A$7:$N$160,13,FALSE),0)+
IFERROR(VLOOKUP(A93,'Centre WR11'!$A$7:$N$160,13,FALSE),0)+
IFERROR(VLOOKUP(A93,'Centre WV11'!$A$7:$N$163,13,FALSE),0)</f>
        <v>33</v>
      </c>
      <c r="N93" s="10">
        <f>IFERROR(VLOOKUP(A93,'Centre DW11'!$A$7:$N$161,14,FALSE),0)+
IFERROR(VLOOKUP(A93,'Centre WP11'!$A$7:$N$160,14,FALSE),0)+
IFERROR(VLOOKUP(A93,'Centre WR11'!$A$7:$N$160,14,FALSE),0)+
IFERROR(VLOOKUP(A93,'Centre WV11'!$A$7:$N$163,14,FALSE),0)</f>
        <v>33</v>
      </c>
    </row>
    <row r="94" spans="1:14" hidden="1" outlineLevel="1" x14ac:dyDescent="0.2">
      <c r="A94" s="9" t="s">
        <v>147</v>
      </c>
      <c r="B94" s="1" t="s">
        <v>148</v>
      </c>
      <c r="C94" s="10">
        <f>IFERROR(VLOOKUP(A94,'Centre DW11'!$A$7:$N$161,3,FALSE),0)+
IFERROR(VLOOKUP(A94,'Centre WP11'!$A$7:$N$160,3,FALSE),0)+
IFERROR(VLOOKUP(A94,'Centre WR11'!$A$7:$N$160,3,FALSE),0)+
IFERROR(VLOOKUP(A94,'Centre WV11'!$A$7:$N$163,3,FALSE),0)</f>
        <v>0</v>
      </c>
      <c r="D94" s="10">
        <f>IFERROR(VLOOKUP(A94,'Centre DW11'!$A$7:$N$161,4,FALSE),0)+
IFERROR(VLOOKUP(A94,'Centre WP11'!$A$7:$N$160,4,FALSE),0)+
IFERROR(VLOOKUP(A94,'Centre WR11'!$A$7:$N$160,4,FALSE),0)+
IFERROR(VLOOKUP(A94,'Centre WV11'!$A$7:$N$163,4,FALSE),0)</f>
        <v>0</v>
      </c>
      <c r="E94" s="10">
        <f>IFERROR(VLOOKUP(A94,'Centre DW11'!$A$7:$N$161,5,FALSE),0)+
IFERROR(VLOOKUP(A94,'Centre WP11'!$A$7:$N$160,5,FALSE),0)+
IFERROR(VLOOKUP(A94,'Centre WR11'!$A$7:$N$160,5,FALSE),0)+
IFERROR(VLOOKUP(A94,'Centre WV11'!$A$7:$N$163,5,FALSE),0)</f>
        <v>0</v>
      </c>
      <c r="F94" s="10">
        <f>IFERROR(VLOOKUP(A94,'Centre DW11'!$A$7:$N$161,6,FALSE),0)+
IFERROR(VLOOKUP(A94,'Centre WP11'!$A$7:$N$160,6,FALSE),0)+
IFERROR(VLOOKUP(A94,'Centre WR11'!$A$7:$N$160,6,FALSE),0)+
IFERROR(VLOOKUP(A94,'Centre WV11'!$A$7:$N$163,6,FALSE),0)</f>
        <v>0</v>
      </c>
      <c r="G94" s="10">
        <f>IFERROR(VLOOKUP(A94,'Centre DW11'!$A$7:$N$161,7,FALSE),0)+
IFERROR(VLOOKUP(A94,'Centre WP11'!$A$7:$N$160,7,FALSE),0)+
IFERROR(VLOOKUP(A94,'Centre WR11'!$A$7:$N$160,7,FALSE),0)+
IFERROR(VLOOKUP(A94,'Centre WV11'!$A$7:$N$163,7,FALSE),0)</f>
        <v>0</v>
      </c>
      <c r="H94" s="10">
        <f>IFERROR(VLOOKUP(A94,'Centre DW11'!$A$7:$N$161,8,FALSE),0)+
IFERROR(VLOOKUP(A94,'Centre WP11'!$A$7:$N$160,8,FALSE),0)+
IFERROR(VLOOKUP(A94,'Centre WR11'!$A$7:$N$160,8,FALSE),0)+
IFERROR(VLOOKUP(A94,'Centre WV11'!$A$7:$N$163,8,FALSE),0)</f>
        <v>0</v>
      </c>
      <c r="I94" s="10">
        <f>IFERROR(VLOOKUP(A94,'Centre DW11'!$A$7:$N$161,9,FALSE),0)+
IFERROR(VLOOKUP(A94,'Centre WP11'!$A$7:$N$160,9,FALSE),0)+
IFERROR(VLOOKUP(A94,'Centre WR11'!$A$7:$N$160,9,FALSE),0)+
IFERROR(VLOOKUP(A94,'Centre WV11'!$A$7:$N$163,9,FALSE),0)</f>
        <v>0</v>
      </c>
      <c r="J94" s="10">
        <f>IFERROR(VLOOKUP(A94,'Centre DW11'!$A$7:$N$161,10,FALSE),0)+
IFERROR(VLOOKUP(A94,'Centre WP11'!$A$7:$N$160,10,FALSE),0)+
IFERROR(VLOOKUP(A94,'Centre WR11'!$A$7:$N$160,10,FALSE),0)+
IFERROR(VLOOKUP(A94,'Centre WV11'!$A$7:$N$163,10,FALSE),0)</f>
        <v>0</v>
      </c>
      <c r="K94" s="10">
        <f>IFERROR(VLOOKUP(A94,'Centre DW11'!$A$7:$N$161,11,FALSE),0)+
IFERROR(VLOOKUP(A94,'Centre WP11'!$A$7:$N$160,11,FALSE),0)+
IFERROR(VLOOKUP(A94,'Centre WR11'!$A$7:$N$160,11,FALSE),0)+
IFERROR(VLOOKUP(A94,'Centre WV11'!$A$7:$N$163,11,FALSE),0)</f>
        <v>0.1</v>
      </c>
      <c r="L94" s="10">
        <f>IFERROR(VLOOKUP(A94,'Centre DW11'!$A$7:$N$161,12,FALSE),0)+
IFERROR(VLOOKUP(A94,'Centre WP11'!$A$7:$N$160,12,FALSE),0)+
IFERROR(VLOOKUP(A94,'Centre WR11'!$A$7:$N$160,12,FALSE),0)+
IFERROR(VLOOKUP(A94,'Centre WV11'!$A$7:$N$163,12,FALSE),0)</f>
        <v>0</v>
      </c>
      <c r="M94" s="10">
        <f>IFERROR(VLOOKUP(A94,'Centre DW11'!$A$7:$N$161,13,FALSE),0)+
IFERROR(VLOOKUP(A94,'Centre WP11'!$A$7:$N$160,13,FALSE),0)+
IFERROR(VLOOKUP(A94,'Centre WR11'!$A$7:$N$160,13,FALSE),0)+
IFERROR(VLOOKUP(A94,'Centre WV11'!$A$7:$N$163,13,FALSE),0)</f>
        <v>0.1</v>
      </c>
      <c r="N94" s="10">
        <f>IFERROR(VLOOKUP(A94,'Centre DW11'!$A$7:$N$161,14,FALSE),0)+
IFERROR(VLOOKUP(A94,'Centre WP11'!$A$7:$N$160,14,FALSE),0)+
IFERROR(VLOOKUP(A94,'Centre WR11'!$A$7:$N$160,14,FALSE),0)+
IFERROR(VLOOKUP(A94,'Centre WV11'!$A$7:$N$163,14,FALSE),0)</f>
        <v>0.8</v>
      </c>
    </row>
    <row r="95" spans="1:14" hidden="1" outlineLevel="1" x14ac:dyDescent="0.2">
      <c r="A95" s="9" t="s">
        <v>149</v>
      </c>
      <c r="B95" s="1" t="s">
        <v>150</v>
      </c>
      <c r="C95" s="10">
        <f>IFERROR(VLOOKUP(A95,'Centre DW11'!$A$7:$N$161,3,FALSE),0)+
IFERROR(VLOOKUP(A95,'Centre WP11'!$A$7:$N$160,3,FALSE),0)+
IFERROR(VLOOKUP(A95,'Centre WR11'!$A$7:$N$160,3,FALSE),0)+
IFERROR(VLOOKUP(A95,'Centre WV11'!$A$7:$N$163,3,FALSE),0)</f>
        <v>9.6</v>
      </c>
      <c r="D95" s="10">
        <f>IFERROR(VLOOKUP(A95,'Centre DW11'!$A$7:$N$161,4,FALSE),0)+
IFERROR(VLOOKUP(A95,'Centre WP11'!$A$7:$N$160,4,FALSE),0)+
IFERROR(VLOOKUP(A95,'Centre WR11'!$A$7:$N$160,4,FALSE),0)+
IFERROR(VLOOKUP(A95,'Centre WV11'!$A$7:$N$163,4,FALSE),0)</f>
        <v>9.6</v>
      </c>
      <c r="E95" s="10">
        <f>IFERROR(VLOOKUP(A95,'Centre DW11'!$A$7:$N$161,5,FALSE),0)+
IFERROR(VLOOKUP(A95,'Centre WP11'!$A$7:$N$160,5,FALSE),0)+
IFERROR(VLOOKUP(A95,'Centre WR11'!$A$7:$N$160,5,FALSE),0)+
IFERROR(VLOOKUP(A95,'Centre WV11'!$A$7:$N$163,5,FALSE),0)</f>
        <v>9.6</v>
      </c>
      <c r="F95" s="10">
        <f>IFERROR(VLOOKUP(A95,'Centre DW11'!$A$7:$N$161,6,FALSE),0)+
IFERROR(VLOOKUP(A95,'Centre WP11'!$A$7:$N$160,6,FALSE),0)+
IFERROR(VLOOKUP(A95,'Centre WR11'!$A$7:$N$160,6,FALSE),0)+
IFERROR(VLOOKUP(A95,'Centre WV11'!$A$7:$N$163,6,FALSE),0)</f>
        <v>15.899999999999999</v>
      </c>
      <c r="G95" s="10">
        <f>IFERROR(VLOOKUP(A95,'Centre DW11'!$A$7:$N$161,7,FALSE),0)+
IFERROR(VLOOKUP(A95,'Centre WP11'!$A$7:$N$160,7,FALSE),0)+
IFERROR(VLOOKUP(A95,'Centre WR11'!$A$7:$N$160,7,FALSE),0)+
IFERROR(VLOOKUP(A95,'Centre WV11'!$A$7:$N$163,7,FALSE),0)</f>
        <v>9.6</v>
      </c>
      <c r="H95" s="10">
        <f>IFERROR(VLOOKUP(A95,'Centre DW11'!$A$7:$N$161,8,FALSE),0)+
IFERROR(VLOOKUP(A95,'Centre WP11'!$A$7:$N$160,8,FALSE),0)+
IFERROR(VLOOKUP(A95,'Centre WR11'!$A$7:$N$160,8,FALSE),0)+
IFERROR(VLOOKUP(A95,'Centre WV11'!$A$7:$N$163,8,FALSE),0)</f>
        <v>9.6</v>
      </c>
      <c r="I95" s="10">
        <f>IFERROR(VLOOKUP(A95,'Centre DW11'!$A$7:$N$161,9,FALSE),0)+
IFERROR(VLOOKUP(A95,'Centre WP11'!$A$7:$N$160,9,FALSE),0)+
IFERROR(VLOOKUP(A95,'Centre WR11'!$A$7:$N$160,9,FALSE),0)+
IFERROR(VLOOKUP(A95,'Centre WV11'!$A$7:$N$163,9,FALSE),0)</f>
        <v>9.6</v>
      </c>
      <c r="J95" s="10">
        <f>IFERROR(VLOOKUP(A95,'Centre DW11'!$A$7:$N$161,10,FALSE),0)+
IFERROR(VLOOKUP(A95,'Centre WP11'!$A$7:$N$160,10,FALSE),0)+
IFERROR(VLOOKUP(A95,'Centre WR11'!$A$7:$N$160,10,FALSE),0)+
IFERROR(VLOOKUP(A95,'Centre WV11'!$A$7:$N$163,10,FALSE),0)</f>
        <v>9.6</v>
      </c>
      <c r="K95" s="10">
        <f>IFERROR(VLOOKUP(A95,'Centre DW11'!$A$7:$N$161,11,FALSE),0)+
IFERROR(VLOOKUP(A95,'Centre WP11'!$A$7:$N$160,11,FALSE),0)+
IFERROR(VLOOKUP(A95,'Centre WR11'!$A$7:$N$160,11,FALSE),0)+
IFERROR(VLOOKUP(A95,'Centre WV11'!$A$7:$N$163,11,FALSE),0)</f>
        <v>-0.2</v>
      </c>
      <c r="L95" s="10">
        <f>IFERROR(VLOOKUP(A95,'Centre DW11'!$A$7:$N$161,12,FALSE),0)+
IFERROR(VLOOKUP(A95,'Centre WP11'!$A$7:$N$160,12,FALSE),0)+
IFERROR(VLOOKUP(A95,'Centre WR11'!$A$7:$N$160,12,FALSE),0)+
IFERROR(VLOOKUP(A95,'Centre WV11'!$A$7:$N$163,12,FALSE),0)</f>
        <v>3.3</v>
      </c>
      <c r="M95" s="10">
        <f>IFERROR(VLOOKUP(A95,'Centre DW11'!$A$7:$N$161,13,FALSE),0)+
IFERROR(VLOOKUP(A95,'Centre WP11'!$A$7:$N$160,13,FALSE),0)+
IFERROR(VLOOKUP(A95,'Centre WR11'!$A$7:$N$160,13,FALSE),0)+
IFERROR(VLOOKUP(A95,'Centre WV11'!$A$7:$N$163,13,FALSE),0)</f>
        <v>3.6</v>
      </c>
      <c r="N95" s="10">
        <f>IFERROR(VLOOKUP(A95,'Centre DW11'!$A$7:$N$161,14,FALSE),0)+
IFERROR(VLOOKUP(A95,'Centre WP11'!$A$7:$N$160,14,FALSE),0)+
IFERROR(VLOOKUP(A95,'Centre WR11'!$A$7:$N$160,14,FALSE),0)+
IFERROR(VLOOKUP(A95,'Centre WV11'!$A$7:$N$163,14,FALSE),0)</f>
        <v>6.3</v>
      </c>
    </row>
    <row r="96" spans="1:14" hidden="1" outlineLevel="1" x14ac:dyDescent="0.2">
      <c r="A96" s="9" t="s">
        <v>151</v>
      </c>
      <c r="B96" s="1" t="s">
        <v>152</v>
      </c>
      <c r="C96" s="10">
        <f>IFERROR(VLOOKUP(A96,'Centre DW11'!$A$7:$N$161,3,FALSE),0)+
IFERROR(VLOOKUP(A96,'Centre WP11'!$A$7:$N$160,3,FALSE),0)+
IFERROR(VLOOKUP(A96,'Centre WR11'!$A$7:$N$160,3,FALSE),0)+
IFERROR(VLOOKUP(A96,'Centre WV11'!$A$7:$N$163,3,FALSE),0)</f>
        <v>1.6</v>
      </c>
      <c r="D96" s="10">
        <f>IFERROR(VLOOKUP(A96,'Centre DW11'!$A$7:$N$161,4,FALSE),0)+
IFERROR(VLOOKUP(A96,'Centre WP11'!$A$7:$N$160,4,FALSE),0)+
IFERROR(VLOOKUP(A96,'Centre WR11'!$A$7:$N$160,4,FALSE),0)+
IFERROR(VLOOKUP(A96,'Centre WV11'!$A$7:$N$163,4,FALSE),0)</f>
        <v>1.6</v>
      </c>
      <c r="E96" s="10">
        <f>IFERROR(VLOOKUP(A96,'Centre DW11'!$A$7:$N$161,5,FALSE),0)+
IFERROR(VLOOKUP(A96,'Centre WP11'!$A$7:$N$160,5,FALSE),0)+
IFERROR(VLOOKUP(A96,'Centre WR11'!$A$7:$N$160,5,FALSE),0)+
IFERROR(VLOOKUP(A96,'Centre WV11'!$A$7:$N$163,5,FALSE),0)</f>
        <v>1.6</v>
      </c>
      <c r="F96" s="10">
        <f>IFERROR(VLOOKUP(A96,'Centre DW11'!$A$7:$N$161,6,FALSE),0)+
IFERROR(VLOOKUP(A96,'Centre WP11'!$A$7:$N$160,6,FALSE),0)+
IFERROR(VLOOKUP(A96,'Centre WR11'!$A$7:$N$160,6,FALSE),0)+
IFERROR(VLOOKUP(A96,'Centre WV11'!$A$7:$N$163,6,FALSE),0)</f>
        <v>2.4000000000000004</v>
      </c>
      <c r="G96" s="10">
        <f>IFERROR(VLOOKUP(A96,'Centre DW11'!$A$7:$N$161,7,FALSE),0)+
IFERROR(VLOOKUP(A96,'Centre WP11'!$A$7:$N$160,7,FALSE),0)+
IFERROR(VLOOKUP(A96,'Centre WR11'!$A$7:$N$160,7,FALSE),0)+
IFERROR(VLOOKUP(A96,'Centre WV11'!$A$7:$N$163,7,FALSE),0)</f>
        <v>1.6</v>
      </c>
      <c r="H96" s="10">
        <f>IFERROR(VLOOKUP(A96,'Centre DW11'!$A$7:$N$161,8,FALSE),0)+
IFERROR(VLOOKUP(A96,'Centre WP11'!$A$7:$N$160,8,FALSE),0)+
IFERROR(VLOOKUP(A96,'Centre WR11'!$A$7:$N$160,8,FALSE),0)+
IFERROR(VLOOKUP(A96,'Centre WV11'!$A$7:$N$163,8,FALSE),0)</f>
        <v>1.6</v>
      </c>
      <c r="I96" s="10">
        <f>IFERROR(VLOOKUP(A96,'Centre DW11'!$A$7:$N$161,9,FALSE),0)+
IFERROR(VLOOKUP(A96,'Centre WP11'!$A$7:$N$160,9,FALSE),0)+
IFERROR(VLOOKUP(A96,'Centre WR11'!$A$7:$N$160,9,FALSE),0)+
IFERROR(VLOOKUP(A96,'Centre WV11'!$A$7:$N$163,9,FALSE),0)</f>
        <v>1.6</v>
      </c>
      <c r="J96" s="10">
        <f>IFERROR(VLOOKUP(A96,'Centre DW11'!$A$7:$N$161,10,FALSE),0)+
IFERROR(VLOOKUP(A96,'Centre WP11'!$A$7:$N$160,10,FALSE),0)+
IFERROR(VLOOKUP(A96,'Centre WR11'!$A$7:$N$160,10,FALSE),0)+
IFERROR(VLOOKUP(A96,'Centre WV11'!$A$7:$N$163,10,FALSE),0)</f>
        <v>1.6</v>
      </c>
      <c r="K96" s="10">
        <f>IFERROR(VLOOKUP(A96,'Centre DW11'!$A$7:$N$161,11,FALSE),0)+
IFERROR(VLOOKUP(A96,'Centre WP11'!$A$7:$N$160,11,FALSE),0)+
IFERROR(VLOOKUP(A96,'Centre WR11'!$A$7:$N$160,11,FALSE),0)+
IFERROR(VLOOKUP(A96,'Centre WV11'!$A$7:$N$163,11,FALSE),0)</f>
        <v>1.6</v>
      </c>
      <c r="L96" s="10">
        <f>IFERROR(VLOOKUP(A96,'Centre DW11'!$A$7:$N$161,12,FALSE),0)+
IFERROR(VLOOKUP(A96,'Centre WP11'!$A$7:$N$160,12,FALSE),0)+
IFERROR(VLOOKUP(A96,'Centre WR11'!$A$7:$N$160,12,FALSE),0)+
IFERROR(VLOOKUP(A96,'Centre WV11'!$A$7:$N$163,12,FALSE),0)</f>
        <v>1.6</v>
      </c>
      <c r="M96" s="10">
        <f>IFERROR(VLOOKUP(A96,'Centre DW11'!$A$7:$N$161,13,FALSE),0)+
IFERROR(VLOOKUP(A96,'Centre WP11'!$A$7:$N$160,13,FALSE),0)+
IFERROR(VLOOKUP(A96,'Centre WR11'!$A$7:$N$160,13,FALSE),0)+
IFERROR(VLOOKUP(A96,'Centre WV11'!$A$7:$N$163,13,FALSE),0)</f>
        <v>1.6</v>
      </c>
      <c r="N96" s="10">
        <f>IFERROR(VLOOKUP(A96,'Centre DW11'!$A$7:$N$161,14,FALSE),0)+
IFERROR(VLOOKUP(A96,'Centre WP11'!$A$7:$N$160,14,FALSE),0)+
IFERROR(VLOOKUP(A96,'Centre WR11'!$A$7:$N$160,14,FALSE),0)+
IFERROR(VLOOKUP(A96,'Centre WV11'!$A$7:$N$163,14,FALSE),0)</f>
        <v>1.6</v>
      </c>
    </row>
    <row r="97" spans="1:14" hidden="1" outlineLevel="1" x14ac:dyDescent="0.2">
      <c r="A97" s="9" t="s">
        <v>355</v>
      </c>
      <c r="B97" s="1" t="s">
        <v>356</v>
      </c>
      <c r="C97" s="10">
        <f>IFERROR(VLOOKUP(A97,'Centre DW11'!$A$7:$N$161,3,FALSE),0)+
IFERROR(VLOOKUP(A97,'Centre WP11'!$A$7:$N$160,3,FALSE),0)+
IFERROR(VLOOKUP(A97,'Centre WR11'!$A$7:$N$160,3,FALSE),0)+
IFERROR(VLOOKUP(A97,'Centre WV11'!$A$7:$N$163,3,FALSE),0)</f>
        <v>12</v>
      </c>
      <c r="D97" s="10">
        <f>IFERROR(VLOOKUP(A97,'Centre DW11'!$A$7:$N$161,4,FALSE),0)+
IFERROR(VLOOKUP(A97,'Centre WP11'!$A$7:$N$160,4,FALSE),0)+
IFERROR(VLOOKUP(A97,'Centre WR11'!$A$7:$N$160,4,FALSE),0)+
IFERROR(VLOOKUP(A97,'Centre WV11'!$A$7:$N$163,4,FALSE),0)</f>
        <v>12</v>
      </c>
      <c r="E97" s="10">
        <f>IFERROR(VLOOKUP(A97,'Centre DW11'!$A$7:$N$161,5,FALSE),0)+
IFERROR(VLOOKUP(A97,'Centre WP11'!$A$7:$N$160,5,FALSE),0)+
IFERROR(VLOOKUP(A97,'Centre WR11'!$A$7:$N$160,5,FALSE),0)+
IFERROR(VLOOKUP(A97,'Centre WV11'!$A$7:$N$163,5,FALSE),0)</f>
        <v>12</v>
      </c>
      <c r="F97" s="10">
        <f>IFERROR(VLOOKUP(A97,'Centre DW11'!$A$7:$N$161,6,FALSE),0)+
IFERROR(VLOOKUP(A97,'Centre WP11'!$A$7:$N$160,6,FALSE),0)+
IFERROR(VLOOKUP(A97,'Centre WR11'!$A$7:$N$160,6,FALSE),0)+
IFERROR(VLOOKUP(A97,'Centre WV11'!$A$7:$N$163,6,FALSE),0)</f>
        <v>12</v>
      </c>
      <c r="G97" s="10">
        <f>IFERROR(VLOOKUP(A97,'Centre DW11'!$A$7:$N$161,7,FALSE),0)+
IFERROR(VLOOKUP(A97,'Centre WP11'!$A$7:$N$160,7,FALSE),0)+
IFERROR(VLOOKUP(A97,'Centre WR11'!$A$7:$N$160,7,FALSE),0)+
IFERROR(VLOOKUP(A97,'Centre WV11'!$A$7:$N$163,7,FALSE),0)</f>
        <v>12</v>
      </c>
      <c r="H97" s="10">
        <f>IFERROR(VLOOKUP(A97,'Centre DW11'!$A$7:$N$161,8,FALSE),0)+
IFERROR(VLOOKUP(A97,'Centre WP11'!$A$7:$N$160,8,FALSE),0)+
IFERROR(VLOOKUP(A97,'Centre WR11'!$A$7:$N$160,8,FALSE),0)+
IFERROR(VLOOKUP(A97,'Centre WV11'!$A$7:$N$163,8,FALSE),0)</f>
        <v>12</v>
      </c>
      <c r="I97" s="10">
        <f>IFERROR(VLOOKUP(A97,'Centre DW11'!$A$7:$N$161,9,FALSE),0)+
IFERROR(VLOOKUP(A97,'Centre WP11'!$A$7:$N$160,9,FALSE),0)+
IFERROR(VLOOKUP(A97,'Centre WR11'!$A$7:$N$160,9,FALSE),0)+
IFERROR(VLOOKUP(A97,'Centre WV11'!$A$7:$N$163,9,FALSE),0)</f>
        <v>12</v>
      </c>
      <c r="J97" s="10">
        <f>IFERROR(VLOOKUP(A97,'Centre DW11'!$A$7:$N$161,10,FALSE),0)+
IFERROR(VLOOKUP(A97,'Centre WP11'!$A$7:$N$160,10,FALSE),0)+
IFERROR(VLOOKUP(A97,'Centre WR11'!$A$7:$N$160,10,FALSE),0)+
IFERROR(VLOOKUP(A97,'Centre WV11'!$A$7:$N$163,10,FALSE),0)</f>
        <v>12</v>
      </c>
      <c r="K97" s="10">
        <f>IFERROR(VLOOKUP(A97,'Centre DW11'!$A$7:$N$161,11,FALSE),0)+
IFERROR(VLOOKUP(A97,'Centre WP11'!$A$7:$N$160,11,FALSE),0)+
IFERROR(VLOOKUP(A97,'Centre WR11'!$A$7:$N$160,11,FALSE),0)+
IFERROR(VLOOKUP(A97,'Centre WV11'!$A$7:$N$163,11,FALSE),0)</f>
        <v>12</v>
      </c>
      <c r="L97" s="10">
        <f>IFERROR(VLOOKUP(A97,'Centre DW11'!$A$7:$N$161,12,FALSE),0)+
IFERROR(VLOOKUP(A97,'Centre WP11'!$A$7:$N$160,12,FALSE),0)+
IFERROR(VLOOKUP(A97,'Centre WR11'!$A$7:$N$160,12,FALSE),0)+
IFERROR(VLOOKUP(A97,'Centre WV11'!$A$7:$N$163,12,FALSE),0)</f>
        <v>12</v>
      </c>
      <c r="M97" s="10">
        <f>IFERROR(VLOOKUP(A97,'Centre DW11'!$A$7:$N$161,13,FALSE),0)+
IFERROR(VLOOKUP(A97,'Centre WP11'!$A$7:$N$160,13,FALSE),0)+
IFERROR(VLOOKUP(A97,'Centre WR11'!$A$7:$N$160,13,FALSE),0)+
IFERROR(VLOOKUP(A97,'Centre WV11'!$A$7:$N$163,13,FALSE),0)</f>
        <v>12</v>
      </c>
      <c r="N97" s="10">
        <f>IFERROR(VLOOKUP(A97,'Centre DW11'!$A$7:$N$161,14,FALSE),0)+
IFERROR(VLOOKUP(A97,'Centre WP11'!$A$7:$N$160,14,FALSE),0)+
IFERROR(VLOOKUP(A97,'Centre WR11'!$A$7:$N$160,14,FALSE),0)+
IFERROR(VLOOKUP(A97,'Centre WV11'!$A$7:$N$163,14,FALSE),0)</f>
        <v>12</v>
      </c>
    </row>
    <row r="98" spans="1:14" hidden="1" outlineLevel="1" x14ac:dyDescent="0.2">
      <c r="A98" s="9" t="s">
        <v>153</v>
      </c>
      <c r="B98" s="1" t="s">
        <v>154</v>
      </c>
      <c r="C98" s="10">
        <f>IFERROR(VLOOKUP(A98,'Centre DW11'!$A$7:$N$161,3,FALSE),0)+
IFERROR(VLOOKUP(A98,'Centre WP11'!$A$7:$N$160,3,FALSE),0)+
IFERROR(VLOOKUP(A98,'Centre WR11'!$A$7:$N$160,3,FALSE),0)+
IFERROR(VLOOKUP(A98,'Centre WV11'!$A$7:$N$163,3,FALSE),0)</f>
        <v>25</v>
      </c>
      <c r="D98" s="10">
        <f>IFERROR(VLOOKUP(A98,'Centre DW11'!$A$7:$N$161,4,FALSE),0)+
IFERROR(VLOOKUP(A98,'Centre WP11'!$A$7:$N$160,4,FALSE),0)+
IFERROR(VLOOKUP(A98,'Centre WR11'!$A$7:$N$160,4,FALSE),0)+
IFERROR(VLOOKUP(A98,'Centre WV11'!$A$7:$N$163,4,FALSE),0)</f>
        <v>25</v>
      </c>
      <c r="E98" s="10">
        <f>IFERROR(VLOOKUP(A98,'Centre DW11'!$A$7:$N$161,5,FALSE),0)+
IFERROR(VLOOKUP(A98,'Centre WP11'!$A$7:$N$160,5,FALSE),0)+
IFERROR(VLOOKUP(A98,'Centre WR11'!$A$7:$N$160,5,FALSE),0)+
IFERROR(VLOOKUP(A98,'Centre WV11'!$A$7:$N$163,5,FALSE),0)</f>
        <v>25</v>
      </c>
      <c r="F98" s="10">
        <f>IFERROR(VLOOKUP(A98,'Centre DW11'!$A$7:$N$161,6,FALSE),0)+
IFERROR(VLOOKUP(A98,'Centre WP11'!$A$7:$N$160,6,FALSE),0)+
IFERROR(VLOOKUP(A98,'Centre WR11'!$A$7:$N$160,6,FALSE),0)+
IFERROR(VLOOKUP(A98,'Centre WV11'!$A$7:$N$163,6,FALSE),0)</f>
        <v>26.8</v>
      </c>
      <c r="G98" s="10">
        <f>IFERROR(VLOOKUP(A98,'Centre DW11'!$A$7:$N$161,7,FALSE),0)+
IFERROR(VLOOKUP(A98,'Centre WP11'!$A$7:$N$160,7,FALSE),0)+
IFERROR(VLOOKUP(A98,'Centre WR11'!$A$7:$N$160,7,FALSE),0)+
IFERROR(VLOOKUP(A98,'Centre WV11'!$A$7:$N$163,7,FALSE),0)</f>
        <v>25</v>
      </c>
      <c r="H98" s="10">
        <f>IFERROR(VLOOKUP(A98,'Centre DW11'!$A$7:$N$161,8,FALSE),0)+
IFERROR(VLOOKUP(A98,'Centre WP11'!$A$7:$N$160,8,FALSE),0)+
IFERROR(VLOOKUP(A98,'Centre WR11'!$A$7:$N$160,8,FALSE),0)+
IFERROR(VLOOKUP(A98,'Centre WV11'!$A$7:$N$163,8,FALSE),0)</f>
        <v>25</v>
      </c>
      <c r="I98" s="10">
        <f>IFERROR(VLOOKUP(A98,'Centre DW11'!$A$7:$N$161,9,FALSE),0)+
IFERROR(VLOOKUP(A98,'Centre WP11'!$A$7:$N$160,9,FALSE),0)+
IFERROR(VLOOKUP(A98,'Centre WR11'!$A$7:$N$160,9,FALSE),0)+
IFERROR(VLOOKUP(A98,'Centre WV11'!$A$7:$N$163,9,FALSE),0)</f>
        <v>25</v>
      </c>
      <c r="J98" s="10">
        <f>IFERROR(VLOOKUP(A98,'Centre DW11'!$A$7:$N$161,10,FALSE),0)+
IFERROR(VLOOKUP(A98,'Centre WP11'!$A$7:$N$160,10,FALSE),0)+
IFERROR(VLOOKUP(A98,'Centre WR11'!$A$7:$N$160,10,FALSE),0)+
IFERROR(VLOOKUP(A98,'Centre WV11'!$A$7:$N$163,10,FALSE),0)</f>
        <v>25</v>
      </c>
      <c r="K98" s="10">
        <f>IFERROR(VLOOKUP(A98,'Centre DW11'!$A$7:$N$161,11,FALSE),0)+
IFERROR(VLOOKUP(A98,'Centre WP11'!$A$7:$N$160,11,FALSE),0)+
IFERROR(VLOOKUP(A98,'Centre WR11'!$A$7:$N$160,11,FALSE),0)+
IFERROR(VLOOKUP(A98,'Centre WV11'!$A$7:$N$163,11,FALSE),0)</f>
        <v>25</v>
      </c>
      <c r="L98" s="10">
        <f>IFERROR(VLOOKUP(A98,'Centre DW11'!$A$7:$N$161,12,FALSE),0)+
IFERROR(VLOOKUP(A98,'Centre WP11'!$A$7:$N$160,12,FALSE),0)+
IFERROR(VLOOKUP(A98,'Centre WR11'!$A$7:$N$160,12,FALSE),0)+
IFERROR(VLOOKUP(A98,'Centre WV11'!$A$7:$N$163,12,FALSE),0)</f>
        <v>25</v>
      </c>
      <c r="M98" s="10">
        <f>IFERROR(VLOOKUP(A98,'Centre DW11'!$A$7:$N$161,13,FALSE),0)+
IFERROR(VLOOKUP(A98,'Centre WP11'!$A$7:$N$160,13,FALSE),0)+
IFERROR(VLOOKUP(A98,'Centre WR11'!$A$7:$N$160,13,FALSE),0)+
IFERROR(VLOOKUP(A98,'Centre WV11'!$A$7:$N$163,13,FALSE),0)</f>
        <v>25</v>
      </c>
      <c r="N98" s="10">
        <f>IFERROR(VLOOKUP(A98,'Centre DW11'!$A$7:$N$161,14,FALSE),0)+
IFERROR(VLOOKUP(A98,'Centre WP11'!$A$7:$N$160,14,FALSE),0)+
IFERROR(VLOOKUP(A98,'Centre WR11'!$A$7:$N$160,14,FALSE),0)+
IFERROR(VLOOKUP(A98,'Centre WV11'!$A$7:$N$163,14,FALSE),0)</f>
        <v>25</v>
      </c>
    </row>
    <row r="99" spans="1:14" hidden="1" outlineLevel="1" x14ac:dyDescent="0.2">
      <c r="A99" s="9" t="s">
        <v>155</v>
      </c>
      <c r="B99" s="1" t="s">
        <v>156</v>
      </c>
      <c r="C99" s="10">
        <f>IFERROR(VLOOKUP(A99,'Centre DW11'!$A$7:$N$161,3,FALSE),0)+
IFERROR(VLOOKUP(A99,'Centre WP11'!$A$7:$N$160,3,FALSE),0)+
IFERROR(VLOOKUP(A99,'Centre WR11'!$A$7:$N$160,3,FALSE),0)+
IFERROR(VLOOKUP(A99,'Centre WV11'!$A$7:$N$163,3,FALSE),0)</f>
        <v>4.2</v>
      </c>
      <c r="D99" s="10">
        <f>IFERROR(VLOOKUP(A99,'Centre DW11'!$A$7:$N$161,4,FALSE),0)+
IFERROR(VLOOKUP(A99,'Centre WP11'!$A$7:$N$160,4,FALSE),0)+
IFERROR(VLOOKUP(A99,'Centre WR11'!$A$7:$N$160,4,FALSE),0)+
IFERROR(VLOOKUP(A99,'Centre WV11'!$A$7:$N$163,4,FALSE),0)</f>
        <v>4.2</v>
      </c>
      <c r="E99" s="10">
        <f>IFERROR(VLOOKUP(A99,'Centre DW11'!$A$7:$N$161,5,FALSE),0)+
IFERROR(VLOOKUP(A99,'Centre WP11'!$A$7:$N$160,5,FALSE),0)+
IFERROR(VLOOKUP(A99,'Centre WR11'!$A$7:$N$160,5,FALSE),0)+
IFERROR(VLOOKUP(A99,'Centre WV11'!$A$7:$N$163,5,FALSE),0)</f>
        <v>4.2</v>
      </c>
      <c r="F99" s="10">
        <f>IFERROR(VLOOKUP(A99,'Centre DW11'!$A$7:$N$161,6,FALSE),0)+
IFERROR(VLOOKUP(A99,'Centre WP11'!$A$7:$N$160,6,FALSE),0)+
IFERROR(VLOOKUP(A99,'Centre WR11'!$A$7:$N$160,6,FALSE),0)+
IFERROR(VLOOKUP(A99,'Centre WV11'!$A$7:$N$163,6,FALSE),0)</f>
        <v>4.2</v>
      </c>
      <c r="G99" s="10">
        <f>IFERROR(VLOOKUP(A99,'Centre DW11'!$A$7:$N$161,7,FALSE),0)+
IFERROR(VLOOKUP(A99,'Centre WP11'!$A$7:$N$160,7,FALSE),0)+
IFERROR(VLOOKUP(A99,'Centre WR11'!$A$7:$N$160,7,FALSE),0)+
IFERROR(VLOOKUP(A99,'Centre WV11'!$A$7:$N$163,7,FALSE),0)</f>
        <v>4.2</v>
      </c>
      <c r="H99" s="10">
        <f>IFERROR(VLOOKUP(A99,'Centre DW11'!$A$7:$N$161,8,FALSE),0)+
IFERROR(VLOOKUP(A99,'Centre WP11'!$A$7:$N$160,8,FALSE),0)+
IFERROR(VLOOKUP(A99,'Centre WR11'!$A$7:$N$160,8,FALSE),0)+
IFERROR(VLOOKUP(A99,'Centre WV11'!$A$7:$N$163,8,FALSE),0)</f>
        <v>4.2</v>
      </c>
      <c r="I99" s="10">
        <f>IFERROR(VLOOKUP(A99,'Centre DW11'!$A$7:$N$161,9,FALSE),0)+
IFERROR(VLOOKUP(A99,'Centre WP11'!$A$7:$N$160,9,FALSE),0)+
IFERROR(VLOOKUP(A99,'Centre WR11'!$A$7:$N$160,9,FALSE),0)+
IFERROR(VLOOKUP(A99,'Centre WV11'!$A$7:$N$163,9,FALSE),0)</f>
        <v>4.2</v>
      </c>
      <c r="J99" s="10">
        <f>IFERROR(VLOOKUP(A99,'Centre DW11'!$A$7:$N$161,10,FALSE),0)+
IFERROR(VLOOKUP(A99,'Centre WP11'!$A$7:$N$160,10,FALSE),0)+
IFERROR(VLOOKUP(A99,'Centre WR11'!$A$7:$N$160,10,FALSE),0)+
IFERROR(VLOOKUP(A99,'Centre WV11'!$A$7:$N$163,10,FALSE),0)</f>
        <v>4.2</v>
      </c>
      <c r="K99" s="10">
        <f>IFERROR(VLOOKUP(A99,'Centre DW11'!$A$7:$N$161,11,FALSE),0)+
IFERROR(VLOOKUP(A99,'Centre WP11'!$A$7:$N$160,11,FALSE),0)+
IFERROR(VLOOKUP(A99,'Centre WR11'!$A$7:$N$160,11,FALSE),0)+
IFERROR(VLOOKUP(A99,'Centre WV11'!$A$7:$N$163,11,FALSE),0)</f>
        <v>4.2</v>
      </c>
      <c r="L99" s="10">
        <f>IFERROR(VLOOKUP(A99,'Centre DW11'!$A$7:$N$161,12,FALSE),0)+
IFERROR(VLOOKUP(A99,'Centre WP11'!$A$7:$N$160,12,FALSE),0)+
IFERROR(VLOOKUP(A99,'Centre WR11'!$A$7:$N$160,12,FALSE),0)+
IFERROR(VLOOKUP(A99,'Centre WV11'!$A$7:$N$163,12,FALSE),0)</f>
        <v>4.2</v>
      </c>
      <c r="M99" s="10">
        <f>IFERROR(VLOOKUP(A99,'Centre DW11'!$A$7:$N$161,13,FALSE),0)+
IFERROR(VLOOKUP(A99,'Centre WP11'!$A$7:$N$160,13,FALSE),0)+
IFERROR(VLOOKUP(A99,'Centre WR11'!$A$7:$N$160,13,FALSE),0)+
IFERROR(VLOOKUP(A99,'Centre WV11'!$A$7:$N$163,13,FALSE),0)</f>
        <v>4.2</v>
      </c>
      <c r="N99" s="10">
        <f>IFERROR(VLOOKUP(A99,'Centre DW11'!$A$7:$N$161,14,FALSE),0)+
IFERROR(VLOOKUP(A99,'Centre WP11'!$A$7:$N$160,14,FALSE),0)+
IFERROR(VLOOKUP(A99,'Centre WR11'!$A$7:$N$160,14,FALSE),0)+
IFERROR(VLOOKUP(A99,'Centre WV11'!$A$7:$N$163,14,FALSE),0)</f>
        <v>4.2</v>
      </c>
    </row>
    <row r="100" spans="1:14" collapsed="1" x14ac:dyDescent="0.2">
      <c r="A100" s="48" t="s">
        <v>157</v>
      </c>
      <c r="B100" s="49" t="s">
        <v>158</v>
      </c>
      <c r="C100" s="50">
        <f>+C101</f>
        <v>3.9</v>
      </c>
      <c r="D100" s="50">
        <f t="shared" ref="D100:N100" si="17">+D101</f>
        <v>3.9</v>
      </c>
      <c r="E100" s="50">
        <f t="shared" si="17"/>
        <v>3.9</v>
      </c>
      <c r="F100" s="50">
        <f t="shared" si="17"/>
        <v>3.9</v>
      </c>
      <c r="G100" s="50">
        <f t="shared" si="17"/>
        <v>3.9</v>
      </c>
      <c r="H100" s="50">
        <f t="shared" si="17"/>
        <v>3.9</v>
      </c>
      <c r="I100" s="50">
        <f t="shared" si="17"/>
        <v>3.9</v>
      </c>
      <c r="J100" s="50">
        <f t="shared" si="17"/>
        <v>3.9</v>
      </c>
      <c r="K100" s="50">
        <f t="shared" si="17"/>
        <v>3.9</v>
      </c>
      <c r="L100" s="50">
        <f t="shared" si="17"/>
        <v>3.9</v>
      </c>
      <c r="M100" s="50">
        <f t="shared" si="17"/>
        <v>3.9</v>
      </c>
      <c r="N100" s="50">
        <f t="shared" si="17"/>
        <v>3.9</v>
      </c>
    </row>
    <row r="101" spans="1:14" hidden="1" outlineLevel="1" x14ac:dyDescent="0.2">
      <c r="A101" s="9" t="s">
        <v>159</v>
      </c>
      <c r="B101" s="1" t="s">
        <v>160</v>
      </c>
      <c r="C101" s="10">
        <f>IFERROR(VLOOKUP(A101,'Centre DW11'!$A$7:$N$161,3,FALSE),0)+
IFERROR(VLOOKUP(A101,'Centre WP11'!$A$7:$N$160,3,FALSE),0)+
IFERROR(VLOOKUP(A101,'Centre WR11'!$A$7:$N$160,3,FALSE),0)+
IFERROR(VLOOKUP(A101,'Centre WV11'!$A$7:$N$163,3,FALSE),0)</f>
        <v>3.9</v>
      </c>
      <c r="D101" s="10">
        <f>IFERROR(VLOOKUP(A101,'Centre DW11'!$A$7:$N$161,4,FALSE),0)+
IFERROR(VLOOKUP(A101,'Centre WP11'!$A$7:$N$160,4,FALSE),0)+
IFERROR(VLOOKUP(A101,'Centre WR11'!$A$7:$N$160,4,FALSE),0)+
IFERROR(VLOOKUP(A101,'Centre WV11'!$A$7:$N$163,4,FALSE),0)</f>
        <v>3.9</v>
      </c>
      <c r="E101" s="10">
        <f>IFERROR(VLOOKUP(A101,'Centre DW11'!$A$7:$N$161,5,FALSE),0)+
IFERROR(VLOOKUP(A101,'Centre WP11'!$A$7:$N$160,5,FALSE),0)+
IFERROR(VLOOKUP(A101,'Centre WR11'!$A$7:$N$160,5,FALSE),0)+
IFERROR(VLOOKUP(A101,'Centre WV11'!$A$7:$N$163,5,FALSE),0)</f>
        <v>3.9</v>
      </c>
      <c r="F101" s="10">
        <f>IFERROR(VLOOKUP(A101,'Centre DW11'!$A$7:$N$161,6,FALSE),0)+
IFERROR(VLOOKUP(A101,'Centre WP11'!$A$7:$N$160,6,FALSE),0)+
IFERROR(VLOOKUP(A101,'Centre WR11'!$A$7:$N$160,6,FALSE),0)+
IFERROR(VLOOKUP(A101,'Centre WV11'!$A$7:$N$163,6,FALSE),0)</f>
        <v>3.9</v>
      </c>
      <c r="G101" s="10">
        <f>IFERROR(VLOOKUP(A101,'Centre DW11'!$A$7:$N$161,7,FALSE),0)+
IFERROR(VLOOKUP(A101,'Centre WP11'!$A$7:$N$160,7,FALSE),0)+
IFERROR(VLOOKUP(A101,'Centre WR11'!$A$7:$N$160,7,FALSE),0)+
IFERROR(VLOOKUP(A101,'Centre WV11'!$A$7:$N$163,7,FALSE),0)</f>
        <v>3.9</v>
      </c>
      <c r="H101" s="10">
        <f>IFERROR(VLOOKUP(A101,'Centre DW11'!$A$7:$N$161,8,FALSE),0)+
IFERROR(VLOOKUP(A101,'Centre WP11'!$A$7:$N$160,8,FALSE),0)+
IFERROR(VLOOKUP(A101,'Centre WR11'!$A$7:$N$160,8,FALSE),0)+
IFERROR(VLOOKUP(A101,'Centre WV11'!$A$7:$N$163,8,FALSE),0)</f>
        <v>3.9</v>
      </c>
      <c r="I101" s="10">
        <f>IFERROR(VLOOKUP(A101,'Centre DW11'!$A$7:$N$161,9,FALSE),0)+
IFERROR(VLOOKUP(A101,'Centre WP11'!$A$7:$N$160,9,FALSE),0)+
IFERROR(VLOOKUP(A101,'Centre WR11'!$A$7:$N$160,9,FALSE),0)+
IFERROR(VLOOKUP(A101,'Centre WV11'!$A$7:$N$163,9,FALSE),0)</f>
        <v>3.9</v>
      </c>
      <c r="J101" s="10">
        <f>IFERROR(VLOOKUP(A101,'Centre DW11'!$A$7:$N$161,10,FALSE),0)+
IFERROR(VLOOKUP(A101,'Centre WP11'!$A$7:$N$160,10,FALSE),0)+
IFERROR(VLOOKUP(A101,'Centre WR11'!$A$7:$N$160,10,FALSE),0)+
IFERROR(VLOOKUP(A101,'Centre WV11'!$A$7:$N$163,10,FALSE),0)</f>
        <v>3.9</v>
      </c>
      <c r="K101" s="10">
        <f>IFERROR(VLOOKUP(A101,'Centre DW11'!$A$7:$N$161,11,FALSE),0)+
IFERROR(VLOOKUP(A101,'Centre WP11'!$A$7:$N$160,11,FALSE),0)+
IFERROR(VLOOKUP(A101,'Centre WR11'!$A$7:$N$160,11,FALSE),0)+
IFERROR(VLOOKUP(A101,'Centre WV11'!$A$7:$N$163,11,FALSE),0)</f>
        <v>3.9</v>
      </c>
      <c r="L101" s="10">
        <f>IFERROR(VLOOKUP(A101,'Centre DW11'!$A$7:$N$161,12,FALSE),0)+
IFERROR(VLOOKUP(A101,'Centre WP11'!$A$7:$N$160,12,FALSE),0)+
IFERROR(VLOOKUP(A101,'Centre WR11'!$A$7:$N$160,12,FALSE),0)+
IFERROR(VLOOKUP(A101,'Centre WV11'!$A$7:$N$163,12,FALSE),0)</f>
        <v>3.9</v>
      </c>
      <c r="M101" s="10">
        <f>IFERROR(VLOOKUP(A101,'Centre DW11'!$A$7:$N$161,13,FALSE),0)+
IFERROR(VLOOKUP(A101,'Centre WP11'!$A$7:$N$160,13,FALSE),0)+
IFERROR(VLOOKUP(A101,'Centre WR11'!$A$7:$N$160,13,FALSE),0)+
IFERROR(VLOOKUP(A101,'Centre WV11'!$A$7:$N$163,13,FALSE),0)</f>
        <v>3.9</v>
      </c>
      <c r="N101" s="10">
        <f>IFERROR(VLOOKUP(A101,'Centre DW11'!$A$7:$N$161,14,FALSE),0)+
IFERROR(VLOOKUP(A101,'Centre WP11'!$A$7:$N$160,14,FALSE),0)+
IFERROR(VLOOKUP(A101,'Centre WR11'!$A$7:$N$160,14,FALSE),0)+
IFERROR(VLOOKUP(A101,'Centre WV11'!$A$7:$N$163,14,FALSE),0)</f>
        <v>3.9</v>
      </c>
    </row>
    <row r="102" spans="1:14" collapsed="1" x14ac:dyDescent="0.2">
      <c r="A102" s="52"/>
      <c r="B102" s="52" t="s">
        <v>165</v>
      </c>
      <c r="C102" s="53">
        <f t="shared" ref="C102:N102" si="18">+C37+C57+C63+C66+C71+C80+C88+C90+C92+C100</f>
        <v>240.72</v>
      </c>
      <c r="D102" s="53">
        <f t="shared" si="18"/>
        <v>241.72</v>
      </c>
      <c r="E102" s="53">
        <f t="shared" si="18"/>
        <v>240.22</v>
      </c>
      <c r="F102" s="53">
        <f t="shared" si="18"/>
        <v>249.42</v>
      </c>
      <c r="G102" s="53">
        <f t="shared" si="18"/>
        <v>242.22</v>
      </c>
      <c r="H102" s="53">
        <f t="shared" si="18"/>
        <v>263.82000000000005</v>
      </c>
      <c r="I102" s="53">
        <f t="shared" si="18"/>
        <v>244.62</v>
      </c>
      <c r="J102" s="53">
        <f t="shared" si="18"/>
        <v>242.02</v>
      </c>
      <c r="K102" s="53">
        <f t="shared" si="18"/>
        <v>231.42</v>
      </c>
      <c r="L102" s="53">
        <f t="shared" si="18"/>
        <v>239.12000000000003</v>
      </c>
      <c r="M102" s="53">
        <f t="shared" si="18"/>
        <v>237.02</v>
      </c>
      <c r="N102" s="53">
        <f t="shared" si="18"/>
        <v>252.72</v>
      </c>
    </row>
    <row r="103" spans="1:14" x14ac:dyDescent="0.2">
      <c r="A103" s="51"/>
      <c r="B103" s="51" t="s">
        <v>166</v>
      </c>
      <c r="C103" s="19">
        <f t="shared" ref="C103:N103" si="19">+C35-C102</f>
        <v>117.28</v>
      </c>
      <c r="D103" s="19">
        <f t="shared" si="19"/>
        <v>142.28</v>
      </c>
      <c r="E103" s="19">
        <f t="shared" si="19"/>
        <v>142.78</v>
      </c>
      <c r="F103" s="19">
        <f t="shared" si="19"/>
        <v>78.580000000000013</v>
      </c>
      <c r="G103" s="19">
        <f t="shared" si="19"/>
        <v>110.78</v>
      </c>
      <c r="H103" s="19">
        <f t="shared" si="19"/>
        <v>105.17999999999995</v>
      </c>
      <c r="I103" s="19">
        <f t="shared" si="19"/>
        <v>85.38</v>
      </c>
      <c r="J103" s="19">
        <f t="shared" si="19"/>
        <v>145.97999999999999</v>
      </c>
      <c r="K103" s="19">
        <f t="shared" si="19"/>
        <v>178.58</v>
      </c>
      <c r="L103" s="19">
        <f t="shared" si="19"/>
        <v>126.87999999999997</v>
      </c>
      <c r="M103" s="19">
        <f t="shared" si="19"/>
        <v>119.97999999999999</v>
      </c>
      <c r="N103" s="19">
        <f t="shared" si="19"/>
        <v>147.28</v>
      </c>
    </row>
    <row r="104" spans="1:14" x14ac:dyDescent="0.2">
      <c r="A104" s="48" t="s">
        <v>167</v>
      </c>
      <c r="B104" s="49" t="s">
        <v>168</v>
      </c>
      <c r="C104" s="50">
        <f>SUM(C105:C120)</f>
        <v>20.3</v>
      </c>
      <c r="D104" s="50">
        <f t="shared" ref="D104:N104" si="20">SUM(D105:D120)</f>
        <v>20.6</v>
      </c>
      <c r="E104" s="50">
        <f t="shared" si="20"/>
        <v>22.099999999999998</v>
      </c>
      <c r="F104" s="50">
        <f t="shared" si="20"/>
        <v>22.799999999999997</v>
      </c>
      <c r="G104" s="50">
        <f t="shared" si="20"/>
        <v>22.9</v>
      </c>
      <c r="H104" s="50">
        <f t="shared" si="20"/>
        <v>22</v>
      </c>
      <c r="I104" s="50">
        <f t="shared" si="20"/>
        <v>20.099999999999998</v>
      </c>
      <c r="J104" s="50">
        <f t="shared" si="20"/>
        <v>22.099999999999998</v>
      </c>
      <c r="K104" s="50">
        <f t="shared" si="20"/>
        <v>22.799999999999997</v>
      </c>
      <c r="L104" s="50">
        <f t="shared" si="20"/>
        <v>22.9</v>
      </c>
      <c r="M104" s="50">
        <f t="shared" si="20"/>
        <v>22</v>
      </c>
      <c r="N104" s="50">
        <f t="shared" si="20"/>
        <v>20.399999999999999</v>
      </c>
    </row>
    <row r="105" spans="1:14" hidden="1" outlineLevel="1" x14ac:dyDescent="0.2">
      <c r="A105" s="9" t="s">
        <v>169</v>
      </c>
      <c r="B105" s="1" t="s">
        <v>170</v>
      </c>
      <c r="C105" s="10">
        <f>IFERROR(VLOOKUP(A105,'Centre DW11'!$A$7:$N$161,3,FALSE),0)+
IFERROR(VLOOKUP(A105,'Centre WP11'!$A$7:$N$160,3,FALSE),0)+
IFERROR(VLOOKUP(A105,'Centre WR11'!$A$7:$N$160,3,FALSE),0)+
IFERROR(VLOOKUP(A105,'Centre WV11'!$A$7:$N$163,3,FALSE),0)</f>
        <v>1.1000000000000001</v>
      </c>
      <c r="D105" s="10">
        <f>IFERROR(VLOOKUP(A105,'Centre DW11'!$A$7:$N$161,4,FALSE),0)+
IFERROR(VLOOKUP(A105,'Centre WP11'!$A$7:$N$160,4,FALSE),0)+
IFERROR(VLOOKUP(A105,'Centre WR11'!$A$7:$N$160,4,FALSE),0)+
IFERROR(VLOOKUP(A105,'Centre WV11'!$A$7:$N$163,4,FALSE),0)</f>
        <v>1.1000000000000001</v>
      </c>
      <c r="E105" s="10">
        <f>IFERROR(VLOOKUP(A105,'Centre DW11'!$A$7:$N$161,5,FALSE),0)+
IFERROR(VLOOKUP(A105,'Centre WP11'!$A$7:$N$160,5,FALSE),0)+
IFERROR(VLOOKUP(A105,'Centre WR11'!$A$7:$N$160,5,FALSE),0)+
IFERROR(VLOOKUP(A105,'Centre WV11'!$A$7:$N$163,5,FALSE),0)</f>
        <v>1.1000000000000001</v>
      </c>
      <c r="F105" s="10">
        <f>IFERROR(VLOOKUP(A105,'Centre DW11'!$A$7:$N$161,6,FALSE),0)+
IFERROR(VLOOKUP(A105,'Centre WP11'!$A$7:$N$160,6,FALSE),0)+
IFERROR(VLOOKUP(A105,'Centre WR11'!$A$7:$N$160,6,FALSE),0)+
IFERROR(VLOOKUP(A105,'Centre WV11'!$A$7:$N$163,6,FALSE),0)</f>
        <v>0.5</v>
      </c>
      <c r="G105" s="10">
        <f>IFERROR(VLOOKUP(A105,'Centre DW11'!$A$7:$N$161,7,FALSE),0)+
IFERROR(VLOOKUP(A105,'Centre WP11'!$A$7:$N$160,7,FALSE),0)+
IFERROR(VLOOKUP(A105,'Centre WR11'!$A$7:$N$160,7,FALSE),0)+
IFERROR(VLOOKUP(A105,'Centre WV11'!$A$7:$N$163,7,FALSE),0)</f>
        <v>0.5</v>
      </c>
      <c r="H105" s="10">
        <f>IFERROR(VLOOKUP(A105,'Centre DW11'!$A$7:$N$161,8,FALSE),0)+
IFERROR(VLOOKUP(A105,'Centre WP11'!$A$7:$N$160,8,FALSE),0)+
IFERROR(VLOOKUP(A105,'Centre WR11'!$A$7:$N$160,8,FALSE),0)+
IFERROR(VLOOKUP(A105,'Centre WV11'!$A$7:$N$163,8,FALSE),0)</f>
        <v>0.5</v>
      </c>
      <c r="I105" s="10">
        <f>IFERROR(VLOOKUP(A105,'Centre DW11'!$A$7:$N$161,9,FALSE),0)+
IFERROR(VLOOKUP(A105,'Centre WP11'!$A$7:$N$160,9,FALSE),0)+
IFERROR(VLOOKUP(A105,'Centre WR11'!$A$7:$N$160,9,FALSE),0)+
IFERROR(VLOOKUP(A105,'Centre WV11'!$A$7:$N$163,9,FALSE),0)</f>
        <v>0</v>
      </c>
      <c r="J105" s="10">
        <f>IFERROR(VLOOKUP(A105,'Centre DW11'!$A$7:$N$161,10,FALSE),0)+
IFERROR(VLOOKUP(A105,'Centre WP11'!$A$7:$N$160,10,FALSE),0)+
IFERROR(VLOOKUP(A105,'Centre WR11'!$A$7:$N$160,10,FALSE),0)+
IFERROR(VLOOKUP(A105,'Centre WV11'!$A$7:$N$163,10,FALSE),0)</f>
        <v>1.1000000000000001</v>
      </c>
      <c r="K105" s="10">
        <f>IFERROR(VLOOKUP(A105,'Centre DW11'!$A$7:$N$161,11,FALSE),0)+
IFERROR(VLOOKUP(A105,'Centre WP11'!$A$7:$N$160,11,FALSE),0)+
IFERROR(VLOOKUP(A105,'Centre WR11'!$A$7:$N$160,11,FALSE),0)+
IFERROR(VLOOKUP(A105,'Centre WV11'!$A$7:$N$163,11,FALSE),0)</f>
        <v>0.5</v>
      </c>
      <c r="L105" s="10">
        <f>IFERROR(VLOOKUP(A105,'Centre DW11'!$A$7:$N$161,12,FALSE),0)+
IFERROR(VLOOKUP(A105,'Centre WP11'!$A$7:$N$160,12,FALSE),0)+
IFERROR(VLOOKUP(A105,'Centre WR11'!$A$7:$N$160,12,FALSE),0)+
IFERROR(VLOOKUP(A105,'Centre WV11'!$A$7:$N$163,12,FALSE),0)</f>
        <v>0.5</v>
      </c>
      <c r="M105" s="10">
        <f>IFERROR(VLOOKUP(A105,'Centre DW11'!$A$7:$N$161,13,FALSE),0)+
IFERROR(VLOOKUP(A105,'Centre WP11'!$A$7:$N$160,13,FALSE),0)+
IFERROR(VLOOKUP(A105,'Centre WR11'!$A$7:$N$160,13,FALSE),0)+
IFERROR(VLOOKUP(A105,'Centre WV11'!$A$7:$N$163,13,FALSE),0)</f>
        <v>0.5</v>
      </c>
      <c r="N105" s="10">
        <f>IFERROR(VLOOKUP(A105,'Centre DW11'!$A$7:$N$161,14,FALSE),0)+
IFERROR(VLOOKUP(A105,'Centre WP11'!$A$7:$N$160,14,FALSE),0)+
IFERROR(VLOOKUP(A105,'Centre WR11'!$A$7:$N$160,14,FALSE),0)+
IFERROR(VLOOKUP(A105,'Centre WV11'!$A$7:$N$163,14,FALSE),0)</f>
        <v>0</v>
      </c>
    </row>
    <row r="106" spans="1:14" hidden="1" outlineLevel="1" x14ac:dyDescent="0.2">
      <c r="A106" s="9" t="s">
        <v>171</v>
      </c>
      <c r="B106" s="1" t="s">
        <v>172</v>
      </c>
      <c r="C106" s="10">
        <f>IFERROR(VLOOKUP(A106,'Centre DW11'!$A$7:$N$161,3,FALSE),0)+
IFERROR(VLOOKUP(A106,'Centre WP11'!$A$7:$N$160,3,FALSE),0)+
IFERROR(VLOOKUP(A106,'Centre WR11'!$A$7:$N$160,3,FALSE),0)+
IFERROR(VLOOKUP(A106,'Centre WV11'!$A$7:$N$163,3,FALSE),0)</f>
        <v>3.3</v>
      </c>
      <c r="D106" s="10">
        <f>IFERROR(VLOOKUP(A106,'Centre DW11'!$A$7:$N$161,4,FALSE),0)+
IFERROR(VLOOKUP(A106,'Centre WP11'!$A$7:$N$160,4,FALSE),0)+
IFERROR(VLOOKUP(A106,'Centre WR11'!$A$7:$N$160,4,FALSE),0)+
IFERROR(VLOOKUP(A106,'Centre WV11'!$A$7:$N$163,4,FALSE),0)</f>
        <v>3.3</v>
      </c>
      <c r="E106" s="10">
        <f>IFERROR(VLOOKUP(A106,'Centre DW11'!$A$7:$N$161,5,FALSE),0)+
IFERROR(VLOOKUP(A106,'Centre WP11'!$A$7:$N$160,5,FALSE),0)+
IFERROR(VLOOKUP(A106,'Centre WR11'!$A$7:$N$160,5,FALSE),0)+
IFERROR(VLOOKUP(A106,'Centre WV11'!$A$7:$N$163,5,FALSE),0)</f>
        <v>3.3</v>
      </c>
      <c r="F106" s="10">
        <f>IFERROR(VLOOKUP(A106,'Centre DW11'!$A$7:$N$161,6,FALSE),0)+
IFERROR(VLOOKUP(A106,'Centre WP11'!$A$7:$N$160,6,FALSE),0)+
IFERROR(VLOOKUP(A106,'Centre WR11'!$A$7:$N$160,6,FALSE),0)+
IFERROR(VLOOKUP(A106,'Centre WV11'!$A$7:$N$163,6,FALSE),0)</f>
        <v>3.3</v>
      </c>
      <c r="G106" s="10">
        <f>IFERROR(VLOOKUP(A106,'Centre DW11'!$A$7:$N$161,7,FALSE),0)+
IFERROR(VLOOKUP(A106,'Centre WP11'!$A$7:$N$160,7,FALSE),0)+
IFERROR(VLOOKUP(A106,'Centre WR11'!$A$7:$N$160,7,FALSE),0)+
IFERROR(VLOOKUP(A106,'Centre WV11'!$A$7:$N$163,7,FALSE),0)</f>
        <v>3.3</v>
      </c>
      <c r="H106" s="10">
        <f>IFERROR(VLOOKUP(A106,'Centre DW11'!$A$7:$N$161,8,FALSE),0)+
IFERROR(VLOOKUP(A106,'Centre WP11'!$A$7:$N$160,8,FALSE),0)+
IFERROR(VLOOKUP(A106,'Centre WR11'!$A$7:$N$160,8,FALSE),0)+
IFERROR(VLOOKUP(A106,'Centre WV11'!$A$7:$N$163,8,FALSE),0)</f>
        <v>3.3</v>
      </c>
      <c r="I106" s="10">
        <f>IFERROR(VLOOKUP(A106,'Centre DW11'!$A$7:$N$161,9,FALSE),0)+
IFERROR(VLOOKUP(A106,'Centre WP11'!$A$7:$N$160,9,FALSE),0)+
IFERROR(VLOOKUP(A106,'Centre WR11'!$A$7:$N$160,9,FALSE),0)+
IFERROR(VLOOKUP(A106,'Centre WV11'!$A$7:$N$163,9,FALSE),0)</f>
        <v>3.3</v>
      </c>
      <c r="J106" s="10">
        <f>IFERROR(VLOOKUP(A106,'Centre DW11'!$A$7:$N$161,10,FALSE),0)+
IFERROR(VLOOKUP(A106,'Centre WP11'!$A$7:$N$160,10,FALSE),0)+
IFERROR(VLOOKUP(A106,'Centre WR11'!$A$7:$N$160,10,FALSE),0)+
IFERROR(VLOOKUP(A106,'Centre WV11'!$A$7:$N$163,10,FALSE),0)</f>
        <v>3.3</v>
      </c>
      <c r="K106" s="10">
        <f>IFERROR(VLOOKUP(A106,'Centre DW11'!$A$7:$N$161,11,FALSE),0)+
IFERROR(VLOOKUP(A106,'Centre WP11'!$A$7:$N$160,11,FALSE),0)+
IFERROR(VLOOKUP(A106,'Centre WR11'!$A$7:$N$160,11,FALSE),0)+
IFERROR(VLOOKUP(A106,'Centre WV11'!$A$7:$N$163,11,FALSE),0)</f>
        <v>3.3</v>
      </c>
      <c r="L106" s="10">
        <f>IFERROR(VLOOKUP(A106,'Centre DW11'!$A$7:$N$161,12,FALSE),0)+
IFERROR(VLOOKUP(A106,'Centre WP11'!$A$7:$N$160,12,FALSE),0)+
IFERROR(VLOOKUP(A106,'Centre WR11'!$A$7:$N$160,12,FALSE),0)+
IFERROR(VLOOKUP(A106,'Centre WV11'!$A$7:$N$163,12,FALSE),0)</f>
        <v>3.3</v>
      </c>
      <c r="M106" s="10">
        <f>IFERROR(VLOOKUP(A106,'Centre DW11'!$A$7:$N$161,13,FALSE),0)+
IFERROR(VLOOKUP(A106,'Centre WP11'!$A$7:$N$160,13,FALSE),0)+
IFERROR(VLOOKUP(A106,'Centre WR11'!$A$7:$N$160,13,FALSE),0)+
IFERROR(VLOOKUP(A106,'Centre WV11'!$A$7:$N$163,13,FALSE),0)</f>
        <v>3.3</v>
      </c>
      <c r="N106" s="10">
        <f>IFERROR(VLOOKUP(A106,'Centre DW11'!$A$7:$N$161,14,FALSE),0)+
IFERROR(VLOOKUP(A106,'Centre WP11'!$A$7:$N$160,14,FALSE),0)+
IFERROR(VLOOKUP(A106,'Centre WR11'!$A$7:$N$160,14,FALSE),0)+
IFERROR(VLOOKUP(A106,'Centre WV11'!$A$7:$N$163,14,FALSE),0)</f>
        <v>3.3</v>
      </c>
    </row>
    <row r="107" spans="1:14" hidden="1" outlineLevel="1" x14ac:dyDescent="0.2">
      <c r="A107" s="9" t="s">
        <v>173</v>
      </c>
      <c r="B107" s="1" t="s">
        <v>174</v>
      </c>
      <c r="C107" s="10">
        <f>IFERROR(VLOOKUP(A107,'Centre DW11'!$A$7:$N$161,3,FALSE),0)+
IFERROR(VLOOKUP(A107,'Centre WP11'!$A$7:$N$160,3,FALSE),0)+
IFERROR(VLOOKUP(A107,'Centre WR11'!$A$7:$N$160,3,FALSE),0)+
IFERROR(VLOOKUP(A107,'Centre WV11'!$A$7:$N$163,3,FALSE),0)</f>
        <v>0.3</v>
      </c>
      <c r="D107" s="10">
        <f>IFERROR(VLOOKUP(A107,'Centre DW11'!$A$7:$N$161,4,FALSE),0)+
IFERROR(VLOOKUP(A107,'Centre WP11'!$A$7:$N$160,4,FALSE),0)+
IFERROR(VLOOKUP(A107,'Centre WR11'!$A$7:$N$160,4,FALSE),0)+
IFERROR(VLOOKUP(A107,'Centre WV11'!$A$7:$N$163,4,FALSE),0)</f>
        <v>0.3</v>
      </c>
      <c r="E107" s="10">
        <f>IFERROR(VLOOKUP(A107,'Centre DW11'!$A$7:$N$161,5,FALSE),0)+
IFERROR(VLOOKUP(A107,'Centre WP11'!$A$7:$N$160,5,FALSE),0)+
IFERROR(VLOOKUP(A107,'Centre WR11'!$A$7:$N$160,5,FALSE),0)+
IFERROR(VLOOKUP(A107,'Centre WV11'!$A$7:$N$163,5,FALSE),0)</f>
        <v>0.3</v>
      </c>
      <c r="F107" s="10">
        <f>IFERROR(VLOOKUP(A107,'Centre DW11'!$A$7:$N$161,6,FALSE),0)+
IFERROR(VLOOKUP(A107,'Centre WP11'!$A$7:$N$160,6,FALSE),0)+
IFERROR(VLOOKUP(A107,'Centre WR11'!$A$7:$N$160,6,FALSE),0)+
IFERROR(VLOOKUP(A107,'Centre WV11'!$A$7:$N$163,6,FALSE),0)</f>
        <v>0.3</v>
      </c>
      <c r="G107" s="10">
        <f>IFERROR(VLOOKUP(A107,'Centre DW11'!$A$7:$N$161,7,FALSE),0)+
IFERROR(VLOOKUP(A107,'Centre WP11'!$A$7:$N$160,7,FALSE),0)+
IFERROR(VLOOKUP(A107,'Centre WR11'!$A$7:$N$160,7,FALSE),0)+
IFERROR(VLOOKUP(A107,'Centre WV11'!$A$7:$N$163,7,FALSE),0)</f>
        <v>0.3</v>
      </c>
      <c r="H107" s="10">
        <f>IFERROR(VLOOKUP(A107,'Centre DW11'!$A$7:$N$161,8,FALSE),0)+
IFERROR(VLOOKUP(A107,'Centre WP11'!$A$7:$N$160,8,FALSE),0)+
IFERROR(VLOOKUP(A107,'Centre WR11'!$A$7:$N$160,8,FALSE),0)+
IFERROR(VLOOKUP(A107,'Centre WV11'!$A$7:$N$163,8,FALSE),0)</f>
        <v>0.3</v>
      </c>
      <c r="I107" s="10">
        <f>IFERROR(VLOOKUP(A107,'Centre DW11'!$A$7:$N$161,9,FALSE),0)+
IFERROR(VLOOKUP(A107,'Centre WP11'!$A$7:$N$160,9,FALSE),0)+
IFERROR(VLOOKUP(A107,'Centre WR11'!$A$7:$N$160,9,FALSE),0)+
IFERROR(VLOOKUP(A107,'Centre WV11'!$A$7:$N$163,9,FALSE),0)</f>
        <v>0.3</v>
      </c>
      <c r="J107" s="10">
        <f>IFERROR(VLOOKUP(A107,'Centre DW11'!$A$7:$N$161,10,FALSE),0)+
IFERROR(VLOOKUP(A107,'Centre WP11'!$A$7:$N$160,10,FALSE),0)+
IFERROR(VLOOKUP(A107,'Centre WR11'!$A$7:$N$160,10,FALSE),0)+
IFERROR(VLOOKUP(A107,'Centre WV11'!$A$7:$N$163,10,FALSE),0)</f>
        <v>0.3</v>
      </c>
      <c r="K107" s="10">
        <f>IFERROR(VLOOKUP(A107,'Centre DW11'!$A$7:$N$161,11,FALSE),0)+
IFERROR(VLOOKUP(A107,'Centre WP11'!$A$7:$N$160,11,FALSE),0)+
IFERROR(VLOOKUP(A107,'Centre WR11'!$A$7:$N$160,11,FALSE),0)+
IFERROR(VLOOKUP(A107,'Centre WV11'!$A$7:$N$163,11,FALSE),0)</f>
        <v>0.3</v>
      </c>
      <c r="L107" s="10">
        <f>IFERROR(VLOOKUP(A107,'Centre DW11'!$A$7:$N$161,12,FALSE),0)+
IFERROR(VLOOKUP(A107,'Centre WP11'!$A$7:$N$160,12,FALSE),0)+
IFERROR(VLOOKUP(A107,'Centre WR11'!$A$7:$N$160,12,FALSE),0)+
IFERROR(VLOOKUP(A107,'Centre WV11'!$A$7:$N$163,12,FALSE),0)</f>
        <v>0.3</v>
      </c>
      <c r="M107" s="10">
        <f>IFERROR(VLOOKUP(A107,'Centre DW11'!$A$7:$N$161,13,FALSE),0)+
IFERROR(VLOOKUP(A107,'Centre WP11'!$A$7:$N$160,13,FALSE),0)+
IFERROR(VLOOKUP(A107,'Centre WR11'!$A$7:$N$160,13,FALSE),0)+
IFERROR(VLOOKUP(A107,'Centre WV11'!$A$7:$N$163,13,FALSE),0)</f>
        <v>0.3</v>
      </c>
      <c r="N107" s="10">
        <f>IFERROR(VLOOKUP(A107,'Centre DW11'!$A$7:$N$161,14,FALSE),0)+
IFERROR(VLOOKUP(A107,'Centre WP11'!$A$7:$N$160,14,FALSE),0)+
IFERROR(VLOOKUP(A107,'Centre WR11'!$A$7:$N$160,14,FALSE),0)+
IFERROR(VLOOKUP(A107,'Centre WV11'!$A$7:$N$163,14,FALSE),0)</f>
        <v>0.3</v>
      </c>
    </row>
    <row r="108" spans="1:14" hidden="1" outlineLevel="1" x14ac:dyDescent="0.2">
      <c r="A108" s="9" t="s">
        <v>175</v>
      </c>
      <c r="B108" s="1" t="s">
        <v>176</v>
      </c>
      <c r="C108" s="10">
        <f>IFERROR(VLOOKUP(A108,'Centre DW11'!$A$7:$N$161,3,FALSE),0)+
IFERROR(VLOOKUP(A108,'Centre WP11'!$A$7:$N$160,3,FALSE),0)+
IFERROR(VLOOKUP(A108,'Centre WR11'!$A$7:$N$160,3,FALSE),0)+
IFERROR(VLOOKUP(A108,'Centre WV11'!$A$7:$N$163,3,FALSE),0)</f>
        <v>7.9</v>
      </c>
      <c r="D108" s="10">
        <f>IFERROR(VLOOKUP(A108,'Centre DW11'!$A$7:$N$161,4,FALSE),0)+
IFERROR(VLOOKUP(A108,'Centre WP11'!$A$7:$N$160,4,FALSE),0)+
IFERROR(VLOOKUP(A108,'Centre WR11'!$A$7:$N$160,4,FALSE),0)+
IFERROR(VLOOKUP(A108,'Centre WV11'!$A$7:$N$163,4,FALSE),0)</f>
        <v>7.9</v>
      </c>
      <c r="E108" s="10">
        <f>IFERROR(VLOOKUP(A108,'Centre DW11'!$A$7:$N$161,5,FALSE),0)+
IFERROR(VLOOKUP(A108,'Centre WP11'!$A$7:$N$160,5,FALSE),0)+
IFERROR(VLOOKUP(A108,'Centre WR11'!$A$7:$N$160,5,FALSE),0)+
IFERROR(VLOOKUP(A108,'Centre WV11'!$A$7:$N$163,5,FALSE),0)</f>
        <v>7.9</v>
      </c>
      <c r="F108" s="10">
        <f>IFERROR(VLOOKUP(A108,'Centre DW11'!$A$7:$N$161,6,FALSE),0)+
IFERROR(VLOOKUP(A108,'Centre WP11'!$A$7:$N$160,6,FALSE),0)+
IFERROR(VLOOKUP(A108,'Centre WR11'!$A$7:$N$160,6,FALSE),0)+
IFERROR(VLOOKUP(A108,'Centre WV11'!$A$7:$N$163,6,FALSE),0)</f>
        <v>7.9</v>
      </c>
      <c r="G108" s="10">
        <f>IFERROR(VLOOKUP(A108,'Centre DW11'!$A$7:$N$161,7,FALSE),0)+
IFERROR(VLOOKUP(A108,'Centre WP11'!$A$7:$N$160,7,FALSE),0)+
IFERROR(VLOOKUP(A108,'Centre WR11'!$A$7:$N$160,7,FALSE),0)+
IFERROR(VLOOKUP(A108,'Centre WV11'!$A$7:$N$163,7,FALSE),0)</f>
        <v>7.9</v>
      </c>
      <c r="H108" s="10">
        <f>IFERROR(VLOOKUP(A108,'Centre DW11'!$A$7:$N$161,8,FALSE),0)+
IFERROR(VLOOKUP(A108,'Centre WP11'!$A$7:$N$160,8,FALSE),0)+
IFERROR(VLOOKUP(A108,'Centre WR11'!$A$7:$N$160,8,FALSE),0)+
IFERROR(VLOOKUP(A108,'Centre WV11'!$A$7:$N$163,8,FALSE),0)</f>
        <v>7.9</v>
      </c>
      <c r="I108" s="10">
        <f>IFERROR(VLOOKUP(A108,'Centre DW11'!$A$7:$N$161,9,FALSE),0)+
IFERROR(VLOOKUP(A108,'Centre WP11'!$A$7:$N$160,9,FALSE),0)+
IFERROR(VLOOKUP(A108,'Centre WR11'!$A$7:$N$160,9,FALSE),0)+
IFERROR(VLOOKUP(A108,'Centre WV11'!$A$7:$N$163,9,FALSE),0)</f>
        <v>7.9</v>
      </c>
      <c r="J108" s="10">
        <f>IFERROR(VLOOKUP(A108,'Centre DW11'!$A$7:$N$161,10,FALSE),0)+
IFERROR(VLOOKUP(A108,'Centre WP11'!$A$7:$N$160,10,FALSE),0)+
IFERROR(VLOOKUP(A108,'Centre WR11'!$A$7:$N$160,10,FALSE),0)+
IFERROR(VLOOKUP(A108,'Centre WV11'!$A$7:$N$163,10,FALSE),0)</f>
        <v>7.9</v>
      </c>
      <c r="K108" s="10">
        <f>IFERROR(VLOOKUP(A108,'Centre DW11'!$A$7:$N$161,11,FALSE),0)+
IFERROR(VLOOKUP(A108,'Centre WP11'!$A$7:$N$160,11,FALSE),0)+
IFERROR(VLOOKUP(A108,'Centre WR11'!$A$7:$N$160,11,FALSE),0)+
IFERROR(VLOOKUP(A108,'Centre WV11'!$A$7:$N$163,11,FALSE),0)</f>
        <v>7.9</v>
      </c>
      <c r="L108" s="10">
        <f>IFERROR(VLOOKUP(A108,'Centre DW11'!$A$7:$N$161,12,FALSE),0)+
IFERROR(VLOOKUP(A108,'Centre WP11'!$A$7:$N$160,12,FALSE),0)+
IFERROR(VLOOKUP(A108,'Centre WR11'!$A$7:$N$160,12,FALSE),0)+
IFERROR(VLOOKUP(A108,'Centre WV11'!$A$7:$N$163,12,FALSE),0)</f>
        <v>7.9</v>
      </c>
      <c r="M108" s="10">
        <f>IFERROR(VLOOKUP(A108,'Centre DW11'!$A$7:$N$161,13,FALSE),0)+
IFERROR(VLOOKUP(A108,'Centre WP11'!$A$7:$N$160,13,FALSE),0)+
IFERROR(VLOOKUP(A108,'Centre WR11'!$A$7:$N$160,13,FALSE),0)+
IFERROR(VLOOKUP(A108,'Centre WV11'!$A$7:$N$163,13,FALSE),0)</f>
        <v>7.9</v>
      </c>
      <c r="N108" s="10">
        <f>IFERROR(VLOOKUP(A108,'Centre DW11'!$A$7:$N$161,14,FALSE),0)+
IFERROR(VLOOKUP(A108,'Centre WP11'!$A$7:$N$160,14,FALSE),0)+
IFERROR(VLOOKUP(A108,'Centre WR11'!$A$7:$N$160,14,FALSE),0)+
IFERROR(VLOOKUP(A108,'Centre WV11'!$A$7:$N$163,14,FALSE),0)</f>
        <v>8.1999999999999993</v>
      </c>
    </row>
    <row r="109" spans="1:14" hidden="1" outlineLevel="1" x14ac:dyDescent="0.2">
      <c r="A109" s="9" t="s">
        <v>177</v>
      </c>
      <c r="B109" s="1" t="s">
        <v>178</v>
      </c>
      <c r="C109" s="10">
        <f>IFERROR(VLOOKUP(A109,'Centre DW11'!$A$7:$N$161,3,FALSE),0)+
IFERROR(VLOOKUP(A109,'Centre WP11'!$A$7:$N$160,3,FALSE),0)+
IFERROR(VLOOKUP(A109,'Centre WR11'!$A$7:$N$160,3,FALSE),0)+
IFERROR(VLOOKUP(A109,'Centre WV11'!$A$7:$N$163,3,FALSE),0)</f>
        <v>0.8</v>
      </c>
      <c r="D109" s="10">
        <f>IFERROR(VLOOKUP(A109,'Centre DW11'!$A$7:$N$161,4,FALSE),0)+
IFERROR(VLOOKUP(A109,'Centre WP11'!$A$7:$N$160,4,FALSE),0)+
IFERROR(VLOOKUP(A109,'Centre WR11'!$A$7:$N$160,4,FALSE),0)+
IFERROR(VLOOKUP(A109,'Centre WV11'!$A$7:$N$163,4,FALSE),0)</f>
        <v>0.8</v>
      </c>
      <c r="E109" s="10">
        <f>IFERROR(VLOOKUP(A109,'Centre DW11'!$A$7:$N$161,5,FALSE),0)+
IFERROR(VLOOKUP(A109,'Centre WP11'!$A$7:$N$160,5,FALSE),0)+
IFERROR(VLOOKUP(A109,'Centre WR11'!$A$7:$N$160,5,FALSE),0)+
IFERROR(VLOOKUP(A109,'Centre WV11'!$A$7:$N$163,5,FALSE),0)</f>
        <v>0.8</v>
      </c>
      <c r="F109" s="10">
        <f>IFERROR(VLOOKUP(A109,'Centre DW11'!$A$7:$N$161,6,FALSE),0)+
IFERROR(VLOOKUP(A109,'Centre WP11'!$A$7:$N$160,6,FALSE),0)+
IFERROR(VLOOKUP(A109,'Centre WR11'!$A$7:$N$160,6,FALSE),0)+
IFERROR(VLOOKUP(A109,'Centre WV11'!$A$7:$N$163,6,FALSE),0)</f>
        <v>0.8</v>
      </c>
      <c r="G109" s="10">
        <f>IFERROR(VLOOKUP(A109,'Centre DW11'!$A$7:$N$161,7,FALSE),0)+
IFERROR(VLOOKUP(A109,'Centre WP11'!$A$7:$N$160,7,FALSE),0)+
IFERROR(VLOOKUP(A109,'Centre WR11'!$A$7:$N$160,7,FALSE),0)+
IFERROR(VLOOKUP(A109,'Centre WV11'!$A$7:$N$163,7,FALSE),0)</f>
        <v>0.8</v>
      </c>
      <c r="H109" s="10">
        <f>IFERROR(VLOOKUP(A109,'Centre DW11'!$A$7:$N$161,8,FALSE),0)+
IFERROR(VLOOKUP(A109,'Centre WP11'!$A$7:$N$160,8,FALSE),0)+
IFERROR(VLOOKUP(A109,'Centre WR11'!$A$7:$N$160,8,FALSE),0)+
IFERROR(VLOOKUP(A109,'Centre WV11'!$A$7:$N$163,8,FALSE),0)</f>
        <v>0.8</v>
      </c>
      <c r="I109" s="10">
        <f>IFERROR(VLOOKUP(A109,'Centre DW11'!$A$7:$N$161,9,FALSE),0)+
IFERROR(VLOOKUP(A109,'Centre WP11'!$A$7:$N$160,9,FALSE),0)+
IFERROR(VLOOKUP(A109,'Centre WR11'!$A$7:$N$160,9,FALSE),0)+
IFERROR(VLOOKUP(A109,'Centre WV11'!$A$7:$N$163,9,FALSE),0)</f>
        <v>0.8</v>
      </c>
      <c r="J109" s="10">
        <f>IFERROR(VLOOKUP(A109,'Centre DW11'!$A$7:$N$161,10,FALSE),0)+
IFERROR(VLOOKUP(A109,'Centre WP11'!$A$7:$N$160,10,FALSE),0)+
IFERROR(VLOOKUP(A109,'Centre WR11'!$A$7:$N$160,10,FALSE),0)+
IFERROR(VLOOKUP(A109,'Centre WV11'!$A$7:$N$163,10,FALSE),0)</f>
        <v>0.8</v>
      </c>
      <c r="K109" s="10">
        <f>IFERROR(VLOOKUP(A109,'Centre DW11'!$A$7:$N$161,11,FALSE),0)+
IFERROR(VLOOKUP(A109,'Centre WP11'!$A$7:$N$160,11,FALSE),0)+
IFERROR(VLOOKUP(A109,'Centre WR11'!$A$7:$N$160,11,FALSE),0)+
IFERROR(VLOOKUP(A109,'Centre WV11'!$A$7:$N$163,11,FALSE),0)</f>
        <v>0.8</v>
      </c>
      <c r="L109" s="10">
        <f>IFERROR(VLOOKUP(A109,'Centre DW11'!$A$7:$N$161,12,FALSE),0)+
IFERROR(VLOOKUP(A109,'Centre WP11'!$A$7:$N$160,12,FALSE),0)+
IFERROR(VLOOKUP(A109,'Centre WR11'!$A$7:$N$160,12,FALSE),0)+
IFERROR(VLOOKUP(A109,'Centre WV11'!$A$7:$N$163,12,FALSE),0)</f>
        <v>0.8</v>
      </c>
      <c r="M109" s="10">
        <f>IFERROR(VLOOKUP(A109,'Centre DW11'!$A$7:$N$161,13,FALSE),0)+
IFERROR(VLOOKUP(A109,'Centre WP11'!$A$7:$N$160,13,FALSE),0)+
IFERROR(VLOOKUP(A109,'Centre WR11'!$A$7:$N$160,13,FALSE),0)+
IFERROR(VLOOKUP(A109,'Centre WV11'!$A$7:$N$163,13,FALSE),0)</f>
        <v>0.8</v>
      </c>
      <c r="N109" s="10">
        <f>IFERROR(VLOOKUP(A109,'Centre DW11'!$A$7:$N$161,14,FALSE),0)+
IFERROR(VLOOKUP(A109,'Centre WP11'!$A$7:$N$160,14,FALSE),0)+
IFERROR(VLOOKUP(A109,'Centre WR11'!$A$7:$N$160,14,FALSE),0)+
IFERROR(VLOOKUP(A109,'Centre WV11'!$A$7:$N$163,14,FALSE),0)</f>
        <v>0.8</v>
      </c>
    </row>
    <row r="110" spans="1:14" hidden="1" outlineLevel="1" x14ac:dyDescent="0.2">
      <c r="A110" s="9" t="s">
        <v>179</v>
      </c>
      <c r="B110" s="1" t="s">
        <v>180</v>
      </c>
      <c r="C110" s="10">
        <f>IFERROR(VLOOKUP(A110,'Centre DW11'!$A$7:$N$161,3,FALSE),0)+
IFERROR(VLOOKUP(A110,'Centre WP11'!$A$7:$N$160,3,FALSE),0)+
IFERROR(VLOOKUP(A110,'Centre WR11'!$A$7:$N$160,3,FALSE),0)+
IFERROR(VLOOKUP(A110,'Centre WV11'!$A$7:$N$163,3,FALSE),0)</f>
        <v>0</v>
      </c>
      <c r="D110" s="10">
        <f>IFERROR(VLOOKUP(A110,'Centre DW11'!$A$7:$N$161,4,FALSE),0)+
IFERROR(VLOOKUP(A110,'Centre WP11'!$A$7:$N$160,4,FALSE),0)+
IFERROR(VLOOKUP(A110,'Centre WR11'!$A$7:$N$160,4,FALSE),0)+
IFERROR(VLOOKUP(A110,'Centre WV11'!$A$7:$N$163,4,FALSE),0)</f>
        <v>0</v>
      </c>
      <c r="E110" s="10">
        <f>IFERROR(VLOOKUP(A110,'Centre DW11'!$A$7:$N$161,5,FALSE),0)+
IFERROR(VLOOKUP(A110,'Centre WP11'!$A$7:$N$160,5,FALSE),0)+
IFERROR(VLOOKUP(A110,'Centre WR11'!$A$7:$N$160,5,FALSE),0)+
IFERROR(VLOOKUP(A110,'Centre WV11'!$A$7:$N$163,5,FALSE),0)</f>
        <v>0</v>
      </c>
      <c r="F110" s="10">
        <f>IFERROR(VLOOKUP(A110,'Centre DW11'!$A$7:$N$161,6,FALSE),0)+
IFERROR(VLOOKUP(A110,'Centre WP11'!$A$7:$N$160,6,FALSE),0)+
IFERROR(VLOOKUP(A110,'Centre WR11'!$A$7:$N$160,6,FALSE),0)+
IFERROR(VLOOKUP(A110,'Centre WV11'!$A$7:$N$163,6,FALSE),0)</f>
        <v>0</v>
      </c>
      <c r="G110" s="10">
        <f>IFERROR(VLOOKUP(A110,'Centre DW11'!$A$7:$N$161,7,FALSE),0)+
IFERROR(VLOOKUP(A110,'Centre WP11'!$A$7:$N$160,7,FALSE),0)+
IFERROR(VLOOKUP(A110,'Centre WR11'!$A$7:$N$160,7,FALSE),0)+
IFERROR(VLOOKUP(A110,'Centre WV11'!$A$7:$N$163,7,FALSE),0)</f>
        <v>0</v>
      </c>
      <c r="H110" s="10">
        <f>IFERROR(VLOOKUP(A110,'Centre DW11'!$A$7:$N$161,8,FALSE),0)+
IFERROR(VLOOKUP(A110,'Centre WP11'!$A$7:$N$160,8,FALSE),0)+
IFERROR(VLOOKUP(A110,'Centre WR11'!$A$7:$N$160,8,FALSE),0)+
IFERROR(VLOOKUP(A110,'Centre WV11'!$A$7:$N$163,8,FALSE),0)</f>
        <v>0</v>
      </c>
      <c r="I110" s="10">
        <f>IFERROR(VLOOKUP(A110,'Centre DW11'!$A$7:$N$161,9,FALSE),0)+
IFERROR(VLOOKUP(A110,'Centre WP11'!$A$7:$N$160,9,FALSE),0)+
IFERROR(VLOOKUP(A110,'Centre WR11'!$A$7:$N$160,9,FALSE),0)+
IFERROR(VLOOKUP(A110,'Centre WV11'!$A$7:$N$163,9,FALSE),0)</f>
        <v>0</v>
      </c>
      <c r="J110" s="10">
        <f>IFERROR(VLOOKUP(A110,'Centre DW11'!$A$7:$N$161,10,FALSE),0)+
IFERROR(VLOOKUP(A110,'Centre WP11'!$A$7:$N$160,10,FALSE),0)+
IFERROR(VLOOKUP(A110,'Centre WR11'!$A$7:$N$160,10,FALSE),0)+
IFERROR(VLOOKUP(A110,'Centre WV11'!$A$7:$N$163,10,FALSE),0)</f>
        <v>0</v>
      </c>
      <c r="K110" s="10">
        <f>IFERROR(VLOOKUP(A110,'Centre DW11'!$A$7:$N$161,11,FALSE),0)+
IFERROR(VLOOKUP(A110,'Centre WP11'!$A$7:$N$160,11,FALSE),0)+
IFERROR(VLOOKUP(A110,'Centre WR11'!$A$7:$N$160,11,FALSE),0)+
IFERROR(VLOOKUP(A110,'Centre WV11'!$A$7:$N$163,11,FALSE),0)</f>
        <v>0</v>
      </c>
      <c r="L110" s="10">
        <f>IFERROR(VLOOKUP(A110,'Centre DW11'!$A$7:$N$161,12,FALSE),0)+
IFERROR(VLOOKUP(A110,'Centre WP11'!$A$7:$N$160,12,FALSE),0)+
IFERROR(VLOOKUP(A110,'Centre WR11'!$A$7:$N$160,12,FALSE),0)+
IFERROR(VLOOKUP(A110,'Centre WV11'!$A$7:$N$163,12,FALSE),0)</f>
        <v>0</v>
      </c>
      <c r="M110" s="10">
        <f>IFERROR(VLOOKUP(A110,'Centre DW11'!$A$7:$N$161,13,FALSE),0)+
IFERROR(VLOOKUP(A110,'Centre WP11'!$A$7:$N$160,13,FALSE),0)+
IFERROR(VLOOKUP(A110,'Centre WR11'!$A$7:$N$160,13,FALSE),0)+
IFERROR(VLOOKUP(A110,'Centre WV11'!$A$7:$N$163,13,FALSE),0)</f>
        <v>0</v>
      </c>
      <c r="N110" s="10">
        <f>IFERROR(VLOOKUP(A110,'Centre DW11'!$A$7:$N$161,14,FALSE),0)+
IFERROR(VLOOKUP(A110,'Centre WP11'!$A$7:$N$160,14,FALSE),0)+
IFERROR(VLOOKUP(A110,'Centre WR11'!$A$7:$N$160,14,FALSE),0)+
IFERROR(VLOOKUP(A110,'Centre WV11'!$A$7:$N$163,14,FALSE),0)</f>
        <v>0</v>
      </c>
    </row>
    <row r="111" spans="1:14" hidden="1" outlineLevel="1" x14ac:dyDescent="0.2">
      <c r="A111" s="9" t="s">
        <v>181</v>
      </c>
      <c r="B111" s="1" t="s">
        <v>182</v>
      </c>
      <c r="C111" s="10">
        <f>IFERROR(VLOOKUP(A111,'Centre DW11'!$A$7:$N$161,3,FALSE),0)+
IFERROR(VLOOKUP(A111,'Centre WP11'!$A$7:$N$160,3,FALSE),0)+
IFERROR(VLOOKUP(A111,'Centre WR11'!$A$7:$N$160,3,FALSE),0)+
IFERROR(VLOOKUP(A111,'Centre WV11'!$A$7:$N$163,3,FALSE),0)</f>
        <v>3.2</v>
      </c>
      <c r="D111" s="10">
        <f>IFERROR(VLOOKUP(A111,'Centre DW11'!$A$7:$N$161,4,FALSE),0)+
IFERROR(VLOOKUP(A111,'Centre WP11'!$A$7:$N$160,4,FALSE),0)+
IFERROR(VLOOKUP(A111,'Centre WR11'!$A$7:$N$160,4,FALSE),0)+
IFERROR(VLOOKUP(A111,'Centre WV11'!$A$7:$N$163,4,FALSE),0)</f>
        <v>3.2</v>
      </c>
      <c r="E111" s="10">
        <f>IFERROR(VLOOKUP(A111,'Centre DW11'!$A$7:$N$161,5,FALSE),0)+
IFERROR(VLOOKUP(A111,'Centre WP11'!$A$7:$N$160,5,FALSE),0)+
IFERROR(VLOOKUP(A111,'Centre WR11'!$A$7:$N$160,5,FALSE),0)+
IFERROR(VLOOKUP(A111,'Centre WV11'!$A$7:$N$163,5,FALSE),0)</f>
        <v>3.2</v>
      </c>
      <c r="F111" s="10">
        <f>IFERROR(VLOOKUP(A111,'Centre DW11'!$A$7:$N$161,6,FALSE),0)+
IFERROR(VLOOKUP(A111,'Centre WP11'!$A$7:$N$160,6,FALSE),0)+
IFERROR(VLOOKUP(A111,'Centre WR11'!$A$7:$N$160,6,FALSE),0)+
IFERROR(VLOOKUP(A111,'Centre WV11'!$A$7:$N$163,6,FALSE),0)</f>
        <v>3.2</v>
      </c>
      <c r="G111" s="10">
        <f>IFERROR(VLOOKUP(A111,'Centre DW11'!$A$7:$N$161,7,FALSE),0)+
IFERROR(VLOOKUP(A111,'Centre WP11'!$A$7:$N$160,7,FALSE),0)+
IFERROR(VLOOKUP(A111,'Centre WR11'!$A$7:$N$160,7,FALSE),0)+
IFERROR(VLOOKUP(A111,'Centre WV11'!$A$7:$N$163,7,FALSE),0)</f>
        <v>3.2</v>
      </c>
      <c r="H111" s="10">
        <f>IFERROR(VLOOKUP(A111,'Centre DW11'!$A$7:$N$161,8,FALSE),0)+
IFERROR(VLOOKUP(A111,'Centre WP11'!$A$7:$N$160,8,FALSE),0)+
IFERROR(VLOOKUP(A111,'Centre WR11'!$A$7:$N$160,8,FALSE),0)+
IFERROR(VLOOKUP(A111,'Centre WV11'!$A$7:$N$163,8,FALSE),0)</f>
        <v>3.2</v>
      </c>
      <c r="I111" s="10">
        <f>IFERROR(VLOOKUP(A111,'Centre DW11'!$A$7:$N$161,9,FALSE),0)+
IFERROR(VLOOKUP(A111,'Centre WP11'!$A$7:$N$160,9,FALSE),0)+
IFERROR(VLOOKUP(A111,'Centre WR11'!$A$7:$N$160,9,FALSE),0)+
IFERROR(VLOOKUP(A111,'Centre WV11'!$A$7:$N$163,9,FALSE),0)</f>
        <v>3.2</v>
      </c>
      <c r="J111" s="10">
        <f>IFERROR(VLOOKUP(A111,'Centre DW11'!$A$7:$N$161,10,FALSE),0)+
IFERROR(VLOOKUP(A111,'Centre WP11'!$A$7:$N$160,10,FALSE),0)+
IFERROR(VLOOKUP(A111,'Centre WR11'!$A$7:$N$160,10,FALSE),0)+
IFERROR(VLOOKUP(A111,'Centre WV11'!$A$7:$N$163,10,FALSE),0)</f>
        <v>3.2</v>
      </c>
      <c r="K111" s="10">
        <f>IFERROR(VLOOKUP(A111,'Centre DW11'!$A$7:$N$161,11,FALSE),0)+
IFERROR(VLOOKUP(A111,'Centre WP11'!$A$7:$N$160,11,FALSE),0)+
IFERROR(VLOOKUP(A111,'Centre WR11'!$A$7:$N$160,11,FALSE),0)+
IFERROR(VLOOKUP(A111,'Centre WV11'!$A$7:$N$163,11,FALSE),0)</f>
        <v>3.2</v>
      </c>
      <c r="L111" s="10">
        <f>IFERROR(VLOOKUP(A111,'Centre DW11'!$A$7:$N$161,12,FALSE),0)+
IFERROR(VLOOKUP(A111,'Centre WP11'!$A$7:$N$160,12,FALSE),0)+
IFERROR(VLOOKUP(A111,'Centre WR11'!$A$7:$N$160,12,FALSE),0)+
IFERROR(VLOOKUP(A111,'Centre WV11'!$A$7:$N$163,12,FALSE),0)</f>
        <v>3.2</v>
      </c>
      <c r="M111" s="10">
        <f>IFERROR(VLOOKUP(A111,'Centre DW11'!$A$7:$N$161,13,FALSE),0)+
IFERROR(VLOOKUP(A111,'Centre WP11'!$A$7:$N$160,13,FALSE),0)+
IFERROR(VLOOKUP(A111,'Centre WR11'!$A$7:$N$160,13,FALSE),0)+
IFERROR(VLOOKUP(A111,'Centre WV11'!$A$7:$N$163,13,FALSE),0)</f>
        <v>3.2</v>
      </c>
      <c r="N111" s="10">
        <f>IFERROR(VLOOKUP(A111,'Centre DW11'!$A$7:$N$161,14,FALSE),0)+
IFERROR(VLOOKUP(A111,'Centre WP11'!$A$7:$N$160,14,FALSE),0)+
IFERROR(VLOOKUP(A111,'Centre WR11'!$A$7:$N$160,14,FALSE),0)+
IFERROR(VLOOKUP(A111,'Centre WV11'!$A$7:$N$163,14,FALSE),0)</f>
        <v>3.2</v>
      </c>
    </row>
    <row r="112" spans="1:14" hidden="1" outlineLevel="1" x14ac:dyDescent="0.2">
      <c r="A112" s="9" t="s">
        <v>183</v>
      </c>
      <c r="B112" s="1" t="s">
        <v>184</v>
      </c>
      <c r="C112" s="10">
        <f>IFERROR(VLOOKUP(A112,'Centre DW11'!$A$7:$N$161,3,FALSE),0)+
IFERROR(VLOOKUP(A112,'Centre WP11'!$A$7:$N$160,3,FALSE),0)+
IFERROR(VLOOKUP(A112,'Centre WR11'!$A$7:$N$160,3,FALSE),0)+
IFERROR(VLOOKUP(A112,'Centre WV11'!$A$7:$N$163,3,FALSE),0)</f>
        <v>0</v>
      </c>
      <c r="D112" s="10">
        <f>IFERROR(VLOOKUP(A112,'Centre DW11'!$A$7:$N$161,4,FALSE),0)+
IFERROR(VLOOKUP(A112,'Centre WP11'!$A$7:$N$160,4,FALSE),0)+
IFERROR(VLOOKUP(A112,'Centre WR11'!$A$7:$N$160,4,FALSE),0)+
IFERROR(VLOOKUP(A112,'Centre WV11'!$A$7:$N$163,4,FALSE),0)</f>
        <v>0.2</v>
      </c>
      <c r="E112" s="10">
        <f>IFERROR(VLOOKUP(A112,'Centre DW11'!$A$7:$N$161,5,FALSE),0)+
IFERROR(VLOOKUP(A112,'Centre WP11'!$A$7:$N$160,5,FALSE),0)+
IFERROR(VLOOKUP(A112,'Centre WR11'!$A$7:$N$160,5,FALSE),0)+
IFERROR(VLOOKUP(A112,'Centre WV11'!$A$7:$N$163,5,FALSE),0)</f>
        <v>1.4</v>
      </c>
      <c r="F112" s="10">
        <f>IFERROR(VLOOKUP(A112,'Centre DW11'!$A$7:$N$161,6,FALSE),0)+
IFERROR(VLOOKUP(A112,'Centre WP11'!$A$7:$N$160,6,FALSE),0)+
IFERROR(VLOOKUP(A112,'Centre WR11'!$A$7:$N$160,6,FALSE),0)+
IFERROR(VLOOKUP(A112,'Centre WV11'!$A$7:$N$163,6,FALSE),0)</f>
        <v>2.7</v>
      </c>
      <c r="G112" s="10">
        <f>IFERROR(VLOOKUP(A112,'Centre DW11'!$A$7:$N$161,7,FALSE),0)+
IFERROR(VLOOKUP(A112,'Centre WP11'!$A$7:$N$160,7,FALSE),0)+
IFERROR(VLOOKUP(A112,'Centre WR11'!$A$7:$N$160,7,FALSE),0)+
IFERROR(VLOOKUP(A112,'Centre WV11'!$A$7:$N$163,7,FALSE),0)</f>
        <v>3.5</v>
      </c>
      <c r="H112" s="10">
        <f>IFERROR(VLOOKUP(A112,'Centre DW11'!$A$7:$N$161,8,FALSE),0)+
IFERROR(VLOOKUP(A112,'Centre WP11'!$A$7:$N$160,8,FALSE),0)+
IFERROR(VLOOKUP(A112,'Centre WR11'!$A$7:$N$160,8,FALSE),0)+
IFERROR(VLOOKUP(A112,'Centre WV11'!$A$7:$N$163,8,FALSE),0)</f>
        <v>1.8</v>
      </c>
      <c r="I112" s="10">
        <f>IFERROR(VLOOKUP(A112,'Centre DW11'!$A$7:$N$161,9,FALSE),0)+
IFERROR(VLOOKUP(A112,'Centre WP11'!$A$7:$N$160,9,FALSE),0)+
IFERROR(VLOOKUP(A112,'Centre WR11'!$A$7:$N$160,9,FALSE),0)+
IFERROR(VLOOKUP(A112,'Centre WV11'!$A$7:$N$163,9,FALSE),0)</f>
        <v>1</v>
      </c>
      <c r="J112" s="10">
        <f>IFERROR(VLOOKUP(A112,'Centre DW11'!$A$7:$N$161,10,FALSE),0)+
IFERROR(VLOOKUP(A112,'Centre WP11'!$A$7:$N$160,10,FALSE),0)+
IFERROR(VLOOKUP(A112,'Centre WR11'!$A$7:$N$160,10,FALSE),0)+
IFERROR(VLOOKUP(A112,'Centre WV11'!$A$7:$N$163,10,FALSE),0)</f>
        <v>1.4</v>
      </c>
      <c r="K112" s="10">
        <f>IFERROR(VLOOKUP(A112,'Centre DW11'!$A$7:$N$161,11,FALSE),0)+
IFERROR(VLOOKUP(A112,'Centre WP11'!$A$7:$N$160,11,FALSE),0)+
IFERROR(VLOOKUP(A112,'Centre WR11'!$A$7:$N$160,11,FALSE),0)+
IFERROR(VLOOKUP(A112,'Centre WV11'!$A$7:$N$163,11,FALSE),0)</f>
        <v>2.7</v>
      </c>
      <c r="L112" s="10">
        <f>IFERROR(VLOOKUP(A112,'Centre DW11'!$A$7:$N$161,12,FALSE),0)+
IFERROR(VLOOKUP(A112,'Centre WP11'!$A$7:$N$160,12,FALSE),0)+
IFERROR(VLOOKUP(A112,'Centre WR11'!$A$7:$N$160,12,FALSE),0)+
IFERROR(VLOOKUP(A112,'Centre WV11'!$A$7:$N$163,12,FALSE),0)</f>
        <v>3.5</v>
      </c>
      <c r="M112" s="10">
        <f>IFERROR(VLOOKUP(A112,'Centre DW11'!$A$7:$N$161,13,FALSE),0)+
IFERROR(VLOOKUP(A112,'Centre WP11'!$A$7:$N$160,13,FALSE),0)+
IFERROR(VLOOKUP(A112,'Centre WR11'!$A$7:$N$160,13,FALSE),0)+
IFERROR(VLOOKUP(A112,'Centre WV11'!$A$7:$N$163,13,FALSE),0)</f>
        <v>1.8</v>
      </c>
      <c r="N112" s="10">
        <f>IFERROR(VLOOKUP(A112,'Centre DW11'!$A$7:$N$161,14,FALSE),0)+
IFERROR(VLOOKUP(A112,'Centre WP11'!$A$7:$N$160,14,FALSE),0)+
IFERROR(VLOOKUP(A112,'Centre WR11'!$A$7:$N$160,14,FALSE),0)+
IFERROR(VLOOKUP(A112,'Centre WV11'!$A$7:$N$163,14,FALSE),0)</f>
        <v>1</v>
      </c>
    </row>
    <row r="113" spans="1:14" hidden="1" outlineLevel="1" x14ac:dyDescent="0.2">
      <c r="A113" s="9" t="s">
        <v>185</v>
      </c>
      <c r="B113" s="1" t="s">
        <v>186</v>
      </c>
      <c r="C113" s="10">
        <f>IFERROR(VLOOKUP(A113,'Centre DW11'!$A$7:$N$161,3,FALSE),0)+
IFERROR(VLOOKUP(A113,'Centre WP11'!$A$7:$N$160,3,FALSE),0)+
IFERROR(VLOOKUP(A113,'Centre WR11'!$A$7:$N$160,3,FALSE),0)+
IFERROR(VLOOKUP(A113,'Centre WV11'!$A$7:$N$163,3,FALSE),0)</f>
        <v>0.5</v>
      </c>
      <c r="D113" s="10">
        <f>IFERROR(VLOOKUP(A113,'Centre DW11'!$A$7:$N$161,4,FALSE),0)+
IFERROR(VLOOKUP(A113,'Centre WP11'!$A$7:$N$160,4,FALSE),0)+
IFERROR(VLOOKUP(A113,'Centre WR11'!$A$7:$N$160,4,FALSE),0)+
IFERROR(VLOOKUP(A113,'Centre WV11'!$A$7:$N$163,4,FALSE),0)</f>
        <v>0.5</v>
      </c>
      <c r="E113" s="10">
        <f>IFERROR(VLOOKUP(A113,'Centre DW11'!$A$7:$N$161,5,FALSE),0)+
IFERROR(VLOOKUP(A113,'Centre WP11'!$A$7:$N$160,5,FALSE),0)+
IFERROR(VLOOKUP(A113,'Centre WR11'!$A$7:$N$160,5,FALSE),0)+
IFERROR(VLOOKUP(A113,'Centre WV11'!$A$7:$N$163,5,FALSE),0)</f>
        <v>0.5</v>
      </c>
      <c r="F113" s="10">
        <f>IFERROR(VLOOKUP(A113,'Centre DW11'!$A$7:$N$161,6,FALSE),0)+
IFERROR(VLOOKUP(A113,'Centre WP11'!$A$7:$N$160,6,FALSE),0)+
IFERROR(VLOOKUP(A113,'Centre WR11'!$A$7:$N$160,6,FALSE),0)+
IFERROR(VLOOKUP(A113,'Centre WV11'!$A$7:$N$163,6,FALSE),0)</f>
        <v>0.5</v>
      </c>
      <c r="G113" s="10">
        <f>IFERROR(VLOOKUP(A113,'Centre DW11'!$A$7:$N$161,7,FALSE),0)+
IFERROR(VLOOKUP(A113,'Centre WP11'!$A$7:$N$160,7,FALSE),0)+
IFERROR(VLOOKUP(A113,'Centre WR11'!$A$7:$N$160,7,FALSE),0)+
IFERROR(VLOOKUP(A113,'Centre WV11'!$A$7:$N$163,7,FALSE),0)</f>
        <v>0.5</v>
      </c>
      <c r="H113" s="10">
        <f>IFERROR(VLOOKUP(A113,'Centre DW11'!$A$7:$N$161,8,FALSE),0)+
IFERROR(VLOOKUP(A113,'Centre WP11'!$A$7:$N$160,8,FALSE),0)+
IFERROR(VLOOKUP(A113,'Centre WR11'!$A$7:$N$160,8,FALSE),0)+
IFERROR(VLOOKUP(A113,'Centre WV11'!$A$7:$N$163,8,FALSE),0)</f>
        <v>0.5</v>
      </c>
      <c r="I113" s="10">
        <f>IFERROR(VLOOKUP(A113,'Centre DW11'!$A$7:$N$161,9,FALSE),0)+
IFERROR(VLOOKUP(A113,'Centre WP11'!$A$7:$N$160,9,FALSE),0)+
IFERROR(VLOOKUP(A113,'Centre WR11'!$A$7:$N$160,9,FALSE),0)+
IFERROR(VLOOKUP(A113,'Centre WV11'!$A$7:$N$163,9,FALSE),0)</f>
        <v>0.5</v>
      </c>
      <c r="J113" s="10">
        <f>IFERROR(VLOOKUP(A113,'Centre DW11'!$A$7:$N$161,10,FALSE),0)+
IFERROR(VLOOKUP(A113,'Centre WP11'!$A$7:$N$160,10,FALSE),0)+
IFERROR(VLOOKUP(A113,'Centre WR11'!$A$7:$N$160,10,FALSE),0)+
IFERROR(VLOOKUP(A113,'Centre WV11'!$A$7:$N$163,10,FALSE),0)</f>
        <v>0.5</v>
      </c>
      <c r="K113" s="10">
        <f>IFERROR(VLOOKUP(A113,'Centre DW11'!$A$7:$N$161,11,FALSE),0)+
IFERROR(VLOOKUP(A113,'Centre WP11'!$A$7:$N$160,11,FALSE),0)+
IFERROR(VLOOKUP(A113,'Centre WR11'!$A$7:$N$160,11,FALSE),0)+
IFERROR(VLOOKUP(A113,'Centre WV11'!$A$7:$N$163,11,FALSE),0)</f>
        <v>0.5</v>
      </c>
      <c r="L113" s="10">
        <f>IFERROR(VLOOKUP(A113,'Centre DW11'!$A$7:$N$161,12,FALSE),0)+
IFERROR(VLOOKUP(A113,'Centre WP11'!$A$7:$N$160,12,FALSE),0)+
IFERROR(VLOOKUP(A113,'Centre WR11'!$A$7:$N$160,12,FALSE),0)+
IFERROR(VLOOKUP(A113,'Centre WV11'!$A$7:$N$163,12,FALSE),0)</f>
        <v>0.5</v>
      </c>
      <c r="M113" s="10">
        <f>IFERROR(VLOOKUP(A113,'Centre DW11'!$A$7:$N$161,13,FALSE),0)+
IFERROR(VLOOKUP(A113,'Centre WP11'!$A$7:$N$160,13,FALSE),0)+
IFERROR(VLOOKUP(A113,'Centre WR11'!$A$7:$N$160,13,FALSE),0)+
IFERROR(VLOOKUP(A113,'Centre WV11'!$A$7:$N$163,13,FALSE),0)</f>
        <v>0.5</v>
      </c>
      <c r="N113" s="10">
        <f>IFERROR(VLOOKUP(A113,'Centre DW11'!$A$7:$N$161,14,FALSE),0)+
IFERROR(VLOOKUP(A113,'Centre WP11'!$A$7:$N$160,14,FALSE),0)+
IFERROR(VLOOKUP(A113,'Centre WR11'!$A$7:$N$160,14,FALSE),0)+
IFERROR(VLOOKUP(A113,'Centre WV11'!$A$7:$N$163,14,FALSE),0)</f>
        <v>0.5</v>
      </c>
    </row>
    <row r="114" spans="1:14" hidden="1" outlineLevel="1" x14ac:dyDescent="0.2">
      <c r="A114" s="9" t="s">
        <v>187</v>
      </c>
      <c r="B114" s="1" t="s">
        <v>184</v>
      </c>
      <c r="C114" s="10">
        <f>IFERROR(VLOOKUP(A114,'Centre DW11'!$A$7:$N$161,3,FALSE),0)+
IFERROR(VLOOKUP(A114,'Centre WP11'!$A$7:$N$160,3,FALSE),0)+
IFERROR(VLOOKUP(A114,'Centre WR11'!$A$7:$N$160,3,FALSE),0)+
IFERROR(VLOOKUP(A114,'Centre WV11'!$A$7:$N$163,3,FALSE),0)</f>
        <v>0.3</v>
      </c>
      <c r="D114" s="10">
        <f>IFERROR(VLOOKUP(A114,'Centre DW11'!$A$7:$N$161,4,FALSE),0)+
IFERROR(VLOOKUP(A114,'Centre WP11'!$A$7:$N$160,4,FALSE),0)+
IFERROR(VLOOKUP(A114,'Centre WR11'!$A$7:$N$160,4,FALSE),0)+
IFERROR(VLOOKUP(A114,'Centre WV11'!$A$7:$N$163,4,FALSE),0)</f>
        <v>0.3</v>
      </c>
      <c r="E114" s="10">
        <f>IFERROR(VLOOKUP(A114,'Centre DW11'!$A$7:$N$161,5,FALSE),0)+
IFERROR(VLOOKUP(A114,'Centre WP11'!$A$7:$N$160,5,FALSE),0)+
IFERROR(VLOOKUP(A114,'Centre WR11'!$A$7:$N$160,5,FALSE),0)+
IFERROR(VLOOKUP(A114,'Centre WV11'!$A$7:$N$163,5,FALSE),0)</f>
        <v>0.3</v>
      </c>
      <c r="F114" s="10">
        <f>IFERROR(VLOOKUP(A114,'Centre DW11'!$A$7:$N$161,6,FALSE),0)+
IFERROR(VLOOKUP(A114,'Centre WP11'!$A$7:$N$160,6,FALSE),0)+
IFERROR(VLOOKUP(A114,'Centre WR11'!$A$7:$N$160,6,FALSE),0)+
IFERROR(VLOOKUP(A114,'Centre WV11'!$A$7:$N$163,6,FALSE),0)</f>
        <v>0.3</v>
      </c>
      <c r="G114" s="10">
        <f>IFERROR(VLOOKUP(A114,'Centre DW11'!$A$7:$N$161,7,FALSE),0)+
IFERROR(VLOOKUP(A114,'Centre WP11'!$A$7:$N$160,7,FALSE),0)+
IFERROR(VLOOKUP(A114,'Centre WR11'!$A$7:$N$160,7,FALSE),0)+
IFERROR(VLOOKUP(A114,'Centre WV11'!$A$7:$N$163,7,FALSE),0)</f>
        <v>0.3</v>
      </c>
      <c r="H114" s="10">
        <f>IFERROR(VLOOKUP(A114,'Centre DW11'!$A$7:$N$161,8,FALSE),0)+
IFERROR(VLOOKUP(A114,'Centre WP11'!$A$7:$N$160,8,FALSE),0)+
IFERROR(VLOOKUP(A114,'Centre WR11'!$A$7:$N$160,8,FALSE),0)+
IFERROR(VLOOKUP(A114,'Centre WV11'!$A$7:$N$163,8,FALSE),0)</f>
        <v>0.3</v>
      </c>
      <c r="I114" s="10">
        <f>IFERROR(VLOOKUP(A114,'Centre DW11'!$A$7:$N$161,9,FALSE),0)+
IFERROR(VLOOKUP(A114,'Centre WP11'!$A$7:$N$160,9,FALSE),0)+
IFERROR(VLOOKUP(A114,'Centre WR11'!$A$7:$N$160,9,FALSE),0)+
IFERROR(VLOOKUP(A114,'Centre WV11'!$A$7:$N$163,9,FALSE),0)</f>
        <v>0.3</v>
      </c>
      <c r="J114" s="10">
        <f>IFERROR(VLOOKUP(A114,'Centre DW11'!$A$7:$N$161,10,FALSE),0)+
IFERROR(VLOOKUP(A114,'Centre WP11'!$A$7:$N$160,10,FALSE),0)+
IFERROR(VLOOKUP(A114,'Centre WR11'!$A$7:$N$160,10,FALSE),0)+
IFERROR(VLOOKUP(A114,'Centre WV11'!$A$7:$N$163,10,FALSE),0)</f>
        <v>0.3</v>
      </c>
      <c r="K114" s="10">
        <f>IFERROR(VLOOKUP(A114,'Centre DW11'!$A$7:$N$161,11,FALSE),0)+
IFERROR(VLOOKUP(A114,'Centre WP11'!$A$7:$N$160,11,FALSE),0)+
IFERROR(VLOOKUP(A114,'Centre WR11'!$A$7:$N$160,11,FALSE),0)+
IFERROR(VLOOKUP(A114,'Centre WV11'!$A$7:$N$163,11,FALSE),0)</f>
        <v>0.3</v>
      </c>
      <c r="L114" s="10">
        <f>IFERROR(VLOOKUP(A114,'Centre DW11'!$A$7:$N$161,12,FALSE),0)+
IFERROR(VLOOKUP(A114,'Centre WP11'!$A$7:$N$160,12,FALSE),0)+
IFERROR(VLOOKUP(A114,'Centre WR11'!$A$7:$N$160,12,FALSE),0)+
IFERROR(VLOOKUP(A114,'Centre WV11'!$A$7:$N$163,12,FALSE),0)</f>
        <v>0.3</v>
      </c>
      <c r="M114" s="10">
        <f>IFERROR(VLOOKUP(A114,'Centre DW11'!$A$7:$N$161,13,FALSE),0)+
IFERROR(VLOOKUP(A114,'Centre WP11'!$A$7:$N$160,13,FALSE),0)+
IFERROR(VLOOKUP(A114,'Centre WR11'!$A$7:$N$160,13,FALSE),0)+
IFERROR(VLOOKUP(A114,'Centre WV11'!$A$7:$N$163,13,FALSE),0)</f>
        <v>0.3</v>
      </c>
      <c r="N114" s="10">
        <f>IFERROR(VLOOKUP(A114,'Centre DW11'!$A$7:$N$161,14,FALSE),0)+
IFERROR(VLOOKUP(A114,'Centre WP11'!$A$7:$N$160,14,FALSE),0)+
IFERROR(VLOOKUP(A114,'Centre WR11'!$A$7:$N$160,14,FALSE),0)+
IFERROR(VLOOKUP(A114,'Centre WV11'!$A$7:$N$163,14,FALSE),0)</f>
        <v>0.3</v>
      </c>
    </row>
    <row r="115" spans="1:14" hidden="1" outlineLevel="1" x14ac:dyDescent="0.2">
      <c r="A115" s="9" t="s">
        <v>188</v>
      </c>
      <c r="B115" s="1" t="s">
        <v>189</v>
      </c>
      <c r="C115" s="10">
        <f>IFERROR(VLOOKUP(A115,'Centre DW11'!$A$7:$N$161,3,FALSE),0)+
IFERROR(VLOOKUP(A115,'Centre WP11'!$A$7:$N$160,3,FALSE),0)+
IFERROR(VLOOKUP(A115,'Centre WR11'!$A$7:$N$160,3,FALSE),0)+
IFERROR(VLOOKUP(A115,'Centre WV11'!$A$7:$N$163,3,FALSE),0)</f>
        <v>1</v>
      </c>
      <c r="D115" s="10">
        <f>IFERROR(VLOOKUP(A115,'Centre DW11'!$A$7:$N$161,4,FALSE),0)+
IFERROR(VLOOKUP(A115,'Centre WP11'!$A$7:$N$160,4,FALSE),0)+
IFERROR(VLOOKUP(A115,'Centre WR11'!$A$7:$N$160,4,FALSE),0)+
IFERROR(VLOOKUP(A115,'Centre WV11'!$A$7:$N$163,4,FALSE),0)</f>
        <v>1.1000000000000001</v>
      </c>
      <c r="E115" s="10">
        <f>IFERROR(VLOOKUP(A115,'Centre DW11'!$A$7:$N$161,5,FALSE),0)+
IFERROR(VLOOKUP(A115,'Centre WP11'!$A$7:$N$160,5,FALSE),0)+
IFERROR(VLOOKUP(A115,'Centre WR11'!$A$7:$N$160,5,FALSE),0)+
IFERROR(VLOOKUP(A115,'Centre WV11'!$A$7:$N$163,5,FALSE),0)</f>
        <v>1.4</v>
      </c>
      <c r="F115" s="10">
        <f>IFERROR(VLOOKUP(A115,'Centre DW11'!$A$7:$N$161,6,FALSE),0)+
IFERROR(VLOOKUP(A115,'Centre WP11'!$A$7:$N$160,6,FALSE),0)+
IFERROR(VLOOKUP(A115,'Centre WR11'!$A$7:$N$160,6,FALSE),0)+
IFERROR(VLOOKUP(A115,'Centre WV11'!$A$7:$N$163,6,FALSE),0)</f>
        <v>1.4</v>
      </c>
      <c r="G115" s="10">
        <f>IFERROR(VLOOKUP(A115,'Centre DW11'!$A$7:$N$161,7,FALSE),0)+
IFERROR(VLOOKUP(A115,'Centre WP11'!$A$7:$N$160,7,FALSE),0)+
IFERROR(VLOOKUP(A115,'Centre WR11'!$A$7:$N$160,7,FALSE),0)+
IFERROR(VLOOKUP(A115,'Centre WV11'!$A$7:$N$163,7,FALSE),0)</f>
        <v>0.7</v>
      </c>
      <c r="H115" s="10">
        <f>IFERROR(VLOOKUP(A115,'Centre DW11'!$A$7:$N$161,8,FALSE),0)+
IFERROR(VLOOKUP(A115,'Centre WP11'!$A$7:$N$160,8,FALSE),0)+
IFERROR(VLOOKUP(A115,'Centre WR11'!$A$7:$N$160,8,FALSE),0)+
IFERROR(VLOOKUP(A115,'Centre WV11'!$A$7:$N$163,8,FALSE),0)</f>
        <v>1.5</v>
      </c>
      <c r="I115" s="10">
        <f>IFERROR(VLOOKUP(A115,'Centre DW11'!$A$7:$N$161,9,FALSE),0)+
IFERROR(VLOOKUP(A115,'Centre WP11'!$A$7:$N$160,9,FALSE),0)+
IFERROR(VLOOKUP(A115,'Centre WR11'!$A$7:$N$160,9,FALSE),0)+
IFERROR(VLOOKUP(A115,'Centre WV11'!$A$7:$N$163,9,FALSE),0)</f>
        <v>0.9</v>
      </c>
      <c r="J115" s="10">
        <f>IFERROR(VLOOKUP(A115,'Centre DW11'!$A$7:$N$161,10,FALSE),0)+
IFERROR(VLOOKUP(A115,'Centre WP11'!$A$7:$N$160,10,FALSE),0)+
IFERROR(VLOOKUP(A115,'Centre WR11'!$A$7:$N$160,10,FALSE),0)+
IFERROR(VLOOKUP(A115,'Centre WV11'!$A$7:$N$163,10,FALSE),0)</f>
        <v>1.4</v>
      </c>
      <c r="K115" s="10">
        <f>IFERROR(VLOOKUP(A115,'Centre DW11'!$A$7:$N$161,11,FALSE),0)+
IFERROR(VLOOKUP(A115,'Centre WP11'!$A$7:$N$160,11,FALSE),0)+
IFERROR(VLOOKUP(A115,'Centre WR11'!$A$7:$N$160,11,FALSE),0)+
IFERROR(VLOOKUP(A115,'Centre WV11'!$A$7:$N$163,11,FALSE),0)</f>
        <v>1.4</v>
      </c>
      <c r="L115" s="10">
        <f>IFERROR(VLOOKUP(A115,'Centre DW11'!$A$7:$N$161,12,FALSE),0)+
IFERROR(VLOOKUP(A115,'Centre WP11'!$A$7:$N$160,12,FALSE),0)+
IFERROR(VLOOKUP(A115,'Centre WR11'!$A$7:$N$160,12,FALSE),0)+
IFERROR(VLOOKUP(A115,'Centre WV11'!$A$7:$N$163,12,FALSE),0)</f>
        <v>0.7</v>
      </c>
      <c r="M115" s="10">
        <f>IFERROR(VLOOKUP(A115,'Centre DW11'!$A$7:$N$161,13,FALSE),0)+
IFERROR(VLOOKUP(A115,'Centre WP11'!$A$7:$N$160,13,FALSE),0)+
IFERROR(VLOOKUP(A115,'Centre WR11'!$A$7:$N$160,13,FALSE),0)+
IFERROR(VLOOKUP(A115,'Centre WV11'!$A$7:$N$163,13,FALSE),0)</f>
        <v>1.5</v>
      </c>
      <c r="N115" s="10">
        <f>IFERROR(VLOOKUP(A115,'Centre DW11'!$A$7:$N$161,14,FALSE),0)+
IFERROR(VLOOKUP(A115,'Centre WP11'!$A$7:$N$160,14,FALSE),0)+
IFERROR(VLOOKUP(A115,'Centre WR11'!$A$7:$N$160,14,FALSE),0)+
IFERROR(VLOOKUP(A115,'Centre WV11'!$A$7:$N$163,14,FALSE),0)</f>
        <v>0.9</v>
      </c>
    </row>
    <row r="116" spans="1:14" hidden="1" outlineLevel="1" x14ac:dyDescent="0.2">
      <c r="A116" s="9" t="s">
        <v>190</v>
      </c>
      <c r="B116" s="1" t="s">
        <v>191</v>
      </c>
      <c r="C116" s="10">
        <f>IFERROR(VLOOKUP(A116,'Centre DW11'!$A$7:$N$161,3,FALSE),0)+
IFERROR(VLOOKUP(A116,'Centre WP11'!$A$7:$N$160,3,FALSE),0)+
IFERROR(VLOOKUP(A116,'Centre WR11'!$A$7:$N$160,3,FALSE),0)+
IFERROR(VLOOKUP(A116,'Centre WV11'!$A$7:$N$163,3,FALSE),0)</f>
        <v>0.3</v>
      </c>
      <c r="D116" s="10">
        <f>IFERROR(VLOOKUP(A116,'Centre DW11'!$A$7:$N$161,4,FALSE),0)+
IFERROR(VLOOKUP(A116,'Centre WP11'!$A$7:$N$160,4,FALSE),0)+
IFERROR(VLOOKUP(A116,'Centre WR11'!$A$7:$N$160,4,FALSE),0)+
IFERROR(VLOOKUP(A116,'Centre WV11'!$A$7:$N$163,4,FALSE),0)</f>
        <v>0.3</v>
      </c>
      <c r="E116" s="10">
        <f>IFERROR(VLOOKUP(A116,'Centre DW11'!$A$7:$N$161,5,FALSE),0)+
IFERROR(VLOOKUP(A116,'Centre WP11'!$A$7:$N$160,5,FALSE),0)+
IFERROR(VLOOKUP(A116,'Centre WR11'!$A$7:$N$160,5,FALSE),0)+
IFERROR(VLOOKUP(A116,'Centre WV11'!$A$7:$N$163,5,FALSE),0)</f>
        <v>0.3</v>
      </c>
      <c r="F116" s="10">
        <f>IFERROR(VLOOKUP(A116,'Centre DW11'!$A$7:$N$161,6,FALSE),0)+
IFERROR(VLOOKUP(A116,'Centre WP11'!$A$7:$N$160,6,FALSE),0)+
IFERROR(VLOOKUP(A116,'Centre WR11'!$A$7:$N$160,6,FALSE),0)+
IFERROR(VLOOKUP(A116,'Centre WV11'!$A$7:$N$163,6,FALSE),0)</f>
        <v>0.3</v>
      </c>
      <c r="G116" s="10">
        <f>IFERROR(VLOOKUP(A116,'Centre DW11'!$A$7:$N$161,7,FALSE),0)+
IFERROR(VLOOKUP(A116,'Centre WP11'!$A$7:$N$160,7,FALSE),0)+
IFERROR(VLOOKUP(A116,'Centre WR11'!$A$7:$N$160,7,FALSE),0)+
IFERROR(VLOOKUP(A116,'Centre WV11'!$A$7:$N$163,7,FALSE),0)</f>
        <v>0.3</v>
      </c>
      <c r="H116" s="10">
        <f>IFERROR(VLOOKUP(A116,'Centre DW11'!$A$7:$N$161,8,FALSE),0)+
IFERROR(VLOOKUP(A116,'Centre WP11'!$A$7:$N$160,8,FALSE),0)+
IFERROR(VLOOKUP(A116,'Centre WR11'!$A$7:$N$160,8,FALSE),0)+
IFERROR(VLOOKUP(A116,'Centre WV11'!$A$7:$N$163,8,FALSE),0)</f>
        <v>0.3</v>
      </c>
      <c r="I116" s="10">
        <f>IFERROR(VLOOKUP(A116,'Centre DW11'!$A$7:$N$161,9,FALSE),0)+
IFERROR(VLOOKUP(A116,'Centre WP11'!$A$7:$N$160,9,FALSE),0)+
IFERROR(VLOOKUP(A116,'Centre WR11'!$A$7:$N$160,9,FALSE),0)+
IFERROR(VLOOKUP(A116,'Centre WV11'!$A$7:$N$163,9,FALSE),0)</f>
        <v>0.3</v>
      </c>
      <c r="J116" s="10">
        <f>IFERROR(VLOOKUP(A116,'Centre DW11'!$A$7:$N$161,10,FALSE),0)+
IFERROR(VLOOKUP(A116,'Centre WP11'!$A$7:$N$160,10,FALSE),0)+
IFERROR(VLOOKUP(A116,'Centre WR11'!$A$7:$N$160,10,FALSE),0)+
IFERROR(VLOOKUP(A116,'Centre WV11'!$A$7:$N$163,10,FALSE),0)</f>
        <v>0.3</v>
      </c>
      <c r="K116" s="10">
        <f>IFERROR(VLOOKUP(A116,'Centre DW11'!$A$7:$N$161,11,FALSE),0)+
IFERROR(VLOOKUP(A116,'Centre WP11'!$A$7:$N$160,11,FALSE),0)+
IFERROR(VLOOKUP(A116,'Centre WR11'!$A$7:$N$160,11,FALSE),0)+
IFERROR(VLOOKUP(A116,'Centre WV11'!$A$7:$N$163,11,FALSE),0)</f>
        <v>0.3</v>
      </c>
      <c r="L116" s="10">
        <f>IFERROR(VLOOKUP(A116,'Centre DW11'!$A$7:$N$161,12,FALSE),0)+
IFERROR(VLOOKUP(A116,'Centre WP11'!$A$7:$N$160,12,FALSE),0)+
IFERROR(VLOOKUP(A116,'Centre WR11'!$A$7:$N$160,12,FALSE),0)+
IFERROR(VLOOKUP(A116,'Centre WV11'!$A$7:$N$163,12,FALSE),0)</f>
        <v>0.3</v>
      </c>
      <c r="M116" s="10">
        <f>IFERROR(VLOOKUP(A116,'Centre DW11'!$A$7:$N$161,13,FALSE),0)+
IFERROR(VLOOKUP(A116,'Centre WP11'!$A$7:$N$160,13,FALSE),0)+
IFERROR(VLOOKUP(A116,'Centre WR11'!$A$7:$N$160,13,FALSE),0)+
IFERROR(VLOOKUP(A116,'Centre WV11'!$A$7:$N$163,13,FALSE),0)</f>
        <v>0.3</v>
      </c>
      <c r="N116" s="10">
        <f>IFERROR(VLOOKUP(A116,'Centre DW11'!$A$7:$N$161,14,FALSE),0)+
IFERROR(VLOOKUP(A116,'Centre WP11'!$A$7:$N$160,14,FALSE),0)+
IFERROR(VLOOKUP(A116,'Centre WR11'!$A$7:$N$160,14,FALSE),0)+
IFERROR(VLOOKUP(A116,'Centre WV11'!$A$7:$N$163,14,FALSE),0)</f>
        <v>0.3</v>
      </c>
    </row>
    <row r="117" spans="1:14" hidden="1" outlineLevel="1" x14ac:dyDescent="0.2">
      <c r="A117" s="9" t="s">
        <v>192</v>
      </c>
      <c r="B117" s="1" t="s">
        <v>193</v>
      </c>
      <c r="C117" s="10">
        <f>IFERROR(VLOOKUP(A117,'Centre DW11'!$A$7:$N$161,3,FALSE),0)+
IFERROR(VLOOKUP(A117,'Centre WP11'!$A$7:$N$160,3,FALSE),0)+
IFERROR(VLOOKUP(A117,'Centre WR11'!$A$7:$N$160,3,FALSE),0)+
IFERROR(VLOOKUP(A117,'Centre WV11'!$A$7:$N$163,3,FALSE),0)</f>
        <v>0</v>
      </c>
      <c r="D117" s="10">
        <f>IFERROR(VLOOKUP(A117,'Centre DW11'!$A$7:$N$161,4,FALSE),0)+
IFERROR(VLOOKUP(A117,'Centre WP11'!$A$7:$N$160,4,FALSE),0)+
IFERROR(VLOOKUP(A117,'Centre WR11'!$A$7:$N$160,4,FALSE),0)+
IFERROR(VLOOKUP(A117,'Centre WV11'!$A$7:$N$163,4,FALSE),0)</f>
        <v>0</v>
      </c>
      <c r="E117" s="10">
        <f>IFERROR(VLOOKUP(A117,'Centre DW11'!$A$7:$N$161,5,FALSE),0)+
IFERROR(VLOOKUP(A117,'Centre WP11'!$A$7:$N$160,5,FALSE),0)+
IFERROR(VLOOKUP(A117,'Centre WR11'!$A$7:$N$160,5,FALSE),0)+
IFERROR(VLOOKUP(A117,'Centre WV11'!$A$7:$N$163,5,FALSE),0)</f>
        <v>0</v>
      </c>
      <c r="F117" s="10">
        <f>IFERROR(VLOOKUP(A117,'Centre DW11'!$A$7:$N$161,6,FALSE),0)+
IFERROR(VLOOKUP(A117,'Centre WP11'!$A$7:$N$160,6,FALSE),0)+
IFERROR(VLOOKUP(A117,'Centre WR11'!$A$7:$N$160,6,FALSE),0)+
IFERROR(VLOOKUP(A117,'Centre WV11'!$A$7:$N$163,6,FALSE),0)</f>
        <v>0</v>
      </c>
      <c r="G117" s="10">
        <f>IFERROR(VLOOKUP(A117,'Centre DW11'!$A$7:$N$161,7,FALSE),0)+
IFERROR(VLOOKUP(A117,'Centre WP11'!$A$7:$N$160,7,FALSE),0)+
IFERROR(VLOOKUP(A117,'Centre WR11'!$A$7:$N$160,7,FALSE),0)+
IFERROR(VLOOKUP(A117,'Centre WV11'!$A$7:$N$163,7,FALSE),0)</f>
        <v>0</v>
      </c>
      <c r="H117" s="10">
        <f>IFERROR(VLOOKUP(A117,'Centre DW11'!$A$7:$N$161,8,FALSE),0)+
IFERROR(VLOOKUP(A117,'Centre WP11'!$A$7:$N$160,8,FALSE),0)+
IFERROR(VLOOKUP(A117,'Centre WR11'!$A$7:$N$160,8,FALSE),0)+
IFERROR(VLOOKUP(A117,'Centre WV11'!$A$7:$N$163,8,FALSE),0)</f>
        <v>0</v>
      </c>
      <c r="I117" s="10">
        <f>IFERROR(VLOOKUP(A117,'Centre DW11'!$A$7:$N$161,9,FALSE),0)+
IFERROR(VLOOKUP(A117,'Centre WP11'!$A$7:$N$160,9,FALSE),0)+
IFERROR(VLOOKUP(A117,'Centre WR11'!$A$7:$N$160,9,FALSE),0)+
IFERROR(VLOOKUP(A117,'Centre WV11'!$A$7:$N$163,9,FALSE),0)</f>
        <v>0</v>
      </c>
      <c r="J117" s="10">
        <f>IFERROR(VLOOKUP(A117,'Centre DW11'!$A$7:$N$161,10,FALSE),0)+
IFERROR(VLOOKUP(A117,'Centre WP11'!$A$7:$N$160,10,FALSE),0)+
IFERROR(VLOOKUP(A117,'Centre WR11'!$A$7:$N$160,10,FALSE),0)+
IFERROR(VLOOKUP(A117,'Centre WV11'!$A$7:$N$163,10,FALSE),0)</f>
        <v>0</v>
      </c>
      <c r="K117" s="10">
        <f>IFERROR(VLOOKUP(A117,'Centre DW11'!$A$7:$N$161,11,FALSE),0)+
IFERROR(VLOOKUP(A117,'Centre WP11'!$A$7:$N$160,11,FALSE),0)+
IFERROR(VLOOKUP(A117,'Centre WR11'!$A$7:$N$160,11,FALSE),0)+
IFERROR(VLOOKUP(A117,'Centre WV11'!$A$7:$N$163,11,FALSE),0)</f>
        <v>0</v>
      </c>
      <c r="L117" s="10">
        <f>IFERROR(VLOOKUP(A117,'Centre DW11'!$A$7:$N$161,12,FALSE),0)+
IFERROR(VLOOKUP(A117,'Centre WP11'!$A$7:$N$160,12,FALSE),0)+
IFERROR(VLOOKUP(A117,'Centre WR11'!$A$7:$N$160,12,FALSE),0)+
IFERROR(VLOOKUP(A117,'Centre WV11'!$A$7:$N$163,12,FALSE),0)</f>
        <v>0</v>
      </c>
      <c r="M117" s="10">
        <f>IFERROR(VLOOKUP(A117,'Centre DW11'!$A$7:$N$161,13,FALSE),0)+
IFERROR(VLOOKUP(A117,'Centre WP11'!$A$7:$N$160,13,FALSE),0)+
IFERROR(VLOOKUP(A117,'Centre WR11'!$A$7:$N$160,13,FALSE),0)+
IFERROR(VLOOKUP(A117,'Centre WV11'!$A$7:$N$163,13,FALSE),0)</f>
        <v>0</v>
      </c>
      <c r="N117" s="10">
        <f>IFERROR(VLOOKUP(A117,'Centre DW11'!$A$7:$N$161,14,FALSE),0)+
IFERROR(VLOOKUP(A117,'Centre WP11'!$A$7:$N$160,14,FALSE),0)+
IFERROR(VLOOKUP(A117,'Centre WR11'!$A$7:$N$160,14,FALSE),0)+
IFERROR(VLOOKUP(A117,'Centre WV11'!$A$7:$N$163,14,FALSE),0)</f>
        <v>0</v>
      </c>
    </row>
    <row r="118" spans="1:14" hidden="1" outlineLevel="1" x14ac:dyDescent="0.2">
      <c r="A118" s="9" t="s">
        <v>194</v>
      </c>
      <c r="B118" s="1" t="s">
        <v>195</v>
      </c>
      <c r="C118" s="10">
        <f>IFERROR(VLOOKUP(A118,'Centre DW11'!$A$7:$N$161,3,FALSE),0)+
IFERROR(VLOOKUP(A118,'Centre WP11'!$A$7:$N$160,3,FALSE),0)+
IFERROR(VLOOKUP(A118,'Centre WR11'!$A$7:$N$160,3,FALSE),0)+
IFERROR(VLOOKUP(A118,'Centre WV11'!$A$7:$N$163,3,FALSE),0)</f>
        <v>1.2</v>
      </c>
      <c r="D118" s="10">
        <f>IFERROR(VLOOKUP(A118,'Centre DW11'!$A$7:$N$161,4,FALSE),0)+
IFERROR(VLOOKUP(A118,'Centre WP11'!$A$7:$N$160,4,FALSE),0)+
IFERROR(VLOOKUP(A118,'Centre WR11'!$A$7:$N$160,4,FALSE),0)+
IFERROR(VLOOKUP(A118,'Centre WV11'!$A$7:$N$163,4,FALSE),0)</f>
        <v>1.2</v>
      </c>
      <c r="E118" s="10">
        <f>IFERROR(VLOOKUP(A118,'Centre DW11'!$A$7:$N$161,5,FALSE),0)+
IFERROR(VLOOKUP(A118,'Centre WP11'!$A$7:$N$160,5,FALSE),0)+
IFERROR(VLOOKUP(A118,'Centre WR11'!$A$7:$N$160,5,FALSE),0)+
IFERROR(VLOOKUP(A118,'Centre WV11'!$A$7:$N$163,5,FALSE),0)</f>
        <v>1.2</v>
      </c>
      <c r="F118" s="10">
        <f>IFERROR(VLOOKUP(A118,'Centre DW11'!$A$7:$N$161,6,FALSE),0)+
IFERROR(VLOOKUP(A118,'Centre WP11'!$A$7:$N$160,6,FALSE),0)+
IFERROR(VLOOKUP(A118,'Centre WR11'!$A$7:$N$160,6,FALSE),0)+
IFERROR(VLOOKUP(A118,'Centre WV11'!$A$7:$N$163,6,FALSE),0)</f>
        <v>1.2</v>
      </c>
      <c r="G118" s="10">
        <f>IFERROR(VLOOKUP(A118,'Centre DW11'!$A$7:$N$161,7,FALSE),0)+
IFERROR(VLOOKUP(A118,'Centre WP11'!$A$7:$N$160,7,FALSE),0)+
IFERROR(VLOOKUP(A118,'Centre WR11'!$A$7:$N$160,7,FALSE),0)+
IFERROR(VLOOKUP(A118,'Centre WV11'!$A$7:$N$163,7,FALSE),0)</f>
        <v>1.2</v>
      </c>
      <c r="H118" s="10">
        <f>IFERROR(VLOOKUP(A118,'Centre DW11'!$A$7:$N$161,8,FALSE),0)+
IFERROR(VLOOKUP(A118,'Centre WP11'!$A$7:$N$160,8,FALSE),0)+
IFERROR(VLOOKUP(A118,'Centre WR11'!$A$7:$N$160,8,FALSE),0)+
IFERROR(VLOOKUP(A118,'Centre WV11'!$A$7:$N$163,8,FALSE),0)</f>
        <v>1.2</v>
      </c>
      <c r="I118" s="10">
        <f>IFERROR(VLOOKUP(A118,'Centre DW11'!$A$7:$N$161,9,FALSE),0)+
IFERROR(VLOOKUP(A118,'Centre WP11'!$A$7:$N$160,9,FALSE),0)+
IFERROR(VLOOKUP(A118,'Centre WR11'!$A$7:$N$160,9,FALSE),0)+
IFERROR(VLOOKUP(A118,'Centre WV11'!$A$7:$N$163,9,FALSE),0)</f>
        <v>1.2</v>
      </c>
      <c r="J118" s="10">
        <f>IFERROR(VLOOKUP(A118,'Centre DW11'!$A$7:$N$161,10,FALSE),0)+
IFERROR(VLOOKUP(A118,'Centre WP11'!$A$7:$N$160,10,FALSE),0)+
IFERROR(VLOOKUP(A118,'Centre WR11'!$A$7:$N$160,10,FALSE),0)+
IFERROR(VLOOKUP(A118,'Centre WV11'!$A$7:$N$163,10,FALSE),0)</f>
        <v>1.2</v>
      </c>
      <c r="K118" s="10">
        <f>IFERROR(VLOOKUP(A118,'Centre DW11'!$A$7:$N$161,11,FALSE),0)+
IFERROR(VLOOKUP(A118,'Centre WP11'!$A$7:$N$160,11,FALSE),0)+
IFERROR(VLOOKUP(A118,'Centre WR11'!$A$7:$N$160,11,FALSE),0)+
IFERROR(VLOOKUP(A118,'Centre WV11'!$A$7:$N$163,11,FALSE),0)</f>
        <v>1.2</v>
      </c>
      <c r="L118" s="10">
        <f>IFERROR(VLOOKUP(A118,'Centre DW11'!$A$7:$N$161,12,FALSE),0)+
IFERROR(VLOOKUP(A118,'Centre WP11'!$A$7:$N$160,12,FALSE),0)+
IFERROR(VLOOKUP(A118,'Centre WR11'!$A$7:$N$160,12,FALSE),0)+
IFERROR(VLOOKUP(A118,'Centre WV11'!$A$7:$N$163,12,FALSE),0)</f>
        <v>1.2</v>
      </c>
      <c r="M118" s="10">
        <f>IFERROR(VLOOKUP(A118,'Centre DW11'!$A$7:$N$161,13,FALSE),0)+
IFERROR(VLOOKUP(A118,'Centre WP11'!$A$7:$N$160,13,FALSE),0)+
IFERROR(VLOOKUP(A118,'Centre WR11'!$A$7:$N$160,13,FALSE),0)+
IFERROR(VLOOKUP(A118,'Centre WV11'!$A$7:$N$163,13,FALSE),0)</f>
        <v>1.2</v>
      </c>
      <c r="N118" s="10">
        <f>IFERROR(VLOOKUP(A118,'Centre DW11'!$A$7:$N$161,14,FALSE),0)+
IFERROR(VLOOKUP(A118,'Centre WP11'!$A$7:$N$160,14,FALSE),0)+
IFERROR(VLOOKUP(A118,'Centre WR11'!$A$7:$N$160,14,FALSE),0)+
IFERROR(VLOOKUP(A118,'Centre WV11'!$A$7:$N$163,14,FALSE),0)</f>
        <v>1.2</v>
      </c>
    </row>
    <row r="119" spans="1:14" hidden="1" outlineLevel="1" x14ac:dyDescent="0.2">
      <c r="A119" s="9" t="s">
        <v>196</v>
      </c>
      <c r="B119" s="1" t="s">
        <v>197</v>
      </c>
      <c r="C119" s="10">
        <f>IFERROR(VLOOKUP(A119,'Centre DW11'!$A$7:$N$161,3,FALSE),0)+
IFERROR(VLOOKUP(A119,'Centre WP11'!$A$7:$N$160,3,FALSE),0)+
IFERROR(VLOOKUP(A119,'Centre WR11'!$A$7:$N$160,3,FALSE),0)+
IFERROR(VLOOKUP(A119,'Centre WV11'!$A$7:$N$163,3,FALSE),0)</f>
        <v>0</v>
      </c>
      <c r="D119" s="10">
        <f>IFERROR(VLOOKUP(A119,'Centre DW11'!$A$7:$N$161,4,FALSE),0)+
IFERROR(VLOOKUP(A119,'Centre WP11'!$A$7:$N$160,4,FALSE),0)+
IFERROR(VLOOKUP(A119,'Centre WR11'!$A$7:$N$160,4,FALSE),0)+
IFERROR(VLOOKUP(A119,'Centre WV11'!$A$7:$N$163,4,FALSE),0)</f>
        <v>0</v>
      </c>
      <c r="E119" s="10">
        <f>IFERROR(VLOOKUP(A119,'Centre DW11'!$A$7:$N$161,5,FALSE),0)+
IFERROR(VLOOKUP(A119,'Centre WP11'!$A$7:$N$160,5,FALSE),0)+
IFERROR(VLOOKUP(A119,'Centre WR11'!$A$7:$N$160,5,FALSE),0)+
IFERROR(VLOOKUP(A119,'Centre WV11'!$A$7:$N$163,5,FALSE),0)</f>
        <v>0</v>
      </c>
      <c r="F119" s="10">
        <f>IFERROR(VLOOKUP(A119,'Centre DW11'!$A$7:$N$161,6,FALSE),0)+
IFERROR(VLOOKUP(A119,'Centre WP11'!$A$7:$N$160,6,FALSE),0)+
IFERROR(VLOOKUP(A119,'Centre WR11'!$A$7:$N$160,6,FALSE),0)+
IFERROR(VLOOKUP(A119,'Centre WV11'!$A$7:$N$163,6,FALSE),0)</f>
        <v>0</v>
      </c>
      <c r="G119" s="10">
        <f>IFERROR(VLOOKUP(A119,'Centre DW11'!$A$7:$N$161,7,FALSE),0)+
IFERROR(VLOOKUP(A119,'Centre WP11'!$A$7:$N$160,7,FALSE),0)+
IFERROR(VLOOKUP(A119,'Centre WR11'!$A$7:$N$160,7,FALSE),0)+
IFERROR(VLOOKUP(A119,'Centre WV11'!$A$7:$N$163,7,FALSE),0)</f>
        <v>0</v>
      </c>
      <c r="H119" s="10">
        <f>IFERROR(VLOOKUP(A119,'Centre DW11'!$A$7:$N$161,8,FALSE),0)+
IFERROR(VLOOKUP(A119,'Centre WP11'!$A$7:$N$160,8,FALSE),0)+
IFERROR(VLOOKUP(A119,'Centre WR11'!$A$7:$N$160,8,FALSE),0)+
IFERROR(VLOOKUP(A119,'Centre WV11'!$A$7:$N$163,8,FALSE),0)</f>
        <v>0</v>
      </c>
      <c r="I119" s="10">
        <f>IFERROR(VLOOKUP(A119,'Centre DW11'!$A$7:$N$161,9,FALSE),0)+
IFERROR(VLOOKUP(A119,'Centre WP11'!$A$7:$N$160,9,FALSE),0)+
IFERROR(VLOOKUP(A119,'Centre WR11'!$A$7:$N$160,9,FALSE),0)+
IFERROR(VLOOKUP(A119,'Centre WV11'!$A$7:$N$163,9,FALSE),0)</f>
        <v>0</v>
      </c>
      <c r="J119" s="10">
        <f>IFERROR(VLOOKUP(A119,'Centre DW11'!$A$7:$N$161,10,FALSE),0)+
IFERROR(VLOOKUP(A119,'Centre WP11'!$A$7:$N$160,10,FALSE),0)+
IFERROR(VLOOKUP(A119,'Centre WR11'!$A$7:$N$160,10,FALSE),0)+
IFERROR(VLOOKUP(A119,'Centre WV11'!$A$7:$N$163,10,FALSE),0)</f>
        <v>0</v>
      </c>
      <c r="K119" s="10">
        <f>IFERROR(VLOOKUP(A119,'Centre DW11'!$A$7:$N$161,11,FALSE),0)+
IFERROR(VLOOKUP(A119,'Centre WP11'!$A$7:$N$160,11,FALSE),0)+
IFERROR(VLOOKUP(A119,'Centre WR11'!$A$7:$N$160,11,FALSE),0)+
IFERROR(VLOOKUP(A119,'Centre WV11'!$A$7:$N$163,11,FALSE),0)</f>
        <v>0</v>
      </c>
      <c r="L119" s="10">
        <f>IFERROR(VLOOKUP(A119,'Centre DW11'!$A$7:$N$161,12,FALSE),0)+
IFERROR(VLOOKUP(A119,'Centre WP11'!$A$7:$N$160,12,FALSE),0)+
IFERROR(VLOOKUP(A119,'Centre WR11'!$A$7:$N$160,12,FALSE),0)+
IFERROR(VLOOKUP(A119,'Centre WV11'!$A$7:$N$163,12,FALSE),0)</f>
        <v>0</v>
      </c>
      <c r="M119" s="10">
        <f>IFERROR(VLOOKUP(A119,'Centre DW11'!$A$7:$N$161,13,FALSE),0)+
IFERROR(VLOOKUP(A119,'Centre WP11'!$A$7:$N$160,13,FALSE),0)+
IFERROR(VLOOKUP(A119,'Centre WR11'!$A$7:$N$160,13,FALSE),0)+
IFERROR(VLOOKUP(A119,'Centre WV11'!$A$7:$N$163,13,FALSE),0)</f>
        <v>0</v>
      </c>
      <c r="N119" s="10">
        <f>IFERROR(VLOOKUP(A119,'Centre DW11'!$A$7:$N$161,14,FALSE),0)+
IFERROR(VLOOKUP(A119,'Centre WP11'!$A$7:$N$160,14,FALSE),0)+
IFERROR(VLOOKUP(A119,'Centre WR11'!$A$7:$N$160,14,FALSE),0)+
IFERROR(VLOOKUP(A119,'Centre WV11'!$A$7:$N$163,14,FALSE),0)</f>
        <v>0</v>
      </c>
    </row>
    <row r="120" spans="1:14" hidden="1" outlineLevel="1" x14ac:dyDescent="0.2">
      <c r="A120" s="9" t="s">
        <v>198</v>
      </c>
      <c r="B120" s="1" t="s">
        <v>199</v>
      </c>
      <c r="C120" s="10">
        <f>IFERROR(VLOOKUP(A120,'Centre DW11'!$A$7:$N$161,3,FALSE),0)+
IFERROR(VLOOKUP(A120,'Centre WP11'!$A$7:$N$160,3,FALSE),0)+
IFERROR(VLOOKUP(A120,'Centre WR11'!$A$7:$N$160,3,FALSE),0)+
IFERROR(VLOOKUP(A120,'Centre WV11'!$A$7:$N$163,3,FALSE),0)</f>
        <v>0.4</v>
      </c>
      <c r="D120" s="10">
        <f>IFERROR(VLOOKUP(A120,'Centre DW11'!$A$7:$N$161,4,FALSE),0)+
IFERROR(VLOOKUP(A120,'Centre WP11'!$A$7:$N$160,4,FALSE),0)+
IFERROR(VLOOKUP(A120,'Centre WR11'!$A$7:$N$160,4,FALSE),0)+
IFERROR(VLOOKUP(A120,'Centre WV11'!$A$7:$N$163,4,FALSE),0)</f>
        <v>0.4</v>
      </c>
      <c r="E120" s="10">
        <f>IFERROR(VLOOKUP(A120,'Centre DW11'!$A$7:$N$161,5,FALSE),0)+
IFERROR(VLOOKUP(A120,'Centre WP11'!$A$7:$N$160,5,FALSE),0)+
IFERROR(VLOOKUP(A120,'Centre WR11'!$A$7:$N$160,5,FALSE),0)+
IFERROR(VLOOKUP(A120,'Centre WV11'!$A$7:$N$163,5,FALSE),0)</f>
        <v>0.4</v>
      </c>
      <c r="F120" s="10">
        <f>IFERROR(VLOOKUP(A120,'Centre DW11'!$A$7:$N$161,6,FALSE),0)+
IFERROR(VLOOKUP(A120,'Centre WP11'!$A$7:$N$160,6,FALSE),0)+
IFERROR(VLOOKUP(A120,'Centre WR11'!$A$7:$N$160,6,FALSE),0)+
IFERROR(VLOOKUP(A120,'Centre WV11'!$A$7:$N$163,6,FALSE),0)</f>
        <v>0.4</v>
      </c>
      <c r="G120" s="10">
        <f>IFERROR(VLOOKUP(A120,'Centre DW11'!$A$7:$N$161,7,FALSE),0)+
IFERROR(VLOOKUP(A120,'Centre WP11'!$A$7:$N$160,7,FALSE),0)+
IFERROR(VLOOKUP(A120,'Centre WR11'!$A$7:$N$160,7,FALSE),0)+
IFERROR(VLOOKUP(A120,'Centre WV11'!$A$7:$N$163,7,FALSE),0)</f>
        <v>0.4</v>
      </c>
      <c r="H120" s="10">
        <f>IFERROR(VLOOKUP(A120,'Centre DW11'!$A$7:$N$161,8,FALSE),0)+
IFERROR(VLOOKUP(A120,'Centre WP11'!$A$7:$N$160,8,FALSE),0)+
IFERROR(VLOOKUP(A120,'Centre WR11'!$A$7:$N$160,8,FALSE),0)+
IFERROR(VLOOKUP(A120,'Centre WV11'!$A$7:$N$163,8,FALSE),0)</f>
        <v>0.4</v>
      </c>
      <c r="I120" s="10">
        <f>IFERROR(VLOOKUP(A120,'Centre DW11'!$A$7:$N$161,9,FALSE),0)+
IFERROR(VLOOKUP(A120,'Centre WP11'!$A$7:$N$160,9,FALSE),0)+
IFERROR(VLOOKUP(A120,'Centre WR11'!$A$7:$N$160,9,FALSE),0)+
IFERROR(VLOOKUP(A120,'Centre WV11'!$A$7:$N$163,9,FALSE),0)</f>
        <v>0.4</v>
      </c>
      <c r="J120" s="10">
        <f>IFERROR(VLOOKUP(A120,'Centre DW11'!$A$7:$N$161,10,FALSE),0)+
IFERROR(VLOOKUP(A120,'Centre WP11'!$A$7:$N$160,10,FALSE),0)+
IFERROR(VLOOKUP(A120,'Centre WR11'!$A$7:$N$160,10,FALSE),0)+
IFERROR(VLOOKUP(A120,'Centre WV11'!$A$7:$N$163,10,FALSE),0)</f>
        <v>0.4</v>
      </c>
      <c r="K120" s="10">
        <f>IFERROR(VLOOKUP(A120,'Centre DW11'!$A$7:$N$161,11,FALSE),0)+
IFERROR(VLOOKUP(A120,'Centre WP11'!$A$7:$N$160,11,FALSE),0)+
IFERROR(VLOOKUP(A120,'Centre WR11'!$A$7:$N$160,11,FALSE),0)+
IFERROR(VLOOKUP(A120,'Centre WV11'!$A$7:$N$163,11,FALSE),0)</f>
        <v>0.4</v>
      </c>
      <c r="L120" s="10">
        <f>IFERROR(VLOOKUP(A120,'Centre DW11'!$A$7:$N$161,12,FALSE),0)+
IFERROR(VLOOKUP(A120,'Centre WP11'!$A$7:$N$160,12,FALSE),0)+
IFERROR(VLOOKUP(A120,'Centre WR11'!$A$7:$N$160,12,FALSE),0)+
IFERROR(VLOOKUP(A120,'Centre WV11'!$A$7:$N$163,12,FALSE),0)</f>
        <v>0.4</v>
      </c>
      <c r="M120" s="10">
        <f>IFERROR(VLOOKUP(A120,'Centre DW11'!$A$7:$N$161,13,FALSE),0)+
IFERROR(VLOOKUP(A120,'Centre WP11'!$A$7:$N$160,13,FALSE),0)+
IFERROR(VLOOKUP(A120,'Centre WR11'!$A$7:$N$160,13,FALSE),0)+
IFERROR(VLOOKUP(A120,'Centre WV11'!$A$7:$N$163,13,FALSE),0)</f>
        <v>0.4</v>
      </c>
      <c r="N120" s="10">
        <f>IFERROR(VLOOKUP(A120,'Centre DW11'!$A$7:$N$161,14,FALSE),0)+
IFERROR(VLOOKUP(A120,'Centre WP11'!$A$7:$N$160,14,FALSE),0)+
IFERROR(VLOOKUP(A120,'Centre WR11'!$A$7:$N$160,14,FALSE),0)+
IFERROR(VLOOKUP(A120,'Centre WV11'!$A$7:$N$163,14,FALSE),0)</f>
        <v>0.4</v>
      </c>
    </row>
    <row r="121" spans="1:14" collapsed="1" x14ac:dyDescent="0.2">
      <c r="A121" s="48" t="s">
        <v>200</v>
      </c>
      <c r="B121" s="49" t="s">
        <v>201</v>
      </c>
      <c r="C121" s="10">
        <f>SUM(C122:C133)</f>
        <v>2.7</v>
      </c>
      <c r="D121" s="10">
        <f t="shared" ref="D121:N121" si="21">SUM(D122:D133)</f>
        <v>2.7</v>
      </c>
      <c r="E121" s="10">
        <f t="shared" si="21"/>
        <v>2.7</v>
      </c>
      <c r="F121" s="10">
        <f t="shared" si="21"/>
        <v>2.7</v>
      </c>
      <c r="G121" s="10">
        <f t="shared" si="21"/>
        <v>2.7</v>
      </c>
      <c r="H121" s="10">
        <f t="shared" si="21"/>
        <v>2.7</v>
      </c>
      <c r="I121" s="10">
        <f t="shared" si="21"/>
        <v>2.7</v>
      </c>
      <c r="J121" s="10">
        <f t="shared" si="21"/>
        <v>2.7</v>
      </c>
      <c r="K121" s="10">
        <f t="shared" si="21"/>
        <v>2.7</v>
      </c>
      <c r="L121" s="10">
        <f t="shared" si="21"/>
        <v>2.7</v>
      </c>
      <c r="M121" s="10">
        <f t="shared" si="21"/>
        <v>2.7</v>
      </c>
      <c r="N121" s="10">
        <f t="shared" si="21"/>
        <v>2.7</v>
      </c>
    </row>
    <row r="122" spans="1:14" hidden="1" outlineLevel="1" x14ac:dyDescent="0.2">
      <c r="A122" s="9" t="s">
        <v>202</v>
      </c>
      <c r="B122" s="1" t="s">
        <v>203</v>
      </c>
      <c r="C122" s="10">
        <f>IFERROR(VLOOKUP(A122,'Centre DW11'!$A$7:$N$161,3,FALSE),0)+
IFERROR(VLOOKUP(A122,'Centre WP11'!$A$7:$N$160,3,FALSE),0)+
IFERROR(VLOOKUP(A122,'Centre WR11'!$A$7:$N$160,3,FALSE),0)+
IFERROR(VLOOKUP(A122,'Centre WV11'!$A$7:$N$163,3,FALSE),0)</f>
        <v>0</v>
      </c>
      <c r="D122" s="10">
        <f>IFERROR(VLOOKUP(A122,'Centre DW11'!$A$7:$N$161,4,FALSE),0)+
IFERROR(VLOOKUP(A122,'Centre WP11'!$A$7:$N$160,4,FALSE),0)+
IFERROR(VLOOKUP(A122,'Centre WR11'!$A$7:$N$160,4,FALSE),0)+
IFERROR(VLOOKUP(A122,'Centre WV11'!$A$7:$N$163,4,FALSE),0)</f>
        <v>0</v>
      </c>
      <c r="E122" s="10">
        <f>IFERROR(VLOOKUP(A122,'Centre DW11'!$A$7:$N$161,5,FALSE),0)+
IFERROR(VLOOKUP(A122,'Centre WP11'!$A$7:$N$160,5,FALSE),0)+
IFERROR(VLOOKUP(A122,'Centre WR11'!$A$7:$N$160,5,FALSE),0)+
IFERROR(VLOOKUP(A122,'Centre WV11'!$A$7:$N$163,5,FALSE),0)</f>
        <v>0</v>
      </c>
      <c r="F122" s="10">
        <f>IFERROR(VLOOKUP(A122,'Centre DW11'!$A$7:$N$161,6,FALSE),0)+
IFERROR(VLOOKUP(A122,'Centre WP11'!$A$7:$N$160,6,FALSE),0)+
IFERROR(VLOOKUP(A122,'Centre WR11'!$A$7:$N$160,6,FALSE),0)+
IFERROR(VLOOKUP(A122,'Centre WV11'!$A$7:$N$163,6,FALSE),0)</f>
        <v>0</v>
      </c>
      <c r="G122" s="10">
        <f>IFERROR(VLOOKUP(A122,'Centre DW11'!$A$7:$N$161,7,FALSE),0)+
IFERROR(VLOOKUP(A122,'Centre WP11'!$A$7:$N$160,7,FALSE),0)+
IFERROR(VLOOKUP(A122,'Centre WR11'!$A$7:$N$160,7,FALSE),0)+
IFERROR(VLOOKUP(A122,'Centre WV11'!$A$7:$N$163,7,FALSE),0)</f>
        <v>0</v>
      </c>
      <c r="H122" s="10">
        <f>IFERROR(VLOOKUP(A122,'Centre DW11'!$A$7:$N$161,8,FALSE),0)+
IFERROR(VLOOKUP(A122,'Centre WP11'!$A$7:$N$160,8,FALSE),0)+
IFERROR(VLOOKUP(A122,'Centre WR11'!$A$7:$N$160,8,FALSE),0)+
IFERROR(VLOOKUP(A122,'Centre WV11'!$A$7:$N$163,8,FALSE),0)</f>
        <v>0</v>
      </c>
      <c r="I122" s="10">
        <f>IFERROR(VLOOKUP(A122,'Centre DW11'!$A$7:$N$161,9,FALSE),0)+
IFERROR(VLOOKUP(A122,'Centre WP11'!$A$7:$N$160,9,FALSE),0)+
IFERROR(VLOOKUP(A122,'Centre WR11'!$A$7:$N$160,9,FALSE),0)+
IFERROR(VLOOKUP(A122,'Centre WV11'!$A$7:$N$163,9,FALSE),0)</f>
        <v>0</v>
      </c>
      <c r="J122" s="10">
        <f>IFERROR(VLOOKUP(A122,'Centre DW11'!$A$7:$N$161,10,FALSE),0)+
IFERROR(VLOOKUP(A122,'Centre WP11'!$A$7:$N$160,10,FALSE),0)+
IFERROR(VLOOKUP(A122,'Centre WR11'!$A$7:$N$160,10,FALSE),0)+
IFERROR(VLOOKUP(A122,'Centre WV11'!$A$7:$N$163,10,FALSE),0)</f>
        <v>0</v>
      </c>
      <c r="K122" s="10">
        <f>IFERROR(VLOOKUP(A122,'Centre DW11'!$A$7:$N$161,11,FALSE),0)+
IFERROR(VLOOKUP(A122,'Centre WP11'!$A$7:$N$160,11,FALSE),0)+
IFERROR(VLOOKUP(A122,'Centre WR11'!$A$7:$N$160,11,FALSE),0)+
IFERROR(VLOOKUP(A122,'Centre WV11'!$A$7:$N$163,11,FALSE),0)</f>
        <v>0</v>
      </c>
      <c r="L122" s="10">
        <f>IFERROR(VLOOKUP(A122,'Centre DW11'!$A$7:$N$161,12,FALSE),0)+
IFERROR(VLOOKUP(A122,'Centre WP11'!$A$7:$N$160,12,FALSE),0)+
IFERROR(VLOOKUP(A122,'Centre WR11'!$A$7:$N$160,12,FALSE),0)+
IFERROR(VLOOKUP(A122,'Centre WV11'!$A$7:$N$163,12,FALSE),0)</f>
        <v>0</v>
      </c>
      <c r="M122" s="10">
        <f>IFERROR(VLOOKUP(A122,'Centre DW11'!$A$7:$N$161,13,FALSE),0)+
IFERROR(VLOOKUP(A122,'Centre WP11'!$A$7:$N$160,13,FALSE),0)+
IFERROR(VLOOKUP(A122,'Centre WR11'!$A$7:$N$160,13,FALSE),0)+
IFERROR(VLOOKUP(A122,'Centre WV11'!$A$7:$N$163,13,FALSE),0)</f>
        <v>0</v>
      </c>
      <c r="N122" s="10">
        <f>IFERROR(VLOOKUP(A122,'Centre DW11'!$A$7:$N$161,14,FALSE),0)+
IFERROR(VLOOKUP(A122,'Centre WP11'!$A$7:$N$160,14,FALSE),0)+
IFERROR(VLOOKUP(A122,'Centre WR11'!$A$7:$N$160,14,FALSE),0)+
IFERROR(VLOOKUP(A122,'Centre WV11'!$A$7:$N$163,14,FALSE),0)</f>
        <v>0</v>
      </c>
    </row>
    <row r="123" spans="1:14" hidden="1" outlineLevel="1" x14ac:dyDescent="0.2">
      <c r="A123" s="9" t="s">
        <v>204</v>
      </c>
      <c r="B123" s="1" t="s">
        <v>205</v>
      </c>
      <c r="C123" s="10">
        <f>IFERROR(VLOOKUP(A123,'Centre DW11'!$A$7:$N$161,3,FALSE),0)+
IFERROR(VLOOKUP(A123,'Centre WP11'!$A$7:$N$160,3,FALSE),0)+
IFERROR(VLOOKUP(A123,'Centre WR11'!$A$7:$N$160,3,FALSE),0)+
IFERROR(VLOOKUP(A123,'Centre WV11'!$A$7:$N$163,3,FALSE),0)</f>
        <v>0</v>
      </c>
      <c r="D123" s="10">
        <f>IFERROR(VLOOKUP(A123,'Centre DW11'!$A$7:$N$161,4,FALSE),0)+
IFERROR(VLOOKUP(A123,'Centre WP11'!$A$7:$N$160,4,FALSE),0)+
IFERROR(VLOOKUP(A123,'Centre WR11'!$A$7:$N$160,4,FALSE),0)+
IFERROR(VLOOKUP(A123,'Centre WV11'!$A$7:$N$163,4,FALSE),0)</f>
        <v>0</v>
      </c>
      <c r="E123" s="10">
        <f>IFERROR(VLOOKUP(A123,'Centre DW11'!$A$7:$N$161,5,FALSE),0)+
IFERROR(VLOOKUP(A123,'Centre WP11'!$A$7:$N$160,5,FALSE),0)+
IFERROR(VLOOKUP(A123,'Centre WR11'!$A$7:$N$160,5,FALSE),0)+
IFERROR(VLOOKUP(A123,'Centre WV11'!$A$7:$N$163,5,FALSE),0)</f>
        <v>0</v>
      </c>
      <c r="F123" s="10">
        <f>IFERROR(VLOOKUP(A123,'Centre DW11'!$A$7:$N$161,6,FALSE),0)+
IFERROR(VLOOKUP(A123,'Centre WP11'!$A$7:$N$160,6,FALSE),0)+
IFERROR(VLOOKUP(A123,'Centre WR11'!$A$7:$N$160,6,FALSE),0)+
IFERROR(VLOOKUP(A123,'Centre WV11'!$A$7:$N$163,6,FALSE),0)</f>
        <v>0</v>
      </c>
      <c r="G123" s="10">
        <f>IFERROR(VLOOKUP(A123,'Centre DW11'!$A$7:$N$161,7,FALSE),0)+
IFERROR(VLOOKUP(A123,'Centre WP11'!$A$7:$N$160,7,FALSE),0)+
IFERROR(VLOOKUP(A123,'Centre WR11'!$A$7:$N$160,7,FALSE),0)+
IFERROR(VLOOKUP(A123,'Centre WV11'!$A$7:$N$163,7,FALSE),0)</f>
        <v>0</v>
      </c>
      <c r="H123" s="10">
        <f>IFERROR(VLOOKUP(A123,'Centre DW11'!$A$7:$N$161,8,FALSE),0)+
IFERROR(VLOOKUP(A123,'Centre WP11'!$A$7:$N$160,8,FALSE),0)+
IFERROR(VLOOKUP(A123,'Centre WR11'!$A$7:$N$160,8,FALSE),0)+
IFERROR(VLOOKUP(A123,'Centre WV11'!$A$7:$N$163,8,FALSE),0)</f>
        <v>0</v>
      </c>
      <c r="I123" s="10">
        <f>IFERROR(VLOOKUP(A123,'Centre DW11'!$A$7:$N$161,9,FALSE),0)+
IFERROR(VLOOKUP(A123,'Centre WP11'!$A$7:$N$160,9,FALSE),0)+
IFERROR(VLOOKUP(A123,'Centre WR11'!$A$7:$N$160,9,FALSE),0)+
IFERROR(VLOOKUP(A123,'Centre WV11'!$A$7:$N$163,9,FALSE),0)</f>
        <v>0</v>
      </c>
      <c r="J123" s="10">
        <f>IFERROR(VLOOKUP(A123,'Centre DW11'!$A$7:$N$161,10,FALSE),0)+
IFERROR(VLOOKUP(A123,'Centre WP11'!$A$7:$N$160,10,FALSE),0)+
IFERROR(VLOOKUP(A123,'Centre WR11'!$A$7:$N$160,10,FALSE),0)+
IFERROR(VLOOKUP(A123,'Centre WV11'!$A$7:$N$163,10,FALSE),0)</f>
        <v>0</v>
      </c>
      <c r="K123" s="10">
        <f>IFERROR(VLOOKUP(A123,'Centre DW11'!$A$7:$N$161,11,FALSE),0)+
IFERROR(VLOOKUP(A123,'Centre WP11'!$A$7:$N$160,11,FALSE),0)+
IFERROR(VLOOKUP(A123,'Centre WR11'!$A$7:$N$160,11,FALSE),0)+
IFERROR(VLOOKUP(A123,'Centre WV11'!$A$7:$N$163,11,FALSE),0)</f>
        <v>0</v>
      </c>
      <c r="L123" s="10">
        <f>IFERROR(VLOOKUP(A123,'Centre DW11'!$A$7:$N$161,12,FALSE),0)+
IFERROR(VLOOKUP(A123,'Centre WP11'!$A$7:$N$160,12,FALSE),0)+
IFERROR(VLOOKUP(A123,'Centre WR11'!$A$7:$N$160,12,FALSE),0)+
IFERROR(VLOOKUP(A123,'Centre WV11'!$A$7:$N$163,12,FALSE),0)</f>
        <v>0</v>
      </c>
      <c r="M123" s="10">
        <f>IFERROR(VLOOKUP(A123,'Centre DW11'!$A$7:$N$161,13,FALSE),0)+
IFERROR(VLOOKUP(A123,'Centre WP11'!$A$7:$N$160,13,FALSE),0)+
IFERROR(VLOOKUP(A123,'Centre WR11'!$A$7:$N$160,13,FALSE),0)+
IFERROR(VLOOKUP(A123,'Centre WV11'!$A$7:$N$163,13,FALSE),0)</f>
        <v>0</v>
      </c>
      <c r="N123" s="10">
        <f>IFERROR(VLOOKUP(A123,'Centre DW11'!$A$7:$N$161,14,FALSE),0)+
IFERROR(VLOOKUP(A123,'Centre WP11'!$A$7:$N$160,14,FALSE),0)+
IFERROR(VLOOKUP(A123,'Centre WR11'!$A$7:$N$160,14,FALSE),0)+
IFERROR(VLOOKUP(A123,'Centre WV11'!$A$7:$N$163,14,FALSE),0)</f>
        <v>0</v>
      </c>
    </row>
    <row r="124" spans="1:14" hidden="1" outlineLevel="1" x14ac:dyDescent="0.2">
      <c r="A124" s="9" t="s">
        <v>206</v>
      </c>
      <c r="B124" s="1" t="s">
        <v>207</v>
      </c>
      <c r="C124" s="10">
        <f>IFERROR(VLOOKUP(A124,'Centre DW11'!$A$7:$N$161,3,FALSE),0)+
IFERROR(VLOOKUP(A124,'Centre WP11'!$A$7:$N$160,3,FALSE),0)+
IFERROR(VLOOKUP(A124,'Centre WR11'!$A$7:$N$160,3,FALSE),0)+
IFERROR(VLOOKUP(A124,'Centre WV11'!$A$7:$N$163,3,FALSE),0)</f>
        <v>0.2</v>
      </c>
      <c r="D124" s="10">
        <f>IFERROR(VLOOKUP(A124,'Centre DW11'!$A$7:$N$161,4,FALSE),0)+
IFERROR(VLOOKUP(A124,'Centre WP11'!$A$7:$N$160,4,FALSE),0)+
IFERROR(VLOOKUP(A124,'Centre WR11'!$A$7:$N$160,4,FALSE),0)+
IFERROR(VLOOKUP(A124,'Centre WV11'!$A$7:$N$163,4,FALSE),0)</f>
        <v>0.2</v>
      </c>
      <c r="E124" s="10">
        <f>IFERROR(VLOOKUP(A124,'Centre DW11'!$A$7:$N$161,5,FALSE),0)+
IFERROR(VLOOKUP(A124,'Centre WP11'!$A$7:$N$160,5,FALSE),0)+
IFERROR(VLOOKUP(A124,'Centre WR11'!$A$7:$N$160,5,FALSE),0)+
IFERROR(VLOOKUP(A124,'Centre WV11'!$A$7:$N$163,5,FALSE),0)</f>
        <v>0.2</v>
      </c>
      <c r="F124" s="10">
        <f>IFERROR(VLOOKUP(A124,'Centre DW11'!$A$7:$N$161,6,FALSE),0)+
IFERROR(VLOOKUP(A124,'Centre WP11'!$A$7:$N$160,6,FALSE),0)+
IFERROR(VLOOKUP(A124,'Centre WR11'!$A$7:$N$160,6,FALSE),0)+
IFERROR(VLOOKUP(A124,'Centre WV11'!$A$7:$N$163,6,FALSE),0)</f>
        <v>0.2</v>
      </c>
      <c r="G124" s="10">
        <f>IFERROR(VLOOKUP(A124,'Centre DW11'!$A$7:$N$161,7,FALSE),0)+
IFERROR(VLOOKUP(A124,'Centre WP11'!$A$7:$N$160,7,FALSE),0)+
IFERROR(VLOOKUP(A124,'Centre WR11'!$A$7:$N$160,7,FALSE),0)+
IFERROR(VLOOKUP(A124,'Centre WV11'!$A$7:$N$163,7,FALSE),0)</f>
        <v>0.2</v>
      </c>
      <c r="H124" s="10">
        <f>IFERROR(VLOOKUP(A124,'Centre DW11'!$A$7:$N$161,8,FALSE),0)+
IFERROR(VLOOKUP(A124,'Centre WP11'!$A$7:$N$160,8,FALSE),0)+
IFERROR(VLOOKUP(A124,'Centre WR11'!$A$7:$N$160,8,FALSE),0)+
IFERROR(VLOOKUP(A124,'Centre WV11'!$A$7:$N$163,8,FALSE),0)</f>
        <v>0.2</v>
      </c>
      <c r="I124" s="10">
        <f>IFERROR(VLOOKUP(A124,'Centre DW11'!$A$7:$N$161,9,FALSE),0)+
IFERROR(VLOOKUP(A124,'Centre WP11'!$A$7:$N$160,9,FALSE),0)+
IFERROR(VLOOKUP(A124,'Centre WR11'!$A$7:$N$160,9,FALSE),0)+
IFERROR(VLOOKUP(A124,'Centre WV11'!$A$7:$N$163,9,FALSE),0)</f>
        <v>0.2</v>
      </c>
      <c r="J124" s="10">
        <f>IFERROR(VLOOKUP(A124,'Centre DW11'!$A$7:$N$161,10,FALSE),0)+
IFERROR(VLOOKUP(A124,'Centre WP11'!$A$7:$N$160,10,FALSE),0)+
IFERROR(VLOOKUP(A124,'Centre WR11'!$A$7:$N$160,10,FALSE),0)+
IFERROR(VLOOKUP(A124,'Centre WV11'!$A$7:$N$163,10,FALSE),0)</f>
        <v>0.2</v>
      </c>
      <c r="K124" s="10">
        <f>IFERROR(VLOOKUP(A124,'Centre DW11'!$A$7:$N$161,11,FALSE),0)+
IFERROR(VLOOKUP(A124,'Centre WP11'!$A$7:$N$160,11,FALSE),0)+
IFERROR(VLOOKUP(A124,'Centre WR11'!$A$7:$N$160,11,FALSE),0)+
IFERROR(VLOOKUP(A124,'Centre WV11'!$A$7:$N$163,11,FALSE),0)</f>
        <v>0.2</v>
      </c>
      <c r="L124" s="10">
        <f>IFERROR(VLOOKUP(A124,'Centre DW11'!$A$7:$N$161,12,FALSE),0)+
IFERROR(VLOOKUP(A124,'Centre WP11'!$A$7:$N$160,12,FALSE),0)+
IFERROR(VLOOKUP(A124,'Centre WR11'!$A$7:$N$160,12,FALSE),0)+
IFERROR(VLOOKUP(A124,'Centre WV11'!$A$7:$N$163,12,FALSE),0)</f>
        <v>0.2</v>
      </c>
      <c r="M124" s="10">
        <f>IFERROR(VLOOKUP(A124,'Centre DW11'!$A$7:$N$161,13,FALSE),0)+
IFERROR(VLOOKUP(A124,'Centre WP11'!$A$7:$N$160,13,FALSE),0)+
IFERROR(VLOOKUP(A124,'Centre WR11'!$A$7:$N$160,13,FALSE),0)+
IFERROR(VLOOKUP(A124,'Centre WV11'!$A$7:$N$163,13,FALSE),0)</f>
        <v>0.2</v>
      </c>
      <c r="N124" s="10">
        <f>IFERROR(VLOOKUP(A124,'Centre DW11'!$A$7:$N$161,14,FALSE),0)+
IFERROR(VLOOKUP(A124,'Centre WP11'!$A$7:$N$160,14,FALSE),0)+
IFERROR(VLOOKUP(A124,'Centre WR11'!$A$7:$N$160,14,FALSE),0)+
IFERROR(VLOOKUP(A124,'Centre WV11'!$A$7:$N$163,14,FALSE),0)</f>
        <v>0.2</v>
      </c>
    </row>
    <row r="125" spans="1:14" hidden="1" outlineLevel="1" x14ac:dyDescent="0.2">
      <c r="A125" s="9" t="s">
        <v>208</v>
      </c>
      <c r="B125" s="1" t="s">
        <v>209</v>
      </c>
      <c r="C125" s="10">
        <f>IFERROR(VLOOKUP(A125,'Centre DW11'!$A$7:$N$161,3,FALSE),0)+
IFERROR(VLOOKUP(A125,'Centre WP11'!$A$7:$N$160,3,FALSE),0)+
IFERROR(VLOOKUP(A125,'Centre WR11'!$A$7:$N$160,3,FALSE),0)+
IFERROR(VLOOKUP(A125,'Centre WV11'!$A$7:$N$163,3,FALSE),0)</f>
        <v>0</v>
      </c>
      <c r="D125" s="10">
        <f>IFERROR(VLOOKUP(A125,'Centre DW11'!$A$7:$N$161,4,FALSE),0)+
IFERROR(VLOOKUP(A125,'Centre WP11'!$A$7:$N$160,4,FALSE),0)+
IFERROR(VLOOKUP(A125,'Centre WR11'!$A$7:$N$160,4,FALSE),0)+
IFERROR(VLOOKUP(A125,'Centre WV11'!$A$7:$N$163,4,FALSE),0)</f>
        <v>0</v>
      </c>
      <c r="E125" s="10">
        <f>IFERROR(VLOOKUP(A125,'Centre DW11'!$A$7:$N$161,5,FALSE),0)+
IFERROR(VLOOKUP(A125,'Centre WP11'!$A$7:$N$160,5,FALSE),0)+
IFERROR(VLOOKUP(A125,'Centre WR11'!$A$7:$N$160,5,FALSE),0)+
IFERROR(VLOOKUP(A125,'Centre WV11'!$A$7:$N$163,5,FALSE),0)</f>
        <v>0</v>
      </c>
      <c r="F125" s="10">
        <f>IFERROR(VLOOKUP(A125,'Centre DW11'!$A$7:$N$161,6,FALSE),0)+
IFERROR(VLOOKUP(A125,'Centre WP11'!$A$7:$N$160,6,FALSE),0)+
IFERROR(VLOOKUP(A125,'Centre WR11'!$A$7:$N$160,6,FALSE),0)+
IFERROR(VLOOKUP(A125,'Centre WV11'!$A$7:$N$163,6,FALSE),0)</f>
        <v>0</v>
      </c>
      <c r="G125" s="10">
        <f>IFERROR(VLOOKUP(A125,'Centre DW11'!$A$7:$N$161,7,FALSE),0)+
IFERROR(VLOOKUP(A125,'Centre WP11'!$A$7:$N$160,7,FALSE),0)+
IFERROR(VLOOKUP(A125,'Centre WR11'!$A$7:$N$160,7,FALSE),0)+
IFERROR(VLOOKUP(A125,'Centre WV11'!$A$7:$N$163,7,FALSE),0)</f>
        <v>0</v>
      </c>
      <c r="H125" s="10">
        <f>IFERROR(VLOOKUP(A125,'Centre DW11'!$A$7:$N$161,8,FALSE),0)+
IFERROR(VLOOKUP(A125,'Centre WP11'!$A$7:$N$160,8,FALSE),0)+
IFERROR(VLOOKUP(A125,'Centre WR11'!$A$7:$N$160,8,FALSE),0)+
IFERROR(VLOOKUP(A125,'Centre WV11'!$A$7:$N$163,8,FALSE),0)</f>
        <v>0</v>
      </c>
      <c r="I125" s="10">
        <f>IFERROR(VLOOKUP(A125,'Centre DW11'!$A$7:$N$161,9,FALSE),0)+
IFERROR(VLOOKUP(A125,'Centre WP11'!$A$7:$N$160,9,FALSE),0)+
IFERROR(VLOOKUP(A125,'Centre WR11'!$A$7:$N$160,9,FALSE),0)+
IFERROR(VLOOKUP(A125,'Centre WV11'!$A$7:$N$163,9,FALSE),0)</f>
        <v>0</v>
      </c>
      <c r="J125" s="10">
        <f>IFERROR(VLOOKUP(A125,'Centre DW11'!$A$7:$N$161,10,FALSE),0)+
IFERROR(VLOOKUP(A125,'Centre WP11'!$A$7:$N$160,10,FALSE),0)+
IFERROR(VLOOKUP(A125,'Centre WR11'!$A$7:$N$160,10,FALSE),0)+
IFERROR(VLOOKUP(A125,'Centre WV11'!$A$7:$N$163,10,FALSE),0)</f>
        <v>0</v>
      </c>
      <c r="K125" s="10">
        <f>IFERROR(VLOOKUP(A125,'Centre DW11'!$A$7:$N$161,11,FALSE),0)+
IFERROR(VLOOKUP(A125,'Centre WP11'!$A$7:$N$160,11,FALSE),0)+
IFERROR(VLOOKUP(A125,'Centre WR11'!$A$7:$N$160,11,FALSE),0)+
IFERROR(VLOOKUP(A125,'Centre WV11'!$A$7:$N$163,11,FALSE),0)</f>
        <v>0</v>
      </c>
      <c r="L125" s="10">
        <f>IFERROR(VLOOKUP(A125,'Centre DW11'!$A$7:$N$161,12,FALSE),0)+
IFERROR(VLOOKUP(A125,'Centre WP11'!$A$7:$N$160,12,FALSE),0)+
IFERROR(VLOOKUP(A125,'Centre WR11'!$A$7:$N$160,12,FALSE),0)+
IFERROR(VLOOKUP(A125,'Centre WV11'!$A$7:$N$163,12,FALSE),0)</f>
        <v>0</v>
      </c>
      <c r="M125" s="10">
        <f>IFERROR(VLOOKUP(A125,'Centre DW11'!$A$7:$N$161,13,FALSE),0)+
IFERROR(VLOOKUP(A125,'Centre WP11'!$A$7:$N$160,13,FALSE),0)+
IFERROR(VLOOKUP(A125,'Centre WR11'!$A$7:$N$160,13,FALSE),0)+
IFERROR(VLOOKUP(A125,'Centre WV11'!$A$7:$N$163,13,FALSE),0)</f>
        <v>0</v>
      </c>
      <c r="N125" s="10">
        <f>IFERROR(VLOOKUP(A125,'Centre DW11'!$A$7:$N$161,14,FALSE),0)+
IFERROR(VLOOKUP(A125,'Centre WP11'!$A$7:$N$160,14,FALSE),0)+
IFERROR(VLOOKUP(A125,'Centre WR11'!$A$7:$N$160,14,FALSE),0)+
IFERROR(VLOOKUP(A125,'Centre WV11'!$A$7:$N$163,14,FALSE),0)</f>
        <v>0</v>
      </c>
    </row>
    <row r="126" spans="1:14" hidden="1" outlineLevel="1" x14ac:dyDescent="0.2">
      <c r="A126" s="9" t="s">
        <v>210</v>
      </c>
      <c r="B126" s="1" t="s">
        <v>211</v>
      </c>
      <c r="C126" s="10">
        <f>IFERROR(VLOOKUP(A126,'Centre DW11'!$A$7:$N$161,3,FALSE),0)+
IFERROR(VLOOKUP(A126,'Centre WP11'!$A$7:$N$160,3,FALSE),0)+
IFERROR(VLOOKUP(A126,'Centre WR11'!$A$7:$N$160,3,FALSE),0)+
IFERROR(VLOOKUP(A126,'Centre WV11'!$A$7:$N$163,3,FALSE),0)</f>
        <v>0.1</v>
      </c>
      <c r="D126" s="10">
        <f>IFERROR(VLOOKUP(A126,'Centre DW11'!$A$7:$N$161,4,FALSE),0)+
IFERROR(VLOOKUP(A126,'Centre WP11'!$A$7:$N$160,4,FALSE),0)+
IFERROR(VLOOKUP(A126,'Centre WR11'!$A$7:$N$160,4,FALSE),0)+
IFERROR(VLOOKUP(A126,'Centre WV11'!$A$7:$N$163,4,FALSE),0)</f>
        <v>0.1</v>
      </c>
      <c r="E126" s="10">
        <f>IFERROR(VLOOKUP(A126,'Centre DW11'!$A$7:$N$161,5,FALSE),0)+
IFERROR(VLOOKUP(A126,'Centre WP11'!$A$7:$N$160,5,FALSE),0)+
IFERROR(VLOOKUP(A126,'Centre WR11'!$A$7:$N$160,5,FALSE),0)+
IFERROR(VLOOKUP(A126,'Centre WV11'!$A$7:$N$163,5,FALSE),0)</f>
        <v>0.1</v>
      </c>
      <c r="F126" s="10">
        <f>IFERROR(VLOOKUP(A126,'Centre DW11'!$A$7:$N$161,6,FALSE),0)+
IFERROR(VLOOKUP(A126,'Centre WP11'!$A$7:$N$160,6,FALSE),0)+
IFERROR(VLOOKUP(A126,'Centre WR11'!$A$7:$N$160,6,FALSE),0)+
IFERROR(VLOOKUP(A126,'Centre WV11'!$A$7:$N$163,6,FALSE),0)</f>
        <v>0.1</v>
      </c>
      <c r="G126" s="10">
        <f>IFERROR(VLOOKUP(A126,'Centre DW11'!$A$7:$N$161,7,FALSE),0)+
IFERROR(VLOOKUP(A126,'Centre WP11'!$A$7:$N$160,7,FALSE),0)+
IFERROR(VLOOKUP(A126,'Centre WR11'!$A$7:$N$160,7,FALSE),0)+
IFERROR(VLOOKUP(A126,'Centre WV11'!$A$7:$N$163,7,FALSE),0)</f>
        <v>0.1</v>
      </c>
      <c r="H126" s="10">
        <f>IFERROR(VLOOKUP(A126,'Centre DW11'!$A$7:$N$161,8,FALSE),0)+
IFERROR(VLOOKUP(A126,'Centre WP11'!$A$7:$N$160,8,FALSE),0)+
IFERROR(VLOOKUP(A126,'Centre WR11'!$A$7:$N$160,8,FALSE),0)+
IFERROR(VLOOKUP(A126,'Centre WV11'!$A$7:$N$163,8,FALSE),0)</f>
        <v>0.1</v>
      </c>
      <c r="I126" s="10">
        <f>IFERROR(VLOOKUP(A126,'Centre DW11'!$A$7:$N$161,9,FALSE),0)+
IFERROR(VLOOKUP(A126,'Centre WP11'!$A$7:$N$160,9,FALSE),0)+
IFERROR(VLOOKUP(A126,'Centre WR11'!$A$7:$N$160,9,FALSE),0)+
IFERROR(VLOOKUP(A126,'Centre WV11'!$A$7:$N$163,9,FALSE),0)</f>
        <v>0.1</v>
      </c>
      <c r="J126" s="10">
        <f>IFERROR(VLOOKUP(A126,'Centre DW11'!$A$7:$N$161,10,FALSE),0)+
IFERROR(VLOOKUP(A126,'Centre WP11'!$A$7:$N$160,10,FALSE),0)+
IFERROR(VLOOKUP(A126,'Centre WR11'!$A$7:$N$160,10,FALSE),0)+
IFERROR(VLOOKUP(A126,'Centre WV11'!$A$7:$N$163,10,FALSE),0)</f>
        <v>0.1</v>
      </c>
      <c r="K126" s="10">
        <f>IFERROR(VLOOKUP(A126,'Centre DW11'!$A$7:$N$161,11,FALSE),0)+
IFERROR(VLOOKUP(A126,'Centre WP11'!$A$7:$N$160,11,FALSE),0)+
IFERROR(VLOOKUP(A126,'Centre WR11'!$A$7:$N$160,11,FALSE),0)+
IFERROR(VLOOKUP(A126,'Centre WV11'!$A$7:$N$163,11,FALSE),0)</f>
        <v>0.1</v>
      </c>
      <c r="L126" s="10">
        <f>IFERROR(VLOOKUP(A126,'Centre DW11'!$A$7:$N$161,12,FALSE),0)+
IFERROR(VLOOKUP(A126,'Centre WP11'!$A$7:$N$160,12,FALSE),0)+
IFERROR(VLOOKUP(A126,'Centre WR11'!$A$7:$N$160,12,FALSE),0)+
IFERROR(VLOOKUP(A126,'Centre WV11'!$A$7:$N$163,12,FALSE),0)</f>
        <v>0.1</v>
      </c>
      <c r="M126" s="10">
        <f>IFERROR(VLOOKUP(A126,'Centre DW11'!$A$7:$N$161,13,FALSE),0)+
IFERROR(VLOOKUP(A126,'Centre WP11'!$A$7:$N$160,13,FALSE),0)+
IFERROR(VLOOKUP(A126,'Centre WR11'!$A$7:$N$160,13,FALSE),0)+
IFERROR(VLOOKUP(A126,'Centre WV11'!$A$7:$N$163,13,FALSE),0)</f>
        <v>0.1</v>
      </c>
      <c r="N126" s="10">
        <f>IFERROR(VLOOKUP(A126,'Centre DW11'!$A$7:$N$161,14,FALSE),0)+
IFERROR(VLOOKUP(A126,'Centre WP11'!$A$7:$N$160,14,FALSE),0)+
IFERROR(VLOOKUP(A126,'Centre WR11'!$A$7:$N$160,14,FALSE),0)+
IFERROR(VLOOKUP(A126,'Centre WV11'!$A$7:$N$163,14,FALSE),0)</f>
        <v>0.1</v>
      </c>
    </row>
    <row r="127" spans="1:14" hidden="1" outlineLevel="1" x14ac:dyDescent="0.2">
      <c r="A127" s="9" t="s">
        <v>212</v>
      </c>
      <c r="B127" s="1" t="s">
        <v>213</v>
      </c>
      <c r="C127" s="10">
        <f>IFERROR(VLOOKUP(A127,'Centre DW11'!$A$7:$N$161,3,FALSE),0)+
IFERROR(VLOOKUP(A127,'Centre WP11'!$A$7:$N$160,3,FALSE),0)+
IFERROR(VLOOKUP(A127,'Centre WR11'!$A$7:$N$160,3,FALSE),0)+
IFERROR(VLOOKUP(A127,'Centre WV11'!$A$7:$N$163,3,FALSE),0)</f>
        <v>0</v>
      </c>
      <c r="D127" s="10">
        <f>IFERROR(VLOOKUP(A127,'Centre DW11'!$A$7:$N$161,4,FALSE),0)+
IFERROR(VLOOKUP(A127,'Centre WP11'!$A$7:$N$160,4,FALSE),0)+
IFERROR(VLOOKUP(A127,'Centre WR11'!$A$7:$N$160,4,FALSE),0)+
IFERROR(VLOOKUP(A127,'Centre WV11'!$A$7:$N$163,4,FALSE),0)</f>
        <v>0</v>
      </c>
      <c r="E127" s="10">
        <f>IFERROR(VLOOKUP(A127,'Centre DW11'!$A$7:$N$161,5,FALSE),0)+
IFERROR(VLOOKUP(A127,'Centre WP11'!$A$7:$N$160,5,FALSE),0)+
IFERROR(VLOOKUP(A127,'Centre WR11'!$A$7:$N$160,5,FALSE),0)+
IFERROR(VLOOKUP(A127,'Centre WV11'!$A$7:$N$163,5,FALSE),0)</f>
        <v>0</v>
      </c>
      <c r="F127" s="10">
        <f>IFERROR(VLOOKUP(A127,'Centre DW11'!$A$7:$N$161,6,FALSE),0)+
IFERROR(VLOOKUP(A127,'Centre WP11'!$A$7:$N$160,6,FALSE),0)+
IFERROR(VLOOKUP(A127,'Centre WR11'!$A$7:$N$160,6,FALSE),0)+
IFERROR(VLOOKUP(A127,'Centre WV11'!$A$7:$N$163,6,FALSE),0)</f>
        <v>0</v>
      </c>
      <c r="G127" s="10">
        <f>IFERROR(VLOOKUP(A127,'Centre DW11'!$A$7:$N$161,7,FALSE),0)+
IFERROR(VLOOKUP(A127,'Centre WP11'!$A$7:$N$160,7,FALSE),0)+
IFERROR(VLOOKUP(A127,'Centre WR11'!$A$7:$N$160,7,FALSE),0)+
IFERROR(VLOOKUP(A127,'Centre WV11'!$A$7:$N$163,7,FALSE),0)</f>
        <v>0</v>
      </c>
      <c r="H127" s="10">
        <f>IFERROR(VLOOKUP(A127,'Centre DW11'!$A$7:$N$161,8,FALSE),0)+
IFERROR(VLOOKUP(A127,'Centre WP11'!$A$7:$N$160,8,FALSE),0)+
IFERROR(VLOOKUP(A127,'Centre WR11'!$A$7:$N$160,8,FALSE),0)+
IFERROR(VLOOKUP(A127,'Centre WV11'!$A$7:$N$163,8,FALSE),0)</f>
        <v>0</v>
      </c>
      <c r="I127" s="10">
        <f>IFERROR(VLOOKUP(A127,'Centre DW11'!$A$7:$N$161,9,FALSE),0)+
IFERROR(VLOOKUP(A127,'Centre WP11'!$A$7:$N$160,9,FALSE),0)+
IFERROR(VLOOKUP(A127,'Centre WR11'!$A$7:$N$160,9,FALSE),0)+
IFERROR(VLOOKUP(A127,'Centre WV11'!$A$7:$N$163,9,FALSE),0)</f>
        <v>0</v>
      </c>
      <c r="J127" s="10">
        <f>IFERROR(VLOOKUP(A127,'Centre DW11'!$A$7:$N$161,10,FALSE),0)+
IFERROR(VLOOKUP(A127,'Centre WP11'!$A$7:$N$160,10,FALSE),0)+
IFERROR(VLOOKUP(A127,'Centre WR11'!$A$7:$N$160,10,FALSE),0)+
IFERROR(VLOOKUP(A127,'Centre WV11'!$A$7:$N$163,10,FALSE),0)</f>
        <v>0</v>
      </c>
      <c r="K127" s="10">
        <f>IFERROR(VLOOKUP(A127,'Centre DW11'!$A$7:$N$161,11,FALSE),0)+
IFERROR(VLOOKUP(A127,'Centre WP11'!$A$7:$N$160,11,FALSE),0)+
IFERROR(VLOOKUP(A127,'Centre WR11'!$A$7:$N$160,11,FALSE),0)+
IFERROR(VLOOKUP(A127,'Centre WV11'!$A$7:$N$163,11,FALSE),0)</f>
        <v>0</v>
      </c>
      <c r="L127" s="10">
        <f>IFERROR(VLOOKUP(A127,'Centre DW11'!$A$7:$N$161,12,FALSE),0)+
IFERROR(VLOOKUP(A127,'Centre WP11'!$A$7:$N$160,12,FALSE),0)+
IFERROR(VLOOKUP(A127,'Centre WR11'!$A$7:$N$160,12,FALSE),0)+
IFERROR(VLOOKUP(A127,'Centre WV11'!$A$7:$N$163,12,FALSE),0)</f>
        <v>0</v>
      </c>
      <c r="M127" s="10">
        <f>IFERROR(VLOOKUP(A127,'Centre DW11'!$A$7:$N$161,13,FALSE),0)+
IFERROR(VLOOKUP(A127,'Centre WP11'!$A$7:$N$160,13,FALSE),0)+
IFERROR(VLOOKUP(A127,'Centre WR11'!$A$7:$N$160,13,FALSE),0)+
IFERROR(VLOOKUP(A127,'Centre WV11'!$A$7:$N$163,13,FALSE),0)</f>
        <v>0</v>
      </c>
      <c r="N127" s="10">
        <f>IFERROR(VLOOKUP(A127,'Centre DW11'!$A$7:$N$161,14,FALSE),0)+
IFERROR(VLOOKUP(A127,'Centre WP11'!$A$7:$N$160,14,FALSE),0)+
IFERROR(VLOOKUP(A127,'Centre WR11'!$A$7:$N$160,14,FALSE),0)+
IFERROR(VLOOKUP(A127,'Centre WV11'!$A$7:$N$163,14,FALSE),0)</f>
        <v>0</v>
      </c>
    </row>
    <row r="128" spans="1:14" hidden="1" outlineLevel="1" x14ac:dyDescent="0.2">
      <c r="A128" s="9" t="s">
        <v>214</v>
      </c>
      <c r="B128" s="1" t="s">
        <v>215</v>
      </c>
      <c r="C128" s="10">
        <f>IFERROR(VLOOKUP(A128,'Centre DW11'!$A$7:$N$161,3,FALSE),0)+
IFERROR(VLOOKUP(A128,'Centre WP11'!$A$7:$N$160,3,FALSE),0)+
IFERROR(VLOOKUP(A128,'Centre WR11'!$A$7:$N$160,3,FALSE),0)+
IFERROR(VLOOKUP(A128,'Centre WV11'!$A$7:$N$163,3,FALSE),0)</f>
        <v>0</v>
      </c>
      <c r="D128" s="10">
        <f>IFERROR(VLOOKUP(A128,'Centre DW11'!$A$7:$N$161,4,FALSE),0)+
IFERROR(VLOOKUP(A128,'Centre WP11'!$A$7:$N$160,4,FALSE),0)+
IFERROR(VLOOKUP(A128,'Centre WR11'!$A$7:$N$160,4,FALSE),0)+
IFERROR(VLOOKUP(A128,'Centre WV11'!$A$7:$N$163,4,FALSE),0)</f>
        <v>0</v>
      </c>
      <c r="E128" s="10">
        <f>IFERROR(VLOOKUP(A128,'Centre DW11'!$A$7:$N$161,5,FALSE),0)+
IFERROR(VLOOKUP(A128,'Centre WP11'!$A$7:$N$160,5,FALSE),0)+
IFERROR(VLOOKUP(A128,'Centre WR11'!$A$7:$N$160,5,FALSE),0)+
IFERROR(VLOOKUP(A128,'Centre WV11'!$A$7:$N$163,5,FALSE),0)</f>
        <v>0</v>
      </c>
      <c r="F128" s="10">
        <f>IFERROR(VLOOKUP(A128,'Centre DW11'!$A$7:$N$161,6,FALSE),0)+
IFERROR(VLOOKUP(A128,'Centre WP11'!$A$7:$N$160,6,FALSE),0)+
IFERROR(VLOOKUP(A128,'Centre WR11'!$A$7:$N$160,6,FALSE),0)+
IFERROR(VLOOKUP(A128,'Centre WV11'!$A$7:$N$163,6,FALSE),0)</f>
        <v>0</v>
      </c>
      <c r="G128" s="10">
        <f>IFERROR(VLOOKUP(A128,'Centre DW11'!$A$7:$N$161,7,FALSE),0)+
IFERROR(VLOOKUP(A128,'Centre WP11'!$A$7:$N$160,7,FALSE),0)+
IFERROR(VLOOKUP(A128,'Centre WR11'!$A$7:$N$160,7,FALSE),0)+
IFERROR(VLOOKUP(A128,'Centre WV11'!$A$7:$N$163,7,FALSE),0)</f>
        <v>0</v>
      </c>
      <c r="H128" s="10">
        <f>IFERROR(VLOOKUP(A128,'Centre DW11'!$A$7:$N$161,8,FALSE),0)+
IFERROR(VLOOKUP(A128,'Centre WP11'!$A$7:$N$160,8,FALSE),0)+
IFERROR(VLOOKUP(A128,'Centre WR11'!$A$7:$N$160,8,FALSE),0)+
IFERROR(VLOOKUP(A128,'Centre WV11'!$A$7:$N$163,8,FALSE),0)</f>
        <v>0</v>
      </c>
      <c r="I128" s="10">
        <f>IFERROR(VLOOKUP(A128,'Centre DW11'!$A$7:$N$161,9,FALSE),0)+
IFERROR(VLOOKUP(A128,'Centre WP11'!$A$7:$N$160,9,FALSE),0)+
IFERROR(VLOOKUP(A128,'Centre WR11'!$A$7:$N$160,9,FALSE),0)+
IFERROR(VLOOKUP(A128,'Centre WV11'!$A$7:$N$163,9,FALSE),0)</f>
        <v>0</v>
      </c>
      <c r="J128" s="10">
        <f>IFERROR(VLOOKUP(A128,'Centre DW11'!$A$7:$N$161,10,FALSE),0)+
IFERROR(VLOOKUP(A128,'Centre WP11'!$A$7:$N$160,10,FALSE),0)+
IFERROR(VLOOKUP(A128,'Centre WR11'!$A$7:$N$160,10,FALSE),0)+
IFERROR(VLOOKUP(A128,'Centre WV11'!$A$7:$N$163,10,FALSE),0)</f>
        <v>0</v>
      </c>
      <c r="K128" s="10">
        <f>IFERROR(VLOOKUP(A128,'Centre DW11'!$A$7:$N$161,11,FALSE),0)+
IFERROR(VLOOKUP(A128,'Centre WP11'!$A$7:$N$160,11,FALSE),0)+
IFERROR(VLOOKUP(A128,'Centre WR11'!$A$7:$N$160,11,FALSE),0)+
IFERROR(VLOOKUP(A128,'Centre WV11'!$A$7:$N$163,11,FALSE),0)</f>
        <v>0</v>
      </c>
      <c r="L128" s="10">
        <f>IFERROR(VLOOKUP(A128,'Centre DW11'!$A$7:$N$161,12,FALSE),0)+
IFERROR(VLOOKUP(A128,'Centre WP11'!$A$7:$N$160,12,FALSE),0)+
IFERROR(VLOOKUP(A128,'Centre WR11'!$A$7:$N$160,12,FALSE),0)+
IFERROR(VLOOKUP(A128,'Centre WV11'!$A$7:$N$163,12,FALSE),0)</f>
        <v>0</v>
      </c>
      <c r="M128" s="10">
        <f>IFERROR(VLOOKUP(A128,'Centre DW11'!$A$7:$N$161,13,FALSE),0)+
IFERROR(VLOOKUP(A128,'Centre WP11'!$A$7:$N$160,13,FALSE),0)+
IFERROR(VLOOKUP(A128,'Centre WR11'!$A$7:$N$160,13,FALSE),0)+
IFERROR(VLOOKUP(A128,'Centre WV11'!$A$7:$N$163,13,FALSE),0)</f>
        <v>0</v>
      </c>
      <c r="N128" s="10">
        <f>IFERROR(VLOOKUP(A128,'Centre DW11'!$A$7:$N$161,14,FALSE),0)+
IFERROR(VLOOKUP(A128,'Centre WP11'!$A$7:$N$160,14,FALSE),0)+
IFERROR(VLOOKUP(A128,'Centre WR11'!$A$7:$N$160,14,FALSE),0)+
IFERROR(VLOOKUP(A128,'Centre WV11'!$A$7:$N$163,14,FALSE),0)</f>
        <v>0</v>
      </c>
    </row>
    <row r="129" spans="1:14" hidden="1" outlineLevel="1" x14ac:dyDescent="0.2">
      <c r="A129" s="9" t="s">
        <v>216</v>
      </c>
      <c r="B129" s="1" t="s">
        <v>217</v>
      </c>
      <c r="C129" s="10">
        <f>IFERROR(VLOOKUP(A129,'Centre DW11'!$A$7:$N$161,3,FALSE),0)+
IFERROR(VLOOKUP(A129,'Centre WP11'!$A$7:$N$160,3,FALSE),0)+
IFERROR(VLOOKUP(A129,'Centre WR11'!$A$7:$N$160,3,FALSE),0)+
IFERROR(VLOOKUP(A129,'Centre WV11'!$A$7:$N$163,3,FALSE),0)</f>
        <v>1.6</v>
      </c>
      <c r="D129" s="10">
        <f>IFERROR(VLOOKUP(A129,'Centre DW11'!$A$7:$N$161,4,FALSE),0)+
IFERROR(VLOOKUP(A129,'Centre WP11'!$A$7:$N$160,4,FALSE),0)+
IFERROR(VLOOKUP(A129,'Centre WR11'!$A$7:$N$160,4,FALSE),0)+
IFERROR(VLOOKUP(A129,'Centre WV11'!$A$7:$N$163,4,FALSE),0)</f>
        <v>1.6</v>
      </c>
      <c r="E129" s="10">
        <f>IFERROR(VLOOKUP(A129,'Centre DW11'!$A$7:$N$161,5,FALSE),0)+
IFERROR(VLOOKUP(A129,'Centre WP11'!$A$7:$N$160,5,FALSE),0)+
IFERROR(VLOOKUP(A129,'Centre WR11'!$A$7:$N$160,5,FALSE),0)+
IFERROR(VLOOKUP(A129,'Centre WV11'!$A$7:$N$163,5,FALSE),0)</f>
        <v>1.6</v>
      </c>
      <c r="F129" s="10">
        <f>IFERROR(VLOOKUP(A129,'Centre DW11'!$A$7:$N$161,6,FALSE),0)+
IFERROR(VLOOKUP(A129,'Centre WP11'!$A$7:$N$160,6,FALSE),0)+
IFERROR(VLOOKUP(A129,'Centre WR11'!$A$7:$N$160,6,FALSE),0)+
IFERROR(VLOOKUP(A129,'Centre WV11'!$A$7:$N$163,6,FALSE),0)</f>
        <v>1.6</v>
      </c>
      <c r="G129" s="10">
        <f>IFERROR(VLOOKUP(A129,'Centre DW11'!$A$7:$N$161,7,FALSE),0)+
IFERROR(VLOOKUP(A129,'Centre WP11'!$A$7:$N$160,7,FALSE),0)+
IFERROR(VLOOKUP(A129,'Centre WR11'!$A$7:$N$160,7,FALSE),0)+
IFERROR(VLOOKUP(A129,'Centre WV11'!$A$7:$N$163,7,FALSE),0)</f>
        <v>1.6</v>
      </c>
      <c r="H129" s="10">
        <f>IFERROR(VLOOKUP(A129,'Centre DW11'!$A$7:$N$161,8,FALSE),0)+
IFERROR(VLOOKUP(A129,'Centre WP11'!$A$7:$N$160,8,FALSE),0)+
IFERROR(VLOOKUP(A129,'Centre WR11'!$A$7:$N$160,8,FALSE),0)+
IFERROR(VLOOKUP(A129,'Centre WV11'!$A$7:$N$163,8,FALSE),0)</f>
        <v>1.6</v>
      </c>
      <c r="I129" s="10">
        <f>IFERROR(VLOOKUP(A129,'Centre DW11'!$A$7:$N$161,9,FALSE),0)+
IFERROR(VLOOKUP(A129,'Centre WP11'!$A$7:$N$160,9,FALSE),0)+
IFERROR(VLOOKUP(A129,'Centre WR11'!$A$7:$N$160,9,FALSE),0)+
IFERROR(VLOOKUP(A129,'Centre WV11'!$A$7:$N$163,9,FALSE),0)</f>
        <v>1.6</v>
      </c>
      <c r="J129" s="10">
        <f>IFERROR(VLOOKUP(A129,'Centre DW11'!$A$7:$N$161,10,FALSE),0)+
IFERROR(VLOOKUP(A129,'Centre WP11'!$A$7:$N$160,10,FALSE),0)+
IFERROR(VLOOKUP(A129,'Centre WR11'!$A$7:$N$160,10,FALSE),0)+
IFERROR(VLOOKUP(A129,'Centre WV11'!$A$7:$N$163,10,FALSE),0)</f>
        <v>1.6</v>
      </c>
      <c r="K129" s="10">
        <f>IFERROR(VLOOKUP(A129,'Centre DW11'!$A$7:$N$161,11,FALSE),0)+
IFERROR(VLOOKUP(A129,'Centre WP11'!$A$7:$N$160,11,FALSE),0)+
IFERROR(VLOOKUP(A129,'Centre WR11'!$A$7:$N$160,11,FALSE),0)+
IFERROR(VLOOKUP(A129,'Centre WV11'!$A$7:$N$163,11,FALSE),0)</f>
        <v>1.6</v>
      </c>
      <c r="L129" s="10">
        <f>IFERROR(VLOOKUP(A129,'Centre DW11'!$A$7:$N$161,12,FALSE),0)+
IFERROR(VLOOKUP(A129,'Centre WP11'!$A$7:$N$160,12,FALSE),0)+
IFERROR(VLOOKUP(A129,'Centre WR11'!$A$7:$N$160,12,FALSE),0)+
IFERROR(VLOOKUP(A129,'Centre WV11'!$A$7:$N$163,12,FALSE),0)</f>
        <v>1.6</v>
      </c>
      <c r="M129" s="10">
        <f>IFERROR(VLOOKUP(A129,'Centre DW11'!$A$7:$N$161,13,FALSE),0)+
IFERROR(VLOOKUP(A129,'Centre WP11'!$A$7:$N$160,13,FALSE),0)+
IFERROR(VLOOKUP(A129,'Centre WR11'!$A$7:$N$160,13,FALSE),0)+
IFERROR(VLOOKUP(A129,'Centre WV11'!$A$7:$N$163,13,FALSE),0)</f>
        <v>1.6</v>
      </c>
      <c r="N129" s="10">
        <f>IFERROR(VLOOKUP(A129,'Centre DW11'!$A$7:$N$161,14,FALSE),0)+
IFERROR(VLOOKUP(A129,'Centre WP11'!$A$7:$N$160,14,FALSE),0)+
IFERROR(VLOOKUP(A129,'Centre WR11'!$A$7:$N$160,14,FALSE),0)+
IFERROR(VLOOKUP(A129,'Centre WV11'!$A$7:$N$163,14,FALSE),0)</f>
        <v>1.6</v>
      </c>
    </row>
    <row r="130" spans="1:14" hidden="1" outlineLevel="1" x14ac:dyDescent="0.2">
      <c r="A130" s="9" t="s">
        <v>218</v>
      </c>
      <c r="B130" s="1" t="s">
        <v>219</v>
      </c>
      <c r="C130" s="10">
        <f>IFERROR(VLOOKUP(A130,'Centre DW11'!$A$7:$N$161,3,FALSE),0)+
IFERROR(VLOOKUP(A130,'Centre WP11'!$A$7:$N$160,3,FALSE),0)+
IFERROR(VLOOKUP(A130,'Centre WR11'!$A$7:$N$160,3,FALSE),0)+
IFERROR(VLOOKUP(A130,'Centre WV11'!$A$7:$N$163,3,FALSE),0)</f>
        <v>0.8</v>
      </c>
      <c r="D130" s="10">
        <f>IFERROR(VLOOKUP(A130,'Centre DW11'!$A$7:$N$161,4,FALSE),0)+
IFERROR(VLOOKUP(A130,'Centre WP11'!$A$7:$N$160,4,FALSE),0)+
IFERROR(VLOOKUP(A130,'Centre WR11'!$A$7:$N$160,4,FALSE),0)+
IFERROR(VLOOKUP(A130,'Centre WV11'!$A$7:$N$163,4,FALSE),0)</f>
        <v>0.8</v>
      </c>
      <c r="E130" s="10">
        <f>IFERROR(VLOOKUP(A130,'Centre DW11'!$A$7:$N$161,5,FALSE),0)+
IFERROR(VLOOKUP(A130,'Centre WP11'!$A$7:$N$160,5,FALSE),0)+
IFERROR(VLOOKUP(A130,'Centre WR11'!$A$7:$N$160,5,FALSE),0)+
IFERROR(VLOOKUP(A130,'Centre WV11'!$A$7:$N$163,5,FALSE),0)</f>
        <v>0.8</v>
      </c>
      <c r="F130" s="10">
        <f>IFERROR(VLOOKUP(A130,'Centre DW11'!$A$7:$N$161,6,FALSE),0)+
IFERROR(VLOOKUP(A130,'Centre WP11'!$A$7:$N$160,6,FALSE),0)+
IFERROR(VLOOKUP(A130,'Centre WR11'!$A$7:$N$160,6,FALSE),0)+
IFERROR(VLOOKUP(A130,'Centre WV11'!$A$7:$N$163,6,FALSE),0)</f>
        <v>0.8</v>
      </c>
      <c r="G130" s="10">
        <f>IFERROR(VLOOKUP(A130,'Centre DW11'!$A$7:$N$161,7,FALSE),0)+
IFERROR(VLOOKUP(A130,'Centre WP11'!$A$7:$N$160,7,FALSE),0)+
IFERROR(VLOOKUP(A130,'Centre WR11'!$A$7:$N$160,7,FALSE),0)+
IFERROR(VLOOKUP(A130,'Centre WV11'!$A$7:$N$163,7,FALSE),0)</f>
        <v>0.8</v>
      </c>
      <c r="H130" s="10">
        <f>IFERROR(VLOOKUP(A130,'Centre DW11'!$A$7:$N$161,8,FALSE),0)+
IFERROR(VLOOKUP(A130,'Centre WP11'!$A$7:$N$160,8,FALSE),0)+
IFERROR(VLOOKUP(A130,'Centre WR11'!$A$7:$N$160,8,FALSE),0)+
IFERROR(VLOOKUP(A130,'Centre WV11'!$A$7:$N$163,8,FALSE),0)</f>
        <v>0.8</v>
      </c>
      <c r="I130" s="10">
        <f>IFERROR(VLOOKUP(A130,'Centre DW11'!$A$7:$N$161,9,FALSE),0)+
IFERROR(VLOOKUP(A130,'Centre WP11'!$A$7:$N$160,9,FALSE),0)+
IFERROR(VLOOKUP(A130,'Centre WR11'!$A$7:$N$160,9,FALSE),0)+
IFERROR(VLOOKUP(A130,'Centre WV11'!$A$7:$N$163,9,FALSE),0)</f>
        <v>0.8</v>
      </c>
      <c r="J130" s="10">
        <f>IFERROR(VLOOKUP(A130,'Centre DW11'!$A$7:$N$161,10,FALSE),0)+
IFERROR(VLOOKUP(A130,'Centre WP11'!$A$7:$N$160,10,FALSE),0)+
IFERROR(VLOOKUP(A130,'Centre WR11'!$A$7:$N$160,10,FALSE),0)+
IFERROR(VLOOKUP(A130,'Centre WV11'!$A$7:$N$163,10,FALSE),0)</f>
        <v>0.8</v>
      </c>
      <c r="K130" s="10">
        <f>IFERROR(VLOOKUP(A130,'Centre DW11'!$A$7:$N$161,11,FALSE),0)+
IFERROR(VLOOKUP(A130,'Centre WP11'!$A$7:$N$160,11,FALSE),0)+
IFERROR(VLOOKUP(A130,'Centre WR11'!$A$7:$N$160,11,FALSE),0)+
IFERROR(VLOOKUP(A130,'Centre WV11'!$A$7:$N$163,11,FALSE),0)</f>
        <v>0.8</v>
      </c>
      <c r="L130" s="10">
        <f>IFERROR(VLOOKUP(A130,'Centre DW11'!$A$7:$N$161,12,FALSE),0)+
IFERROR(VLOOKUP(A130,'Centre WP11'!$A$7:$N$160,12,FALSE),0)+
IFERROR(VLOOKUP(A130,'Centre WR11'!$A$7:$N$160,12,FALSE),0)+
IFERROR(VLOOKUP(A130,'Centre WV11'!$A$7:$N$163,12,FALSE),0)</f>
        <v>0.8</v>
      </c>
      <c r="M130" s="10">
        <f>IFERROR(VLOOKUP(A130,'Centre DW11'!$A$7:$N$161,13,FALSE),0)+
IFERROR(VLOOKUP(A130,'Centre WP11'!$A$7:$N$160,13,FALSE),0)+
IFERROR(VLOOKUP(A130,'Centre WR11'!$A$7:$N$160,13,FALSE),0)+
IFERROR(VLOOKUP(A130,'Centre WV11'!$A$7:$N$163,13,FALSE),0)</f>
        <v>0.8</v>
      </c>
      <c r="N130" s="10">
        <f>IFERROR(VLOOKUP(A130,'Centre DW11'!$A$7:$N$161,14,FALSE),0)+
IFERROR(VLOOKUP(A130,'Centre WP11'!$A$7:$N$160,14,FALSE),0)+
IFERROR(VLOOKUP(A130,'Centre WR11'!$A$7:$N$160,14,FALSE),0)+
IFERROR(VLOOKUP(A130,'Centre WV11'!$A$7:$N$163,14,FALSE),0)</f>
        <v>0.8</v>
      </c>
    </row>
    <row r="131" spans="1:14" hidden="1" outlineLevel="1" x14ac:dyDescent="0.2">
      <c r="A131" s="9" t="s">
        <v>220</v>
      </c>
      <c r="B131" s="1" t="s">
        <v>221</v>
      </c>
      <c r="C131" s="10">
        <f>IFERROR(VLOOKUP(A131,'Centre DW11'!$A$7:$N$161,3,FALSE),0)+
IFERROR(VLOOKUP(A131,'Centre WP11'!$A$7:$N$160,3,FALSE),0)+
IFERROR(VLOOKUP(A131,'Centre WR11'!$A$7:$N$160,3,FALSE),0)+
IFERROR(VLOOKUP(A131,'Centre WV11'!$A$7:$N$163,3,FALSE),0)</f>
        <v>0</v>
      </c>
      <c r="D131" s="10">
        <f>IFERROR(VLOOKUP(A131,'Centre DW11'!$A$7:$N$161,4,FALSE),0)+
IFERROR(VLOOKUP(A131,'Centre WP11'!$A$7:$N$160,4,FALSE),0)+
IFERROR(VLOOKUP(A131,'Centre WR11'!$A$7:$N$160,4,FALSE),0)+
IFERROR(VLOOKUP(A131,'Centre WV11'!$A$7:$N$163,4,FALSE),0)</f>
        <v>0</v>
      </c>
      <c r="E131" s="10">
        <f>IFERROR(VLOOKUP(A131,'Centre DW11'!$A$7:$N$161,5,FALSE),0)+
IFERROR(VLOOKUP(A131,'Centre WP11'!$A$7:$N$160,5,FALSE),0)+
IFERROR(VLOOKUP(A131,'Centre WR11'!$A$7:$N$160,5,FALSE),0)+
IFERROR(VLOOKUP(A131,'Centre WV11'!$A$7:$N$163,5,FALSE),0)</f>
        <v>0</v>
      </c>
      <c r="F131" s="10">
        <f>IFERROR(VLOOKUP(A131,'Centre DW11'!$A$7:$N$161,6,FALSE),0)+
IFERROR(VLOOKUP(A131,'Centre WP11'!$A$7:$N$160,6,FALSE),0)+
IFERROR(VLOOKUP(A131,'Centre WR11'!$A$7:$N$160,6,FALSE),0)+
IFERROR(VLOOKUP(A131,'Centre WV11'!$A$7:$N$163,6,FALSE),0)</f>
        <v>0</v>
      </c>
      <c r="G131" s="10">
        <f>IFERROR(VLOOKUP(A131,'Centre DW11'!$A$7:$N$161,7,FALSE),0)+
IFERROR(VLOOKUP(A131,'Centre WP11'!$A$7:$N$160,7,FALSE),0)+
IFERROR(VLOOKUP(A131,'Centre WR11'!$A$7:$N$160,7,FALSE),0)+
IFERROR(VLOOKUP(A131,'Centre WV11'!$A$7:$N$163,7,FALSE),0)</f>
        <v>0</v>
      </c>
      <c r="H131" s="10">
        <f>IFERROR(VLOOKUP(A131,'Centre DW11'!$A$7:$N$161,8,FALSE),0)+
IFERROR(VLOOKUP(A131,'Centre WP11'!$A$7:$N$160,8,FALSE),0)+
IFERROR(VLOOKUP(A131,'Centre WR11'!$A$7:$N$160,8,FALSE),0)+
IFERROR(VLOOKUP(A131,'Centre WV11'!$A$7:$N$163,8,FALSE),0)</f>
        <v>0</v>
      </c>
      <c r="I131" s="10">
        <f>IFERROR(VLOOKUP(A131,'Centre DW11'!$A$7:$N$161,9,FALSE),0)+
IFERROR(VLOOKUP(A131,'Centre WP11'!$A$7:$N$160,9,FALSE),0)+
IFERROR(VLOOKUP(A131,'Centre WR11'!$A$7:$N$160,9,FALSE),0)+
IFERROR(VLOOKUP(A131,'Centre WV11'!$A$7:$N$163,9,FALSE),0)</f>
        <v>0</v>
      </c>
      <c r="J131" s="10">
        <f>IFERROR(VLOOKUP(A131,'Centre DW11'!$A$7:$N$161,10,FALSE),0)+
IFERROR(VLOOKUP(A131,'Centre WP11'!$A$7:$N$160,10,FALSE),0)+
IFERROR(VLOOKUP(A131,'Centre WR11'!$A$7:$N$160,10,FALSE),0)+
IFERROR(VLOOKUP(A131,'Centre WV11'!$A$7:$N$163,10,FALSE),0)</f>
        <v>0</v>
      </c>
      <c r="K131" s="10">
        <f>IFERROR(VLOOKUP(A131,'Centre DW11'!$A$7:$N$161,11,FALSE),0)+
IFERROR(VLOOKUP(A131,'Centre WP11'!$A$7:$N$160,11,FALSE),0)+
IFERROR(VLOOKUP(A131,'Centre WR11'!$A$7:$N$160,11,FALSE),0)+
IFERROR(VLOOKUP(A131,'Centre WV11'!$A$7:$N$163,11,FALSE),0)</f>
        <v>0</v>
      </c>
      <c r="L131" s="10">
        <f>IFERROR(VLOOKUP(A131,'Centre DW11'!$A$7:$N$161,12,FALSE),0)+
IFERROR(VLOOKUP(A131,'Centre WP11'!$A$7:$N$160,12,FALSE),0)+
IFERROR(VLOOKUP(A131,'Centre WR11'!$A$7:$N$160,12,FALSE),0)+
IFERROR(VLOOKUP(A131,'Centre WV11'!$A$7:$N$163,12,FALSE),0)</f>
        <v>0</v>
      </c>
      <c r="M131" s="10">
        <f>IFERROR(VLOOKUP(A131,'Centre DW11'!$A$7:$N$161,13,FALSE),0)+
IFERROR(VLOOKUP(A131,'Centre WP11'!$A$7:$N$160,13,FALSE),0)+
IFERROR(VLOOKUP(A131,'Centre WR11'!$A$7:$N$160,13,FALSE),0)+
IFERROR(VLOOKUP(A131,'Centre WV11'!$A$7:$N$163,13,FALSE),0)</f>
        <v>0</v>
      </c>
      <c r="N131" s="10">
        <f>IFERROR(VLOOKUP(A131,'Centre DW11'!$A$7:$N$161,14,FALSE),0)+
IFERROR(VLOOKUP(A131,'Centre WP11'!$A$7:$N$160,14,FALSE),0)+
IFERROR(VLOOKUP(A131,'Centre WR11'!$A$7:$N$160,14,FALSE),0)+
IFERROR(VLOOKUP(A131,'Centre WV11'!$A$7:$N$163,14,FALSE),0)</f>
        <v>0</v>
      </c>
    </row>
    <row r="132" spans="1:14" hidden="1" outlineLevel="1" x14ac:dyDescent="0.2">
      <c r="A132" s="9" t="s">
        <v>222</v>
      </c>
      <c r="B132" s="1" t="s">
        <v>223</v>
      </c>
      <c r="C132" s="10">
        <f>IFERROR(VLOOKUP(A132,'Centre DW11'!$A$7:$N$161,3,FALSE),0)+
IFERROR(VLOOKUP(A132,'Centre WP11'!$A$7:$N$160,3,FALSE),0)+
IFERROR(VLOOKUP(A132,'Centre WR11'!$A$7:$N$160,3,FALSE),0)+
IFERROR(VLOOKUP(A132,'Centre WV11'!$A$7:$N$163,3,FALSE),0)</f>
        <v>0</v>
      </c>
      <c r="D132" s="10">
        <f>IFERROR(VLOOKUP(A132,'Centre DW11'!$A$7:$N$161,4,FALSE),0)+
IFERROR(VLOOKUP(A132,'Centre WP11'!$A$7:$N$160,4,FALSE),0)+
IFERROR(VLOOKUP(A132,'Centre WR11'!$A$7:$N$160,4,FALSE),0)+
IFERROR(VLOOKUP(A132,'Centre WV11'!$A$7:$N$163,4,FALSE),0)</f>
        <v>0</v>
      </c>
      <c r="E132" s="10">
        <f>IFERROR(VLOOKUP(A132,'Centre DW11'!$A$7:$N$161,5,FALSE),0)+
IFERROR(VLOOKUP(A132,'Centre WP11'!$A$7:$N$160,5,FALSE),0)+
IFERROR(VLOOKUP(A132,'Centre WR11'!$A$7:$N$160,5,FALSE),0)+
IFERROR(VLOOKUP(A132,'Centre WV11'!$A$7:$N$163,5,FALSE),0)</f>
        <v>0</v>
      </c>
      <c r="F132" s="10">
        <f>IFERROR(VLOOKUP(A132,'Centre DW11'!$A$7:$N$161,6,FALSE),0)+
IFERROR(VLOOKUP(A132,'Centre WP11'!$A$7:$N$160,6,FALSE),0)+
IFERROR(VLOOKUP(A132,'Centre WR11'!$A$7:$N$160,6,FALSE),0)+
IFERROR(VLOOKUP(A132,'Centre WV11'!$A$7:$N$163,6,FALSE),0)</f>
        <v>0</v>
      </c>
      <c r="G132" s="10">
        <f>IFERROR(VLOOKUP(A132,'Centre DW11'!$A$7:$N$161,7,FALSE),0)+
IFERROR(VLOOKUP(A132,'Centre WP11'!$A$7:$N$160,7,FALSE),0)+
IFERROR(VLOOKUP(A132,'Centre WR11'!$A$7:$N$160,7,FALSE),0)+
IFERROR(VLOOKUP(A132,'Centre WV11'!$A$7:$N$163,7,FALSE),0)</f>
        <v>0</v>
      </c>
      <c r="H132" s="10">
        <f>IFERROR(VLOOKUP(A132,'Centre DW11'!$A$7:$N$161,8,FALSE),0)+
IFERROR(VLOOKUP(A132,'Centre WP11'!$A$7:$N$160,8,FALSE),0)+
IFERROR(VLOOKUP(A132,'Centre WR11'!$A$7:$N$160,8,FALSE),0)+
IFERROR(VLOOKUP(A132,'Centre WV11'!$A$7:$N$163,8,FALSE),0)</f>
        <v>0</v>
      </c>
      <c r="I132" s="10">
        <f>IFERROR(VLOOKUP(A132,'Centre DW11'!$A$7:$N$161,9,FALSE),0)+
IFERROR(VLOOKUP(A132,'Centre WP11'!$A$7:$N$160,9,FALSE),0)+
IFERROR(VLOOKUP(A132,'Centre WR11'!$A$7:$N$160,9,FALSE),0)+
IFERROR(VLOOKUP(A132,'Centre WV11'!$A$7:$N$163,9,FALSE),0)</f>
        <v>0</v>
      </c>
      <c r="J132" s="10">
        <f>IFERROR(VLOOKUP(A132,'Centre DW11'!$A$7:$N$161,10,FALSE),0)+
IFERROR(VLOOKUP(A132,'Centre WP11'!$A$7:$N$160,10,FALSE),0)+
IFERROR(VLOOKUP(A132,'Centre WR11'!$A$7:$N$160,10,FALSE),0)+
IFERROR(VLOOKUP(A132,'Centre WV11'!$A$7:$N$163,10,FALSE),0)</f>
        <v>0</v>
      </c>
      <c r="K132" s="10">
        <f>IFERROR(VLOOKUP(A132,'Centre DW11'!$A$7:$N$161,11,FALSE),0)+
IFERROR(VLOOKUP(A132,'Centre WP11'!$A$7:$N$160,11,FALSE),0)+
IFERROR(VLOOKUP(A132,'Centre WR11'!$A$7:$N$160,11,FALSE),0)+
IFERROR(VLOOKUP(A132,'Centre WV11'!$A$7:$N$163,11,FALSE),0)</f>
        <v>0</v>
      </c>
      <c r="L132" s="10">
        <f>IFERROR(VLOOKUP(A132,'Centre DW11'!$A$7:$N$161,12,FALSE),0)+
IFERROR(VLOOKUP(A132,'Centre WP11'!$A$7:$N$160,12,FALSE),0)+
IFERROR(VLOOKUP(A132,'Centre WR11'!$A$7:$N$160,12,FALSE),0)+
IFERROR(VLOOKUP(A132,'Centre WV11'!$A$7:$N$163,12,FALSE),0)</f>
        <v>0</v>
      </c>
      <c r="M132" s="10">
        <f>IFERROR(VLOOKUP(A132,'Centre DW11'!$A$7:$N$161,13,FALSE),0)+
IFERROR(VLOOKUP(A132,'Centre WP11'!$A$7:$N$160,13,FALSE),0)+
IFERROR(VLOOKUP(A132,'Centre WR11'!$A$7:$N$160,13,FALSE),0)+
IFERROR(VLOOKUP(A132,'Centre WV11'!$A$7:$N$163,13,FALSE),0)</f>
        <v>0</v>
      </c>
      <c r="N132" s="10">
        <f>IFERROR(VLOOKUP(A132,'Centre DW11'!$A$7:$N$161,14,FALSE),0)+
IFERROR(VLOOKUP(A132,'Centre WP11'!$A$7:$N$160,14,FALSE),0)+
IFERROR(VLOOKUP(A132,'Centre WR11'!$A$7:$N$160,14,FALSE),0)+
IFERROR(VLOOKUP(A132,'Centre WV11'!$A$7:$N$163,14,FALSE),0)</f>
        <v>0</v>
      </c>
    </row>
    <row r="133" spans="1:14" hidden="1" outlineLevel="1" x14ac:dyDescent="0.2">
      <c r="A133" s="9" t="s">
        <v>224</v>
      </c>
      <c r="B133" s="1" t="s">
        <v>225</v>
      </c>
      <c r="C133" s="10">
        <f>IFERROR(VLOOKUP(A133,'Centre DW11'!$A$7:$N$161,3,FALSE),0)+
IFERROR(VLOOKUP(A133,'Centre WP11'!$A$7:$N$160,3,FALSE),0)+
IFERROR(VLOOKUP(A133,'Centre WR11'!$A$7:$N$160,3,FALSE),0)+
IFERROR(VLOOKUP(A133,'Centre WV11'!$A$7:$N$163,3,FALSE),0)</f>
        <v>0</v>
      </c>
      <c r="D133" s="10">
        <f>IFERROR(VLOOKUP(A133,'Centre DW11'!$A$7:$N$161,4,FALSE),0)+
IFERROR(VLOOKUP(A133,'Centre WP11'!$A$7:$N$160,4,FALSE),0)+
IFERROR(VLOOKUP(A133,'Centre WR11'!$A$7:$N$160,4,FALSE),0)+
IFERROR(VLOOKUP(A133,'Centre WV11'!$A$7:$N$163,4,FALSE),0)</f>
        <v>0</v>
      </c>
      <c r="E133" s="10">
        <f>IFERROR(VLOOKUP(A133,'Centre DW11'!$A$7:$N$161,5,FALSE),0)+
IFERROR(VLOOKUP(A133,'Centre WP11'!$A$7:$N$160,5,FALSE),0)+
IFERROR(VLOOKUP(A133,'Centre WR11'!$A$7:$N$160,5,FALSE),0)+
IFERROR(VLOOKUP(A133,'Centre WV11'!$A$7:$N$163,5,FALSE),0)</f>
        <v>0</v>
      </c>
      <c r="F133" s="10">
        <f>IFERROR(VLOOKUP(A133,'Centre DW11'!$A$7:$N$161,6,FALSE),0)+
IFERROR(VLOOKUP(A133,'Centre WP11'!$A$7:$N$160,6,FALSE),0)+
IFERROR(VLOOKUP(A133,'Centre WR11'!$A$7:$N$160,6,FALSE),0)+
IFERROR(VLOOKUP(A133,'Centre WV11'!$A$7:$N$163,6,FALSE),0)</f>
        <v>0</v>
      </c>
      <c r="G133" s="10">
        <f>IFERROR(VLOOKUP(A133,'Centre DW11'!$A$7:$N$161,7,FALSE),0)+
IFERROR(VLOOKUP(A133,'Centre WP11'!$A$7:$N$160,7,FALSE),0)+
IFERROR(VLOOKUP(A133,'Centre WR11'!$A$7:$N$160,7,FALSE),0)+
IFERROR(VLOOKUP(A133,'Centre WV11'!$A$7:$N$163,7,FALSE),0)</f>
        <v>0</v>
      </c>
      <c r="H133" s="10">
        <f>IFERROR(VLOOKUP(A133,'Centre DW11'!$A$7:$N$161,8,FALSE),0)+
IFERROR(VLOOKUP(A133,'Centre WP11'!$A$7:$N$160,8,FALSE),0)+
IFERROR(VLOOKUP(A133,'Centre WR11'!$A$7:$N$160,8,FALSE),0)+
IFERROR(VLOOKUP(A133,'Centre WV11'!$A$7:$N$163,8,FALSE),0)</f>
        <v>0</v>
      </c>
      <c r="I133" s="10">
        <f>IFERROR(VLOOKUP(A133,'Centre DW11'!$A$7:$N$161,9,FALSE),0)+
IFERROR(VLOOKUP(A133,'Centre WP11'!$A$7:$N$160,9,FALSE),0)+
IFERROR(VLOOKUP(A133,'Centre WR11'!$A$7:$N$160,9,FALSE),0)+
IFERROR(VLOOKUP(A133,'Centre WV11'!$A$7:$N$163,9,FALSE),0)</f>
        <v>0</v>
      </c>
      <c r="J133" s="10">
        <f>IFERROR(VLOOKUP(A133,'Centre DW11'!$A$7:$N$161,10,FALSE),0)+
IFERROR(VLOOKUP(A133,'Centre WP11'!$A$7:$N$160,10,FALSE),0)+
IFERROR(VLOOKUP(A133,'Centre WR11'!$A$7:$N$160,10,FALSE),0)+
IFERROR(VLOOKUP(A133,'Centre WV11'!$A$7:$N$163,10,FALSE),0)</f>
        <v>0</v>
      </c>
      <c r="K133" s="10">
        <f>IFERROR(VLOOKUP(A133,'Centre DW11'!$A$7:$N$161,11,FALSE),0)+
IFERROR(VLOOKUP(A133,'Centre WP11'!$A$7:$N$160,11,FALSE),0)+
IFERROR(VLOOKUP(A133,'Centre WR11'!$A$7:$N$160,11,FALSE),0)+
IFERROR(VLOOKUP(A133,'Centre WV11'!$A$7:$N$163,11,FALSE),0)</f>
        <v>0</v>
      </c>
      <c r="L133" s="10">
        <f>IFERROR(VLOOKUP(A133,'Centre DW11'!$A$7:$N$161,12,FALSE),0)+
IFERROR(VLOOKUP(A133,'Centre WP11'!$A$7:$N$160,12,FALSE),0)+
IFERROR(VLOOKUP(A133,'Centre WR11'!$A$7:$N$160,12,FALSE),0)+
IFERROR(VLOOKUP(A133,'Centre WV11'!$A$7:$N$163,12,FALSE),0)</f>
        <v>0</v>
      </c>
      <c r="M133" s="10">
        <f>IFERROR(VLOOKUP(A133,'Centre DW11'!$A$7:$N$161,13,FALSE),0)+
IFERROR(VLOOKUP(A133,'Centre WP11'!$A$7:$N$160,13,FALSE),0)+
IFERROR(VLOOKUP(A133,'Centre WR11'!$A$7:$N$160,13,FALSE),0)+
IFERROR(VLOOKUP(A133,'Centre WV11'!$A$7:$N$163,13,FALSE),0)</f>
        <v>0</v>
      </c>
      <c r="N133" s="10">
        <f>IFERROR(VLOOKUP(A133,'Centre DW11'!$A$7:$N$161,14,FALSE),0)+
IFERROR(VLOOKUP(A133,'Centre WP11'!$A$7:$N$160,14,FALSE),0)+
IFERROR(VLOOKUP(A133,'Centre WR11'!$A$7:$N$160,14,FALSE),0)+
IFERROR(VLOOKUP(A133,'Centre WV11'!$A$7:$N$163,14,FALSE),0)</f>
        <v>0</v>
      </c>
    </row>
    <row r="134" spans="1:14" collapsed="1" x14ac:dyDescent="0.2">
      <c r="A134" s="48" t="s">
        <v>226</v>
      </c>
      <c r="B134" s="49" t="s">
        <v>227</v>
      </c>
      <c r="C134" s="50">
        <f>IFERROR(VLOOKUP(A134,'Centre DW11'!$A$7:$N$161,3,FALSE),0)+
IFERROR(VLOOKUP(A134,'Centre WP11'!$A$7:$N$160,3,FALSE),0)+
IFERROR(VLOOKUP(A134,'Centre WR11'!$A$7:$N$160,3,FALSE),0)+
IFERROR(VLOOKUP(A134,'Centre WV11'!$A$7:$N$163,3,FALSE),0)</f>
        <v>0</v>
      </c>
      <c r="D134" s="50">
        <f>IFERROR(VLOOKUP(A134,'Centre DW11'!$A$7:$N$161,4,FALSE),0)+
IFERROR(VLOOKUP(A134,'Centre WP11'!$A$7:$N$160,4,FALSE),0)+
IFERROR(VLOOKUP(A134,'Centre WR11'!$A$7:$N$160,4,FALSE),0)+
IFERROR(VLOOKUP(A134,'Centre WV11'!$A$7:$N$163,4,FALSE),0)</f>
        <v>0</v>
      </c>
      <c r="E134" s="50">
        <f>IFERROR(VLOOKUP(A134,'Centre DW11'!$A$7:$N$161,5,FALSE),0)+
IFERROR(VLOOKUP(A134,'Centre WP11'!$A$7:$N$160,5,FALSE),0)+
IFERROR(VLOOKUP(A134,'Centre WR11'!$A$7:$N$160,5,FALSE),0)+
IFERROR(VLOOKUP(A134,'Centre WV11'!$A$7:$N$163,5,FALSE),0)</f>
        <v>0</v>
      </c>
      <c r="F134" s="50">
        <f>IFERROR(VLOOKUP(A134,'Centre DW11'!$A$7:$N$161,6,FALSE),0)+
IFERROR(VLOOKUP(A134,'Centre WP11'!$A$7:$N$160,6,FALSE),0)+
IFERROR(VLOOKUP(A134,'Centre WR11'!$A$7:$N$160,6,FALSE),0)+
IFERROR(VLOOKUP(A134,'Centre WV11'!$A$7:$N$163,6,FALSE),0)</f>
        <v>0</v>
      </c>
      <c r="G134" s="50">
        <f>IFERROR(VLOOKUP(A134,'Centre DW11'!$A$7:$N$161,7,FALSE),0)+
IFERROR(VLOOKUP(A134,'Centre WP11'!$A$7:$N$160,7,FALSE),0)+
IFERROR(VLOOKUP(A134,'Centre WR11'!$A$7:$N$160,7,FALSE),0)+
IFERROR(VLOOKUP(A134,'Centre WV11'!$A$7:$N$163,7,FALSE),0)</f>
        <v>0</v>
      </c>
      <c r="H134" s="50">
        <f>IFERROR(VLOOKUP(A134,'Centre DW11'!$A$7:$N$161,8,FALSE),0)+
IFERROR(VLOOKUP(A134,'Centre WP11'!$A$7:$N$160,8,FALSE),0)+
IFERROR(VLOOKUP(A134,'Centre WR11'!$A$7:$N$160,8,FALSE),0)+
IFERROR(VLOOKUP(A134,'Centre WV11'!$A$7:$N$163,8,FALSE),0)</f>
        <v>0</v>
      </c>
      <c r="I134" s="50">
        <f>IFERROR(VLOOKUP(A134,'Centre DW11'!$A$7:$N$161,9,FALSE),0)+
IFERROR(VLOOKUP(A134,'Centre WP11'!$A$7:$N$160,9,FALSE),0)+
IFERROR(VLOOKUP(A134,'Centre WR11'!$A$7:$N$160,9,FALSE),0)+
IFERROR(VLOOKUP(A134,'Centre WV11'!$A$7:$N$163,9,FALSE),0)</f>
        <v>0</v>
      </c>
      <c r="J134" s="50">
        <f>IFERROR(VLOOKUP(A134,'Centre DW11'!$A$7:$N$161,10,FALSE),0)+
IFERROR(VLOOKUP(A134,'Centre WP11'!$A$7:$N$160,10,FALSE),0)+
IFERROR(VLOOKUP(A134,'Centre WR11'!$A$7:$N$160,10,FALSE),0)+
IFERROR(VLOOKUP(A134,'Centre WV11'!$A$7:$N$163,10,FALSE),0)</f>
        <v>0</v>
      </c>
      <c r="K134" s="50">
        <f>IFERROR(VLOOKUP(A134,'Centre DW11'!$A$7:$N$161,11,FALSE),0)+
IFERROR(VLOOKUP(A134,'Centre WP11'!$A$7:$N$160,11,FALSE),0)+
IFERROR(VLOOKUP(A134,'Centre WR11'!$A$7:$N$160,11,FALSE),0)+
IFERROR(VLOOKUP(A134,'Centre WV11'!$A$7:$N$163,11,FALSE),0)</f>
        <v>0</v>
      </c>
      <c r="L134" s="50">
        <f>IFERROR(VLOOKUP(A134,'Centre DW11'!$A$7:$N$161,12,FALSE),0)+
IFERROR(VLOOKUP(A134,'Centre WP11'!$A$7:$N$160,12,FALSE),0)+
IFERROR(VLOOKUP(A134,'Centre WR11'!$A$7:$N$160,12,FALSE),0)+
IFERROR(VLOOKUP(A134,'Centre WV11'!$A$7:$N$163,12,FALSE),0)</f>
        <v>0</v>
      </c>
      <c r="M134" s="50">
        <f>IFERROR(VLOOKUP(A134,'Centre DW11'!$A$7:$N$161,13,FALSE),0)+
IFERROR(VLOOKUP(A134,'Centre WP11'!$A$7:$N$160,13,FALSE),0)+
IFERROR(VLOOKUP(A134,'Centre WR11'!$A$7:$N$160,13,FALSE),0)+
IFERROR(VLOOKUP(A134,'Centre WV11'!$A$7:$N$163,13,FALSE),0)</f>
        <v>0</v>
      </c>
      <c r="N134" s="50">
        <f>IFERROR(VLOOKUP(A134,'Centre DW11'!$A$7:$N$161,14,FALSE),0)+
IFERROR(VLOOKUP(A134,'Centre WP11'!$A$7:$N$160,14,FALSE),0)+
IFERROR(VLOOKUP(A134,'Centre WR11'!$A$7:$N$160,14,FALSE),0)+
IFERROR(VLOOKUP(A134,'Centre WV11'!$A$7:$N$163,14,FALSE),0)</f>
        <v>0</v>
      </c>
    </row>
    <row r="135" spans="1:14" x14ac:dyDescent="0.2">
      <c r="A135" s="48" t="s">
        <v>228</v>
      </c>
      <c r="B135" s="49" t="s">
        <v>229</v>
      </c>
      <c r="C135" s="50">
        <f>IFERROR(VLOOKUP(A135,'Centre DW11'!$A$7:$N$161,3,FALSE),0)+
IFERROR(VLOOKUP(A135,'Centre WP11'!$A$7:$N$160,3,FALSE),0)+
IFERROR(VLOOKUP(A135,'Centre WR11'!$A$7:$N$160,3,FALSE),0)+
IFERROR(VLOOKUP(A135,'Centre WV11'!$A$7:$N$163,3,FALSE),0)</f>
        <v>0</v>
      </c>
      <c r="D135" s="50">
        <f>IFERROR(VLOOKUP(A135,'Centre DW11'!$A$7:$N$161,4,FALSE),0)+
IFERROR(VLOOKUP(A135,'Centre WP11'!$A$7:$N$160,4,FALSE),0)+
IFERROR(VLOOKUP(A135,'Centre WR11'!$A$7:$N$160,4,FALSE),0)+
IFERROR(VLOOKUP(A135,'Centre WV11'!$A$7:$N$163,4,FALSE),0)</f>
        <v>0</v>
      </c>
      <c r="E135" s="50">
        <f>IFERROR(VLOOKUP(A135,'Centre DW11'!$A$7:$N$161,5,FALSE),0)+
IFERROR(VLOOKUP(A135,'Centre WP11'!$A$7:$N$160,5,FALSE),0)+
IFERROR(VLOOKUP(A135,'Centre WR11'!$A$7:$N$160,5,FALSE),0)+
IFERROR(VLOOKUP(A135,'Centre WV11'!$A$7:$N$163,5,FALSE),0)</f>
        <v>0</v>
      </c>
      <c r="F135" s="50">
        <f>IFERROR(VLOOKUP(A135,'Centre DW11'!$A$7:$N$161,6,FALSE),0)+
IFERROR(VLOOKUP(A135,'Centre WP11'!$A$7:$N$160,6,FALSE),0)+
IFERROR(VLOOKUP(A135,'Centre WR11'!$A$7:$N$160,6,FALSE),0)+
IFERROR(VLOOKUP(A135,'Centre WV11'!$A$7:$N$163,6,FALSE),0)</f>
        <v>0</v>
      </c>
      <c r="G135" s="50">
        <f>IFERROR(VLOOKUP(A135,'Centre DW11'!$A$7:$N$161,7,FALSE),0)+
IFERROR(VLOOKUP(A135,'Centre WP11'!$A$7:$N$160,7,FALSE),0)+
IFERROR(VLOOKUP(A135,'Centre WR11'!$A$7:$N$160,7,FALSE),0)+
IFERROR(VLOOKUP(A135,'Centre WV11'!$A$7:$N$163,7,FALSE),0)</f>
        <v>0</v>
      </c>
      <c r="H135" s="50">
        <f>IFERROR(VLOOKUP(A135,'Centre DW11'!$A$7:$N$161,8,FALSE),0)+
IFERROR(VLOOKUP(A135,'Centre WP11'!$A$7:$N$160,8,FALSE),0)+
IFERROR(VLOOKUP(A135,'Centre WR11'!$A$7:$N$160,8,FALSE),0)+
IFERROR(VLOOKUP(A135,'Centre WV11'!$A$7:$N$163,8,FALSE),0)</f>
        <v>0</v>
      </c>
      <c r="I135" s="50">
        <f>IFERROR(VLOOKUP(A135,'Centre DW11'!$A$7:$N$161,9,FALSE),0)+
IFERROR(VLOOKUP(A135,'Centre WP11'!$A$7:$N$160,9,FALSE),0)+
IFERROR(VLOOKUP(A135,'Centre WR11'!$A$7:$N$160,9,FALSE),0)+
IFERROR(VLOOKUP(A135,'Centre WV11'!$A$7:$N$163,9,FALSE),0)</f>
        <v>0</v>
      </c>
      <c r="J135" s="50">
        <f>IFERROR(VLOOKUP(A135,'Centre DW11'!$A$7:$N$161,10,FALSE),0)+
IFERROR(VLOOKUP(A135,'Centre WP11'!$A$7:$N$160,10,FALSE),0)+
IFERROR(VLOOKUP(A135,'Centre WR11'!$A$7:$N$160,10,FALSE),0)+
IFERROR(VLOOKUP(A135,'Centre WV11'!$A$7:$N$163,10,FALSE),0)</f>
        <v>0</v>
      </c>
      <c r="K135" s="50">
        <f>IFERROR(VLOOKUP(A135,'Centre DW11'!$A$7:$N$161,11,FALSE),0)+
IFERROR(VLOOKUP(A135,'Centre WP11'!$A$7:$N$160,11,FALSE),0)+
IFERROR(VLOOKUP(A135,'Centre WR11'!$A$7:$N$160,11,FALSE),0)+
IFERROR(VLOOKUP(A135,'Centre WV11'!$A$7:$N$163,11,FALSE),0)</f>
        <v>0</v>
      </c>
      <c r="L135" s="50">
        <f>IFERROR(VLOOKUP(A135,'Centre DW11'!$A$7:$N$161,12,FALSE),0)+
IFERROR(VLOOKUP(A135,'Centre WP11'!$A$7:$N$160,12,FALSE),0)+
IFERROR(VLOOKUP(A135,'Centre WR11'!$A$7:$N$160,12,FALSE),0)+
IFERROR(VLOOKUP(A135,'Centre WV11'!$A$7:$N$163,12,FALSE),0)</f>
        <v>0</v>
      </c>
      <c r="M135" s="50">
        <f>IFERROR(VLOOKUP(A135,'Centre DW11'!$A$7:$N$161,13,FALSE),0)+
IFERROR(VLOOKUP(A135,'Centre WP11'!$A$7:$N$160,13,FALSE),0)+
IFERROR(VLOOKUP(A135,'Centre WR11'!$A$7:$N$160,13,FALSE),0)+
IFERROR(VLOOKUP(A135,'Centre WV11'!$A$7:$N$163,13,FALSE),0)</f>
        <v>0</v>
      </c>
      <c r="N135" s="50">
        <f>IFERROR(VLOOKUP(A135,'Centre DW11'!$A$7:$N$161,14,FALSE),0)+
IFERROR(VLOOKUP(A135,'Centre WP11'!$A$7:$N$160,14,FALSE),0)+
IFERROR(VLOOKUP(A135,'Centre WR11'!$A$7:$N$160,14,FALSE),0)+
IFERROR(VLOOKUP(A135,'Centre WV11'!$A$7:$N$163,14,FALSE),0)</f>
        <v>0</v>
      </c>
    </row>
    <row r="136" spans="1:14" x14ac:dyDescent="0.2">
      <c r="A136" s="48" t="s">
        <v>230</v>
      </c>
      <c r="B136" s="49" t="s">
        <v>231</v>
      </c>
      <c r="C136" s="50">
        <f>SUM(C137:C138)</f>
        <v>9.4</v>
      </c>
      <c r="D136" s="50">
        <f t="shared" ref="D136:N136" si="22">SUM(D137:D138)</f>
        <v>10.4</v>
      </c>
      <c r="E136" s="50">
        <f t="shared" si="22"/>
        <v>11.4</v>
      </c>
      <c r="F136" s="50">
        <f t="shared" si="22"/>
        <v>12.4</v>
      </c>
      <c r="G136" s="50">
        <f t="shared" si="22"/>
        <v>13.100000000000001</v>
      </c>
      <c r="H136" s="50">
        <f t="shared" si="22"/>
        <v>14.4</v>
      </c>
      <c r="I136" s="50">
        <f t="shared" si="22"/>
        <v>15.4</v>
      </c>
      <c r="J136" s="50">
        <f t="shared" si="22"/>
        <v>16.399999999999999</v>
      </c>
      <c r="K136" s="50">
        <f t="shared" si="22"/>
        <v>17.399999999999999</v>
      </c>
      <c r="L136" s="50">
        <f t="shared" si="22"/>
        <v>18.399999999999999</v>
      </c>
      <c r="M136" s="50">
        <f t="shared" si="22"/>
        <v>19.399999999999999</v>
      </c>
      <c r="N136" s="50">
        <f t="shared" si="22"/>
        <v>20.399999999999999</v>
      </c>
    </row>
    <row r="137" spans="1:14" outlineLevel="1" x14ac:dyDescent="0.2">
      <c r="A137" s="9" t="s">
        <v>232</v>
      </c>
      <c r="B137" s="1" t="s">
        <v>233</v>
      </c>
      <c r="C137" s="10">
        <f>IFERROR(VLOOKUP(A137,'Centre DW11'!$A$7:$N$161,3,FALSE),0)+
IFERROR(VLOOKUP(A137,'Centre WP11'!$A$7:$N$160,3,FALSE),0)+
IFERROR(VLOOKUP(A137,'Centre WR11'!$A$7:$N$160,3,FALSE),0)+
IFERROR(VLOOKUP(A137,'Centre WV11'!$A$7:$N$163,3,FALSE),0)</f>
        <v>9.3000000000000007</v>
      </c>
      <c r="D137" s="10">
        <f>IFERROR(VLOOKUP(A137,'Centre DW11'!$A$7:$N$161,4,FALSE),0)+
IFERROR(VLOOKUP(A137,'Centre WP11'!$A$7:$N$160,4,FALSE),0)+
IFERROR(VLOOKUP(A137,'Centre WR11'!$A$7:$N$160,4,FALSE),0)+
IFERROR(VLOOKUP(A137,'Centre WV11'!$A$7:$N$163,4,FALSE),0)</f>
        <v>9.3000000000000007</v>
      </c>
      <c r="E137" s="10">
        <f>IFERROR(VLOOKUP(A137,'Centre DW11'!$A$7:$N$161,5,FALSE),0)+
IFERROR(VLOOKUP(A137,'Centre WP11'!$A$7:$N$160,5,FALSE),0)+
IFERROR(VLOOKUP(A137,'Centre WR11'!$A$7:$N$160,5,FALSE),0)+
IFERROR(VLOOKUP(A137,'Centre WV11'!$A$7:$N$163,5,FALSE),0)</f>
        <v>9.3000000000000007</v>
      </c>
      <c r="F137" s="10">
        <f>IFERROR(VLOOKUP(A137,'Centre DW11'!$A$7:$N$161,6,FALSE),0)+
IFERROR(VLOOKUP(A137,'Centre WP11'!$A$7:$N$160,6,FALSE),0)+
IFERROR(VLOOKUP(A137,'Centre WR11'!$A$7:$N$160,6,FALSE),0)+
IFERROR(VLOOKUP(A137,'Centre WV11'!$A$7:$N$163,6,FALSE),0)</f>
        <v>9.3000000000000007</v>
      </c>
      <c r="G137" s="10">
        <f>IFERROR(VLOOKUP(A137,'Centre DW11'!$A$7:$N$161,7,FALSE),0)+
IFERROR(VLOOKUP(A137,'Centre WP11'!$A$7:$N$160,7,FALSE),0)+
IFERROR(VLOOKUP(A137,'Centre WR11'!$A$7:$N$160,7,FALSE),0)+
IFERROR(VLOOKUP(A137,'Centre WV11'!$A$7:$N$163,7,FALSE),0)</f>
        <v>9.3000000000000007</v>
      </c>
      <c r="H137" s="10">
        <f>IFERROR(VLOOKUP(A137,'Centre DW11'!$A$7:$N$161,8,FALSE),0)+
IFERROR(VLOOKUP(A137,'Centre WP11'!$A$7:$N$160,8,FALSE),0)+
IFERROR(VLOOKUP(A137,'Centre WR11'!$A$7:$N$160,8,FALSE),0)+
IFERROR(VLOOKUP(A137,'Centre WV11'!$A$7:$N$163,8,FALSE),0)</f>
        <v>9.3000000000000007</v>
      </c>
      <c r="I137" s="10">
        <f>IFERROR(VLOOKUP(A137,'Centre DW11'!$A$7:$N$161,9,FALSE),0)+
IFERROR(VLOOKUP(A137,'Centre WP11'!$A$7:$N$160,9,FALSE),0)+
IFERROR(VLOOKUP(A137,'Centre WR11'!$A$7:$N$160,9,FALSE),0)+
IFERROR(VLOOKUP(A137,'Centre WV11'!$A$7:$N$163,9,FALSE),0)</f>
        <v>9.3000000000000007</v>
      </c>
      <c r="J137" s="10">
        <f>IFERROR(VLOOKUP(A137,'Centre DW11'!$A$7:$N$161,10,FALSE),0)+
IFERROR(VLOOKUP(A137,'Centre WP11'!$A$7:$N$160,10,FALSE),0)+
IFERROR(VLOOKUP(A137,'Centre WR11'!$A$7:$N$160,10,FALSE),0)+
IFERROR(VLOOKUP(A137,'Centre WV11'!$A$7:$N$163,10,FALSE),0)</f>
        <v>9.3000000000000007</v>
      </c>
      <c r="K137" s="10">
        <f>IFERROR(VLOOKUP(A137,'Centre DW11'!$A$7:$N$161,11,FALSE),0)+
IFERROR(VLOOKUP(A137,'Centre WP11'!$A$7:$N$160,11,FALSE),0)+
IFERROR(VLOOKUP(A137,'Centre WR11'!$A$7:$N$160,11,FALSE),0)+
IFERROR(VLOOKUP(A137,'Centre WV11'!$A$7:$N$163,11,FALSE),0)</f>
        <v>9.3000000000000007</v>
      </c>
      <c r="L137" s="10">
        <f>IFERROR(VLOOKUP(A137,'Centre DW11'!$A$7:$N$161,12,FALSE),0)+
IFERROR(VLOOKUP(A137,'Centre WP11'!$A$7:$N$160,12,FALSE),0)+
IFERROR(VLOOKUP(A137,'Centre WR11'!$A$7:$N$160,12,FALSE),0)+
IFERROR(VLOOKUP(A137,'Centre WV11'!$A$7:$N$163,12,FALSE),0)</f>
        <v>9.3000000000000007</v>
      </c>
      <c r="M137" s="10">
        <f>IFERROR(VLOOKUP(A137,'Centre DW11'!$A$7:$N$161,13,FALSE),0)+
IFERROR(VLOOKUP(A137,'Centre WP11'!$A$7:$N$160,13,FALSE),0)+
IFERROR(VLOOKUP(A137,'Centre WR11'!$A$7:$N$160,13,FALSE),0)+
IFERROR(VLOOKUP(A137,'Centre WV11'!$A$7:$N$163,13,FALSE),0)</f>
        <v>9.3000000000000007</v>
      </c>
      <c r="N137" s="10">
        <f>IFERROR(VLOOKUP(A137,'Centre DW11'!$A$7:$N$161,14,FALSE),0)+
IFERROR(VLOOKUP(A137,'Centre WP11'!$A$7:$N$160,14,FALSE),0)+
IFERROR(VLOOKUP(A137,'Centre WR11'!$A$7:$N$160,14,FALSE),0)+
IFERROR(VLOOKUP(A137,'Centre WV11'!$A$7:$N$163,14,FALSE),0)</f>
        <v>9.3000000000000007</v>
      </c>
    </row>
    <row r="138" spans="1:14" outlineLevel="1" x14ac:dyDescent="0.2">
      <c r="A138" s="9" t="s">
        <v>234</v>
      </c>
      <c r="B138" s="1" t="s">
        <v>235</v>
      </c>
      <c r="C138" s="10">
        <f>IFERROR(VLOOKUP(A138,'Centre DW11'!$A$7:$N$161,3,FALSE),0)+
IFERROR(VLOOKUP(A138,'Centre WP11'!$A$7:$N$160,3,FALSE),0)+
IFERROR(VLOOKUP(A138,'Centre WR11'!$A$7:$N$160,3,FALSE),0)+
IFERROR(VLOOKUP(A138,'Centre WV11'!$A$7:$N$163,3,FALSE),0)</f>
        <v>0.1</v>
      </c>
      <c r="D138" s="10">
        <f>IFERROR(VLOOKUP(A138,'Centre DW11'!$A$7:$N$161,4,FALSE),0)+
IFERROR(VLOOKUP(A138,'Centre WP11'!$A$7:$N$160,4,FALSE),0)+
IFERROR(VLOOKUP(A138,'Centre WR11'!$A$7:$N$160,4,FALSE),0)+
IFERROR(VLOOKUP(A138,'Centre WV11'!$A$7:$N$163,4,FALSE),0)</f>
        <v>1.1000000000000001</v>
      </c>
      <c r="E138" s="10">
        <f>IFERROR(VLOOKUP(A138,'Centre DW11'!$A$7:$N$161,5,FALSE),0)+
IFERROR(VLOOKUP(A138,'Centre WP11'!$A$7:$N$160,5,FALSE),0)+
IFERROR(VLOOKUP(A138,'Centre WR11'!$A$7:$N$160,5,FALSE),0)+
IFERROR(VLOOKUP(A138,'Centre WV11'!$A$7:$N$163,5,FALSE),0)</f>
        <v>2.1</v>
      </c>
      <c r="F138" s="10">
        <f>IFERROR(VLOOKUP(A138,'Centre DW11'!$A$7:$N$161,6,FALSE),0)+
IFERROR(VLOOKUP(A138,'Centre WP11'!$A$7:$N$160,6,FALSE),0)+
IFERROR(VLOOKUP(A138,'Centre WR11'!$A$7:$N$160,6,FALSE),0)+
IFERROR(VLOOKUP(A138,'Centre WV11'!$A$7:$N$163,6,FALSE),0)</f>
        <v>3.1</v>
      </c>
      <c r="G138" s="10">
        <f>IFERROR(VLOOKUP(A138,'Centre DW11'!$A$7:$N$161,7,FALSE),0)+
IFERROR(VLOOKUP(A138,'Centre WP11'!$A$7:$N$160,7,FALSE),0)+
IFERROR(VLOOKUP(A138,'Centre WR11'!$A$7:$N$160,7,FALSE),0)+
IFERROR(VLOOKUP(A138,'Centre WV11'!$A$7:$N$163,7,FALSE),0)</f>
        <v>3.8</v>
      </c>
      <c r="H138" s="10">
        <f>IFERROR(VLOOKUP(A138,'Centre DW11'!$A$7:$N$161,8,FALSE),0)+
IFERROR(VLOOKUP(A138,'Centre WP11'!$A$7:$N$160,8,FALSE),0)+
IFERROR(VLOOKUP(A138,'Centre WR11'!$A$7:$N$160,8,FALSE),0)+
IFERROR(VLOOKUP(A138,'Centre WV11'!$A$7:$N$163,8,FALSE),0)</f>
        <v>5.0999999999999996</v>
      </c>
      <c r="I138" s="10">
        <f>IFERROR(VLOOKUP(A138,'Centre DW11'!$A$7:$N$161,9,FALSE),0)+
IFERROR(VLOOKUP(A138,'Centre WP11'!$A$7:$N$160,9,FALSE),0)+
IFERROR(VLOOKUP(A138,'Centre WR11'!$A$7:$N$160,9,FALSE),0)+
IFERROR(VLOOKUP(A138,'Centre WV11'!$A$7:$N$163,9,FALSE),0)</f>
        <v>6.1</v>
      </c>
      <c r="J138" s="10">
        <f>IFERROR(VLOOKUP(A138,'Centre DW11'!$A$7:$N$161,10,FALSE),0)+
IFERROR(VLOOKUP(A138,'Centre WP11'!$A$7:$N$160,10,FALSE),0)+
IFERROR(VLOOKUP(A138,'Centre WR11'!$A$7:$N$160,10,FALSE),0)+
IFERROR(VLOOKUP(A138,'Centre WV11'!$A$7:$N$163,10,FALSE),0)</f>
        <v>7.1</v>
      </c>
      <c r="K138" s="10">
        <f>IFERROR(VLOOKUP(A138,'Centre DW11'!$A$7:$N$161,11,FALSE),0)+
IFERROR(VLOOKUP(A138,'Centre WP11'!$A$7:$N$160,11,FALSE),0)+
IFERROR(VLOOKUP(A138,'Centre WR11'!$A$7:$N$160,11,FALSE),0)+
IFERROR(VLOOKUP(A138,'Centre WV11'!$A$7:$N$163,11,FALSE),0)</f>
        <v>8.1</v>
      </c>
      <c r="L138" s="10">
        <f>IFERROR(VLOOKUP(A138,'Centre DW11'!$A$7:$N$161,12,FALSE),0)+
IFERROR(VLOOKUP(A138,'Centre WP11'!$A$7:$N$160,12,FALSE),0)+
IFERROR(VLOOKUP(A138,'Centre WR11'!$A$7:$N$160,12,FALSE),0)+
IFERROR(VLOOKUP(A138,'Centre WV11'!$A$7:$N$163,12,FALSE),0)</f>
        <v>9.1</v>
      </c>
      <c r="M138" s="10">
        <f>IFERROR(VLOOKUP(A138,'Centre DW11'!$A$7:$N$161,13,FALSE),0)+
IFERROR(VLOOKUP(A138,'Centre WP11'!$A$7:$N$160,13,FALSE),0)+
IFERROR(VLOOKUP(A138,'Centre WR11'!$A$7:$N$160,13,FALSE),0)+
IFERROR(VLOOKUP(A138,'Centre WV11'!$A$7:$N$163,13,FALSE),0)</f>
        <v>10.1</v>
      </c>
      <c r="N138" s="10">
        <f>IFERROR(VLOOKUP(A138,'Centre DW11'!$A$7:$N$161,14,FALSE),0)+
IFERROR(VLOOKUP(A138,'Centre WP11'!$A$7:$N$160,14,FALSE),0)+
IFERROR(VLOOKUP(A138,'Centre WR11'!$A$7:$N$160,14,FALSE),0)+
IFERROR(VLOOKUP(A138,'Centre WV11'!$A$7:$N$163,14,FALSE),0)</f>
        <v>11.1</v>
      </c>
    </row>
    <row r="139" spans="1:14" x14ac:dyDescent="0.2">
      <c r="A139" s="52"/>
      <c r="B139" s="52" t="s">
        <v>236</v>
      </c>
      <c r="C139" s="53">
        <f t="shared" ref="C139" si="23">+C104+C121+C134+C135+C136</f>
        <v>32.4</v>
      </c>
      <c r="D139" s="53">
        <f t="shared" ref="D139:N139" si="24">+D104+D121+D134+D135+D136</f>
        <v>33.700000000000003</v>
      </c>
      <c r="E139" s="53">
        <f t="shared" si="24"/>
        <v>36.199999999999996</v>
      </c>
      <c r="F139" s="53">
        <f t="shared" si="24"/>
        <v>37.9</v>
      </c>
      <c r="G139" s="53">
        <f t="shared" si="24"/>
        <v>38.700000000000003</v>
      </c>
      <c r="H139" s="53">
        <f t="shared" si="24"/>
        <v>39.1</v>
      </c>
      <c r="I139" s="53">
        <f t="shared" si="24"/>
        <v>38.199999999999996</v>
      </c>
      <c r="J139" s="53">
        <f t="shared" si="24"/>
        <v>41.199999999999996</v>
      </c>
      <c r="K139" s="53">
        <f t="shared" si="24"/>
        <v>42.899999999999991</v>
      </c>
      <c r="L139" s="53">
        <f t="shared" si="24"/>
        <v>44</v>
      </c>
      <c r="M139" s="53">
        <f t="shared" si="24"/>
        <v>44.099999999999994</v>
      </c>
      <c r="N139" s="53">
        <f t="shared" si="24"/>
        <v>43.5</v>
      </c>
    </row>
    <row r="140" spans="1:14" x14ac:dyDescent="0.2">
      <c r="A140" s="51"/>
      <c r="B140" s="51" t="s">
        <v>237</v>
      </c>
      <c r="C140" s="19">
        <f t="shared" ref="C140:N140" si="25">+C103-C139</f>
        <v>84.88</v>
      </c>
      <c r="D140" s="19">
        <f t="shared" si="25"/>
        <v>108.58</v>
      </c>
      <c r="E140" s="19">
        <f t="shared" si="25"/>
        <v>106.58000000000001</v>
      </c>
      <c r="F140" s="19">
        <f t="shared" si="25"/>
        <v>40.680000000000014</v>
      </c>
      <c r="G140" s="19">
        <f t="shared" si="25"/>
        <v>72.08</v>
      </c>
      <c r="H140" s="19">
        <f t="shared" si="25"/>
        <v>66.079999999999956</v>
      </c>
      <c r="I140" s="19">
        <f t="shared" si="25"/>
        <v>47.18</v>
      </c>
      <c r="J140" s="19">
        <f t="shared" si="25"/>
        <v>104.78</v>
      </c>
      <c r="K140" s="19">
        <f t="shared" si="25"/>
        <v>135.68</v>
      </c>
      <c r="L140" s="19">
        <f t="shared" si="25"/>
        <v>82.879999999999967</v>
      </c>
      <c r="M140" s="19">
        <f t="shared" si="25"/>
        <v>75.88</v>
      </c>
      <c r="N140" s="19">
        <f t="shared" si="25"/>
        <v>103.78</v>
      </c>
    </row>
    <row r="141" spans="1:14" x14ac:dyDescent="0.2">
      <c r="A141" s="48" t="s">
        <v>238</v>
      </c>
      <c r="B141" s="49" t="s">
        <v>239</v>
      </c>
      <c r="C141" s="50">
        <f>SUM(C142:C145)</f>
        <v>3.0999999999999996</v>
      </c>
      <c r="D141" s="50">
        <f t="shared" ref="D141:N141" si="26">SUM(D142:D145)</f>
        <v>3.0999999999999996</v>
      </c>
      <c r="E141" s="50">
        <f t="shared" si="26"/>
        <v>3.0999999999999996</v>
      </c>
      <c r="F141" s="50">
        <f t="shared" si="26"/>
        <v>3.0999999999999996</v>
      </c>
      <c r="G141" s="50">
        <f t="shared" si="26"/>
        <v>3.0999999999999996</v>
      </c>
      <c r="H141" s="50">
        <f t="shared" si="26"/>
        <v>3.0999999999999996</v>
      </c>
      <c r="I141" s="50">
        <f t="shared" si="26"/>
        <v>3.0999999999999996</v>
      </c>
      <c r="J141" s="50">
        <f t="shared" si="26"/>
        <v>3.0999999999999996</v>
      </c>
      <c r="K141" s="50">
        <f t="shared" si="26"/>
        <v>3.0999999999999996</v>
      </c>
      <c r="L141" s="50">
        <f t="shared" si="26"/>
        <v>3.0999999999999996</v>
      </c>
      <c r="M141" s="50">
        <f t="shared" si="26"/>
        <v>3.0999999999999996</v>
      </c>
      <c r="N141" s="50">
        <f t="shared" si="26"/>
        <v>3.0999999999999996</v>
      </c>
    </row>
    <row r="142" spans="1:14" hidden="1" outlineLevel="1" x14ac:dyDescent="0.2">
      <c r="A142" s="9" t="s">
        <v>240</v>
      </c>
      <c r="B142" s="1" t="s">
        <v>241</v>
      </c>
      <c r="C142" s="10">
        <f>IFERROR(VLOOKUP(A142,'Centre DW11'!$A$7:$N$161,3,FALSE),0)+
IFERROR(VLOOKUP(A142,'Centre WP11'!$A$7:$N$160,3,FALSE),0)+
IFERROR(VLOOKUP(A142,'Centre WR11'!$A$7:$N$160,3,FALSE),0)+
IFERROR(VLOOKUP(A142,'Centre WV11'!$A$7:$N$163,3,FALSE),0)</f>
        <v>3.0999999999999996</v>
      </c>
      <c r="D142" s="10">
        <f>IFERROR(VLOOKUP(A142,'Centre DW11'!$A$7:$N$161,4,FALSE),0)+
IFERROR(VLOOKUP(A142,'Centre WP11'!$A$7:$N$160,4,FALSE),0)+
IFERROR(VLOOKUP(A142,'Centre WR11'!$A$7:$N$160,4,FALSE),0)+
IFERROR(VLOOKUP(A142,'Centre WV11'!$A$7:$N$163,4,FALSE),0)</f>
        <v>3.0999999999999996</v>
      </c>
      <c r="E142" s="10">
        <f>IFERROR(VLOOKUP(A142,'Centre DW11'!$A$7:$N$161,5,FALSE),0)+
IFERROR(VLOOKUP(A142,'Centre WP11'!$A$7:$N$160,5,FALSE),0)+
IFERROR(VLOOKUP(A142,'Centre WR11'!$A$7:$N$160,5,FALSE),0)+
IFERROR(VLOOKUP(A142,'Centre WV11'!$A$7:$N$163,5,FALSE),0)</f>
        <v>3.0999999999999996</v>
      </c>
      <c r="F142" s="10">
        <f>IFERROR(VLOOKUP(A142,'Centre DW11'!$A$7:$N$161,6,FALSE),0)+
IFERROR(VLOOKUP(A142,'Centre WP11'!$A$7:$N$160,6,FALSE),0)+
IFERROR(VLOOKUP(A142,'Centre WR11'!$A$7:$N$160,6,FALSE),0)+
IFERROR(VLOOKUP(A142,'Centre WV11'!$A$7:$N$163,6,FALSE),0)</f>
        <v>3.0999999999999996</v>
      </c>
      <c r="G142" s="10">
        <f>IFERROR(VLOOKUP(A142,'Centre DW11'!$A$7:$N$161,7,FALSE),0)+
IFERROR(VLOOKUP(A142,'Centre WP11'!$A$7:$N$160,7,FALSE),0)+
IFERROR(VLOOKUP(A142,'Centre WR11'!$A$7:$N$160,7,FALSE),0)+
IFERROR(VLOOKUP(A142,'Centre WV11'!$A$7:$N$163,7,FALSE),0)</f>
        <v>3.0999999999999996</v>
      </c>
      <c r="H142" s="10">
        <f>IFERROR(VLOOKUP(A142,'Centre DW11'!$A$7:$N$161,8,FALSE),0)+
IFERROR(VLOOKUP(A142,'Centre WP11'!$A$7:$N$160,8,FALSE),0)+
IFERROR(VLOOKUP(A142,'Centre WR11'!$A$7:$N$160,8,FALSE),0)+
IFERROR(VLOOKUP(A142,'Centre WV11'!$A$7:$N$163,8,FALSE),0)</f>
        <v>3.0999999999999996</v>
      </c>
      <c r="I142" s="10">
        <f>IFERROR(VLOOKUP(A142,'Centre DW11'!$A$7:$N$161,9,FALSE),0)+
IFERROR(VLOOKUP(A142,'Centre WP11'!$A$7:$N$160,9,FALSE),0)+
IFERROR(VLOOKUP(A142,'Centre WR11'!$A$7:$N$160,9,FALSE),0)+
IFERROR(VLOOKUP(A142,'Centre WV11'!$A$7:$N$163,9,FALSE),0)</f>
        <v>3.0999999999999996</v>
      </c>
      <c r="J142" s="10">
        <f>IFERROR(VLOOKUP(A142,'Centre DW11'!$A$7:$N$161,10,FALSE),0)+
IFERROR(VLOOKUP(A142,'Centre WP11'!$A$7:$N$160,10,FALSE),0)+
IFERROR(VLOOKUP(A142,'Centre WR11'!$A$7:$N$160,10,FALSE),0)+
IFERROR(VLOOKUP(A142,'Centre WV11'!$A$7:$N$163,10,FALSE),0)</f>
        <v>3.0999999999999996</v>
      </c>
      <c r="K142" s="10">
        <f>IFERROR(VLOOKUP(A142,'Centre DW11'!$A$7:$N$161,11,FALSE),0)+
IFERROR(VLOOKUP(A142,'Centre WP11'!$A$7:$N$160,11,FALSE),0)+
IFERROR(VLOOKUP(A142,'Centre WR11'!$A$7:$N$160,11,FALSE),0)+
IFERROR(VLOOKUP(A142,'Centre WV11'!$A$7:$N$163,11,FALSE),0)</f>
        <v>3.0999999999999996</v>
      </c>
      <c r="L142" s="10">
        <f>IFERROR(VLOOKUP(A142,'Centre DW11'!$A$7:$N$161,12,FALSE),0)+
IFERROR(VLOOKUP(A142,'Centre WP11'!$A$7:$N$160,12,FALSE),0)+
IFERROR(VLOOKUP(A142,'Centre WR11'!$A$7:$N$160,12,FALSE),0)+
IFERROR(VLOOKUP(A142,'Centre WV11'!$A$7:$N$163,12,FALSE),0)</f>
        <v>3.0999999999999996</v>
      </c>
      <c r="M142" s="10">
        <f>IFERROR(VLOOKUP(A142,'Centre DW11'!$A$7:$N$161,13,FALSE),0)+
IFERROR(VLOOKUP(A142,'Centre WP11'!$A$7:$N$160,13,FALSE),0)+
IFERROR(VLOOKUP(A142,'Centre WR11'!$A$7:$N$160,13,FALSE),0)+
IFERROR(VLOOKUP(A142,'Centre WV11'!$A$7:$N$163,13,FALSE),0)</f>
        <v>3.0999999999999996</v>
      </c>
      <c r="N142" s="10">
        <f>IFERROR(VLOOKUP(A142,'Centre DW11'!$A$7:$N$161,14,FALSE),0)+
IFERROR(VLOOKUP(A142,'Centre WP11'!$A$7:$N$160,14,FALSE),0)+
IFERROR(VLOOKUP(A142,'Centre WR11'!$A$7:$N$160,14,FALSE),0)+
IFERROR(VLOOKUP(A142,'Centre WV11'!$A$7:$N$163,14,FALSE),0)</f>
        <v>3.0999999999999996</v>
      </c>
    </row>
    <row r="143" spans="1:14" hidden="1" outlineLevel="1" x14ac:dyDescent="0.2">
      <c r="A143" s="9" t="s">
        <v>242</v>
      </c>
      <c r="B143" s="1" t="s">
        <v>243</v>
      </c>
      <c r="C143" s="10">
        <f>IFERROR(VLOOKUP(A143,'Centre DW11'!$A$7:$N$161,3,FALSE),0)+
IFERROR(VLOOKUP(A143,'Centre WP11'!$A$7:$N$160,3,FALSE),0)+
IFERROR(VLOOKUP(A143,'Centre WR11'!$A$7:$N$160,3,FALSE),0)+
IFERROR(VLOOKUP(A143,'Centre WV11'!$A$7:$N$163,3,FALSE),0)</f>
        <v>0</v>
      </c>
      <c r="D143" s="10">
        <f>IFERROR(VLOOKUP(A143,'Centre DW11'!$A$7:$N$161,4,FALSE),0)+
IFERROR(VLOOKUP(A143,'Centre WP11'!$A$7:$N$160,4,FALSE),0)+
IFERROR(VLOOKUP(A143,'Centre WR11'!$A$7:$N$160,4,FALSE),0)+
IFERROR(VLOOKUP(A143,'Centre WV11'!$A$7:$N$163,4,FALSE),0)</f>
        <v>0</v>
      </c>
      <c r="E143" s="10">
        <f>IFERROR(VLOOKUP(A143,'Centre DW11'!$A$7:$N$161,5,FALSE),0)+
IFERROR(VLOOKUP(A143,'Centre WP11'!$A$7:$N$160,5,FALSE),0)+
IFERROR(VLOOKUP(A143,'Centre WR11'!$A$7:$N$160,5,FALSE),0)+
IFERROR(VLOOKUP(A143,'Centre WV11'!$A$7:$N$163,5,FALSE),0)</f>
        <v>0</v>
      </c>
      <c r="F143" s="10">
        <f>IFERROR(VLOOKUP(A143,'Centre DW11'!$A$7:$N$161,6,FALSE),0)+
IFERROR(VLOOKUP(A143,'Centre WP11'!$A$7:$N$160,6,FALSE),0)+
IFERROR(VLOOKUP(A143,'Centre WR11'!$A$7:$N$160,6,FALSE),0)+
IFERROR(VLOOKUP(A143,'Centre WV11'!$A$7:$N$163,6,FALSE),0)</f>
        <v>0</v>
      </c>
      <c r="G143" s="10">
        <f>IFERROR(VLOOKUP(A143,'Centre DW11'!$A$7:$N$161,7,FALSE),0)+
IFERROR(VLOOKUP(A143,'Centre WP11'!$A$7:$N$160,7,FALSE),0)+
IFERROR(VLOOKUP(A143,'Centre WR11'!$A$7:$N$160,7,FALSE),0)+
IFERROR(VLOOKUP(A143,'Centre WV11'!$A$7:$N$163,7,FALSE),0)</f>
        <v>0</v>
      </c>
      <c r="H143" s="10">
        <f>IFERROR(VLOOKUP(A143,'Centre DW11'!$A$7:$N$161,8,FALSE),0)+
IFERROR(VLOOKUP(A143,'Centre WP11'!$A$7:$N$160,8,FALSE),0)+
IFERROR(VLOOKUP(A143,'Centre WR11'!$A$7:$N$160,8,FALSE),0)+
IFERROR(VLOOKUP(A143,'Centre WV11'!$A$7:$N$163,8,FALSE),0)</f>
        <v>0</v>
      </c>
      <c r="I143" s="10">
        <f>IFERROR(VLOOKUP(A143,'Centre DW11'!$A$7:$N$161,9,FALSE),0)+
IFERROR(VLOOKUP(A143,'Centre WP11'!$A$7:$N$160,9,FALSE),0)+
IFERROR(VLOOKUP(A143,'Centre WR11'!$A$7:$N$160,9,FALSE),0)+
IFERROR(VLOOKUP(A143,'Centre WV11'!$A$7:$N$163,9,FALSE),0)</f>
        <v>0</v>
      </c>
      <c r="J143" s="10">
        <f>IFERROR(VLOOKUP(A143,'Centre DW11'!$A$7:$N$161,10,FALSE),0)+
IFERROR(VLOOKUP(A143,'Centre WP11'!$A$7:$N$160,10,FALSE),0)+
IFERROR(VLOOKUP(A143,'Centre WR11'!$A$7:$N$160,10,FALSE),0)+
IFERROR(VLOOKUP(A143,'Centre WV11'!$A$7:$N$163,10,FALSE),0)</f>
        <v>0</v>
      </c>
      <c r="K143" s="10">
        <f>IFERROR(VLOOKUP(A143,'Centre DW11'!$A$7:$N$161,11,FALSE),0)+
IFERROR(VLOOKUP(A143,'Centre WP11'!$A$7:$N$160,11,FALSE),0)+
IFERROR(VLOOKUP(A143,'Centre WR11'!$A$7:$N$160,11,FALSE),0)+
IFERROR(VLOOKUP(A143,'Centre WV11'!$A$7:$N$163,11,FALSE),0)</f>
        <v>0</v>
      </c>
      <c r="L143" s="10">
        <f>IFERROR(VLOOKUP(A143,'Centre DW11'!$A$7:$N$161,12,FALSE),0)+
IFERROR(VLOOKUP(A143,'Centre WP11'!$A$7:$N$160,12,FALSE),0)+
IFERROR(VLOOKUP(A143,'Centre WR11'!$A$7:$N$160,12,FALSE),0)+
IFERROR(VLOOKUP(A143,'Centre WV11'!$A$7:$N$163,12,FALSE),0)</f>
        <v>0</v>
      </c>
      <c r="M143" s="10">
        <f>IFERROR(VLOOKUP(A143,'Centre DW11'!$A$7:$N$161,13,FALSE),0)+
IFERROR(VLOOKUP(A143,'Centre WP11'!$A$7:$N$160,13,FALSE),0)+
IFERROR(VLOOKUP(A143,'Centre WR11'!$A$7:$N$160,13,FALSE),0)+
IFERROR(VLOOKUP(A143,'Centre WV11'!$A$7:$N$163,13,FALSE),0)</f>
        <v>0</v>
      </c>
      <c r="N143" s="10">
        <f>IFERROR(VLOOKUP(A143,'Centre DW11'!$A$7:$N$161,14,FALSE),0)+
IFERROR(VLOOKUP(A143,'Centre WP11'!$A$7:$N$160,14,FALSE),0)+
IFERROR(VLOOKUP(A143,'Centre WR11'!$A$7:$N$160,14,FALSE),0)+
IFERROR(VLOOKUP(A143,'Centre WV11'!$A$7:$N$163,14,FALSE),0)</f>
        <v>0</v>
      </c>
    </row>
    <row r="144" spans="1:14" hidden="1" outlineLevel="1" x14ac:dyDescent="0.2">
      <c r="A144" s="9" t="s">
        <v>359</v>
      </c>
      <c r="B144" s="1" t="s">
        <v>360</v>
      </c>
      <c r="C144" s="10">
        <f>IFERROR(VLOOKUP(A144,'Centre DW11'!$A$7:$N$161,3,FALSE),0)+
IFERROR(VLOOKUP(A144,'Centre WP11'!$A$7:$N$160,3,FALSE),0)+
IFERROR(VLOOKUP(A144,'Centre WR11'!$A$7:$N$160,3,FALSE),0)+
IFERROR(VLOOKUP(A144,'Centre WV11'!$A$7:$N$163,3,FALSE),0)</f>
        <v>0</v>
      </c>
      <c r="D144" s="10">
        <f>IFERROR(VLOOKUP(A144,'Centre DW11'!$A$7:$N$161,4,FALSE),0)+
IFERROR(VLOOKUP(A144,'Centre WP11'!$A$7:$N$160,4,FALSE),0)+
IFERROR(VLOOKUP(A144,'Centre WR11'!$A$7:$N$160,4,FALSE),0)+
IFERROR(VLOOKUP(A144,'Centre WV11'!$A$7:$N$163,4,FALSE),0)</f>
        <v>0</v>
      </c>
      <c r="E144" s="10">
        <f>IFERROR(VLOOKUP(A144,'Centre DW11'!$A$7:$N$161,5,FALSE),0)+
IFERROR(VLOOKUP(A144,'Centre WP11'!$A$7:$N$160,5,FALSE),0)+
IFERROR(VLOOKUP(A144,'Centre WR11'!$A$7:$N$160,5,FALSE),0)+
IFERROR(VLOOKUP(A144,'Centre WV11'!$A$7:$N$163,5,FALSE),0)</f>
        <v>0</v>
      </c>
      <c r="F144" s="10">
        <f>IFERROR(VLOOKUP(A144,'Centre DW11'!$A$7:$N$161,6,FALSE),0)+
IFERROR(VLOOKUP(A144,'Centre WP11'!$A$7:$N$160,6,FALSE),0)+
IFERROR(VLOOKUP(A144,'Centre WR11'!$A$7:$N$160,6,FALSE),0)+
IFERROR(VLOOKUP(A144,'Centre WV11'!$A$7:$N$163,6,FALSE),0)</f>
        <v>0</v>
      </c>
      <c r="G144" s="10">
        <f>IFERROR(VLOOKUP(A144,'Centre DW11'!$A$7:$N$161,7,FALSE),0)+
IFERROR(VLOOKUP(A144,'Centre WP11'!$A$7:$N$160,7,FALSE),0)+
IFERROR(VLOOKUP(A144,'Centre WR11'!$A$7:$N$160,7,FALSE),0)+
IFERROR(VLOOKUP(A144,'Centre WV11'!$A$7:$N$163,7,FALSE),0)</f>
        <v>0</v>
      </c>
      <c r="H144" s="10">
        <f>IFERROR(VLOOKUP(A144,'Centre DW11'!$A$7:$N$161,8,FALSE),0)+
IFERROR(VLOOKUP(A144,'Centre WP11'!$A$7:$N$160,8,FALSE),0)+
IFERROR(VLOOKUP(A144,'Centre WR11'!$A$7:$N$160,8,FALSE),0)+
IFERROR(VLOOKUP(A144,'Centre WV11'!$A$7:$N$163,8,FALSE),0)</f>
        <v>0</v>
      </c>
      <c r="I144" s="10">
        <f>IFERROR(VLOOKUP(A144,'Centre DW11'!$A$7:$N$161,9,FALSE),0)+
IFERROR(VLOOKUP(A144,'Centre WP11'!$A$7:$N$160,9,FALSE),0)+
IFERROR(VLOOKUP(A144,'Centre WR11'!$A$7:$N$160,9,FALSE),0)+
IFERROR(VLOOKUP(A144,'Centre WV11'!$A$7:$N$163,9,FALSE),0)</f>
        <v>0</v>
      </c>
      <c r="J144" s="10">
        <f>IFERROR(VLOOKUP(A144,'Centre DW11'!$A$7:$N$161,10,FALSE),0)+
IFERROR(VLOOKUP(A144,'Centre WP11'!$A$7:$N$160,10,FALSE),0)+
IFERROR(VLOOKUP(A144,'Centre WR11'!$A$7:$N$160,10,FALSE),0)+
IFERROR(VLOOKUP(A144,'Centre WV11'!$A$7:$N$163,10,FALSE),0)</f>
        <v>0</v>
      </c>
      <c r="K144" s="10">
        <f>IFERROR(VLOOKUP(A144,'Centre DW11'!$A$7:$N$161,11,FALSE),0)+
IFERROR(VLOOKUP(A144,'Centre WP11'!$A$7:$N$160,11,FALSE),0)+
IFERROR(VLOOKUP(A144,'Centre WR11'!$A$7:$N$160,11,FALSE),0)+
IFERROR(VLOOKUP(A144,'Centre WV11'!$A$7:$N$163,11,FALSE),0)</f>
        <v>0</v>
      </c>
      <c r="L144" s="10">
        <f>IFERROR(VLOOKUP(A144,'Centre DW11'!$A$7:$N$161,12,FALSE),0)+
IFERROR(VLOOKUP(A144,'Centre WP11'!$A$7:$N$160,12,FALSE),0)+
IFERROR(VLOOKUP(A144,'Centre WR11'!$A$7:$N$160,12,FALSE),0)+
IFERROR(VLOOKUP(A144,'Centre WV11'!$A$7:$N$163,12,FALSE),0)</f>
        <v>0</v>
      </c>
      <c r="M144" s="10">
        <f>IFERROR(VLOOKUP(A144,'Centre DW11'!$A$7:$N$161,13,FALSE),0)+
IFERROR(VLOOKUP(A144,'Centre WP11'!$A$7:$N$160,13,FALSE),0)+
IFERROR(VLOOKUP(A144,'Centre WR11'!$A$7:$N$160,13,FALSE),0)+
IFERROR(VLOOKUP(A144,'Centre WV11'!$A$7:$N$163,13,FALSE),0)</f>
        <v>0</v>
      </c>
      <c r="N144" s="10">
        <f>IFERROR(VLOOKUP(A144,'Centre DW11'!$A$7:$N$161,14,FALSE),0)+
IFERROR(VLOOKUP(A144,'Centre WP11'!$A$7:$N$160,14,FALSE),0)+
IFERROR(VLOOKUP(A144,'Centre WR11'!$A$7:$N$160,14,FALSE),0)+
IFERROR(VLOOKUP(A144,'Centre WV11'!$A$7:$N$163,14,FALSE),0)</f>
        <v>0</v>
      </c>
    </row>
    <row r="145" spans="1:14" hidden="1" outlineLevel="1" x14ac:dyDescent="0.2">
      <c r="A145" s="9" t="s">
        <v>361</v>
      </c>
      <c r="B145" s="1" t="s">
        <v>362</v>
      </c>
      <c r="C145" s="10">
        <f>IFERROR(VLOOKUP(A145,'Centre DW11'!$A$7:$N$161,3,FALSE),0)+
IFERROR(VLOOKUP(A145,'Centre WP11'!$A$7:$N$160,3,FALSE),0)+
IFERROR(VLOOKUP(A145,'Centre WR11'!$A$7:$N$160,3,FALSE),0)+
IFERROR(VLOOKUP(A145,'Centre WV11'!$A$7:$N$163,3,FALSE),0)</f>
        <v>0</v>
      </c>
      <c r="D145" s="10">
        <f>IFERROR(VLOOKUP(A145,'Centre DW11'!$A$7:$N$161,4,FALSE),0)+
IFERROR(VLOOKUP(A145,'Centre WP11'!$A$7:$N$160,4,FALSE),0)+
IFERROR(VLOOKUP(A145,'Centre WR11'!$A$7:$N$160,4,FALSE),0)+
IFERROR(VLOOKUP(A145,'Centre WV11'!$A$7:$N$163,4,FALSE),0)</f>
        <v>0</v>
      </c>
      <c r="E145" s="10">
        <f>IFERROR(VLOOKUP(A145,'Centre DW11'!$A$7:$N$161,5,FALSE),0)+
IFERROR(VLOOKUP(A145,'Centre WP11'!$A$7:$N$160,5,FALSE),0)+
IFERROR(VLOOKUP(A145,'Centre WR11'!$A$7:$N$160,5,FALSE),0)+
IFERROR(VLOOKUP(A145,'Centre WV11'!$A$7:$N$163,5,FALSE),0)</f>
        <v>0</v>
      </c>
      <c r="F145" s="10">
        <f>IFERROR(VLOOKUP(A145,'Centre DW11'!$A$7:$N$161,6,FALSE),0)+
IFERROR(VLOOKUP(A145,'Centre WP11'!$A$7:$N$160,6,FALSE),0)+
IFERROR(VLOOKUP(A145,'Centre WR11'!$A$7:$N$160,6,FALSE),0)+
IFERROR(VLOOKUP(A145,'Centre WV11'!$A$7:$N$163,6,FALSE),0)</f>
        <v>0</v>
      </c>
      <c r="G145" s="10">
        <f>IFERROR(VLOOKUP(A145,'Centre DW11'!$A$7:$N$161,7,FALSE),0)+
IFERROR(VLOOKUP(A145,'Centre WP11'!$A$7:$N$160,7,FALSE),0)+
IFERROR(VLOOKUP(A145,'Centre WR11'!$A$7:$N$160,7,FALSE),0)+
IFERROR(VLOOKUP(A145,'Centre WV11'!$A$7:$N$163,7,FALSE),0)</f>
        <v>0</v>
      </c>
      <c r="H145" s="10">
        <f>IFERROR(VLOOKUP(A145,'Centre DW11'!$A$7:$N$161,8,FALSE),0)+
IFERROR(VLOOKUP(A145,'Centre WP11'!$A$7:$N$160,8,FALSE),0)+
IFERROR(VLOOKUP(A145,'Centre WR11'!$A$7:$N$160,8,FALSE),0)+
IFERROR(VLOOKUP(A145,'Centre WV11'!$A$7:$N$163,8,FALSE),0)</f>
        <v>0</v>
      </c>
      <c r="I145" s="10">
        <f>IFERROR(VLOOKUP(A145,'Centre DW11'!$A$7:$N$161,9,FALSE),0)+
IFERROR(VLOOKUP(A145,'Centre WP11'!$A$7:$N$160,9,FALSE),0)+
IFERROR(VLOOKUP(A145,'Centre WR11'!$A$7:$N$160,9,FALSE),0)+
IFERROR(VLOOKUP(A145,'Centre WV11'!$A$7:$N$163,9,FALSE),0)</f>
        <v>0</v>
      </c>
      <c r="J145" s="10">
        <f>IFERROR(VLOOKUP(A145,'Centre DW11'!$A$7:$N$161,10,FALSE),0)+
IFERROR(VLOOKUP(A145,'Centre WP11'!$A$7:$N$160,10,FALSE),0)+
IFERROR(VLOOKUP(A145,'Centre WR11'!$A$7:$N$160,10,FALSE),0)+
IFERROR(VLOOKUP(A145,'Centre WV11'!$A$7:$N$163,10,FALSE),0)</f>
        <v>0</v>
      </c>
      <c r="K145" s="10">
        <f>IFERROR(VLOOKUP(A145,'Centre DW11'!$A$7:$N$161,11,FALSE),0)+
IFERROR(VLOOKUP(A145,'Centre WP11'!$A$7:$N$160,11,FALSE),0)+
IFERROR(VLOOKUP(A145,'Centre WR11'!$A$7:$N$160,11,FALSE),0)+
IFERROR(VLOOKUP(A145,'Centre WV11'!$A$7:$N$163,11,FALSE),0)</f>
        <v>0</v>
      </c>
      <c r="L145" s="10">
        <f>IFERROR(VLOOKUP(A145,'Centre DW11'!$A$7:$N$161,12,FALSE),0)+
IFERROR(VLOOKUP(A145,'Centre WP11'!$A$7:$N$160,12,FALSE),0)+
IFERROR(VLOOKUP(A145,'Centre WR11'!$A$7:$N$160,12,FALSE),0)+
IFERROR(VLOOKUP(A145,'Centre WV11'!$A$7:$N$163,12,FALSE),0)</f>
        <v>0</v>
      </c>
      <c r="M145" s="10">
        <f>IFERROR(VLOOKUP(A145,'Centre DW11'!$A$7:$N$161,13,FALSE),0)+
IFERROR(VLOOKUP(A145,'Centre WP11'!$A$7:$N$160,13,FALSE),0)+
IFERROR(VLOOKUP(A145,'Centre WR11'!$A$7:$N$160,13,FALSE),0)+
IFERROR(VLOOKUP(A145,'Centre WV11'!$A$7:$N$163,13,FALSE),0)</f>
        <v>0</v>
      </c>
      <c r="N145" s="10">
        <f>IFERROR(VLOOKUP(A145,'Centre DW11'!$A$7:$N$161,14,FALSE),0)+
IFERROR(VLOOKUP(A145,'Centre WP11'!$A$7:$N$160,14,FALSE),0)+
IFERROR(VLOOKUP(A145,'Centre WR11'!$A$7:$N$160,14,FALSE),0)+
IFERROR(VLOOKUP(A145,'Centre WV11'!$A$7:$N$163,14,FALSE),0)</f>
        <v>0</v>
      </c>
    </row>
    <row r="146" spans="1:14" collapsed="1" x14ac:dyDescent="0.2">
      <c r="A146" s="48" t="s">
        <v>244</v>
      </c>
      <c r="B146" s="49" t="s">
        <v>245</v>
      </c>
      <c r="C146" s="50">
        <f>IFERROR(VLOOKUP(A146,'Centre DW11'!$A$7:$N$161,3,FALSE),0)+
IFERROR(VLOOKUP(A146,'Centre WP11'!$A$7:$N$160,3,FALSE),0)+
IFERROR(VLOOKUP(A146,'Centre WR11'!$A$7:$N$160,3,FALSE),0)+
IFERROR(VLOOKUP(A146,'Centre WV11'!$A$7:$N$163,3,FALSE),0)</f>
        <v>0</v>
      </c>
      <c r="D146" s="50">
        <f>IFERROR(VLOOKUP(A146,'Centre DW11'!$A$7:$N$161,4,FALSE),0)+
IFERROR(VLOOKUP(A146,'Centre WP11'!$A$7:$N$160,4,FALSE),0)+
IFERROR(VLOOKUP(A146,'Centre WR11'!$A$7:$N$160,4,FALSE),0)+
IFERROR(VLOOKUP(A146,'Centre WV11'!$A$7:$N$163,4,FALSE),0)</f>
        <v>0</v>
      </c>
      <c r="E146" s="50">
        <f>IFERROR(VLOOKUP(A146,'Centre DW11'!$A$7:$N$161,5,FALSE),0)+
IFERROR(VLOOKUP(A146,'Centre WP11'!$A$7:$N$160,5,FALSE),0)+
IFERROR(VLOOKUP(A146,'Centre WR11'!$A$7:$N$160,5,FALSE),0)+
IFERROR(VLOOKUP(A146,'Centre WV11'!$A$7:$N$163,5,FALSE),0)</f>
        <v>0</v>
      </c>
      <c r="F146" s="50">
        <f>IFERROR(VLOOKUP(A146,'Centre DW11'!$A$7:$N$161,6,FALSE),0)+
IFERROR(VLOOKUP(A146,'Centre WP11'!$A$7:$N$160,6,FALSE),0)+
IFERROR(VLOOKUP(A146,'Centre WR11'!$A$7:$N$160,6,FALSE),0)+
IFERROR(VLOOKUP(A146,'Centre WV11'!$A$7:$N$163,6,FALSE),0)</f>
        <v>0</v>
      </c>
      <c r="G146" s="50">
        <f>IFERROR(VLOOKUP(A146,'Centre DW11'!$A$7:$N$161,7,FALSE),0)+
IFERROR(VLOOKUP(A146,'Centre WP11'!$A$7:$N$160,7,FALSE),0)+
IFERROR(VLOOKUP(A146,'Centre WR11'!$A$7:$N$160,7,FALSE),0)+
IFERROR(VLOOKUP(A146,'Centre WV11'!$A$7:$N$163,7,FALSE),0)</f>
        <v>0</v>
      </c>
      <c r="H146" s="50">
        <f>IFERROR(VLOOKUP(A146,'Centre DW11'!$A$7:$N$161,8,FALSE),0)+
IFERROR(VLOOKUP(A146,'Centre WP11'!$A$7:$N$160,8,FALSE),0)+
IFERROR(VLOOKUP(A146,'Centre WR11'!$A$7:$N$160,8,FALSE),0)+
IFERROR(VLOOKUP(A146,'Centre WV11'!$A$7:$N$163,8,FALSE),0)</f>
        <v>0</v>
      </c>
      <c r="I146" s="50">
        <f>IFERROR(VLOOKUP(A146,'Centre DW11'!$A$7:$N$161,9,FALSE),0)+
IFERROR(VLOOKUP(A146,'Centre WP11'!$A$7:$N$160,9,FALSE),0)+
IFERROR(VLOOKUP(A146,'Centre WR11'!$A$7:$N$160,9,FALSE),0)+
IFERROR(VLOOKUP(A146,'Centre WV11'!$A$7:$N$163,9,FALSE),0)</f>
        <v>0</v>
      </c>
      <c r="J146" s="50">
        <f>IFERROR(VLOOKUP(A146,'Centre DW11'!$A$7:$N$161,10,FALSE),0)+
IFERROR(VLOOKUP(A146,'Centre WP11'!$A$7:$N$160,10,FALSE),0)+
IFERROR(VLOOKUP(A146,'Centre WR11'!$A$7:$N$160,10,FALSE),0)+
IFERROR(VLOOKUP(A146,'Centre WV11'!$A$7:$N$163,10,FALSE),0)</f>
        <v>0</v>
      </c>
      <c r="K146" s="50">
        <f>IFERROR(VLOOKUP(A146,'Centre DW11'!$A$7:$N$161,11,FALSE),0)+
IFERROR(VLOOKUP(A146,'Centre WP11'!$A$7:$N$160,11,FALSE),0)+
IFERROR(VLOOKUP(A146,'Centre WR11'!$A$7:$N$160,11,FALSE),0)+
IFERROR(VLOOKUP(A146,'Centre WV11'!$A$7:$N$163,11,FALSE),0)</f>
        <v>0</v>
      </c>
      <c r="L146" s="50">
        <f>IFERROR(VLOOKUP(A146,'Centre DW11'!$A$7:$N$161,12,FALSE),0)+
IFERROR(VLOOKUP(A146,'Centre WP11'!$A$7:$N$160,12,FALSE),0)+
IFERROR(VLOOKUP(A146,'Centre WR11'!$A$7:$N$160,12,FALSE),0)+
IFERROR(VLOOKUP(A146,'Centre WV11'!$A$7:$N$163,12,FALSE),0)</f>
        <v>0</v>
      </c>
      <c r="M146" s="50">
        <f>IFERROR(VLOOKUP(A146,'Centre DW11'!$A$7:$N$161,13,FALSE),0)+
IFERROR(VLOOKUP(A146,'Centre WP11'!$A$7:$N$160,13,FALSE),0)+
IFERROR(VLOOKUP(A146,'Centre WR11'!$A$7:$N$160,13,FALSE),0)+
IFERROR(VLOOKUP(A146,'Centre WV11'!$A$7:$N$163,13,FALSE),0)</f>
        <v>0</v>
      </c>
      <c r="N146" s="50">
        <f>IFERROR(VLOOKUP(A146,'Centre DW11'!$A$7:$N$161,14,FALSE),0)+
IFERROR(VLOOKUP(A146,'Centre WP11'!$A$7:$N$160,14,FALSE),0)+
IFERROR(VLOOKUP(A146,'Centre WR11'!$A$7:$N$160,14,FALSE),0)+
IFERROR(VLOOKUP(A146,'Centre WV11'!$A$7:$N$163,14,FALSE),0)</f>
        <v>0</v>
      </c>
    </row>
    <row r="147" spans="1:14" x14ac:dyDescent="0.2">
      <c r="A147" s="51"/>
      <c r="B147" s="51" t="s">
        <v>246</v>
      </c>
      <c r="C147" s="19">
        <f t="shared" ref="C147:N147" si="27">+C140-(C141+C146)</f>
        <v>81.78</v>
      </c>
      <c r="D147" s="19">
        <f t="shared" si="27"/>
        <v>105.48</v>
      </c>
      <c r="E147" s="19">
        <f t="shared" si="27"/>
        <v>103.48000000000002</v>
      </c>
      <c r="F147" s="19">
        <f t="shared" si="27"/>
        <v>37.580000000000013</v>
      </c>
      <c r="G147" s="19">
        <f t="shared" si="27"/>
        <v>68.98</v>
      </c>
      <c r="H147" s="19">
        <f t="shared" si="27"/>
        <v>62.979999999999954</v>
      </c>
      <c r="I147" s="19">
        <f t="shared" si="27"/>
        <v>44.08</v>
      </c>
      <c r="J147" s="19">
        <f t="shared" si="27"/>
        <v>101.68</v>
      </c>
      <c r="K147" s="19">
        <f t="shared" si="27"/>
        <v>132.58000000000001</v>
      </c>
      <c r="L147" s="19">
        <f t="shared" si="27"/>
        <v>79.779999999999973</v>
      </c>
      <c r="M147" s="19">
        <f t="shared" si="27"/>
        <v>72.78</v>
      </c>
      <c r="N147" s="19">
        <f t="shared" si="27"/>
        <v>100.68</v>
      </c>
    </row>
    <row r="148" spans="1:14" x14ac:dyDescent="0.2">
      <c r="A148" s="9" t="s">
        <v>74</v>
      </c>
      <c r="B148" s="1" t="s">
        <v>74</v>
      </c>
      <c r="C148" s="13" t="s">
        <v>74</v>
      </c>
      <c r="D148" s="13" t="s">
        <v>74</v>
      </c>
      <c r="E148" s="13" t="s">
        <v>74</v>
      </c>
      <c r="F148" s="13" t="s">
        <v>74</v>
      </c>
      <c r="G148" s="13" t="s">
        <v>74</v>
      </c>
      <c r="H148" s="13" t="s">
        <v>74</v>
      </c>
      <c r="I148" s="13" t="s">
        <v>74</v>
      </c>
      <c r="J148" s="13" t="s">
        <v>74</v>
      </c>
      <c r="K148" s="13" t="s">
        <v>74</v>
      </c>
      <c r="L148" s="13" t="s">
        <v>74</v>
      </c>
      <c r="M148" s="13" t="s">
        <v>74</v>
      </c>
      <c r="N148" s="13" t="s">
        <v>74</v>
      </c>
    </row>
    <row r="149" spans="1:14" x14ac:dyDescent="0.2">
      <c r="A149" s="12"/>
      <c r="B149" s="12" t="s">
        <v>247</v>
      </c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</row>
    <row r="150" spans="1:14" x14ac:dyDescent="0.2">
      <c r="A150" s="9" t="s">
        <v>248</v>
      </c>
      <c r="B150" s="1" t="s">
        <v>249</v>
      </c>
      <c r="C150" s="13">
        <v>25</v>
      </c>
      <c r="D150" s="13">
        <v>25</v>
      </c>
      <c r="E150" s="13">
        <v>22</v>
      </c>
      <c r="F150" s="13">
        <v>21</v>
      </c>
      <c r="G150" s="13">
        <v>22</v>
      </c>
      <c r="H150" s="13">
        <v>21</v>
      </c>
      <c r="I150" s="13">
        <v>20</v>
      </c>
      <c r="J150" s="13">
        <v>22</v>
      </c>
      <c r="K150" s="13">
        <v>21</v>
      </c>
      <c r="L150" s="13">
        <v>22</v>
      </c>
      <c r="M150" s="13">
        <v>21</v>
      </c>
      <c r="N150" s="13">
        <v>20</v>
      </c>
    </row>
    <row r="151" spans="1:14" hidden="1" outlineLevel="1" x14ac:dyDescent="0.2">
      <c r="A151" s="9" t="s">
        <v>250</v>
      </c>
      <c r="B151" s="1" t="s">
        <v>251</v>
      </c>
      <c r="C151" s="13">
        <v>25</v>
      </c>
      <c r="D151" s="13">
        <v>25</v>
      </c>
      <c r="E151" s="13">
        <v>22</v>
      </c>
      <c r="F151" s="13">
        <v>21</v>
      </c>
      <c r="G151" s="13">
        <v>22</v>
      </c>
      <c r="H151" s="13">
        <v>21</v>
      </c>
      <c r="I151" s="13">
        <v>20</v>
      </c>
      <c r="J151" s="13">
        <v>22</v>
      </c>
      <c r="K151" s="13">
        <v>21</v>
      </c>
      <c r="L151" s="13">
        <v>22</v>
      </c>
      <c r="M151" s="13">
        <v>21</v>
      </c>
      <c r="N151" s="13">
        <v>20</v>
      </c>
    </row>
    <row r="152" spans="1:14" collapsed="1" x14ac:dyDescent="0.2">
      <c r="A152" s="9" t="s">
        <v>252</v>
      </c>
      <c r="B152" s="1" t="s">
        <v>253</v>
      </c>
      <c r="C152" s="13">
        <v>32.4</v>
      </c>
      <c r="D152" s="13">
        <v>30.5</v>
      </c>
      <c r="E152" s="13">
        <v>28.6</v>
      </c>
      <c r="F152" s="13">
        <v>27.6</v>
      </c>
      <c r="G152" s="13">
        <v>26.6</v>
      </c>
      <c r="H152" s="13">
        <v>26.1</v>
      </c>
      <c r="I152" s="13">
        <v>24.6</v>
      </c>
      <c r="J152" s="13">
        <v>26.6</v>
      </c>
      <c r="K152" s="13">
        <v>26.1</v>
      </c>
      <c r="L152" s="13">
        <v>26.6</v>
      </c>
      <c r="M152" s="13">
        <v>26.1</v>
      </c>
      <c r="N152" s="13">
        <v>24.6</v>
      </c>
    </row>
    <row r="153" spans="1:14" hidden="1" outlineLevel="1" x14ac:dyDescent="0.2">
      <c r="A153" s="9" t="s">
        <v>254</v>
      </c>
      <c r="B153" s="1" t="s">
        <v>255</v>
      </c>
      <c r="C153" s="13">
        <v>32.4</v>
      </c>
      <c r="D153" s="13">
        <v>30.5</v>
      </c>
      <c r="E153" s="13">
        <v>28.6</v>
      </c>
      <c r="F153" s="13">
        <v>27.6</v>
      </c>
      <c r="G153" s="13">
        <v>26.6</v>
      </c>
      <c r="H153" s="13">
        <v>26.1</v>
      </c>
      <c r="I153" s="13">
        <v>24.6</v>
      </c>
      <c r="J153" s="13">
        <v>26.6</v>
      </c>
      <c r="K153" s="13">
        <v>26.1</v>
      </c>
      <c r="L153" s="13">
        <v>26.6</v>
      </c>
      <c r="M153" s="13">
        <v>26.1</v>
      </c>
      <c r="N153" s="13">
        <v>24.6</v>
      </c>
    </row>
    <row r="154" spans="1:14" collapsed="1" x14ac:dyDescent="0.2">
      <c r="A154" s="9" t="s">
        <v>256</v>
      </c>
      <c r="B154" s="1" t="s">
        <v>257</v>
      </c>
      <c r="C154" s="13">
        <v>0.9</v>
      </c>
      <c r="D154" s="13">
        <v>0.9</v>
      </c>
      <c r="E154" s="13">
        <v>0.9</v>
      </c>
      <c r="F154" s="13">
        <v>0.3</v>
      </c>
      <c r="G154" s="13">
        <v>0.3</v>
      </c>
      <c r="H154" s="13">
        <v>0.3</v>
      </c>
      <c r="I154" s="13">
        <v>0</v>
      </c>
      <c r="J154" s="13">
        <v>0.3</v>
      </c>
      <c r="K154" s="13">
        <v>0.3</v>
      </c>
      <c r="L154" s="13">
        <v>0.3</v>
      </c>
      <c r="M154" s="13">
        <v>0.3</v>
      </c>
      <c r="N154" s="13">
        <v>0</v>
      </c>
    </row>
    <row r="155" spans="1:14" hidden="1" outlineLevel="1" x14ac:dyDescent="0.2">
      <c r="A155" s="9" t="s">
        <v>258</v>
      </c>
      <c r="B155" s="1" t="s">
        <v>259</v>
      </c>
      <c r="C155" s="13">
        <v>0.9</v>
      </c>
      <c r="D155" s="13">
        <v>0.9</v>
      </c>
      <c r="E155" s="13">
        <v>0.9</v>
      </c>
      <c r="F155" s="13">
        <v>0.3</v>
      </c>
      <c r="G155" s="13">
        <v>0.3</v>
      </c>
      <c r="H155" s="13">
        <v>0.3</v>
      </c>
      <c r="I155" s="13">
        <v>0</v>
      </c>
      <c r="J155" s="13">
        <v>0.3</v>
      </c>
      <c r="K155" s="13">
        <v>0.3</v>
      </c>
      <c r="L155" s="13">
        <v>0.3</v>
      </c>
      <c r="M155" s="13">
        <v>0.3</v>
      </c>
      <c r="N155" s="13">
        <v>0</v>
      </c>
    </row>
    <row r="156" spans="1:14" hidden="1" outlineLevel="1" x14ac:dyDescent="0.2">
      <c r="A156" s="9" t="s">
        <v>363</v>
      </c>
      <c r="B156" s="1" t="s">
        <v>259</v>
      </c>
      <c r="C156" s="13">
        <v>0</v>
      </c>
      <c r="D156" s="13">
        <v>0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collapsed="1" x14ac:dyDescent="0.2">
      <c r="A157" s="9" t="s">
        <v>260</v>
      </c>
      <c r="B157" s="1" t="s">
        <v>261</v>
      </c>
      <c r="C157" s="13">
        <v>24.3</v>
      </c>
      <c r="D157" s="13">
        <v>23.4</v>
      </c>
      <c r="E157" s="13">
        <v>21.5</v>
      </c>
      <c r="F157" s="13">
        <v>21.3</v>
      </c>
      <c r="G157" s="13">
        <v>22.3</v>
      </c>
      <c r="H157" s="13">
        <v>21.7</v>
      </c>
      <c r="I157" s="13">
        <v>20.6</v>
      </c>
      <c r="J157" s="13">
        <v>22.3</v>
      </c>
      <c r="K157" s="13">
        <v>21.7</v>
      </c>
      <c r="L157" s="13">
        <v>22.3</v>
      </c>
      <c r="M157" s="13">
        <v>21.7</v>
      </c>
      <c r="N157" s="13">
        <v>20.6</v>
      </c>
    </row>
    <row r="158" spans="1:14" hidden="1" outlineLevel="1" x14ac:dyDescent="0.2">
      <c r="A158" s="9" t="s">
        <v>262</v>
      </c>
      <c r="B158" s="1" t="s">
        <v>263</v>
      </c>
      <c r="C158" s="13">
        <v>24.3</v>
      </c>
      <c r="D158" s="13">
        <v>23.4</v>
      </c>
      <c r="E158" s="13">
        <v>21.5</v>
      </c>
      <c r="F158" s="13">
        <v>21.3</v>
      </c>
      <c r="G158" s="13">
        <v>22.3</v>
      </c>
      <c r="H158" s="13">
        <v>21.7</v>
      </c>
      <c r="I158" s="13">
        <v>20.6</v>
      </c>
      <c r="J158" s="13">
        <v>22.3</v>
      </c>
      <c r="K158" s="13">
        <v>21.7</v>
      </c>
      <c r="L158" s="13">
        <v>22.3</v>
      </c>
      <c r="M158" s="13">
        <v>21.7</v>
      </c>
      <c r="N158" s="13">
        <v>20.6</v>
      </c>
    </row>
    <row r="159" spans="1:14" hidden="1" outlineLevel="1" x14ac:dyDescent="0.2">
      <c r="A159" s="9" t="s">
        <v>364</v>
      </c>
      <c r="B159" s="1" t="s">
        <v>263</v>
      </c>
      <c r="C159" s="13">
        <v>0</v>
      </c>
      <c r="D159" s="13">
        <v>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collapsed="1" x14ac:dyDescent="0.2">
      <c r="A160" s="9" t="s">
        <v>264</v>
      </c>
      <c r="B160" s="1" t="s">
        <v>265</v>
      </c>
      <c r="C160" s="13">
        <v>7.2</v>
      </c>
      <c r="D160" s="13">
        <v>6.2</v>
      </c>
      <c r="E160" s="13">
        <v>6.2</v>
      </c>
      <c r="F160" s="13">
        <v>6</v>
      </c>
      <c r="G160" s="13">
        <v>4</v>
      </c>
      <c r="H160" s="13">
        <v>4</v>
      </c>
      <c r="I160" s="13">
        <v>4</v>
      </c>
      <c r="J160" s="13">
        <v>4</v>
      </c>
      <c r="K160" s="13">
        <v>4</v>
      </c>
      <c r="L160" s="13">
        <v>4</v>
      </c>
      <c r="M160" s="13">
        <v>4</v>
      </c>
      <c r="N160" s="13">
        <v>4</v>
      </c>
    </row>
    <row r="161" spans="1:14" hidden="1" outlineLevel="1" x14ac:dyDescent="0.2">
      <c r="A161" s="9" t="s">
        <v>266</v>
      </c>
      <c r="B161" s="1" t="s">
        <v>267</v>
      </c>
      <c r="C161" s="13">
        <v>7.2</v>
      </c>
      <c r="D161" s="13">
        <v>6.2</v>
      </c>
      <c r="E161" s="13">
        <v>6.2</v>
      </c>
      <c r="F161" s="13">
        <v>6</v>
      </c>
      <c r="G161" s="13">
        <v>4</v>
      </c>
      <c r="H161" s="13">
        <v>4</v>
      </c>
      <c r="I161" s="13">
        <v>4</v>
      </c>
      <c r="J161" s="13">
        <v>4</v>
      </c>
      <c r="K161" s="13">
        <v>4</v>
      </c>
      <c r="L161" s="13">
        <v>4</v>
      </c>
      <c r="M161" s="13">
        <v>4</v>
      </c>
      <c r="N161" s="13">
        <v>4</v>
      </c>
    </row>
    <row r="162" spans="1:14" hidden="1" outlineLevel="1" x14ac:dyDescent="0.2">
      <c r="A162" s="9" t="s">
        <v>365</v>
      </c>
      <c r="B162" s="1" t="s">
        <v>366</v>
      </c>
      <c r="C162" s="13">
        <v>0</v>
      </c>
      <c r="D162" s="13">
        <v>0</v>
      </c>
      <c r="E162" s="13">
        <v>0</v>
      </c>
      <c r="F162" s="13">
        <v>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collapsed="1" x14ac:dyDescent="0.2">
      <c r="A163" s="9" t="s">
        <v>268</v>
      </c>
      <c r="B163" s="1" t="s">
        <v>269</v>
      </c>
      <c r="C163" s="13">
        <v>0</v>
      </c>
      <c r="D163" s="13">
        <v>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2">
      <c r="A164" s="9" t="s">
        <v>270</v>
      </c>
      <c r="B164" s="1" t="s">
        <v>271</v>
      </c>
      <c r="C164" s="13">
        <v>0</v>
      </c>
      <c r="D164" s="13">
        <v>0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2">
      <c r="A165" s="9" t="s">
        <v>272</v>
      </c>
      <c r="B165" s="1" t="s">
        <v>273</v>
      </c>
      <c r="C165" s="13">
        <v>0</v>
      </c>
      <c r="D165" s="13">
        <v>0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2">
      <c r="A166" s="9" t="s">
        <v>274</v>
      </c>
      <c r="B166" s="1" t="s">
        <v>275</v>
      </c>
      <c r="C166" s="13">
        <v>0</v>
      </c>
      <c r="D166" s="13">
        <v>0</v>
      </c>
      <c r="E166" s="13">
        <v>0</v>
      </c>
      <c r="F166" s="13">
        <v>0</v>
      </c>
      <c r="G166" s="13">
        <v>0</v>
      </c>
      <c r="H166" s="13">
        <v>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2">
      <c r="A167" s="9" t="s">
        <v>276</v>
      </c>
      <c r="B167" s="1" t="s">
        <v>277</v>
      </c>
      <c r="C167" s="17">
        <v>2710</v>
      </c>
      <c r="D167" s="17">
        <v>2710</v>
      </c>
      <c r="E167" s="17">
        <v>2710</v>
      </c>
      <c r="F167" s="17">
        <v>2450</v>
      </c>
      <c r="G167" s="17">
        <v>2450</v>
      </c>
      <c r="H167" s="17">
        <v>2450</v>
      </c>
      <c r="I167" s="17">
        <v>2450</v>
      </c>
      <c r="J167" s="17">
        <v>2450</v>
      </c>
      <c r="K167" s="17">
        <v>2450</v>
      </c>
      <c r="L167" s="17">
        <v>2450</v>
      </c>
      <c r="M167" s="17">
        <v>2450</v>
      </c>
      <c r="N167" s="17">
        <v>2450</v>
      </c>
    </row>
    <row r="168" spans="1:14" hidden="1" outlineLevel="1" x14ac:dyDescent="0.2">
      <c r="A168" s="9" t="s">
        <v>278</v>
      </c>
      <c r="B168" s="1" t="s">
        <v>279</v>
      </c>
      <c r="C168" s="17">
        <v>2710</v>
      </c>
      <c r="D168" s="17">
        <v>2710</v>
      </c>
      <c r="E168" s="17">
        <v>2710</v>
      </c>
      <c r="F168" s="17">
        <v>2450</v>
      </c>
      <c r="G168" s="17">
        <v>2450</v>
      </c>
      <c r="H168" s="17">
        <v>2450</v>
      </c>
      <c r="I168" s="17">
        <v>2450</v>
      </c>
      <c r="J168" s="17">
        <v>2450</v>
      </c>
      <c r="K168" s="17">
        <v>2450</v>
      </c>
      <c r="L168" s="17">
        <v>2450</v>
      </c>
      <c r="M168" s="17">
        <v>2450</v>
      </c>
      <c r="N168" s="17">
        <v>2450</v>
      </c>
    </row>
    <row r="169" spans="1:14" collapsed="1" x14ac:dyDescent="0.2">
      <c r="A169" s="9" t="s">
        <v>280</v>
      </c>
      <c r="B169" s="1" t="s">
        <v>281</v>
      </c>
      <c r="C169" s="17">
        <v>2710</v>
      </c>
      <c r="D169" s="17">
        <v>2710</v>
      </c>
      <c r="E169" s="17">
        <v>2710</v>
      </c>
      <c r="F169" s="17">
        <v>2450</v>
      </c>
      <c r="G169" s="17">
        <v>2450</v>
      </c>
      <c r="H169" s="17">
        <v>2450</v>
      </c>
      <c r="I169" s="17">
        <v>2450</v>
      </c>
      <c r="J169" s="17">
        <v>2450</v>
      </c>
      <c r="K169" s="17">
        <v>2450</v>
      </c>
      <c r="L169" s="17">
        <v>2450</v>
      </c>
      <c r="M169" s="17">
        <v>2450</v>
      </c>
      <c r="N169" s="17">
        <v>2450</v>
      </c>
    </row>
    <row r="170" spans="1:14" hidden="1" outlineLevel="1" x14ac:dyDescent="0.2">
      <c r="A170" s="9" t="s">
        <v>282</v>
      </c>
      <c r="B170" s="1" t="s">
        <v>283</v>
      </c>
      <c r="C170" s="17">
        <v>2710</v>
      </c>
      <c r="D170" s="17">
        <v>2710</v>
      </c>
      <c r="E170" s="17">
        <v>2710</v>
      </c>
      <c r="F170" s="17">
        <v>2450</v>
      </c>
      <c r="G170" s="17">
        <v>2450</v>
      </c>
      <c r="H170" s="17">
        <v>2450</v>
      </c>
      <c r="I170" s="17">
        <v>2450</v>
      </c>
      <c r="J170" s="17">
        <v>2450</v>
      </c>
      <c r="K170" s="17">
        <v>2450</v>
      </c>
      <c r="L170" s="17">
        <v>2450</v>
      </c>
      <c r="M170" s="17">
        <v>2450</v>
      </c>
      <c r="N170" s="17">
        <v>2450</v>
      </c>
    </row>
    <row r="171" spans="1:14" collapsed="1" x14ac:dyDescent="0.2">
      <c r="A171" s="9" t="s">
        <v>284</v>
      </c>
      <c r="B171" s="1" t="s">
        <v>285</v>
      </c>
      <c r="C171" s="13">
        <v>0</v>
      </c>
      <c r="D171" s="13">
        <v>0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2">
      <c r="A172" s="9" t="s">
        <v>288</v>
      </c>
      <c r="B172" s="1" t="s">
        <v>289</v>
      </c>
      <c r="C172" s="13">
        <v>0</v>
      </c>
      <c r="D172" s="13">
        <v>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2">
      <c r="A173" s="3"/>
      <c r="B173" s="3" t="s">
        <v>290</v>
      </c>
      <c r="C173" s="15">
        <v>7.2</v>
      </c>
      <c r="D173" s="15">
        <v>7.4</v>
      </c>
      <c r="E173" s="15">
        <v>8.5</v>
      </c>
      <c r="F173" s="15">
        <v>8.9</v>
      </c>
      <c r="G173" s="15">
        <v>9.3000000000000007</v>
      </c>
      <c r="H173" s="15">
        <v>9</v>
      </c>
      <c r="I173" s="15">
        <v>9.6999999999999993</v>
      </c>
      <c r="J173" s="15">
        <v>9.3000000000000007</v>
      </c>
      <c r="K173" s="15">
        <v>9</v>
      </c>
      <c r="L173" s="15">
        <v>9.3000000000000007</v>
      </c>
      <c r="M173" s="15">
        <v>9</v>
      </c>
      <c r="N173" s="15">
        <v>9.6999999999999993</v>
      </c>
    </row>
    <row r="174" spans="1:14" x14ac:dyDescent="0.2">
      <c r="A174" s="3"/>
      <c r="B174" s="3" t="s">
        <v>291</v>
      </c>
      <c r="C174" s="15" t="s">
        <v>292</v>
      </c>
      <c r="D174" s="15" t="s">
        <v>292</v>
      </c>
      <c r="E174" s="15" t="s">
        <v>292</v>
      </c>
      <c r="F174" s="15" t="s">
        <v>292</v>
      </c>
      <c r="G174" s="15" t="s">
        <v>292</v>
      </c>
      <c r="H174" s="15" t="s">
        <v>292</v>
      </c>
      <c r="I174" s="15" t="s">
        <v>292</v>
      </c>
      <c r="J174" s="15" t="s">
        <v>292</v>
      </c>
      <c r="K174" s="15" t="s">
        <v>292</v>
      </c>
      <c r="L174" s="15" t="s">
        <v>292</v>
      </c>
      <c r="M174" s="15" t="s">
        <v>292</v>
      </c>
      <c r="N174" s="15" t="s">
        <v>292</v>
      </c>
    </row>
    <row r="175" spans="1:14" x14ac:dyDescent="0.2">
      <c r="A175" s="3"/>
      <c r="B175" s="3" t="s">
        <v>293</v>
      </c>
      <c r="C175" s="15" t="s">
        <v>292</v>
      </c>
      <c r="D175" s="15" t="s">
        <v>292</v>
      </c>
      <c r="E175" s="15" t="s">
        <v>292</v>
      </c>
      <c r="F175" s="15" t="s">
        <v>292</v>
      </c>
      <c r="G175" s="15" t="s">
        <v>292</v>
      </c>
      <c r="H175" s="15" t="s">
        <v>292</v>
      </c>
      <c r="I175" s="15" t="s">
        <v>292</v>
      </c>
      <c r="J175" s="15" t="s">
        <v>292</v>
      </c>
      <c r="K175" s="15" t="s">
        <v>292</v>
      </c>
      <c r="L175" s="15" t="s">
        <v>292</v>
      </c>
      <c r="M175" s="15" t="s">
        <v>292</v>
      </c>
      <c r="N175" s="15" t="s">
        <v>292</v>
      </c>
    </row>
    <row r="176" spans="1:14" x14ac:dyDescent="0.2">
      <c r="A176" s="3"/>
      <c r="B176" s="3" t="s">
        <v>294</v>
      </c>
      <c r="C176" s="15">
        <v>0</v>
      </c>
      <c r="D176" s="15">
        <v>0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</row>
    <row r="177" spans="1:14" x14ac:dyDescent="0.2">
      <c r="A177" s="12"/>
      <c r="B177" s="12" t="s">
        <v>295</v>
      </c>
      <c r="C177" s="14" t="s">
        <v>292</v>
      </c>
      <c r="D177" s="14" t="s">
        <v>292</v>
      </c>
      <c r="E177" s="14" t="s">
        <v>292</v>
      </c>
      <c r="F177" s="14" t="s">
        <v>292</v>
      </c>
      <c r="G177" s="14" t="s">
        <v>292</v>
      </c>
      <c r="H177" s="14" t="s">
        <v>292</v>
      </c>
      <c r="I177" s="14" t="s">
        <v>292</v>
      </c>
      <c r="J177" s="14" t="s">
        <v>292</v>
      </c>
      <c r="K177" s="14" t="s">
        <v>292</v>
      </c>
      <c r="L177" s="14" t="s">
        <v>292</v>
      </c>
      <c r="M177" s="14" t="s">
        <v>292</v>
      </c>
      <c r="N177" s="14" t="s">
        <v>292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2CBE-0BB8-4BA3-9E65-16FC9F401554}">
  <sheetPr codeName="Hoja49">
    <tabColor rgb="FF00B0F0"/>
  </sheetPr>
  <dimension ref="A1:N78"/>
  <sheetViews>
    <sheetView zoomScale="85" zoomScaleNormal="85" workbookViewId="0">
      <pane ySplit="6" topLeftCell="A31" activePane="bottomLeft" state="frozen"/>
      <selection activeCell="I54" sqref="I54"/>
      <selection pane="bottomLeft" activeCell="C51" sqref="C51:N51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381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24">
        <f t="shared" ref="C7:I7" si="0">+C8</f>
        <v>2</v>
      </c>
      <c r="D7" s="24">
        <f t="shared" si="0"/>
        <v>3</v>
      </c>
      <c r="E7" s="24">
        <f t="shared" si="0"/>
        <v>3</v>
      </c>
      <c r="F7" s="24">
        <f t="shared" si="0"/>
        <v>3</v>
      </c>
      <c r="G7" s="24">
        <f t="shared" si="0"/>
        <v>3</v>
      </c>
      <c r="H7" s="24">
        <f t="shared" si="0"/>
        <v>4</v>
      </c>
      <c r="I7" s="24">
        <f t="shared" si="0"/>
        <v>3</v>
      </c>
      <c r="J7" s="24">
        <f>+J8</f>
        <v>3</v>
      </c>
      <c r="K7" s="24">
        <f t="shared" ref="K7:N7" si="1">+K8</f>
        <v>4</v>
      </c>
      <c r="L7" s="24">
        <f t="shared" si="1"/>
        <v>3</v>
      </c>
      <c r="M7" s="24">
        <f t="shared" si="1"/>
        <v>3</v>
      </c>
      <c r="N7" s="24">
        <f t="shared" si="1"/>
        <v>2</v>
      </c>
    </row>
    <row r="8" spans="1:14" outlineLevel="1" x14ac:dyDescent="0.2">
      <c r="A8" s="9" t="s">
        <v>27</v>
      </c>
      <c r="B8" s="1" t="s">
        <v>28</v>
      </c>
      <c r="C8" s="10">
        <v>2</v>
      </c>
      <c r="D8" s="10">
        <v>3</v>
      </c>
      <c r="E8" s="10">
        <v>3</v>
      </c>
      <c r="F8" s="10">
        <v>3</v>
      </c>
      <c r="G8" s="10">
        <v>3</v>
      </c>
      <c r="H8" s="10">
        <v>4</v>
      </c>
      <c r="I8" s="10">
        <v>3</v>
      </c>
      <c r="J8" s="10">
        <v>3</v>
      </c>
      <c r="K8" s="10">
        <v>4</v>
      </c>
      <c r="L8" s="10">
        <v>3</v>
      </c>
      <c r="M8" s="10">
        <v>3</v>
      </c>
      <c r="N8" s="10">
        <v>2</v>
      </c>
    </row>
    <row r="9" spans="1:14" x14ac:dyDescent="0.2">
      <c r="A9" s="48" t="s">
        <v>37</v>
      </c>
      <c r="B9" s="49" t="s">
        <v>38</v>
      </c>
      <c r="C9" s="24">
        <v>0</v>
      </c>
      <c r="D9" s="24">
        <v>0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K9" s="24">
        <v>0</v>
      </c>
      <c r="L9" s="24">
        <v>0</v>
      </c>
      <c r="M9" s="24">
        <v>0</v>
      </c>
      <c r="N9" s="24">
        <v>0</v>
      </c>
    </row>
    <row r="10" spans="1:14" x14ac:dyDescent="0.2">
      <c r="A10" s="48" t="s">
        <v>39</v>
      </c>
      <c r="B10" s="49" t="s">
        <v>40</v>
      </c>
      <c r="C10" s="24">
        <v>0</v>
      </c>
      <c r="D10" s="24">
        <v>0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K10" s="24">
        <v>0</v>
      </c>
      <c r="L10" s="24">
        <v>0</v>
      </c>
      <c r="M10" s="24">
        <v>0</v>
      </c>
      <c r="N10" s="24">
        <v>0</v>
      </c>
    </row>
    <row r="11" spans="1:14" x14ac:dyDescent="0.2">
      <c r="A11" s="48" t="s">
        <v>41</v>
      </c>
      <c r="B11" s="49" t="s">
        <v>42</v>
      </c>
      <c r="C11" s="24">
        <v>0</v>
      </c>
      <c r="D11" s="24">
        <v>0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K11" s="24">
        <v>0</v>
      </c>
      <c r="L11" s="24">
        <v>0</v>
      </c>
      <c r="M11" s="24">
        <v>0</v>
      </c>
      <c r="N11" s="24">
        <v>0</v>
      </c>
    </row>
    <row r="12" spans="1:14" x14ac:dyDescent="0.2">
      <c r="A12" s="48" t="s">
        <v>45</v>
      </c>
      <c r="B12" s="49" t="s">
        <v>46</v>
      </c>
      <c r="C12" s="24">
        <v>0</v>
      </c>
      <c r="D12" s="24">
        <v>0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K12" s="24">
        <v>0</v>
      </c>
      <c r="L12" s="24">
        <v>0</v>
      </c>
      <c r="M12" s="24">
        <v>0</v>
      </c>
      <c r="N12" s="24">
        <v>0</v>
      </c>
    </row>
    <row r="13" spans="1:14" x14ac:dyDescent="0.2">
      <c r="A13" s="51"/>
      <c r="B13" s="51" t="s">
        <v>47</v>
      </c>
      <c r="C13" s="25">
        <f t="shared" ref="C13:N13" si="2">+C7+C9+C10+C11+C12</f>
        <v>2</v>
      </c>
      <c r="D13" s="25">
        <f t="shared" si="2"/>
        <v>3</v>
      </c>
      <c r="E13" s="25">
        <f t="shared" si="2"/>
        <v>3</v>
      </c>
      <c r="F13" s="25">
        <f t="shared" si="2"/>
        <v>3</v>
      </c>
      <c r="G13" s="25">
        <f t="shared" si="2"/>
        <v>3</v>
      </c>
      <c r="H13" s="25">
        <f t="shared" si="2"/>
        <v>4</v>
      </c>
      <c r="I13" s="25">
        <f t="shared" si="2"/>
        <v>3</v>
      </c>
      <c r="J13" s="25">
        <f t="shared" si="2"/>
        <v>3</v>
      </c>
      <c r="K13" s="25">
        <f t="shared" si="2"/>
        <v>4</v>
      </c>
      <c r="L13" s="25">
        <f t="shared" si="2"/>
        <v>3</v>
      </c>
      <c r="M13" s="25">
        <f t="shared" si="2"/>
        <v>3</v>
      </c>
      <c r="N13" s="25">
        <f t="shared" si="2"/>
        <v>2</v>
      </c>
    </row>
    <row r="14" spans="1:14" x14ac:dyDescent="0.2">
      <c r="A14" s="48" t="s">
        <v>48</v>
      </c>
      <c r="B14" s="49" t="s">
        <v>49</v>
      </c>
      <c r="C14" s="24">
        <f>+C15+C16</f>
        <v>0.7</v>
      </c>
      <c r="D14" s="24">
        <f t="shared" ref="D14:N14" si="3">+D15+D16</f>
        <v>0.7</v>
      </c>
      <c r="E14" s="24">
        <f t="shared" si="3"/>
        <v>0.7</v>
      </c>
      <c r="F14" s="24">
        <f t="shared" si="3"/>
        <v>0.7</v>
      </c>
      <c r="G14" s="24">
        <f t="shared" si="3"/>
        <v>0.7</v>
      </c>
      <c r="H14" s="24">
        <f t="shared" si="3"/>
        <v>0.7</v>
      </c>
      <c r="I14" s="24">
        <f t="shared" si="3"/>
        <v>0.7</v>
      </c>
      <c r="J14" s="24">
        <f t="shared" si="3"/>
        <v>0.7</v>
      </c>
      <c r="K14" s="24">
        <f t="shared" si="3"/>
        <v>0.7</v>
      </c>
      <c r="L14" s="24">
        <f t="shared" si="3"/>
        <v>0.7</v>
      </c>
      <c r="M14" s="24">
        <f t="shared" si="3"/>
        <v>0.7</v>
      </c>
      <c r="N14" s="24">
        <f t="shared" si="3"/>
        <v>0.7</v>
      </c>
    </row>
    <row r="15" spans="1:14" outlineLevel="1" x14ac:dyDescent="0.2">
      <c r="A15" s="9" t="s">
        <v>54</v>
      </c>
      <c r="B15" s="1" t="s">
        <v>55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outlineLevel="1" x14ac:dyDescent="0.2">
      <c r="A16" s="9" t="s">
        <v>56</v>
      </c>
      <c r="B16" s="1" t="s">
        <v>51</v>
      </c>
      <c r="C16" s="10">
        <v>0.7</v>
      </c>
      <c r="D16" s="10">
        <v>0.7</v>
      </c>
      <c r="E16" s="10">
        <v>0.7</v>
      </c>
      <c r="F16" s="10">
        <v>0.7</v>
      </c>
      <c r="G16" s="10">
        <v>0.7</v>
      </c>
      <c r="H16" s="10">
        <v>0.7</v>
      </c>
      <c r="I16" s="10">
        <v>0.7</v>
      </c>
      <c r="J16" s="10">
        <v>0.7</v>
      </c>
      <c r="K16" s="10">
        <v>0.7</v>
      </c>
      <c r="L16" s="10">
        <v>0.7</v>
      </c>
      <c r="M16" s="10">
        <v>0.7</v>
      </c>
      <c r="N16" s="10">
        <v>0.7</v>
      </c>
    </row>
    <row r="17" spans="1:14" x14ac:dyDescent="0.2">
      <c r="A17" s="48" t="s">
        <v>60</v>
      </c>
      <c r="B17" s="49" t="s">
        <v>61</v>
      </c>
      <c r="C17" s="24">
        <v>0</v>
      </c>
      <c r="D17" s="24">
        <v>0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K17" s="24">
        <v>0</v>
      </c>
      <c r="L17" s="24">
        <v>0</v>
      </c>
      <c r="M17" s="24">
        <v>0</v>
      </c>
      <c r="N17" s="24">
        <v>0</v>
      </c>
    </row>
    <row r="18" spans="1:14" x14ac:dyDescent="0.2">
      <c r="A18" s="48" t="s">
        <v>62</v>
      </c>
      <c r="B18" s="49" t="s">
        <v>63</v>
      </c>
      <c r="C18" s="24">
        <v>0</v>
      </c>
      <c r="D18" s="24">
        <v>0</v>
      </c>
      <c r="E18" s="24">
        <v>0</v>
      </c>
      <c r="F18" s="24">
        <v>0</v>
      </c>
      <c r="G18" s="24">
        <v>0</v>
      </c>
      <c r="H18" s="24">
        <v>0</v>
      </c>
      <c r="I18" s="24">
        <v>0</v>
      </c>
      <c r="J18" s="24">
        <v>0</v>
      </c>
      <c r="K18" s="24">
        <v>0</v>
      </c>
      <c r="L18" s="24">
        <v>0</v>
      </c>
      <c r="M18" s="24">
        <v>0</v>
      </c>
      <c r="N18" s="24">
        <v>0</v>
      </c>
    </row>
    <row r="19" spans="1:14" x14ac:dyDescent="0.2">
      <c r="A19" s="48" t="s">
        <v>64</v>
      </c>
      <c r="B19" s="49" t="s">
        <v>65</v>
      </c>
      <c r="C19" s="24">
        <v>0</v>
      </c>
      <c r="D19" s="24">
        <v>0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</row>
    <row r="20" spans="1:14" x14ac:dyDescent="0.2">
      <c r="A20" s="48" t="s">
        <v>68</v>
      </c>
      <c r="B20" s="49" t="s">
        <v>69</v>
      </c>
      <c r="C20" s="24">
        <f t="shared" ref="C20:I20" si="4">+C21</f>
        <v>0</v>
      </c>
      <c r="D20" s="24">
        <f t="shared" si="4"/>
        <v>0</v>
      </c>
      <c r="E20" s="24">
        <f t="shared" si="4"/>
        <v>0</v>
      </c>
      <c r="F20" s="24">
        <f t="shared" si="4"/>
        <v>0</v>
      </c>
      <c r="G20" s="24">
        <f t="shared" si="4"/>
        <v>0</v>
      </c>
      <c r="H20" s="24">
        <f t="shared" si="4"/>
        <v>0</v>
      </c>
      <c r="I20" s="24">
        <f t="shared" si="4"/>
        <v>0</v>
      </c>
      <c r="J20" s="24">
        <f>+J21</f>
        <v>0</v>
      </c>
      <c r="K20" s="24">
        <f t="shared" ref="K20:N20" si="5">+K21</f>
        <v>0</v>
      </c>
      <c r="L20" s="24">
        <f t="shared" si="5"/>
        <v>0</v>
      </c>
      <c r="M20" s="24">
        <f t="shared" si="5"/>
        <v>0</v>
      </c>
      <c r="N20" s="24">
        <f t="shared" si="5"/>
        <v>0</v>
      </c>
    </row>
    <row r="21" spans="1:14" outlineLevel="1" x14ac:dyDescent="0.2">
      <c r="A21" s="9" t="s">
        <v>70</v>
      </c>
      <c r="B21" s="1" t="s">
        <v>71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x14ac:dyDescent="0.2">
      <c r="A22" s="52"/>
      <c r="B22" s="52" t="s">
        <v>72</v>
      </c>
      <c r="C22" s="26">
        <f>+C14+C17+C18+C19+C20</f>
        <v>0.7</v>
      </c>
      <c r="D22" s="26">
        <f t="shared" ref="D22:N22" si="6">+D14+D17+D18+D19+D20</f>
        <v>0.7</v>
      </c>
      <c r="E22" s="26">
        <f t="shared" si="6"/>
        <v>0.7</v>
      </c>
      <c r="F22" s="26">
        <f t="shared" si="6"/>
        <v>0.7</v>
      </c>
      <c r="G22" s="26">
        <f t="shared" si="6"/>
        <v>0.7</v>
      </c>
      <c r="H22" s="26">
        <f t="shared" si="6"/>
        <v>0.7</v>
      </c>
      <c r="I22" s="26">
        <f t="shared" si="6"/>
        <v>0.7</v>
      </c>
      <c r="J22" s="26">
        <f t="shared" si="6"/>
        <v>0.7</v>
      </c>
      <c r="K22" s="26">
        <f t="shared" si="6"/>
        <v>0.7</v>
      </c>
      <c r="L22" s="26">
        <f t="shared" si="6"/>
        <v>0.7</v>
      </c>
      <c r="M22" s="26">
        <f t="shared" si="6"/>
        <v>0.7</v>
      </c>
      <c r="N22" s="26">
        <f t="shared" si="6"/>
        <v>0.7</v>
      </c>
    </row>
    <row r="23" spans="1:14" x14ac:dyDescent="0.2">
      <c r="A23" s="51"/>
      <c r="B23" s="51" t="s">
        <v>73</v>
      </c>
      <c r="C23" s="25">
        <f>+C13-C22</f>
        <v>1.3</v>
      </c>
      <c r="D23" s="25">
        <f t="shared" ref="D23:N23" si="7">+D13-D22</f>
        <v>2.2999999999999998</v>
      </c>
      <c r="E23" s="25">
        <f t="shared" si="7"/>
        <v>2.2999999999999998</v>
      </c>
      <c r="F23" s="25">
        <f t="shared" si="7"/>
        <v>2.2999999999999998</v>
      </c>
      <c r="G23" s="25">
        <f t="shared" si="7"/>
        <v>2.2999999999999998</v>
      </c>
      <c r="H23" s="25">
        <f t="shared" si="7"/>
        <v>3.3</v>
      </c>
      <c r="I23" s="25">
        <f t="shared" si="7"/>
        <v>2.2999999999999998</v>
      </c>
      <c r="J23" s="25">
        <f t="shared" si="7"/>
        <v>2.2999999999999998</v>
      </c>
      <c r="K23" s="25">
        <f t="shared" si="7"/>
        <v>3.3</v>
      </c>
      <c r="L23" s="25">
        <f t="shared" si="7"/>
        <v>2.2999999999999998</v>
      </c>
      <c r="M23" s="25">
        <f t="shared" si="7"/>
        <v>2.2999999999999998</v>
      </c>
      <c r="N23" s="25">
        <f t="shared" si="7"/>
        <v>1.3</v>
      </c>
    </row>
    <row r="24" spans="1:14" x14ac:dyDescent="0.2">
      <c r="A24" s="48" t="s">
        <v>74</v>
      </c>
      <c r="B24" s="49" t="s">
        <v>74</v>
      </c>
      <c r="C24" s="10" t="s">
        <v>74</v>
      </c>
      <c r="D24" s="10" t="s">
        <v>74</v>
      </c>
      <c r="E24" s="10" t="s">
        <v>74</v>
      </c>
      <c r="F24" s="10" t="s">
        <v>74</v>
      </c>
      <c r="G24" s="10" t="s">
        <v>74</v>
      </c>
      <c r="H24" s="10" t="s">
        <v>74</v>
      </c>
      <c r="I24" s="10" t="s">
        <v>74</v>
      </c>
      <c r="J24" s="10" t="s">
        <v>74</v>
      </c>
      <c r="K24" s="10" t="s">
        <v>74</v>
      </c>
      <c r="L24" s="10" t="s">
        <v>74</v>
      </c>
      <c r="M24" s="10" t="s">
        <v>74</v>
      </c>
      <c r="N24" s="10" t="s">
        <v>74</v>
      </c>
    </row>
    <row r="25" spans="1:14" x14ac:dyDescent="0.2">
      <c r="A25" s="48" t="s">
        <v>75</v>
      </c>
      <c r="B25" s="49" t="s">
        <v>76</v>
      </c>
      <c r="C25" s="24">
        <f>+C26</f>
        <v>0.2</v>
      </c>
      <c r="D25" s="24">
        <f t="shared" ref="D25:N25" si="8">+D26</f>
        <v>0.2</v>
      </c>
      <c r="E25" s="24">
        <f t="shared" si="8"/>
        <v>0.2</v>
      </c>
      <c r="F25" s="24">
        <f t="shared" si="8"/>
        <v>0.2</v>
      </c>
      <c r="G25" s="24">
        <f t="shared" si="8"/>
        <v>0.2</v>
      </c>
      <c r="H25" s="24">
        <f t="shared" si="8"/>
        <v>0.2</v>
      </c>
      <c r="I25" s="24">
        <f t="shared" si="8"/>
        <v>0.2</v>
      </c>
      <c r="J25" s="24">
        <f t="shared" si="8"/>
        <v>0.2</v>
      </c>
      <c r="K25" s="24">
        <f t="shared" si="8"/>
        <v>0.2</v>
      </c>
      <c r="L25" s="24">
        <f t="shared" si="8"/>
        <v>0.2</v>
      </c>
      <c r="M25" s="24">
        <f t="shared" si="8"/>
        <v>0.2</v>
      </c>
      <c r="N25" s="24">
        <f t="shared" si="8"/>
        <v>0.2</v>
      </c>
    </row>
    <row r="26" spans="1:14" x14ac:dyDescent="0.2">
      <c r="A26" s="9" t="s">
        <v>107</v>
      </c>
      <c r="B26" s="1" t="s">
        <v>108</v>
      </c>
      <c r="C26" s="24">
        <v>0.2</v>
      </c>
      <c r="D26" s="24">
        <v>0.2</v>
      </c>
      <c r="E26" s="24">
        <v>0.2</v>
      </c>
      <c r="F26" s="24">
        <v>0.2</v>
      </c>
      <c r="G26" s="24">
        <v>0.2</v>
      </c>
      <c r="H26" s="24">
        <v>0.2</v>
      </c>
      <c r="I26" s="24">
        <v>0.2</v>
      </c>
      <c r="J26" s="24">
        <v>0.2</v>
      </c>
      <c r="K26" s="24">
        <v>0.2</v>
      </c>
      <c r="L26" s="24">
        <v>0.2</v>
      </c>
      <c r="M26" s="24">
        <v>0.2</v>
      </c>
      <c r="N26" s="24">
        <v>0.2</v>
      </c>
    </row>
    <row r="27" spans="1:14" x14ac:dyDescent="0.2">
      <c r="A27" s="48" t="s">
        <v>111</v>
      </c>
      <c r="B27" s="49" t="s">
        <v>112</v>
      </c>
      <c r="C27" s="24">
        <v>0</v>
      </c>
      <c r="D27" s="24">
        <v>0</v>
      </c>
      <c r="E27" s="24">
        <v>0</v>
      </c>
      <c r="F27" s="24">
        <v>0</v>
      </c>
      <c r="G27" s="24">
        <v>0</v>
      </c>
      <c r="H27" s="24">
        <v>0</v>
      </c>
      <c r="I27" s="24">
        <v>0</v>
      </c>
      <c r="J27" s="24">
        <v>0</v>
      </c>
      <c r="K27" s="24">
        <v>0</v>
      </c>
      <c r="L27" s="24">
        <v>0</v>
      </c>
      <c r="M27" s="24">
        <v>0</v>
      </c>
      <c r="N27" s="24">
        <v>0</v>
      </c>
    </row>
    <row r="28" spans="1:14" x14ac:dyDescent="0.2">
      <c r="A28" s="48" t="s">
        <v>119</v>
      </c>
      <c r="B28" s="49" t="s">
        <v>120</v>
      </c>
      <c r="C28" s="24">
        <v>0</v>
      </c>
      <c r="D28" s="24">
        <v>0</v>
      </c>
      <c r="E28" s="24">
        <v>0</v>
      </c>
      <c r="F28" s="24">
        <v>0</v>
      </c>
      <c r="G28" s="24">
        <v>0</v>
      </c>
      <c r="H28" s="24">
        <v>0</v>
      </c>
      <c r="I28" s="24">
        <v>0</v>
      </c>
      <c r="J28" s="24">
        <v>0</v>
      </c>
      <c r="K28" s="24">
        <v>0</v>
      </c>
      <c r="L28" s="24">
        <v>0</v>
      </c>
      <c r="M28" s="24">
        <v>0</v>
      </c>
      <c r="N28" s="24">
        <v>0</v>
      </c>
    </row>
    <row r="29" spans="1:14" x14ac:dyDescent="0.2">
      <c r="A29" s="48" t="s">
        <v>127</v>
      </c>
      <c r="B29" s="49" t="s">
        <v>128</v>
      </c>
      <c r="C29" s="24">
        <v>0</v>
      </c>
      <c r="D29" s="24">
        <v>0</v>
      </c>
      <c r="E29" s="24">
        <v>0</v>
      </c>
      <c r="F29" s="24">
        <v>0</v>
      </c>
      <c r="G29" s="24">
        <v>0</v>
      </c>
      <c r="H29" s="24">
        <v>0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  <c r="N29" s="24">
        <v>0</v>
      </c>
    </row>
    <row r="30" spans="1:14" x14ac:dyDescent="0.2">
      <c r="A30" s="48" t="s">
        <v>133</v>
      </c>
      <c r="B30" s="49" t="s">
        <v>134</v>
      </c>
      <c r="C30" s="24">
        <v>0</v>
      </c>
      <c r="D30" s="24">
        <v>0</v>
      </c>
      <c r="E30" s="24">
        <v>0</v>
      </c>
      <c r="F30" s="24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0</v>
      </c>
      <c r="N30" s="24">
        <v>0</v>
      </c>
    </row>
    <row r="31" spans="1:14" x14ac:dyDescent="0.2">
      <c r="A31" s="48" t="s">
        <v>137</v>
      </c>
      <c r="B31" s="49" t="s">
        <v>138</v>
      </c>
      <c r="C31" s="24">
        <v>0</v>
      </c>
      <c r="D31" s="24">
        <v>0</v>
      </c>
      <c r="E31" s="24">
        <v>0</v>
      </c>
      <c r="F31" s="24">
        <v>0</v>
      </c>
      <c r="G31" s="24">
        <v>0</v>
      </c>
      <c r="H31" s="24">
        <v>0</v>
      </c>
      <c r="I31" s="24">
        <v>0</v>
      </c>
      <c r="J31" s="24">
        <v>0</v>
      </c>
      <c r="K31" s="24">
        <v>0</v>
      </c>
      <c r="L31" s="24">
        <v>0</v>
      </c>
      <c r="M31" s="24">
        <v>0</v>
      </c>
      <c r="N31" s="24">
        <v>0</v>
      </c>
    </row>
    <row r="32" spans="1:14" x14ac:dyDescent="0.2">
      <c r="A32" s="48" t="s">
        <v>139</v>
      </c>
      <c r="B32" s="49" t="s">
        <v>140</v>
      </c>
      <c r="C32" s="24">
        <v>0</v>
      </c>
      <c r="D32" s="24">
        <v>0</v>
      </c>
      <c r="E32" s="24">
        <v>0</v>
      </c>
      <c r="F32" s="24">
        <v>0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0</v>
      </c>
      <c r="N32" s="24">
        <v>0</v>
      </c>
    </row>
    <row r="33" spans="1:14" x14ac:dyDescent="0.2">
      <c r="A33" s="48" t="s">
        <v>141</v>
      </c>
      <c r="B33" s="49" t="s">
        <v>142</v>
      </c>
      <c r="C33" s="24">
        <v>0</v>
      </c>
      <c r="D33" s="24">
        <v>0</v>
      </c>
      <c r="E33" s="24">
        <v>0</v>
      </c>
      <c r="F33" s="24">
        <v>0</v>
      </c>
      <c r="G33" s="24">
        <v>0</v>
      </c>
      <c r="H33" s="24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4">
        <v>0</v>
      </c>
    </row>
    <row r="34" spans="1:14" x14ac:dyDescent="0.2">
      <c r="A34" s="48" t="s">
        <v>143</v>
      </c>
      <c r="B34" s="49" t="s">
        <v>144</v>
      </c>
      <c r="C34" s="24">
        <v>0</v>
      </c>
      <c r="D34" s="24">
        <v>0</v>
      </c>
      <c r="E34" s="24">
        <v>0</v>
      </c>
      <c r="F34" s="24">
        <v>0</v>
      </c>
      <c r="G34" s="24">
        <v>0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  <c r="N34" s="24">
        <v>0</v>
      </c>
    </row>
    <row r="35" spans="1:14" x14ac:dyDescent="0.2">
      <c r="A35" s="48" t="s">
        <v>157</v>
      </c>
      <c r="B35" s="49" t="s">
        <v>158</v>
      </c>
      <c r="C35" s="24">
        <v>0</v>
      </c>
      <c r="D35" s="24">
        <v>0</v>
      </c>
      <c r="E35" s="24">
        <v>0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0</v>
      </c>
      <c r="L35" s="24">
        <v>0</v>
      </c>
      <c r="M35" s="24">
        <v>0</v>
      </c>
      <c r="N35" s="24">
        <v>0</v>
      </c>
    </row>
    <row r="36" spans="1:14" x14ac:dyDescent="0.2">
      <c r="A36" s="52"/>
      <c r="B36" s="52" t="s">
        <v>165</v>
      </c>
      <c r="C36" s="26">
        <f>+C25+C27+C28+C29+C30+C31+C32+C33+C34+C35</f>
        <v>0.2</v>
      </c>
      <c r="D36" s="26">
        <f t="shared" ref="D36:N36" si="9">+D25+D27+D28+D29+D30+D31+D32+D33+D34+D35</f>
        <v>0.2</v>
      </c>
      <c r="E36" s="26">
        <f t="shared" si="9"/>
        <v>0.2</v>
      </c>
      <c r="F36" s="26">
        <f t="shared" si="9"/>
        <v>0.2</v>
      </c>
      <c r="G36" s="26">
        <f t="shared" si="9"/>
        <v>0.2</v>
      </c>
      <c r="H36" s="26">
        <f t="shared" si="9"/>
        <v>0.2</v>
      </c>
      <c r="I36" s="26">
        <f t="shared" si="9"/>
        <v>0.2</v>
      </c>
      <c r="J36" s="26">
        <f t="shared" si="9"/>
        <v>0.2</v>
      </c>
      <c r="K36" s="26">
        <f t="shared" si="9"/>
        <v>0.2</v>
      </c>
      <c r="L36" s="26">
        <f t="shared" si="9"/>
        <v>0.2</v>
      </c>
      <c r="M36" s="26">
        <f t="shared" si="9"/>
        <v>0.2</v>
      </c>
      <c r="N36" s="26">
        <f t="shared" si="9"/>
        <v>0.2</v>
      </c>
    </row>
    <row r="37" spans="1:14" x14ac:dyDescent="0.2">
      <c r="A37" s="51"/>
      <c r="B37" s="51" t="s">
        <v>166</v>
      </c>
      <c r="C37" s="25">
        <f>+C23-C36</f>
        <v>1.1000000000000001</v>
      </c>
      <c r="D37" s="25">
        <f t="shared" ref="D37:N37" si="10">+D23-D36</f>
        <v>2.0999999999999996</v>
      </c>
      <c r="E37" s="25">
        <f t="shared" si="10"/>
        <v>2.0999999999999996</v>
      </c>
      <c r="F37" s="25">
        <f t="shared" si="10"/>
        <v>2.0999999999999996</v>
      </c>
      <c r="G37" s="25">
        <f t="shared" si="10"/>
        <v>2.0999999999999996</v>
      </c>
      <c r="H37" s="25">
        <f t="shared" si="10"/>
        <v>3.0999999999999996</v>
      </c>
      <c r="I37" s="25">
        <f t="shared" si="10"/>
        <v>2.0999999999999996</v>
      </c>
      <c r="J37" s="25">
        <f t="shared" si="10"/>
        <v>2.0999999999999996</v>
      </c>
      <c r="K37" s="25">
        <f t="shared" si="10"/>
        <v>3.0999999999999996</v>
      </c>
      <c r="L37" s="25">
        <f t="shared" si="10"/>
        <v>2.0999999999999996</v>
      </c>
      <c r="M37" s="25">
        <f t="shared" si="10"/>
        <v>2.0999999999999996</v>
      </c>
      <c r="N37" s="25">
        <f t="shared" si="10"/>
        <v>1.1000000000000001</v>
      </c>
    </row>
    <row r="38" spans="1:14" x14ac:dyDescent="0.2">
      <c r="A38" s="48" t="s">
        <v>167</v>
      </c>
      <c r="B38" s="49" t="s">
        <v>168</v>
      </c>
      <c r="C38" s="24">
        <f>SUM(C39:C42)</f>
        <v>0.3</v>
      </c>
      <c r="D38" s="24">
        <f t="shared" ref="D38:N38" si="11">SUM(D39:D42)</f>
        <v>0.3</v>
      </c>
      <c r="E38" s="24">
        <f t="shared" si="11"/>
        <v>0.3</v>
      </c>
      <c r="F38" s="24">
        <f t="shared" si="11"/>
        <v>0.3</v>
      </c>
      <c r="G38" s="24">
        <f t="shared" si="11"/>
        <v>0.3</v>
      </c>
      <c r="H38" s="24">
        <f t="shared" si="11"/>
        <v>0.3</v>
      </c>
      <c r="I38" s="24">
        <f t="shared" si="11"/>
        <v>0.3</v>
      </c>
      <c r="J38" s="24">
        <f t="shared" si="11"/>
        <v>0.3</v>
      </c>
      <c r="K38" s="24">
        <f t="shared" si="11"/>
        <v>0.3</v>
      </c>
      <c r="L38" s="24">
        <f t="shared" si="11"/>
        <v>0.3</v>
      </c>
      <c r="M38" s="24">
        <f t="shared" si="11"/>
        <v>0.3</v>
      </c>
      <c r="N38" s="24">
        <f t="shared" si="11"/>
        <v>0.3</v>
      </c>
    </row>
    <row r="39" spans="1:14" outlineLevel="1" x14ac:dyDescent="0.2">
      <c r="A39" s="9" t="s">
        <v>173</v>
      </c>
      <c r="B39" s="1" t="s">
        <v>174</v>
      </c>
      <c r="C39" s="10">
        <v>0.3</v>
      </c>
      <c r="D39" s="10">
        <v>0.3</v>
      </c>
      <c r="E39" s="10">
        <v>0.3</v>
      </c>
      <c r="F39" s="10">
        <v>0.3</v>
      </c>
      <c r="G39" s="10">
        <v>0.3</v>
      </c>
      <c r="H39" s="10">
        <v>0.3</v>
      </c>
      <c r="I39" s="10">
        <v>0.3</v>
      </c>
      <c r="J39" s="10">
        <v>0.3</v>
      </c>
      <c r="K39" s="10">
        <v>0.3</v>
      </c>
      <c r="L39" s="10">
        <v>0.3</v>
      </c>
      <c r="M39" s="10">
        <v>0.3</v>
      </c>
      <c r="N39" s="10">
        <v>0.3</v>
      </c>
    </row>
    <row r="40" spans="1:14" outlineLevel="1" x14ac:dyDescent="0.2">
      <c r="A40" s="9" t="s">
        <v>175</v>
      </c>
      <c r="B40" s="1" t="s">
        <v>176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outlineLevel="1" x14ac:dyDescent="0.2">
      <c r="A41" s="9" t="s">
        <v>177</v>
      </c>
      <c r="B41" s="1" t="s">
        <v>178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outlineLevel="1" x14ac:dyDescent="0.2">
      <c r="A42" s="9" t="s">
        <v>179</v>
      </c>
      <c r="B42" s="1" t="s">
        <v>180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x14ac:dyDescent="0.2">
      <c r="A43" s="48" t="s">
        <v>200</v>
      </c>
      <c r="B43" s="49" t="s">
        <v>201</v>
      </c>
      <c r="C43" s="24">
        <f>SUM(C44:C48)</f>
        <v>0</v>
      </c>
      <c r="D43" s="24">
        <f t="shared" ref="D43:N43" si="12">SUM(D44:D48)</f>
        <v>0</v>
      </c>
      <c r="E43" s="24">
        <f t="shared" si="12"/>
        <v>0</v>
      </c>
      <c r="F43" s="24">
        <f t="shared" si="12"/>
        <v>0</v>
      </c>
      <c r="G43" s="24">
        <f t="shared" si="12"/>
        <v>0</v>
      </c>
      <c r="H43" s="24">
        <f t="shared" si="12"/>
        <v>0</v>
      </c>
      <c r="I43" s="24">
        <f t="shared" si="12"/>
        <v>0</v>
      </c>
      <c r="J43" s="24">
        <f t="shared" si="12"/>
        <v>0</v>
      </c>
      <c r="K43" s="24">
        <f t="shared" si="12"/>
        <v>0</v>
      </c>
      <c r="L43" s="24">
        <f t="shared" si="12"/>
        <v>0</v>
      </c>
      <c r="M43" s="24">
        <f t="shared" si="12"/>
        <v>0</v>
      </c>
      <c r="N43" s="24">
        <f t="shared" si="12"/>
        <v>0</v>
      </c>
    </row>
    <row r="44" spans="1:14" outlineLevel="1" x14ac:dyDescent="0.2">
      <c r="A44" s="9" t="s">
        <v>212</v>
      </c>
      <c r="B44" s="1" t="s">
        <v>213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outlineLevel="1" x14ac:dyDescent="0.2">
      <c r="A45" s="9" t="s">
        <v>214</v>
      </c>
      <c r="B45" s="1" t="s">
        <v>215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outlineLevel="1" x14ac:dyDescent="0.2">
      <c r="A46" s="9" t="s">
        <v>218</v>
      </c>
      <c r="B46" s="1" t="s">
        <v>219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outlineLevel="1" x14ac:dyDescent="0.2">
      <c r="A47" s="9" t="s">
        <v>220</v>
      </c>
      <c r="B47" s="1" t="s">
        <v>221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outlineLevel="1" x14ac:dyDescent="0.2">
      <c r="A48" s="9" t="s">
        <v>224</v>
      </c>
      <c r="B48" s="1" t="s">
        <v>225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x14ac:dyDescent="0.2">
      <c r="A49" s="48" t="s">
        <v>226</v>
      </c>
      <c r="B49" s="49" t="s">
        <v>227</v>
      </c>
      <c r="C49" s="24">
        <v>0</v>
      </c>
      <c r="D49" s="24">
        <v>0</v>
      </c>
      <c r="E49" s="24">
        <v>0</v>
      </c>
      <c r="F49" s="24">
        <v>0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0</v>
      </c>
      <c r="N49" s="24">
        <v>0</v>
      </c>
    </row>
    <row r="50" spans="1:14" x14ac:dyDescent="0.2">
      <c r="A50" s="48" t="s">
        <v>228</v>
      </c>
      <c r="B50" s="49" t="s">
        <v>229</v>
      </c>
      <c r="C50" s="24">
        <v>0</v>
      </c>
      <c r="D50" s="24">
        <v>0</v>
      </c>
      <c r="E50" s="24">
        <v>0</v>
      </c>
      <c r="F50" s="24">
        <v>0</v>
      </c>
      <c r="G50" s="24">
        <v>0</v>
      </c>
      <c r="H50" s="24">
        <v>0</v>
      </c>
      <c r="I50" s="24">
        <v>0</v>
      </c>
      <c r="J50" s="24">
        <v>0</v>
      </c>
      <c r="K50" s="24">
        <v>0</v>
      </c>
      <c r="L50" s="24">
        <v>0</v>
      </c>
      <c r="M50" s="24">
        <v>0</v>
      </c>
      <c r="N50" s="24">
        <v>0</v>
      </c>
    </row>
    <row r="51" spans="1:14" x14ac:dyDescent="0.2">
      <c r="A51" s="48" t="s">
        <v>230</v>
      </c>
      <c r="B51" s="49" t="s">
        <v>231</v>
      </c>
      <c r="C51" s="24">
        <f>+C52</f>
        <v>0.1</v>
      </c>
      <c r="D51" s="24">
        <f t="shared" ref="D51:N51" si="13">+D52</f>
        <v>0.1</v>
      </c>
      <c r="E51" s="24">
        <f t="shared" si="13"/>
        <v>0.1</v>
      </c>
      <c r="F51" s="24">
        <f t="shared" si="13"/>
        <v>0.1</v>
      </c>
      <c r="G51" s="24">
        <f t="shared" si="13"/>
        <v>0.1</v>
      </c>
      <c r="H51" s="24">
        <f t="shared" si="13"/>
        <v>0.1</v>
      </c>
      <c r="I51" s="24">
        <f t="shared" si="13"/>
        <v>0.1</v>
      </c>
      <c r="J51" s="24">
        <f t="shared" si="13"/>
        <v>0.1</v>
      </c>
      <c r="K51" s="24">
        <f t="shared" si="13"/>
        <v>0.1</v>
      </c>
      <c r="L51" s="24">
        <f t="shared" si="13"/>
        <v>0.1</v>
      </c>
      <c r="M51" s="24">
        <f t="shared" si="13"/>
        <v>0.1</v>
      </c>
      <c r="N51" s="24">
        <f t="shared" si="13"/>
        <v>0.1</v>
      </c>
    </row>
    <row r="52" spans="1:14" outlineLevel="1" x14ac:dyDescent="0.2">
      <c r="A52" s="9" t="s">
        <v>234</v>
      </c>
      <c r="B52" s="1" t="s">
        <v>235</v>
      </c>
      <c r="C52" s="10">
        <v>0.1</v>
      </c>
      <c r="D52" s="10">
        <v>0.1</v>
      </c>
      <c r="E52" s="10">
        <v>0.1</v>
      </c>
      <c r="F52" s="10">
        <v>0.1</v>
      </c>
      <c r="G52" s="10">
        <v>0.1</v>
      </c>
      <c r="H52" s="10">
        <v>0.1</v>
      </c>
      <c r="I52" s="10">
        <v>0.1</v>
      </c>
      <c r="J52" s="10">
        <v>0.1</v>
      </c>
      <c r="K52" s="10">
        <v>0.1</v>
      </c>
      <c r="L52" s="10">
        <v>0.1</v>
      </c>
      <c r="M52" s="10">
        <v>0.1</v>
      </c>
      <c r="N52" s="10">
        <v>0.1</v>
      </c>
    </row>
    <row r="53" spans="1:14" x14ac:dyDescent="0.2">
      <c r="A53" s="52"/>
      <c r="B53" s="52" t="s">
        <v>236</v>
      </c>
      <c r="C53" s="26">
        <f t="shared" ref="C53:I53" si="14">+C38+C43+C49+C50+C51</f>
        <v>0.4</v>
      </c>
      <c r="D53" s="26">
        <f t="shared" si="14"/>
        <v>0.4</v>
      </c>
      <c r="E53" s="26">
        <f t="shared" si="14"/>
        <v>0.4</v>
      </c>
      <c r="F53" s="26">
        <f t="shared" si="14"/>
        <v>0.4</v>
      </c>
      <c r="G53" s="26">
        <f t="shared" si="14"/>
        <v>0.4</v>
      </c>
      <c r="H53" s="26">
        <f t="shared" si="14"/>
        <v>0.4</v>
      </c>
      <c r="I53" s="26">
        <f t="shared" si="14"/>
        <v>0.4</v>
      </c>
      <c r="J53" s="26">
        <f>+J38+J43+J49+J50+J51</f>
        <v>0.4</v>
      </c>
      <c r="K53" s="26">
        <f t="shared" ref="K53:N53" si="15">+K38+K43+K49+K50+K51</f>
        <v>0.4</v>
      </c>
      <c r="L53" s="26">
        <f t="shared" si="15"/>
        <v>0.4</v>
      </c>
      <c r="M53" s="26">
        <f t="shared" si="15"/>
        <v>0.4</v>
      </c>
      <c r="N53" s="26">
        <f t="shared" si="15"/>
        <v>0.4</v>
      </c>
    </row>
    <row r="54" spans="1:14" x14ac:dyDescent="0.2">
      <c r="A54" s="51"/>
      <c r="B54" s="51" t="s">
        <v>237</v>
      </c>
      <c r="C54" s="25">
        <f t="shared" ref="C54:I54" si="16">+C37-C53</f>
        <v>0.70000000000000007</v>
      </c>
      <c r="D54" s="25">
        <f t="shared" si="16"/>
        <v>1.6999999999999997</v>
      </c>
      <c r="E54" s="25">
        <f t="shared" si="16"/>
        <v>1.6999999999999997</v>
      </c>
      <c r="F54" s="25">
        <f t="shared" si="16"/>
        <v>1.6999999999999997</v>
      </c>
      <c r="G54" s="25">
        <f t="shared" si="16"/>
        <v>1.6999999999999997</v>
      </c>
      <c r="H54" s="25">
        <f t="shared" si="16"/>
        <v>2.6999999999999997</v>
      </c>
      <c r="I54" s="25">
        <f t="shared" si="16"/>
        <v>1.6999999999999997</v>
      </c>
      <c r="J54" s="25">
        <f>+J37-J53</f>
        <v>1.6999999999999997</v>
      </c>
      <c r="K54" s="25">
        <f t="shared" ref="K54:N54" si="17">+K37-K53</f>
        <v>2.6999999999999997</v>
      </c>
      <c r="L54" s="25">
        <f t="shared" si="17"/>
        <v>1.6999999999999997</v>
      </c>
      <c r="M54" s="25">
        <f t="shared" si="17"/>
        <v>1.6999999999999997</v>
      </c>
      <c r="N54" s="25">
        <f t="shared" si="17"/>
        <v>0.70000000000000007</v>
      </c>
    </row>
    <row r="55" spans="1:14" x14ac:dyDescent="0.2">
      <c r="A55" s="48" t="s">
        <v>238</v>
      </c>
      <c r="B55" s="49" t="s">
        <v>239</v>
      </c>
      <c r="C55" s="24">
        <f t="shared" ref="C55:I55" si="18">+C56</f>
        <v>0</v>
      </c>
      <c r="D55" s="24">
        <f t="shared" si="18"/>
        <v>0</v>
      </c>
      <c r="E55" s="24">
        <f t="shared" si="18"/>
        <v>0</v>
      </c>
      <c r="F55" s="24">
        <f t="shared" si="18"/>
        <v>0</v>
      </c>
      <c r="G55" s="24">
        <f t="shared" si="18"/>
        <v>0</v>
      </c>
      <c r="H55" s="24">
        <f t="shared" si="18"/>
        <v>0</v>
      </c>
      <c r="I55" s="24">
        <f t="shared" si="18"/>
        <v>0</v>
      </c>
      <c r="J55" s="24">
        <f>+J56</f>
        <v>0</v>
      </c>
      <c r="K55" s="24">
        <f t="shared" ref="K55:N55" si="19">+K56</f>
        <v>0</v>
      </c>
      <c r="L55" s="24">
        <f t="shared" si="19"/>
        <v>0</v>
      </c>
      <c r="M55" s="24">
        <f t="shared" si="19"/>
        <v>0</v>
      </c>
      <c r="N55" s="24">
        <f t="shared" si="19"/>
        <v>0</v>
      </c>
    </row>
    <row r="56" spans="1:14" outlineLevel="1" x14ac:dyDescent="0.2">
      <c r="A56" s="9" t="s">
        <v>242</v>
      </c>
      <c r="B56" s="1" t="s">
        <v>243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x14ac:dyDescent="0.2">
      <c r="A57" s="48" t="s">
        <v>244</v>
      </c>
      <c r="B57" s="49" t="s">
        <v>245</v>
      </c>
      <c r="C57" s="24">
        <v>0</v>
      </c>
      <c r="D57" s="24">
        <v>0</v>
      </c>
      <c r="E57" s="24">
        <v>0</v>
      </c>
      <c r="F57" s="24">
        <v>0</v>
      </c>
      <c r="G57" s="24">
        <v>0</v>
      </c>
      <c r="H57" s="24">
        <v>0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  <c r="N57" s="24">
        <v>0</v>
      </c>
    </row>
    <row r="58" spans="1:14" x14ac:dyDescent="0.2">
      <c r="A58" s="51"/>
      <c r="B58" s="51" t="s">
        <v>246</v>
      </c>
      <c r="C58" s="25">
        <f t="shared" ref="C58" si="20">C54-SUM(C55,C57)</f>
        <v>0.70000000000000007</v>
      </c>
      <c r="D58" s="25">
        <f t="shared" ref="D58" si="21">+D54-(D55+D57)</f>
        <v>1.6999999999999997</v>
      </c>
      <c r="E58" s="25">
        <f t="shared" ref="E58" si="22">E54-SUM(E55,E57)</f>
        <v>1.6999999999999997</v>
      </c>
      <c r="F58" s="25">
        <f t="shared" ref="F58" si="23">+F54-(F55+F57)</f>
        <v>1.6999999999999997</v>
      </c>
      <c r="G58" s="25">
        <f t="shared" ref="G58" si="24">G54-SUM(G55,G57)</f>
        <v>1.6999999999999997</v>
      </c>
      <c r="H58" s="25">
        <f t="shared" ref="H58" si="25">+H54-(H55+H57)</f>
        <v>2.6999999999999997</v>
      </c>
      <c r="I58" s="25">
        <f t="shared" ref="I58" si="26">I54-SUM(I55,I57)</f>
        <v>1.6999999999999997</v>
      </c>
      <c r="J58" s="25">
        <f>+J54-(J55+J57)</f>
        <v>1.6999999999999997</v>
      </c>
      <c r="K58" s="25">
        <f t="shared" ref="K58:N58" si="27">K54-SUM(K55,K57)</f>
        <v>2.6999999999999997</v>
      </c>
      <c r="L58" s="25">
        <f t="shared" si="27"/>
        <v>1.6999999999999997</v>
      </c>
      <c r="M58" s="25">
        <f t="shared" si="27"/>
        <v>1.6999999999999997</v>
      </c>
      <c r="N58" s="25">
        <f t="shared" si="27"/>
        <v>0.70000000000000007</v>
      </c>
    </row>
    <row r="59" spans="1:14" x14ac:dyDescent="0.2">
      <c r="A59" s="9" t="s">
        <v>74</v>
      </c>
      <c r="B59" s="1" t="s">
        <v>74</v>
      </c>
      <c r="C59" s="13" t="s">
        <v>74</v>
      </c>
      <c r="D59" s="13" t="s">
        <v>74</v>
      </c>
      <c r="E59" s="13" t="s">
        <v>74</v>
      </c>
      <c r="F59" s="13" t="s">
        <v>74</v>
      </c>
      <c r="G59" s="13" t="s">
        <v>74</v>
      </c>
      <c r="H59" s="13" t="s">
        <v>74</v>
      </c>
      <c r="I59" s="13" t="s">
        <v>74</v>
      </c>
      <c r="J59" s="13" t="s">
        <v>74</v>
      </c>
      <c r="K59" s="13" t="s">
        <v>74</v>
      </c>
      <c r="L59" s="13" t="s">
        <v>74</v>
      </c>
      <c r="M59" s="13" t="s">
        <v>74</v>
      </c>
      <c r="N59" s="13" t="s">
        <v>74</v>
      </c>
    </row>
    <row r="60" spans="1:14" x14ac:dyDescent="0.2">
      <c r="A60" s="12"/>
      <c r="B60" s="12" t="s">
        <v>247</v>
      </c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</row>
    <row r="61" spans="1:14" x14ac:dyDescent="0.2">
      <c r="A61" s="9" t="s">
        <v>248</v>
      </c>
      <c r="B61" s="1" t="s">
        <v>249</v>
      </c>
      <c r="C61" s="13">
        <v>0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2">
      <c r="A62" s="9" t="s">
        <v>252</v>
      </c>
      <c r="B62" s="1" t="s">
        <v>253</v>
      </c>
      <c r="C62" s="13">
        <v>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2">
      <c r="A63" s="9" t="s">
        <v>256</v>
      </c>
      <c r="B63" s="1" t="s">
        <v>257</v>
      </c>
      <c r="C63" s="13">
        <v>0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2">
      <c r="A64" s="9" t="s">
        <v>260</v>
      </c>
      <c r="B64" s="1" t="s">
        <v>261</v>
      </c>
      <c r="C64" s="13">
        <v>0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2">
      <c r="A65" s="9" t="s">
        <v>264</v>
      </c>
      <c r="B65" s="1" t="s">
        <v>265</v>
      </c>
      <c r="C65" s="13">
        <v>0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2">
      <c r="A66" s="9" t="s">
        <v>268</v>
      </c>
      <c r="B66" s="1" t="s">
        <v>269</v>
      </c>
      <c r="C66" s="13">
        <v>0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">
      <c r="A67" s="9" t="s">
        <v>270</v>
      </c>
      <c r="B67" s="1" t="s">
        <v>271</v>
      </c>
      <c r="C67" s="13">
        <v>0</v>
      </c>
      <c r="D67" s="13">
        <v>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">
      <c r="A68" s="9" t="s">
        <v>272</v>
      </c>
      <c r="B68" s="1" t="s">
        <v>273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274</v>
      </c>
      <c r="B69" s="1" t="s">
        <v>275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276</v>
      </c>
      <c r="B70" s="1" t="s">
        <v>277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280</v>
      </c>
      <c r="B71" s="1" t="s">
        <v>281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9" t="s">
        <v>284</v>
      </c>
      <c r="B72" s="1" t="s">
        <v>285</v>
      </c>
      <c r="C72" s="13">
        <v>0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2">
      <c r="A73" s="9" t="s">
        <v>288</v>
      </c>
      <c r="B73" s="1" t="s">
        <v>289</v>
      </c>
      <c r="C73" s="13">
        <v>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2">
      <c r="A74" s="3"/>
      <c r="B74" s="3" t="s">
        <v>290</v>
      </c>
      <c r="C74" s="15" t="s">
        <v>292</v>
      </c>
      <c r="D74" s="15" t="s">
        <v>292</v>
      </c>
      <c r="E74" s="15" t="s">
        <v>292</v>
      </c>
      <c r="F74" s="15" t="s">
        <v>292</v>
      </c>
      <c r="G74" s="15" t="s">
        <v>292</v>
      </c>
      <c r="H74" s="15" t="s">
        <v>292</v>
      </c>
      <c r="I74" s="15" t="s">
        <v>292</v>
      </c>
      <c r="J74" s="15" t="s">
        <v>292</v>
      </c>
      <c r="K74" s="15" t="s">
        <v>292</v>
      </c>
      <c r="L74" s="15" t="s">
        <v>292</v>
      </c>
      <c r="M74" s="15" t="s">
        <v>292</v>
      </c>
      <c r="N74" s="15" t="s">
        <v>292</v>
      </c>
    </row>
    <row r="75" spans="1:14" x14ac:dyDescent="0.2">
      <c r="A75" s="3"/>
      <c r="B75" s="3" t="s">
        <v>291</v>
      </c>
      <c r="C75" s="15" t="s">
        <v>292</v>
      </c>
      <c r="D75" s="15" t="s">
        <v>292</v>
      </c>
      <c r="E75" s="15" t="s">
        <v>292</v>
      </c>
      <c r="F75" s="15" t="s">
        <v>292</v>
      </c>
      <c r="G75" s="15" t="s">
        <v>292</v>
      </c>
      <c r="H75" s="15" t="s">
        <v>292</v>
      </c>
      <c r="I75" s="15" t="s">
        <v>292</v>
      </c>
      <c r="J75" s="15" t="s">
        <v>292</v>
      </c>
      <c r="K75" s="15" t="s">
        <v>292</v>
      </c>
      <c r="L75" s="15" t="s">
        <v>292</v>
      </c>
      <c r="M75" s="15" t="s">
        <v>292</v>
      </c>
      <c r="N75" s="15" t="s">
        <v>292</v>
      </c>
    </row>
    <row r="76" spans="1:14" x14ac:dyDescent="0.2">
      <c r="A76" s="3"/>
      <c r="B76" s="3" t="s">
        <v>293</v>
      </c>
      <c r="C76" s="15" t="s">
        <v>292</v>
      </c>
      <c r="D76" s="15" t="s">
        <v>292</v>
      </c>
      <c r="E76" s="15" t="s">
        <v>292</v>
      </c>
      <c r="F76" s="15" t="s">
        <v>292</v>
      </c>
      <c r="G76" s="15" t="s">
        <v>292</v>
      </c>
      <c r="H76" s="15" t="s">
        <v>292</v>
      </c>
      <c r="I76" s="15" t="s">
        <v>292</v>
      </c>
      <c r="J76" s="15" t="s">
        <v>292</v>
      </c>
      <c r="K76" s="15" t="s">
        <v>292</v>
      </c>
      <c r="L76" s="15" t="s">
        <v>292</v>
      </c>
      <c r="M76" s="15" t="s">
        <v>292</v>
      </c>
      <c r="N76" s="15" t="s">
        <v>292</v>
      </c>
    </row>
    <row r="77" spans="1:14" x14ac:dyDescent="0.2">
      <c r="A77" s="3"/>
      <c r="B77" s="3" t="s">
        <v>294</v>
      </c>
      <c r="C77" s="15" t="s">
        <v>292</v>
      </c>
      <c r="D77" s="15" t="s">
        <v>292</v>
      </c>
      <c r="E77" s="15" t="s">
        <v>292</v>
      </c>
      <c r="F77" s="15" t="s">
        <v>292</v>
      </c>
      <c r="G77" s="15" t="s">
        <v>292</v>
      </c>
      <c r="H77" s="15" t="s">
        <v>292</v>
      </c>
      <c r="I77" s="15" t="s">
        <v>292</v>
      </c>
      <c r="J77" s="15" t="s">
        <v>292</v>
      </c>
      <c r="K77" s="15" t="s">
        <v>292</v>
      </c>
      <c r="L77" s="15" t="s">
        <v>292</v>
      </c>
      <c r="M77" s="15" t="s">
        <v>292</v>
      </c>
      <c r="N77" s="15" t="s">
        <v>292</v>
      </c>
    </row>
    <row r="78" spans="1:14" x14ac:dyDescent="0.2">
      <c r="A78" s="12"/>
      <c r="B78" s="12" t="s">
        <v>295</v>
      </c>
      <c r="C78" s="14" t="s">
        <v>292</v>
      </c>
      <c r="D78" s="14" t="s">
        <v>292</v>
      </c>
      <c r="E78" s="14" t="s">
        <v>292</v>
      </c>
      <c r="F78" s="14" t="s">
        <v>292</v>
      </c>
      <c r="G78" s="14" t="s">
        <v>292</v>
      </c>
      <c r="H78" s="14" t="s">
        <v>292</v>
      </c>
      <c r="I78" s="14" t="s">
        <v>292</v>
      </c>
      <c r="J78" s="14" t="s">
        <v>292</v>
      </c>
      <c r="K78" s="14" t="s">
        <v>292</v>
      </c>
      <c r="L78" s="14" t="s">
        <v>292</v>
      </c>
      <c r="M78" s="14" t="s">
        <v>292</v>
      </c>
      <c r="N78" s="14" t="s">
        <v>292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AF41A-A94D-4C15-A998-199D2EFF354D}">
  <sheetPr codeName="Hoja50">
    <tabColor rgb="FF00B0F0"/>
  </sheetPr>
  <dimension ref="A1:N160"/>
  <sheetViews>
    <sheetView zoomScale="85" zoomScaleNormal="85" workbookViewId="0">
      <pane ySplit="6" topLeftCell="A31" activePane="bottomLeft" state="frozen"/>
      <selection activeCell="I54" sqref="I54"/>
      <selection pane="bottomLeft" activeCell="B21" sqref="A19:B21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3.855468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382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 t="shared" ref="C7:N7" si="0">SUM(C8:C11)</f>
        <v>221</v>
      </c>
      <c r="D7" s="50">
        <f t="shared" si="0"/>
        <v>222</v>
      </c>
      <c r="E7" s="50">
        <f t="shared" si="0"/>
        <v>229</v>
      </c>
      <c r="F7" s="50">
        <f t="shared" si="0"/>
        <v>171</v>
      </c>
      <c r="G7" s="50">
        <f t="shared" si="0"/>
        <v>195</v>
      </c>
      <c r="H7" s="50">
        <f t="shared" si="0"/>
        <v>215</v>
      </c>
      <c r="I7" s="50">
        <f t="shared" si="0"/>
        <v>173</v>
      </c>
      <c r="J7" s="50">
        <f t="shared" si="0"/>
        <v>218</v>
      </c>
      <c r="K7" s="50">
        <f t="shared" si="0"/>
        <v>225</v>
      </c>
      <c r="L7" s="50">
        <f t="shared" si="0"/>
        <v>183</v>
      </c>
      <c r="M7" s="50">
        <f t="shared" si="0"/>
        <v>188</v>
      </c>
      <c r="N7" s="50">
        <f t="shared" si="0"/>
        <v>239</v>
      </c>
    </row>
    <row r="8" spans="1:14" hidden="1" outlineLevel="1" x14ac:dyDescent="0.2">
      <c r="A8" s="9" t="s">
        <v>370</v>
      </c>
      <c r="B8" s="1" t="s">
        <v>30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29</v>
      </c>
      <c r="B9" s="1" t="s">
        <v>30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31</v>
      </c>
      <c r="B10" s="1" t="s">
        <v>32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hidden="1" outlineLevel="1" x14ac:dyDescent="0.2">
      <c r="A11" s="9" t="s">
        <v>33</v>
      </c>
      <c r="B11" s="1" t="s">
        <v>34</v>
      </c>
      <c r="C11" s="28">
        <v>221</v>
      </c>
      <c r="D11" s="28">
        <v>222</v>
      </c>
      <c r="E11" s="28">
        <v>229</v>
      </c>
      <c r="F11" s="28">
        <v>171</v>
      </c>
      <c r="G11" s="28">
        <v>195</v>
      </c>
      <c r="H11" s="28">
        <v>215</v>
      </c>
      <c r="I11" s="28">
        <v>173</v>
      </c>
      <c r="J11" s="28">
        <v>218</v>
      </c>
      <c r="K11" s="28">
        <v>225</v>
      </c>
      <c r="L11" s="28">
        <v>183</v>
      </c>
      <c r="M11" s="28">
        <v>188</v>
      </c>
      <c r="N11" s="28">
        <v>239</v>
      </c>
    </row>
    <row r="12" spans="1:14" collapsed="1" x14ac:dyDescent="0.2">
      <c r="A12" s="48" t="s">
        <v>37</v>
      </c>
      <c r="B12" s="49" t="s">
        <v>38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39</v>
      </c>
      <c r="B13" s="49" t="s">
        <v>40</v>
      </c>
      <c r="C13" s="50">
        <v>0</v>
      </c>
      <c r="D13" s="50">
        <v>0</v>
      </c>
      <c r="E13" s="50">
        <v>0</v>
      </c>
      <c r="F13" s="50">
        <v>0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</row>
    <row r="14" spans="1:14" x14ac:dyDescent="0.2">
      <c r="A14" s="48" t="s">
        <v>41</v>
      </c>
      <c r="B14" s="49" t="s">
        <v>42</v>
      </c>
      <c r="C14" s="50">
        <f t="shared" ref="C14:N14" si="1">+C15</f>
        <v>0</v>
      </c>
      <c r="D14" s="50">
        <f t="shared" si="1"/>
        <v>0</v>
      </c>
      <c r="E14" s="50">
        <f t="shared" si="1"/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</row>
    <row r="15" spans="1:14" hidden="1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48" t="s">
        <v>45</v>
      </c>
      <c r="B16" s="49" t="s">
        <v>46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51"/>
      <c r="B17" s="51" t="s">
        <v>47</v>
      </c>
      <c r="C17" s="19">
        <f>+C7+C12+C13+C14+C16</f>
        <v>221</v>
      </c>
      <c r="D17" s="19">
        <f t="shared" ref="D17:N17" si="2">+D7+D12+D13+D14+D16</f>
        <v>222</v>
      </c>
      <c r="E17" s="19">
        <f t="shared" si="2"/>
        <v>229</v>
      </c>
      <c r="F17" s="19">
        <f t="shared" si="2"/>
        <v>171</v>
      </c>
      <c r="G17" s="19">
        <f t="shared" si="2"/>
        <v>195</v>
      </c>
      <c r="H17" s="19">
        <f t="shared" si="2"/>
        <v>215</v>
      </c>
      <c r="I17" s="19">
        <f t="shared" si="2"/>
        <v>173</v>
      </c>
      <c r="J17" s="19">
        <f t="shared" si="2"/>
        <v>218</v>
      </c>
      <c r="K17" s="19">
        <f t="shared" si="2"/>
        <v>225</v>
      </c>
      <c r="L17" s="19">
        <f t="shared" si="2"/>
        <v>183</v>
      </c>
      <c r="M17" s="19">
        <f t="shared" si="2"/>
        <v>188</v>
      </c>
      <c r="N17" s="19">
        <f t="shared" si="2"/>
        <v>239</v>
      </c>
    </row>
    <row r="18" spans="1:14" x14ac:dyDescent="0.2">
      <c r="A18" s="48" t="s">
        <v>48</v>
      </c>
      <c r="B18" s="49" t="s">
        <v>49</v>
      </c>
      <c r="C18" s="50">
        <f t="shared" ref="C18:N18" si="3">SUM(C19:C22)</f>
        <v>3.6</v>
      </c>
      <c r="D18" s="50">
        <f t="shared" si="3"/>
        <v>3.6</v>
      </c>
      <c r="E18" s="50">
        <f t="shared" si="3"/>
        <v>3.6</v>
      </c>
      <c r="F18" s="50">
        <f t="shared" si="3"/>
        <v>3.6</v>
      </c>
      <c r="G18" s="50">
        <f t="shared" si="3"/>
        <v>3.6</v>
      </c>
      <c r="H18" s="50">
        <f t="shared" si="3"/>
        <v>3.6</v>
      </c>
      <c r="I18" s="50">
        <f t="shared" si="3"/>
        <v>3.6</v>
      </c>
      <c r="J18" s="50">
        <f t="shared" si="3"/>
        <v>3.6</v>
      </c>
      <c r="K18" s="50">
        <f t="shared" si="3"/>
        <v>3.6</v>
      </c>
      <c r="L18" s="50">
        <f t="shared" si="3"/>
        <v>3.6</v>
      </c>
      <c r="M18" s="50">
        <f t="shared" si="3"/>
        <v>3.6</v>
      </c>
      <c r="N18" s="50">
        <f t="shared" si="3"/>
        <v>3.6</v>
      </c>
    </row>
    <row r="19" spans="1:14" hidden="1" outlineLevel="1" x14ac:dyDescent="0.2">
      <c r="A19" s="9" t="s">
        <v>50</v>
      </c>
      <c r="B19" s="1" t="s">
        <v>51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hidden="1" outlineLevel="1" x14ac:dyDescent="0.2">
      <c r="A20" s="9" t="s">
        <v>56</v>
      </c>
      <c r="B20" s="1" t="s">
        <v>51</v>
      </c>
      <c r="C20" s="28">
        <v>3.6</v>
      </c>
      <c r="D20" s="28">
        <v>3.6</v>
      </c>
      <c r="E20" s="28">
        <v>3.6</v>
      </c>
      <c r="F20" s="28">
        <v>3.6</v>
      </c>
      <c r="G20" s="28">
        <v>3.6</v>
      </c>
      <c r="H20" s="28">
        <v>3.6</v>
      </c>
      <c r="I20" s="28">
        <v>3.6</v>
      </c>
      <c r="J20" s="28">
        <v>3.6</v>
      </c>
      <c r="K20" s="28">
        <v>3.6</v>
      </c>
      <c r="L20" s="28">
        <v>3.6</v>
      </c>
      <c r="M20" s="28">
        <v>3.6</v>
      </c>
      <c r="N20" s="28">
        <v>3.6</v>
      </c>
    </row>
    <row r="21" spans="1:14" hidden="1" outlineLevel="1" x14ac:dyDescent="0.2">
      <c r="A21" s="9" t="s">
        <v>57</v>
      </c>
      <c r="B21" s="1" t="s">
        <v>58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hidden="1" outlineLevel="1" x14ac:dyDescent="0.2">
      <c r="A22" s="9" t="s">
        <v>59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collapsed="1" x14ac:dyDescent="0.2">
      <c r="A23" s="48" t="s">
        <v>60</v>
      </c>
      <c r="B23" s="49" t="s">
        <v>61</v>
      </c>
      <c r="C23" s="50">
        <v>0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2">
      <c r="A24" s="48" t="s">
        <v>62</v>
      </c>
      <c r="B24" s="49" t="s">
        <v>63</v>
      </c>
      <c r="C24" s="50">
        <v>0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2">
      <c r="A25" s="48" t="s">
        <v>64</v>
      </c>
      <c r="B25" s="49" t="s">
        <v>65</v>
      </c>
      <c r="C25" s="50">
        <f t="shared" ref="C25:N25" si="4">+C26</f>
        <v>3.7</v>
      </c>
      <c r="D25" s="50">
        <f t="shared" si="4"/>
        <v>3.7</v>
      </c>
      <c r="E25" s="50">
        <f t="shared" si="4"/>
        <v>3.7</v>
      </c>
      <c r="F25" s="50">
        <f t="shared" si="4"/>
        <v>3.7</v>
      </c>
      <c r="G25" s="50">
        <f t="shared" si="4"/>
        <v>3.7</v>
      </c>
      <c r="H25" s="50">
        <f t="shared" si="4"/>
        <v>3.7</v>
      </c>
      <c r="I25" s="50">
        <f t="shared" si="4"/>
        <v>3.7</v>
      </c>
      <c r="J25" s="50">
        <f t="shared" si="4"/>
        <v>3.7</v>
      </c>
      <c r="K25" s="50">
        <f t="shared" si="4"/>
        <v>3.7</v>
      </c>
      <c r="L25" s="50">
        <f t="shared" si="4"/>
        <v>3.7</v>
      </c>
      <c r="M25" s="50">
        <f t="shared" si="4"/>
        <v>3.7</v>
      </c>
      <c r="N25" s="50">
        <f t="shared" si="4"/>
        <v>3.7</v>
      </c>
    </row>
    <row r="26" spans="1:14" hidden="1" outlineLevel="1" x14ac:dyDescent="0.2">
      <c r="A26" s="9" t="s">
        <v>66</v>
      </c>
      <c r="B26" s="1" t="s">
        <v>67</v>
      </c>
      <c r="C26" s="28">
        <v>3.7</v>
      </c>
      <c r="D26" s="28">
        <v>3.7</v>
      </c>
      <c r="E26" s="28">
        <v>3.7</v>
      </c>
      <c r="F26" s="28">
        <v>3.7</v>
      </c>
      <c r="G26" s="28">
        <v>3.7</v>
      </c>
      <c r="H26" s="28">
        <v>3.7</v>
      </c>
      <c r="I26" s="28">
        <v>3.7</v>
      </c>
      <c r="J26" s="28">
        <v>3.7</v>
      </c>
      <c r="K26" s="28">
        <v>3.7</v>
      </c>
      <c r="L26" s="28">
        <v>3.7</v>
      </c>
      <c r="M26" s="28">
        <v>3.7</v>
      </c>
      <c r="N26" s="28">
        <v>3.7</v>
      </c>
    </row>
    <row r="27" spans="1:14" collapsed="1" x14ac:dyDescent="0.2">
      <c r="A27" s="48" t="s">
        <v>68</v>
      </c>
      <c r="B27" s="49" t="s">
        <v>69</v>
      </c>
      <c r="C27" s="50">
        <f t="shared" ref="C27:N27" si="5">+C28</f>
        <v>0</v>
      </c>
      <c r="D27" s="50">
        <f t="shared" si="5"/>
        <v>0</v>
      </c>
      <c r="E27" s="50">
        <f t="shared" si="5"/>
        <v>0</v>
      </c>
      <c r="F27" s="50">
        <f t="shared" si="5"/>
        <v>0</v>
      </c>
      <c r="G27" s="50">
        <f t="shared" si="5"/>
        <v>0</v>
      </c>
      <c r="H27" s="50">
        <f t="shared" si="5"/>
        <v>0</v>
      </c>
      <c r="I27" s="50">
        <f t="shared" si="5"/>
        <v>0</v>
      </c>
      <c r="J27" s="50">
        <f t="shared" si="5"/>
        <v>0</v>
      </c>
      <c r="K27" s="50">
        <f t="shared" si="5"/>
        <v>0</v>
      </c>
      <c r="L27" s="50">
        <f t="shared" si="5"/>
        <v>0</v>
      </c>
      <c r="M27" s="50">
        <f t="shared" si="5"/>
        <v>0</v>
      </c>
      <c r="N27" s="50">
        <f t="shared" si="5"/>
        <v>0</v>
      </c>
    </row>
    <row r="28" spans="1:14" hidden="1" outlineLevel="1" x14ac:dyDescent="0.2">
      <c r="A28" s="9" t="s">
        <v>70</v>
      </c>
      <c r="B28" s="1" t="s">
        <v>71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52"/>
      <c r="B29" s="52" t="s">
        <v>72</v>
      </c>
      <c r="C29" s="53">
        <f t="shared" ref="C29:N29" si="6">+C18+C23+C24+C25+C27</f>
        <v>7.3000000000000007</v>
      </c>
      <c r="D29" s="53">
        <f t="shared" si="6"/>
        <v>7.3000000000000007</v>
      </c>
      <c r="E29" s="53">
        <f t="shared" si="6"/>
        <v>7.3000000000000007</v>
      </c>
      <c r="F29" s="53">
        <f t="shared" si="6"/>
        <v>7.3000000000000007</v>
      </c>
      <c r="G29" s="53">
        <f t="shared" si="6"/>
        <v>7.3000000000000007</v>
      </c>
      <c r="H29" s="53">
        <f t="shared" si="6"/>
        <v>7.3000000000000007</v>
      </c>
      <c r="I29" s="53">
        <f t="shared" si="6"/>
        <v>7.3000000000000007</v>
      </c>
      <c r="J29" s="53">
        <f t="shared" si="6"/>
        <v>7.3000000000000007</v>
      </c>
      <c r="K29" s="53">
        <f t="shared" si="6"/>
        <v>7.3000000000000007</v>
      </c>
      <c r="L29" s="53">
        <f t="shared" si="6"/>
        <v>7.3000000000000007</v>
      </c>
      <c r="M29" s="53">
        <f t="shared" si="6"/>
        <v>7.3000000000000007</v>
      </c>
      <c r="N29" s="53">
        <f t="shared" si="6"/>
        <v>7.3000000000000007</v>
      </c>
    </row>
    <row r="30" spans="1:14" x14ac:dyDescent="0.2">
      <c r="A30" s="51"/>
      <c r="B30" s="51" t="s">
        <v>73</v>
      </c>
      <c r="C30" s="19">
        <f t="shared" ref="C30:N30" si="7">+C17-C29</f>
        <v>213.7</v>
      </c>
      <c r="D30" s="19">
        <f t="shared" si="7"/>
        <v>214.7</v>
      </c>
      <c r="E30" s="19">
        <f t="shared" si="7"/>
        <v>221.7</v>
      </c>
      <c r="F30" s="19">
        <f t="shared" si="7"/>
        <v>163.69999999999999</v>
      </c>
      <c r="G30" s="19">
        <f t="shared" si="7"/>
        <v>187.7</v>
      </c>
      <c r="H30" s="19">
        <f t="shared" si="7"/>
        <v>207.7</v>
      </c>
      <c r="I30" s="19">
        <f t="shared" si="7"/>
        <v>165.7</v>
      </c>
      <c r="J30" s="19">
        <f t="shared" si="7"/>
        <v>210.7</v>
      </c>
      <c r="K30" s="19">
        <f t="shared" si="7"/>
        <v>217.7</v>
      </c>
      <c r="L30" s="19">
        <f t="shared" si="7"/>
        <v>175.7</v>
      </c>
      <c r="M30" s="19">
        <f t="shared" si="7"/>
        <v>180.7</v>
      </c>
      <c r="N30" s="19">
        <f t="shared" si="7"/>
        <v>231.7</v>
      </c>
    </row>
    <row r="31" spans="1:14" x14ac:dyDescent="0.2">
      <c r="A31" s="9" t="s">
        <v>74</v>
      </c>
      <c r="B31" s="1" t="s">
        <v>74</v>
      </c>
      <c r="C31" s="10" t="s">
        <v>74</v>
      </c>
      <c r="D31" s="10" t="s">
        <v>74</v>
      </c>
      <c r="E31" s="10" t="s">
        <v>74</v>
      </c>
      <c r="F31" s="10" t="s">
        <v>74</v>
      </c>
      <c r="G31" s="10" t="s">
        <v>74</v>
      </c>
      <c r="H31" s="10" t="s">
        <v>74</v>
      </c>
      <c r="I31" s="10" t="s">
        <v>74</v>
      </c>
      <c r="J31" s="10" t="s">
        <v>74</v>
      </c>
      <c r="K31" s="10" t="s">
        <v>74</v>
      </c>
      <c r="L31" s="10" t="s">
        <v>74</v>
      </c>
      <c r="M31" s="10" t="s">
        <v>74</v>
      </c>
      <c r="N31" s="10" t="s">
        <v>74</v>
      </c>
    </row>
    <row r="32" spans="1:14" x14ac:dyDescent="0.2">
      <c r="A32" s="48" t="s">
        <v>75</v>
      </c>
      <c r="B32" s="49" t="s">
        <v>76</v>
      </c>
      <c r="C32" s="50">
        <f>SUM(C33:C51)</f>
        <v>81.070000000000007</v>
      </c>
      <c r="D32" s="50">
        <f t="shared" ref="D32:N32" si="8">SUM(D33:D51)</f>
        <v>81.17</v>
      </c>
      <c r="E32" s="50">
        <f t="shared" si="8"/>
        <v>80.97</v>
      </c>
      <c r="F32" s="50">
        <f t="shared" si="8"/>
        <v>81.27000000000001</v>
      </c>
      <c r="G32" s="50">
        <f t="shared" si="8"/>
        <v>82.070000000000007</v>
      </c>
      <c r="H32" s="50">
        <f t="shared" si="8"/>
        <v>91.37</v>
      </c>
      <c r="I32" s="50">
        <f t="shared" si="8"/>
        <v>81.37</v>
      </c>
      <c r="J32" s="50">
        <f t="shared" si="8"/>
        <v>80.97</v>
      </c>
      <c r="K32" s="50">
        <f t="shared" si="8"/>
        <v>81.27000000000001</v>
      </c>
      <c r="L32" s="50">
        <f t="shared" si="8"/>
        <v>83.27000000000001</v>
      </c>
      <c r="M32" s="50">
        <f t="shared" si="8"/>
        <v>82.470000000000013</v>
      </c>
      <c r="N32" s="50">
        <f t="shared" si="8"/>
        <v>92.67</v>
      </c>
    </row>
    <row r="33" spans="1:14" hidden="1" outlineLevel="1" x14ac:dyDescent="0.2">
      <c r="A33" s="9" t="s">
        <v>77</v>
      </c>
      <c r="B33" s="1" t="s">
        <v>78</v>
      </c>
      <c r="C33" s="10">
        <v>35.6</v>
      </c>
      <c r="D33" s="10">
        <v>35.6</v>
      </c>
      <c r="E33" s="10">
        <v>35.6</v>
      </c>
      <c r="F33" s="10">
        <v>35.6</v>
      </c>
      <c r="G33" s="10">
        <v>35.6</v>
      </c>
      <c r="H33" s="10">
        <v>35.6</v>
      </c>
      <c r="I33" s="10">
        <v>35.6</v>
      </c>
      <c r="J33" s="10">
        <v>35.6</v>
      </c>
      <c r="K33" s="10">
        <v>35.6</v>
      </c>
      <c r="L33" s="10">
        <v>35.6</v>
      </c>
      <c r="M33" s="10">
        <v>35.6</v>
      </c>
      <c r="N33" s="10">
        <v>35.6</v>
      </c>
    </row>
    <row r="34" spans="1:14" hidden="1" outlineLevel="1" x14ac:dyDescent="0.2">
      <c r="A34" s="9" t="s">
        <v>79</v>
      </c>
      <c r="B34" s="1" t="s">
        <v>80</v>
      </c>
      <c r="C34" s="10">
        <v>0.4</v>
      </c>
      <c r="D34" s="10">
        <v>0.4</v>
      </c>
      <c r="E34" s="10">
        <v>0.4</v>
      </c>
      <c r="F34" s="10">
        <v>0.4</v>
      </c>
      <c r="G34" s="10">
        <v>0.4</v>
      </c>
      <c r="H34" s="10">
        <v>0.4</v>
      </c>
      <c r="I34" s="10">
        <v>0.4</v>
      </c>
      <c r="J34" s="10">
        <v>0.4</v>
      </c>
      <c r="K34" s="10">
        <v>0.4</v>
      </c>
      <c r="L34" s="10">
        <v>0.4</v>
      </c>
      <c r="M34" s="10">
        <v>0.4</v>
      </c>
      <c r="N34" s="10">
        <v>0.4</v>
      </c>
    </row>
    <row r="35" spans="1:14" hidden="1" outlineLevel="1" x14ac:dyDescent="0.2">
      <c r="A35" s="9" t="s">
        <v>81</v>
      </c>
      <c r="B35" s="1" t="s">
        <v>82</v>
      </c>
      <c r="C35" s="10">
        <v>7.6</v>
      </c>
      <c r="D35" s="10">
        <v>7.6</v>
      </c>
      <c r="E35" s="10">
        <v>7.6</v>
      </c>
      <c r="F35" s="10">
        <v>7.6</v>
      </c>
      <c r="G35" s="10">
        <v>7.6</v>
      </c>
      <c r="H35" s="10">
        <v>7.6</v>
      </c>
      <c r="I35" s="10">
        <v>7.6</v>
      </c>
      <c r="J35" s="10">
        <v>7.6</v>
      </c>
      <c r="K35" s="10">
        <v>7.6</v>
      </c>
      <c r="L35" s="10">
        <v>7.6</v>
      </c>
      <c r="M35" s="10">
        <v>7.6</v>
      </c>
      <c r="N35" s="10">
        <v>7.6</v>
      </c>
    </row>
    <row r="36" spans="1:14" hidden="1" outlineLevel="1" x14ac:dyDescent="0.2">
      <c r="A36" s="9" t="s">
        <v>83</v>
      </c>
      <c r="B36" s="1" t="s">
        <v>84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85</v>
      </c>
      <c r="B37" s="1" t="s">
        <v>86</v>
      </c>
      <c r="C37" s="10">
        <v>1.3</v>
      </c>
      <c r="D37" s="10">
        <v>1.3</v>
      </c>
      <c r="E37" s="10">
        <v>1.3</v>
      </c>
      <c r="F37" s="10">
        <v>1.3</v>
      </c>
      <c r="G37" s="10">
        <v>1.3</v>
      </c>
      <c r="H37" s="10">
        <v>1.3</v>
      </c>
      <c r="I37" s="10">
        <v>1.3</v>
      </c>
      <c r="J37" s="10">
        <v>1.3</v>
      </c>
      <c r="K37" s="10">
        <v>1.3</v>
      </c>
      <c r="L37" s="10">
        <v>2.5</v>
      </c>
      <c r="M37" s="10">
        <v>2.5</v>
      </c>
      <c r="N37" s="10">
        <v>2.5</v>
      </c>
    </row>
    <row r="38" spans="1:14" hidden="1" outlineLevel="1" x14ac:dyDescent="0.2">
      <c r="A38" s="9" t="s">
        <v>87</v>
      </c>
      <c r="B38" s="1" t="s">
        <v>88</v>
      </c>
      <c r="C38" s="10">
        <v>3.3</v>
      </c>
      <c r="D38" s="10">
        <v>3.3</v>
      </c>
      <c r="E38" s="10">
        <v>3.3</v>
      </c>
      <c r="F38" s="10">
        <v>3.3</v>
      </c>
      <c r="G38" s="10">
        <v>3.3</v>
      </c>
      <c r="H38" s="10">
        <v>3.3</v>
      </c>
      <c r="I38" s="10">
        <v>3.3</v>
      </c>
      <c r="J38" s="10">
        <v>3.3</v>
      </c>
      <c r="K38" s="10">
        <v>3.3</v>
      </c>
      <c r="L38" s="10">
        <v>3.3</v>
      </c>
      <c r="M38" s="10">
        <v>3.3</v>
      </c>
      <c r="N38" s="10">
        <v>3.3</v>
      </c>
    </row>
    <row r="39" spans="1:14" hidden="1" outlineLevel="1" x14ac:dyDescent="0.2">
      <c r="A39" s="9" t="s">
        <v>89</v>
      </c>
      <c r="B39" s="1" t="s">
        <v>90</v>
      </c>
      <c r="C39" s="10">
        <v>4.0999999999999996</v>
      </c>
      <c r="D39" s="10">
        <v>4.0999999999999996</v>
      </c>
      <c r="E39" s="10">
        <v>4.0999999999999996</v>
      </c>
      <c r="F39" s="10">
        <v>4.0999999999999996</v>
      </c>
      <c r="G39" s="10">
        <v>4.0999999999999996</v>
      </c>
      <c r="H39" s="10">
        <v>4.0999999999999996</v>
      </c>
      <c r="I39" s="10">
        <v>4.0999999999999996</v>
      </c>
      <c r="J39" s="10">
        <v>4.0999999999999996</v>
      </c>
      <c r="K39" s="10">
        <v>4.0999999999999996</v>
      </c>
      <c r="L39" s="10">
        <v>4.0999999999999996</v>
      </c>
      <c r="M39" s="10">
        <v>4.0999999999999996</v>
      </c>
      <c r="N39" s="10">
        <v>4.0999999999999996</v>
      </c>
    </row>
    <row r="40" spans="1:14" hidden="1" outlineLevel="1" x14ac:dyDescent="0.2">
      <c r="A40" s="9" t="s">
        <v>93</v>
      </c>
      <c r="B40" s="1" t="s">
        <v>94</v>
      </c>
      <c r="C40" s="10">
        <v>5.0999999999999996</v>
      </c>
      <c r="D40" s="10">
        <v>5.0999999999999996</v>
      </c>
      <c r="E40" s="10">
        <v>5.0999999999999996</v>
      </c>
      <c r="F40" s="10">
        <v>5.0999999999999996</v>
      </c>
      <c r="G40" s="10">
        <v>5.0999999999999996</v>
      </c>
      <c r="H40" s="10">
        <v>5.0999999999999996</v>
      </c>
      <c r="I40" s="10">
        <v>5.0999999999999996</v>
      </c>
      <c r="J40" s="10">
        <v>5.0999999999999996</v>
      </c>
      <c r="K40" s="10">
        <v>5.0999999999999996</v>
      </c>
      <c r="L40" s="10">
        <v>5.0999999999999996</v>
      </c>
      <c r="M40" s="10">
        <v>5.0999999999999996</v>
      </c>
      <c r="N40" s="10">
        <v>5.0999999999999996</v>
      </c>
    </row>
    <row r="41" spans="1:14" hidden="1" outlineLevel="1" x14ac:dyDescent="0.2">
      <c r="A41" s="9" t="s">
        <v>95</v>
      </c>
      <c r="B41" s="1" t="s">
        <v>96</v>
      </c>
      <c r="C41" s="10">
        <v>0.4</v>
      </c>
      <c r="D41" s="10">
        <v>0.4</v>
      </c>
      <c r="E41" s="10">
        <v>0.4</v>
      </c>
      <c r="F41" s="10">
        <v>0.4</v>
      </c>
      <c r="G41" s="10">
        <v>0.4</v>
      </c>
      <c r="H41" s="10">
        <v>0.4</v>
      </c>
      <c r="I41" s="10">
        <v>0.4</v>
      </c>
      <c r="J41" s="10">
        <v>0.4</v>
      </c>
      <c r="K41" s="10">
        <v>0.4</v>
      </c>
      <c r="L41" s="10">
        <v>0.4</v>
      </c>
      <c r="M41" s="10">
        <v>0.4</v>
      </c>
      <c r="N41" s="10">
        <v>0.4</v>
      </c>
    </row>
    <row r="42" spans="1:14" hidden="1" outlineLevel="1" x14ac:dyDescent="0.2">
      <c r="A42" s="9" t="s">
        <v>97</v>
      </c>
      <c r="B42" s="1" t="s">
        <v>98</v>
      </c>
      <c r="C42" s="10">
        <v>4.3</v>
      </c>
      <c r="D42" s="10">
        <v>4.3</v>
      </c>
      <c r="E42" s="10">
        <v>4.3</v>
      </c>
      <c r="F42" s="10">
        <v>4.3</v>
      </c>
      <c r="G42" s="10">
        <v>4.3</v>
      </c>
      <c r="H42" s="10">
        <v>4.3</v>
      </c>
      <c r="I42" s="10">
        <v>4.3</v>
      </c>
      <c r="J42" s="10">
        <v>4.3</v>
      </c>
      <c r="K42" s="10">
        <v>4.3</v>
      </c>
      <c r="L42" s="10">
        <v>4.3</v>
      </c>
      <c r="M42" s="10">
        <v>4.3</v>
      </c>
      <c r="N42" s="10">
        <v>4.3</v>
      </c>
    </row>
    <row r="43" spans="1:14" hidden="1" outlineLevel="1" x14ac:dyDescent="0.2">
      <c r="A43" s="9" t="s">
        <v>303</v>
      </c>
      <c r="B43" s="1" t="s">
        <v>304</v>
      </c>
      <c r="C43" s="10">
        <v>0</v>
      </c>
      <c r="D43" s="10">
        <v>0.1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99</v>
      </c>
      <c r="B44" s="1" t="s">
        <v>100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101</v>
      </c>
      <c r="B45" s="1" t="s">
        <v>102</v>
      </c>
      <c r="C45" s="10">
        <v>1.2</v>
      </c>
      <c r="D45" s="10">
        <v>1.2</v>
      </c>
      <c r="E45" s="10">
        <v>1.2</v>
      </c>
      <c r="F45" s="10">
        <v>1.2</v>
      </c>
      <c r="G45" s="10">
        <v>1.2</v>
      </c>
      <c r="H45" s="10">
        <v>1.2</v>
      </c>
      <c r="I45" s="10">
        <v>1.2</v>
      </c>
      <c r="J45" s="10">
        <v>1.2</v>
      </c>
      <c r="K45" s="10">
        <v>1.2</v>
      </c>
      <c r="L45" s="10">
        <v>1.2</v>
      </c>
      <c r="M45" s="10">
        <v>1.2</v>
      </c>
      <c r="N45" s="10">
        <v>1.2</v>
      </c>
    </row>
    <row r="46" spans="1:14" hidden="1" outlineLevel="1" x14ac:dyDescent="0.2">
      <c r="A46" s="9" t="s">
        <v>103</v>
      </c>
      <c r="B46" s="1" t="s">
        <v>104</v>
      </c>
      <c r="C46" s="10">
        <v>3.2</v>
      </c>
      <c r="D46" s="10">
        <v>3.2</v>
      </c>
      <c r="E46" s="10">
        <v>3.1</v>
      </c>
      <c r="F46" s="10">
        <v>3.4</v>
      </c>
      <c r="G46" s="10">
        <v>3.3</v>
      </c>
      <c r="H46" s="10">
        <v>3.4</v>
      </c>
      <c r="I46" s="10">
        <v>3.5</v>
      </c>
      <c r="J46" s="10">
        <v>3.1</v>
      </c>
      <c r="K46" s="10">
        <v>3.4</v>
      </c>
      <c r="L46" s="10">
        <v>3.3</v>
      </c>
      <c r="M46" s="10">
        <v>3.4</v>
      </c>
      <c r="N46" s="10">
        <v>3.5</v>
      </c>
    </row>
    <row r="47" spans="1:14" hidden="1" outlineLevel="1" x14ac:dyDescent="0.2">
      <c r="A47" s="9" t="s">
        <v>305</v>
      </c>
      <c r="B47" s="1" t="s">
        <v>306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105</v>
      </c>
      <c r="B48" s="1" t="s">
        <v>106</v>
      </c>
      <c r="C48" s="10">
        <v>12</v>
      </c>
      <c r="D48" s="10">
        <v>12</v>
      </c>
      <c r="E48" s="10">
        <v>12</v>
      </c>
      <c r="F48" s="10">
        <v>12</v>
      </c>
      <c r="G48" s="10">
        <v>12</v>
      </c>
      <c r="H48" s="10">
        <v>12</v>
      </c>
      <c r="I48" s="10">
        <v>12</v>
      </c>
      <c r="J48" s="10">
        <v>12</v>
      </c>
      <c r="K48" s="10">
        <v>12</v>
      </c>
      <c r="L48" s="10">
        <v>12</v>
      </c>
      <c r="M48" s="10">
        <v>12</v>
      </c>
      <c r="N48" s="10">
        <v>12</v>
      </c>
    </row>
    <row r="49" spans="1:14" hidden="1" outlineLevel="1" x14ac:dyDescent="0.2">
      <c r="A49" s="9" t="s">
        <v>107</v>
      </c>
      <c r="B49" s="1" t="s">
        <v>108</v>
      </c>
      <c r="C49" s="10">
        <v>0.9</v>
      </c>
      <c r="D49" s="10">
        <v>0.9</v>
      </c>
      <c r="E49" s="10">
        <v>0.9</v>
      </c>
      <c r="F49" s="10">
        <v>0.9</v>
      </c>
      <c r="G49" s="10">
        <v>0.9</v>
      </c>
      <c r="H49" s="10">
        <v>11</v>
      </c>
      <c r="I49" s="10">
        <v>0.9</v>
      </c>
      <c r="J49" s="10">
        <v>0.9</v>
      </c>
      <c r="K49" s="10">
        <v>0.9</v>
      </c>
      <c r="L49" s="10">
        <v>0.9</v>
      </c>
      <c r="M49" s="10">
        <v>0.9</v>
      </c>
      <c r="N49" s="10">
        <v>11</v>
      </c>
    </row>
    <row r="50" spans="1:14" hidden="1" outlineLevel="1" x14ac:dyDescent="0.2">
      <c r="A50" s="9" t="s">
        <v>109</v>
      </c>
      <c r="B50" s="1" t="s">
        <v>110</v>
      </c>
      <c r="C50" s="10">
        <v>1.67</v>
      </c>
      <c r="D50" s="10">
        <v>1.67</v>
      </c>
      <c r="E50" s="10">
        <v>1.67</v>
      </c>
      <c r="F50" s="10">
        <v>1.67</v>
      </c>
      <c r="G50" s="10">
        <v>1.67</v>
      </c>
      <c r="H50" s="10">
        <v>1.67</v>
      </c>
      <c r="I50" s="10">
        <v>1.67</v>
      </c>
      <c r="J50" s="10">
        <v>1.67</v>
      </c>
      <c r="K50" s="10">
        <v>1.67</v>
      </c>
      <c r="L50" s="10">
        <v>1.67</v>
      </c>
      <c r="M50" s="10">
        <v>1.67</v>
      </c>
      <c r="N50" s="10">
        <v>1.67</v>
      </c>
    </row>
    <row r="51" spans="1:14" hidden="1" outlineLevel="1" x14ac:dyDescent="0.2">
      <c r="A51" s="9" t="s">
        <v>307</v>
      </c>
      <c r="B51" s="1" t="s">
        <v>308</v>
      </c>
      <c r="C51" s="10">
        <v>0</v>
      </c>
      <c r="D51" s="10">
        <v>0</v>
      </c>
      <c r="E51" s="10">
        <v>0</v>
      </c>
      <c r="F51" s="10">
        <v>0</v>
      </c>
      <c r="G51" s="10">
        <v>0.9</v>
      </c>
      <c r="H51" s="10">
        <v>0</v>
      </c>
      <c r="I51" s="10">
        <v>0</v>
      </c>
      <c r="J51" s="10">
        <v>0</v>
      </c>
      <c r="K51" s="10">
        <v>0</v>
      </c>
      <c r="L51" s="10">
        <v>0.9</v>
      </c>
      <c r="M51" s="10">
        <v>0</v>
      </c>
      <c r="N51" s="10">
        <v>0</v>
      </c>
    </row>
    <row r="52" spans="1:14" collapsed="1" x14ac:dyDescent="0.2">
      <c r="A52" s="48" t="s">
        <v>111</v>
      </c>
      <c r="B52" s="49" t="s">
        <v>112</v>
      </c>
      <c r="C52" s="50">
        <f t="shared" ref="C52:N52" si="9">SUM(C53:C57)</f>
        <v>0.89999999999999991</v>
      </c>
      <c r="D52" s="50">
        <f t="shared" si="9"/>
        <v>0.89999999999999991</v>
      </c>
      <c r="E52" s="50">
        <f t="shared" si="9"/>
        <v>0.89999999999999991</v>
      </c>
      <c r="F52" s="50">
        <f t="shared" si="9"/>
        <v>0.89999999999999991</v>
      </c>
      <c r="G52" s="50">
        <f t="shared" si="9"/>
        <v>0.89999999999999991</v>
      </c>
      <c r="H52" s="50">
        <f t="shared" si="9"/>
        <v>0.89999999999999991</v>
      </c>
      <c r="I52" s="50">
        <f t="shared" si="9"/>
        <v>0.89999999999999991</v>
      </c>
      <c r="J52" s="50">
        <f t="shared" si="9"/>
        <v>0.89999999999999991</v>
      </c>
      <c r="K52" s="50">
        <f t="shared" si="9"/>
        <v>0.89999999999999991</v>
      </c>
      <c r="L52" s="50">
        <f t="shared" si="9"/>
        <v>0.89999999999999991</v>
      </c>
      <c r="M52" s="50">
        <f t="shared" si="9"/>
        <v>0.89999999999999991</v>
      </c>
      <c r="N52" s="50">
        <f t="shared" si="9"/>
        <v>0.89999999999999991</v>
      </c>
    </row>
    <row r="53" spans="1:14" hidden="1" outlineLevel="1" x14ac:dyDescent="0.2">
      <c r="A53" s="9" t="s">
        <v>113</v>
      </c>
      <c r="B53" s="1" t="s">
        <v>114</v>
      </c>
      <c r="C53" s="10">
        <v>0.4</v>
      </c>
      <c r="D53" s="10">
        <v>0.4</v>
      </c>
      <c r="E53" s="10">
        <v>0.4</v>
      </c>
      <c r="F53" s="10">
        <v>0.4</v>
      </c>
      <c r="G53" s="10">
        <v>0.4</v>
      </c>
      <c r="H53" s="10">
        <v>0.4</v>
      </c>
      <c r="I53" s="10">
        <v>0.4</v>
      </c>
      <c r="J53" s="10">
        <v>0.4</v>
      </c>
      <c r="K53" s="10">
        <v>0.4</v>
      </c>
      <c r="L53" s="10">
        <v>0.4</v>
      </c>
      <c r="M53" s="10">
        <v>0.4</v>
      </c>
      <c r="N53" s="10">
        <v>0.4</v>
      </c>
    </row>
    <row r="54" spans="1:14" hidden="1" outlineLevel="1" x14ac:dyDescent="0.2">
      <c r="A54" s="9" t="s">
        <v>115</v>
      </c>
      <c r="B54" s="1" t="s">
        <v>116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hidden="1" outlineLevel="1" x14ac:dyDescent="0.2">
      <c r="A55" s="9" t="s">
        <v>311</v>
      </c>
      <c r="B55" s="1" t="s">
        <v>312</v>
      </c>
      <c r="C55" s="10">
        <v>0.3</v>
      </c>
      <c r="D55" s="10">
        <v>0.3</v>
      </c>
      <c r="E55" s="10">
        <v>0.3</v>
      </c>
      <c r="F55" s="10">
        <v>0.3</v>
      </c>
      <c r="G55" s="10">
        <v>0.3</v>
      </c>
      <c r="H55" s="10">
        <v>0.3</v>
      </c>
      <c r="I55" s="10">
        <v>0.3</v>
      </c>
      <c r="J55" s="10">
        <v>0.3</v>
      </c>
      <c r="K55" s="10">
        <v>0.3</v>
      </c>
      <c r="L55" s="10">
        <v>0.3</v>
      </c>
      <c r="M55" s="10">
        <v>0.3</v>
      </c>
      <c r="N55" s="10">
        <v>0.3</v>
      </c>
    </row>
    <row r="56" spans="1:14" hidden="1" outlineLevel="1" x14ac:dyDescent="0.2">
      <c r="A56" s="9" t="s">
        <v>117</v>
      </c>
      <c r="B56" s="1" t="s">
        <v>118</v>
      </c>
      <c r="C56" s="10">
        <v>0.2</v>
      </c>
      <c r="D56" s="10">
        <v>0.2</v>
      </c>
      <c r="E56" s="10">
        <v>0.2</v>
      </c>
      <c r="F56" s="10">
        <v>0.2</v>
      </c>
      <c r="G56" s="10">
        <v>0.2</v>
      </c>
      <c r="H56" s="10">
        <v>0.2</v>
      </c>
      <c r="I56" s="10">
        <v>0.2</v>
      </c>
      <c r="J56" s="10">
        <v>0.2</v>
      </c>
      <c r="K56" s="10">
        <v>0.2</v>
      </c>
      <c r="L56" s="10">
        <v>0.2</v>
      </c>
      <c r="M56" s="10">
        <v>0.2</v>
      </c>
      <c r="N56" s="10">
        <v>0.2</v>
      </c>
    </row>
    <row r="57" spans="1:14" hidden="1" outlineLevel="1" x14ac:dyDescent="0.2">
      <c r="A57" s="9" t="s">
        <v>313</v>
      </c>
      <c r="B57" s="1" t="s">
        <v>314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collapsed="1" x14ac:dyDescent="0.2">
      <c r="A58" s="48" t="s">
        <v>119</v>
      </c>
      <c r="B58" s="49" t="s">
        <v>120</v>
      </c>
      <c r="C58" s="50">
        <f t="shared" ref="C58:N58" si="10">SUM(C59:C60)</f>
        <v>0.9</v>
      </c>
      <c r="D58" s="50">
        <f t="shared" si="10"/>
        <v>0.9</v>
      </c>
      <c r="E58" s="50">
        <f t="shared" si="10"/>
        <v>0.5</v>
      </c>
      <c r="F58" s="50">
        <f t="shared" si="10"/>
        <v>0.5</v>
      </c>
      <c r="G58" s="50">
        <f t="shared" si="10"/>
        <v>0.5</v>
      </c>
      <c r="H58" s="50">
        <f t="shared" si="10"/>
        <v>0.4</v>
      </c>
      <c r="I58" s="50">
        <f t="shared" si="10"/>
        <v>0.5</v>
      </c>
      <c r="J58" s="50">
        <f t="shared" si="10"/>
        <v>0.5</v>
      </c>
      <c r="K58" s="50">
        <f t="shared" si="10"/>
        <v>0.5</v>
      </c>
      <c r="L58" s="50">
        <f t="shared" si="10"/>
        <v>0.5</v>
      </c>
      <c r="M58" s="50">
        <f t="shared" si="10"/>
        <v>0.5</v>
      </c>
      <c r="N58" s="50">
        <f t="shared" si="10"/>
        <v>0.4</v>
      </c>
    </row>
    <row r="59" spans="1:14" hidden="1" outlineLevel="1" x14ac:dyDescent="0.2">
      <c r="A59" s="9" t="s">
        <v>121</v>
      </c>
      <c r="B59" s="1" t="s">
        <v>122</v>
      </c>
      <c r="C59" s="10">
        <v>0.5</v>
      </c>
      <c r="D59" s="10">
        <v>0.5</v>
      </c>
      <c r="E59" s="10">
        <v>0.1</v>
      </c>
      <c r="F59" s="10">
        <v>0.1</v>
      </c>
      <c r="G59" s="10">
        <v>0.1</v>
      </c>
      <c r="H59" s="10">
        <v>0.1</v>
      </c>
      <c r="I59" s="10">
        <v>0.1</v>
      </c>
      <c r="J59" s="10">
        <v>0.1</v>
      </c>
      <c r="K59" s="10">
        <v>0.1</v>
      </c>
      <c r="L59" s="10">
        <v>0.1</v>
      </c>
      <c r="M59" s="10">
        <v>0.1</v>
      </c>
      <c r="N59" s="10">
        <v>0.1</v>
      </c>
    </row>
    <row r="60" spans="1:14" hidden="1" outlineLevel="1" x14ac:dyDescent="0.2">
      <c r="A60" s="9" t="s">
        <v>123</v>
      </c>
      <c r="B60" s="1" t="s">
        <v>124</v>
      </c>
      <c r="C60" s="10">
        <v>0.4</v>
      </c>
      <c r="D60" s="10">
        <v>0.4</v>
      </c>
      <c r="E60" s="10">
        <v>0.4</v>
      </c>
      <c r="F60" s="10">
        <v>0.4</v>
      </c>
      <c r="G60" s="10">
        <v>0.4</v>
      </c>
      <c r="H60" s="10">
        <v>0.3</v>
      </c>
      <c r="I60" s="10">
        <v>0.4</v>
      </c>
      <c r="J60" s="10">
        <v>0.4</v>
      </c>
      <c r="K60" s="10">
        <v>0.4</v>
      </c>
      <c r="L60" s="10">
        <v>0.4</v>
      </c>
      <c r="M60" s="10">
        <v>0.4</v>
      </c>
      <c r="N60" s="10">
        <v>0.3</v>
      </c>
    </row>
    <row r="61" spans="1:14" collapsed="1" x14ac:dyDescent="0.2">
      <c r="A61" s="48" t="s">
        <v>127</v>
      </c>
      <c r="B61" s="49" t="s">
        <v>128</v>
      </c>
      <c r="C61" s="50">
        <f t="shared" ref="C61:N61" si="11">SUM(C62:C65)</f>
        <v>13</v>
      </c>
      <c r="D61" s="50">
        <f t="shared" si="11"/>
        <v>13.9</v>
      </c>
      <c r="E61" s="50">
        <f t="shared" si="11"/>
        <v>13</v>
      </c>
      <c r="F61" s="50">
        <f t="shared" si="11"/>
        <v>13</v>
      </c>
      <c r="G61" s="50">
        <f t="shared" si="11"/>
        <v>13.1</v>
      </c>
      <c r="H61" s="50">
        <f t="shared" si="11"/>
        <v>13</v>
      </c>
      <c r="I61" s="50">
        <f t="shared" si="11"/>
        <v>13</v>
      </c>
      <c r="J61" s="50">
        <f t="shared" si="11"/>
        <v>13</v>
      </c>
      <c r="K61" s="50">
        <f t="shared" si="11"/>
        <v>13</v>
      </c>
      <c r="L61" s="50">
        <f t="shared" si="11"/>
        <v>13</v>
      </c>
      <c r="M61" s="50">
        <f t="shared" si="11"/>
        <v>13</v>
      </c>
      <c r="N61" s="50">
        <f t="shared" si="11"/>
        <v>26</v>
      </c>
    </row>
    <row r="62" spans="1:14" hidden="1" outlineLevel="1" x14ac:dyDescent="0.2">
      <c r="A62" s="9" t="s">
        <v>129</v>
      </c>
      <c r="B62" s="1" t="s">
        <v>130</v>
      </c>
      <c r="C62" s="10">
        <v>13</v>
      </c>
      <c r="D62" s="10">
        <v>13</v>
      </c>
      <c r="E62" s="10">
        <v>13</v>
      </c>
      <c r="F62" s="10">
        <v>13</v>
      </c>
      <c r="G62" s="10">
        <v>13</v>
      </c>
      <c r="H62" s="10">
        <v>13</v>
      </c>
      <c r="I62" s="10">
        <v>13</v>
      </c>
      <c r="J62" s="10">
        <v>13</v>
      </c>
      <c r="K62" s="10">
        <v>13</v>
      </c>
      <c r="L62" s="10">
        <v>13</v>
      </c>
      <c r="M62" s="10">
        <v>13</v>
      </c>
      <c r="N62" s="10">
        <v>26</v>
      </c>
    </row>
    <row r="63" spans="1:14" hidden="1" outlineLevel="1" x14ac:dyDescent="0.2">
      <c r="A63" s="9" t="s">
        <v>371</v>
      </c>
      <c r="B63" s="1" t="s">
        <v>372</v>
      </c>
      <c r="C63" s="10">
        <v>0</v>
      </c>
      <c r="D63" s="10">
        <v>0</v>
      </c>
      <c r="E63" s="10">
        <v>0</v>
      </c>
      <c r="F63" s="10">
        <v>0</v>
      </c>
      <c r="G63" s="10">
        <v>0.1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</row>
    <row r="64" spans="1:14" hidden="1" outlineLevel="1" x14ac:dyDescent="0.2">
      <c r="A64" s="9" t="s">
        <v>131</v>
      </c>
      <c r="B64" s="1" t="s">
        <v>132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</row>
    <row r="65" spans="1:14" hidden="1" outlineLevel="1" x14ac:dyDescent="0.2">
      <c r="A65" s="9" t="s">
        <v>325</v>
      </c>
      <c r="B65" s="1" t="s">
        <v>326</v>
      </c>
      <c r="C65" s="10">
        <v>0</v>
      </c>
      <c r="D65" s="10">
        <v>0.9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</row>
    <row r="66" spans="1:14" collapsed="1" x14ac:dyDescent="0.2">
      <c r="A66" s="48" t="s">
        <v>133</v>
      </c>
      <c r="B66" s="49" t="s">
        <v>134</v>
      </c>
      <c r="C66" s="50">
        <f t="shared" ref="C66:N66" si="12">SUM(C67:C74)</f>
        <v>3</v>
      </c>
      <c r="D66" s="50">
        <f t="shared" si="12"/>
        <v>3</v>
      </c>
      <c r="E66" s="50">
        <f t="shared" si="12"/>
        <v>3</v>
      </c>
      <c r="F66" s="50">
        <f t="shared" si="12"/>
        <v>3</v>
      </c>
      <c r="G66" s="50">
        <f t="shared" si="12"/>
        <v>3.8</v>
      </c>
      <c r="H66" s="50">
        <f t="shared" si="12"/>
        <v>18.600000000000001</v>
      </c>
      <c r="I66" s="50">
        <f t="shared" si="12"/>
        <v>7</v>
      </c>
      <c r="J66" s="50">
        <f t="shared" si="12"/>
        <v>6</v>
      </c>
      <c r="K66" s="50">
        <f t="shared" si="12"/>
        <v>5</v>
      </c>
      <c r="L66" s="50">
        <f t="shared" si="12"/>
        <v>6</v>
      </c>
      <c r="M66" s="50">
        <f t="shared" si="12"/>
        <v>4</v>
      </c>
      <c r="N66" s="50">
        <f t="shared" si="12"/>
        <v>9</v>
      </c>
    </row>
    <row r="67" spans="1:14" hidden="1" outlineLevel="1" x14ac:dyDescent="0.2">
      <c r="A67" s="9" t="s">
        <v>327</v>
      </c>
      <c r="B67" s="1" t="s">
        <v>328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</row>
    <row r="68" spans="1:14" hidden="1" outlineLevel="1" x14ac:dyDescent="0.2">
      <c r="A68" s="9" t="s">
        <v>329</v>
      </c>
      <c r="B68" s="1" t="s">
        <v>330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15.6</v>
      </c>
      <c r="I68" s="10">
        <v>4</v>
      </c>
      <c r="J68" s="10">
        <v>3</v>
      </c>
      <c r="K68" s="10">
        <v>2</v>
      </c>
      <c r="L68" s="10">
        <v>3</v>
      </c>
      <c r="M68" s="10">
        <v>1</v>
      </c>
      <c r="N68" s="10">
        <v>6</v>
      </c>
    </row>
    <row r="69" spans="1:14" hidden="1" outlineLevel="1" x14ac:dyDescent="0.2">
      <c r="A69" s="9" t="s">
        <v>331</v>
      </c>
      <c r="B69" s="1" t="s">
        <v>332</v>
      </c>
      <c r="C69" s="10">
        <v>0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</row>
    <row r="70" spans="1:14" hidden="1" outlineLevel="1" x14ac:dyDescent="0.2">
      <c r="A70" s="9" t="s">
        <v>135</v>
      </c>
      <c r="B70" s="1" t="s">
        <v>136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</row>
    <row r="71" spans="1:14" hidden="1" outlineLevel="1" x14ac:dyDescent="0.2">
      <c r="A71" s="9" t="s">
        <v>373</v>
      </c>
      <c r="B71" s="1" t="s">
        <v>374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hidden="1" outlineLevel="1" x14ac:dyDescent="0.2">
      <c r="A72" s="9" t="s">
        <v>335</v>
      </c>
      <c r="B72" s="1" t="s">
        <v>336</v>
      </c>
      <c r="C72" s="10">
        <v>3</v>
      </c>
      <c r="D72" s="10">
        <v>3</v>
      </c>
      <c r="E72" s="10">
        <v>3</v>
      </c>
      <c r="F72" s="10">
        <v>3</v>
      </c>
      <c r="G72" s="10">
        <v>3</v>
      </c>
      <c r="H72" s="10">
        <v>3</v>
      </c>
      <c r="I72" s="10">
        <v>3</v>
      </c>
      <c r="J72" s="10">
        <v>3</v>
      </c>
      <c r="K72" s="10">
        <v>3</v>
      </c>
      <c r="L72" s="10">
        <v>3</v>
      </c>
      <c r="M72" s="10">
        <v>3</v>
      </c>
      <c r="N72" s="10">
        <v>3</v>
      </c>
    </row>
    <row r="73" spans="1:14" hidden="1" outlineLevel="1" x14ac:dyDescent="0.2">
      <c r="A73" s="9" t="s">
        <v>375</v>
      </c>
      <c r="B73" s="1" t="s">
        <v>376</v>
      </c>
      <c r="C73" s="10">
        <v>0</v>
      </c>
      <c r="D73" s="10">
        <v>0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</row>
    <row r="74" spans="1:14" hidden="1" outlineLevel="1" x14ac:dyDescent="0.2">
      <c r="A74" s="9" t="s">
        <v>337</v>
      </c>
      <c r="B74" s="1" t="s">
        <v>338</v>
      </c>
      <c r="C74" s="10">
        <v>0</v>
      </c>
      <c r="D74" s="10">
        <v>0</v>
      </c>
      <c r="E74" s="10">
        <v>0</v>
      </c>
      <c r="F74" s="10">
        <v>0</v>
      </c>
      <c r="G74" s="10">
        <v>0.8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</row>
    <row r="75" spans="1:14" collapsed="1" x14ac:dyDescent="0.2">
      <c r="A75" s="48" t="s">
        <v>137</v>
      </c>
      <c r="B75" s="49" t="s">
        <v>138</v>
      </c>
      <c r="C75" s="50">
        <f>SUM(C76:C80)</f>
        <v>4.1500000000000004</v>
      </c>
      <c r="D75" s="50">
        <f t="shared" ref="D75:N75" si="13">SUM(D76:D80)</f>
        <v>4.1500000000000004</v>
      </c>
      <c r="E75" s="50">
        <f t="shared" si="13"/>
        <v>4.1500000000000004</v>
      </c>
      <c r="F75" s="50">
        <f t="shared" si="13"/>
        <v>4.1500000000000004</v>
      </c>
      <c r="G75" s="50">
        <f t="shared" si="13"/>
        <v>4.1500000000000004</v>
      </c>
      <c r="H75" s="50">
        <f t="shared" si="13"/>
        <v>1.8499999999999999</v>
      </c>
      <c r="I75" s="50">
        <f t="shared" si="13"/>
        <v>4.1500000000000004</v>
      </c>
      <c r="J75" s="50">
        <f t="shared" si="13"/>
        <v>2.95</v>
      </c>
      <c r="K75" s="50">
        <f t="shared" si="13"/>
        <v>2.95</v>
      </c>
      <c r="L75" s="50">
        <f t="shared" si="13"/>
        <v>3.0500000000000003</v>
      </c>
      <c r="M75" s="50">
        <f t="shared" si="13"/>
        <v>3.0500000000000003</v>
      </c>
      <c r="N75" s="50">
        <f t="shared" si="13"/>
        <v>3.95</v>
      </c>
    </row>
    <row r="76" spans="1:14" hidden="1" outlineLevel="1" x14ac:dyDescent="0.2">
      <c r="A76" s="9" t="s">
        <v>339</v>
      </c>
      <c r="B76" s="1" t="s">
        <v>340</v>
      </c>
      <c r="C76" s="10">
        <v>3.1</v>
      </c>
      <c r="D76" s="10">
        <v>3.1</v>
      </c>
      <c r="E76" s="10">
        <v>3.1</v>
      </c>
      <c r="F76" s="10">
        <v>3.1</v>
      </c>
      <c r="G76" s="10">
        <v>3.1</v>
      </c>
      <c r="H76" s="10">
        <v>0.9</v>
      </c>
      <c r="I76" s="10">
        <v>3.1</v>
      </c>
      <c r="J76" s="10">
        <v>2</v>
      </c>
      <c r="K76" s="10">
        <v>2</v>
      </c>
      <c r="L76" s="10">
        <v>2</v>
      </c>
      <c r="M76" s="10">
        <v>2</v>
      </c>
      <c r="N76" s="10">
        <v>3</v>
      </c>
    </row>
    <row r="77" spans="1:14" hidden="1" outlineLevel="1" x14ac:dyDescent="0.2">
      <c r="A77" s="9" t="s">
        <v>341</v>
      </c>
      <c r="B77" s="1" t="s">
        <v>342</v>
      </c>
      <c r="C77" s="10">
        <v>0.25</v>
      </c>
      <c r="D77" s="10">
        <v>0.25</v>
      </c>
      <c r="E77" s="10">
        <v>0.25</v>
      </c>
      <c r="F77" s="10">
        <v>0.25</v>
      </c>
      <c r="G77" s="10">
        <v>0.25</v>
      </c>
      <c r="H77" s="10">
        <v>0.25</v>
      </c>
      <c r="I77" s="10">
        <v>0.25</v>
      </c>
      <c r="J77" s="10">
        <v>0.25</v>
      </c>
      <c r="K77" s="10">
        <v>0.25</v>
      </c>
      <c r="L77" s="10">
        <v>0.25</v>
      </c>
      <c r="M77" s="10">
        <v>0.25</v>
      </c>
      <c r="N77" s="10">
        <v>0.25</v>
      </c>
    </row>
    <row r="78" spans="1:14" hidden="1" outlineLevel="1" x14ac:dyDescent="0.2">
      <c r="A78" s="9" t="s">
        <v>345</v>
      </c>
      <c r="B78" s="1" t="s">
        <v>346</v>
      </c>
      <c r="C78" s="10">
        <v>0.2</v>
      </c>
      <c r="D78" s="10">
        <v>0.2</v>
      </c>
      <c r="E78" s="10">
        <v>0.2</v>
      </c>
      <c r="F78" s="10">
        <v>0.2</v>
      </c>
      <c r="G78" s="10">
        <v>0.2</v>
      </c>
      <c r="H78" s="10">
        <v>0.2</v>
      </c>
      <c r="I78" s="10">
        <v>0.2</v>
      </c>
      <c r="J78" s="10">
        <v>0.2</v>
      </c>
      <c r="K78" s="10">
        <v>0.2</v>
      </c>
      <c r="L78" s="10">
        <v>0.2</v>
      </c>
      <c r="M78" s="10">
        <v>0.2</v>
      </c>
      <c r="N78" s="10">
        <v>0.1</v>
      </c>
    </row>
    <row r="79" spans="1:14" hidden="1" outlineLevel="1" x14ac:dyDescent="0.2">
      <c r="A79" s="9" t="s">
        <v>347</v>
      </c>
      <c r="B79" s="1" t="s">
        <v>348</v>
      </c>
      <c r="C79" s="10">
        <v>0.5</v>
      </c>
      <c r="D79" s="10">
        <v>0.5</v>
      </c>
      <c r="E79" s="10">
        <v>0.5</v>
      </c>
      <c r="F79" s="10">
        <v>0.5</v>
      </c>
      <c r="G79" s="10">
        <v>0.5</v>
      </c>
      <c r="H79" s="10">
        <v>0.5</v>
      </c>
      <c r="I79" s="10">
        <v>0.5</v>
      </c>
      <c r="J79" s="10">
        <v>0.5</v>
      </c>
      <c r="K79" s="10">
        <v>0.5</v>
      </c>
      <c r="L79" s="10">
        <v>0.5</v>
      </c>
      <c r="M79" s="10">
        <v>0.5</v>
      </c>
      <c r="N79" s="10">
        <v>0.5</v>
      </c>
    </row>
    <row r="80" spans="1:14" hidden="1" outlineLevel="1" x14ac:dyDescent="0.2">
      <c r="A80" s="9" t="s">
        <v>349</v>
      </c>
      <c r="B80" s="1" t="s">
        <v>350</v>
      </c>
      <c r="C80" s="10">
        <v>0.1</v>
      </c>
      <c r="D80" s="10">
        <v>0.1</v>
      </c>
      <c r="E80" s="10">
        <v>0.1</v>
      </c>
      <c r="F80" s="10">
        <v>0.1</v>
      </c>
      <c r="G80" s="10">
        <v>0.1</v>
      </c>
      <c r="H80" s="10">
        <v>0</v>
      </c>
      <c r="I80" s="10">
        <v>0.1</v>
      </c>
      <c r="J80" s="10">
        <v>0</v>
      </c>
      <c r="K80" s="10">
        <v>0</v>
      </c>
      <c r="L80" s="10">
        <v>0.1</v>
      </c>
      <c r="M80" s="10">
        <v>0.1</v>
      </c>
      <c r="N80" s="10">
        <v>0.1</v>
      </c>
    </row>
    <row r="81" spans="1:14" collapsed="1" x14ac:dyDescent="0.2">
      <c r="A81" s="48" t="s">
        <v>139</v>
      </c>
      <c r="B81" s="49" t="s">
        <v>140</v>
      </c>
      <c r="C81" s="50">
        <v>0</v>
      </c>
      <c r="D81" s="50">
        <v>0</v>
      </c>
      <c r="E81" s="50">
        <v>0</v>
      </c>
      <c r="F81" s="50">
        <v>0</v>
      </c>
      <c r="G81" s="50">
        <v>0</v>
      </c>
      <c r="H81" s="50">
        <v>0</v>
      </c>
      <c r="I81" s="50">
        <v>0</v>
      </c>
      <c r="J81" s="50">
        <v>0</v>
      </c>
      <c r="K81" s="50">
        <v>0</v>
      </c>
      <c r="L81" s="50">
        <v>0</v>
      </c>
      <c r="M81" s="50">
        <v>0</v>
      </c>
      <c r="N81" s="50">
        <v>0</v>
      </c>
    </row>
    <row r="82" spans="1:14" x14ac:dyDescent="0.2">
      <c r="A82" s="48" t="s">
        <v>141</v>
      </c>
      <c r="B82" s="49" t="s">
        <v>142</v>
      </c>
      <c r="C82" s="50">
        <f>+C83</f>
        <v>0</v>
      </c>
      <c r="D82" s="50">
        <f t="shared" ref="D82:N82" si="14">+D83</f>
        <v>0</v>
      </c>
      <c r="E82" s="50">
        <f t="shared" si="14"/>
        <v>0</v>
      </c>
      <c r="F82" s="50">
        <f t="shared" si="14"/>
        <v>0</v>
      </c>
      <c r="G82" s="50">
        <f t="shared" si="14"/>
        <v>0</v>
      </c>
      <c r="H82" s="50">
        <f t="shared" si="14"/>
        <v>0</v>
      </c>
      <c r="I82" s="50">
        <f t="shared" si="14"/>
        <v>0</v>
      </c>
      <c r="J82" s="50">
        <f t="shared" si="14"/>
        <v>0</v>
      </c>
      <c r="K82" s="50">
        <f t="shared" si="14"/>
        <v>0</v>
      </c>
      <c r="L82" s="50">
        <f t="shared" si="14"/>
        <v>0</v>
      </c>
      <c r="M82" s="50">
        <f t="shared" si="14"/>
        <v>0</v>
      </c>
      <c r="N82" s="50">
        <f t="shared" si="14"/>
        <v>0</v>
      </c>
    </row>
    <row r="83" spans="1:14" hidden="1" outlineLevel="1" x14ac:dyDescent="0.2">
      <c r="A83" s="9" t="s">
        <v>379</v>
      </c>
      <c r="B83" s="1" t="s">
        <v>380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collapsed="1" x14ac:dyDescent="0.2">
      <c r="A84" s="48" t="s">
        <v>143</v>
      </c>
      <c r="B84" s="49" t="s">
        <v>144</v>
      </c>
      <c r="C84" s="50">
        <f t="shared" ref="C84:N84" si="15">SUM(C85:C90)</f>
        <v>7.1</v>
      </c>
      <c r="D84" s="50">
        <f t="shared" si="15"/>
        <v>7.1</v>
      </c>
      <c r="E84" s="50">
        <f t="shared" si="15"/>
        <v>7.1</v>
      </c>
      <c r="F84" s="50">
        <f t="shared" si="15"/>
        <v>16</v>
      </c>
      <c r="G84" s="50">
        <f t="shared" si="15"/>
        <v>7.1</v>
      </c>
      <c r="H84" s="50">
        <f t="shared" si="15"/>
        <v>7.1</v>
      </c>
      <c r="I84" s="50">
        <f t="shared" si="15"/>
        <v>7.1</v>
      </c>
      <c r="J84" s="50">
        <f t="shared" si="15"/>
        <v>7.1</v>
      </c>
      <c r="K84" s="50">
        <f t="shared" si="15"/>
        <v>7.1</v>
      </c>
      <c r="L84" s="50">
        <f t="shared" si="15"/>
        <v>7.1</v>
      </c>
      <c r="M84" s="50">
        <f t="shared" si="15"/>
        <v>7.1</v>
      </c>
      <c r="N84" s="50">
        <f t="shared" si="15"/>
        <v>7.1</v>
      </c>
    </row>
    <row r="85" spans="1:14" hidden="1" outlineLevel="1" x14ac:dyDescent="0.2">
      <c r="A85" s="9" t="s">
        <v>145</v>
      </c>
      <c r="B85" s="1" t="s">
        <v>146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149</v>
      </c>
      <c r="B86" s="1" t="s">
        <v>150</v>
      </c>
      <c r="C86" s="10">
        <v>0</v>
      </c>
      <c r="D86" s="10">
        <v>0</v>
      </c>
      <c r="E86" s="10">
        <v>0</v>
      </c>
      <c r="F86" s="10">
        <v>6.3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>
        <v>0</v>
      </c>
      <c r="N86" s="10">
        <v>0</v>
      </c>
    </row>
    <row r="87" spans="1:14" hidden="1" outlineLevel="1" x14ac:dyDescent="0.2">
      <c r="A87" s="9" t="s">
        <v>151</v>
      </c>
      <c r="B87" s="1" t="s">
        <v>152</v>
      </c>
      <c r="C87" s="10">
        <v>0</v>
      </c>
      <c r="D87" s="10">
        <v>0</v>
      </c>
      <c r="E87" s="10">
        <v>0</v>
      </c>
      <c r="F87" s="10">
        <v>0.8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hidden="1" outlineLevel="1" x14ac:dyDescent="0.2">
      <c r="A88" s="9" t="s">
        <v>355</v>
      </c>
      <c r="B88" s="1" t="s">
        <v>356</v>
      </c>
      <c r="C88" s="28">
        <v>5</v>
      </c>
      <c r="D88" s="28">
        <v>5</v>
      </c>
      <c r="E88" s="28">
        <v>5</v>
      </c>
      <c r="F88" s="28">
        <v>5</v>
      </c>
      <c r="G88" s="28">
        <v>5</v>
      </c>
      <c r="H88" s="28">
        <v>5</v>
      </c>
      <c r="I88" s="28">
        <v>5</v>
      </c>
      <c r="J88" s="28">
        <v>5</v>
      </c>
      <c r="K88" s="28">
        <v>5</v>
      </c>
      <c r="L88" s="28">
        <v>5</v>
      </c>
      <c r="M88" s="28">
        <v>5</v>
      </c>
      <c r="N88" s="28">
        <v>5</v>
      </c>
    </row>
    <row r="89" spans="1:14" hidden="1" outlineLevel="1" x14ac:dyDescent="0.2">
      <c r="A89" s="9" t="s">
        <v>153</v>
      </c>
      <c r="B89" s="1" t="s">
        <v>154</v>
      </c>
      <c r="C89" s="10">
        <v>0</v>
      </c>
      <c r="D89" s="10">
        <v>0</v>
      </c>
      <c r="E89" s="10">
        <v>0</v>
      </c>
      <c r="F89" s="10">
        <v>1.8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</v>
      </c>
      <c r="M89" s="10">
        <v>0</v>
      </c>
      <c r="N89" s="10">
        <v>0</v>
      </c>
    </row>
    <row r="90" spans="1:14" hidden="1" outlineLevel="1" x14ac:dyDescent="0.2">
      <c r="A90" s="9" t="s">
        <v>155</v>
      </c>
      <c r="B90" s="1" t="s">
        <v>156</v>
      </c>
      <c r="C90" s="10">
        <v>2.1</v>
      </c>
      <c r="D90" s="10">
        <v>2.1</v>
      </c>
      <c r="E90" s="10">
        <v>2.1</v>
      </c>
      <c r="F90" s="10">
        <v>2.1</v>
      </c>
      <c r="G90" s="10">
        <v>2.1</v>
      </c>
      <c r="H90" s="10">
        <v>2.1</v>
      </c>
      <c r="I90" s="10">
        <v>2.1</v>
      </c>
      <c r="J90" s="10">
        <v>2.1</v>
      </c>
      <c r="K90" s="10">
        <v>2.1</v>
      </c>
      <c r="L90" s="10">
        <v>2.1</v>
      </c>
      <c r="M90" s="10">
        <v>2.1</v>
      </c>
      <c r="N90" s="10">
        <v>2.1</v>
      </c>
    </row>
    <row r="91" spans="1:14" collapsed="1" x14ac:dyDescent="0.2">
      <c r="A91" s="48" t="s">
        <v>157</v>
      </c>
      <c r="B91" s="49" t="s">
        <v>158</v>
      </c>
      <c r="C91" s="50">
        <f t="shared" ref="C91:N91" si="16">+C92</f>
        <v>2</v>
      </c>
      <c r="D91" s="50">
        <f t="shared" si="16"/>
        <v>2</v>
      </c>
      <c r="E91" s="50">
        <f t="shared" si="16"/>
        <v>2</v>
      </c>
      <c r="F91" s="50">
        <f t="shared" si="16"/>
        <v>2</v>
      </c>
      <c r="G91" s="50">
        <f t="shared" si="16"/>
        <v>2</v>
      </c>
      <c r="H91" s="50">
        <f t="shared" si="16"/>
        <v>2</v>
      </c>
      <c r="I91" s="50">
        <f t="shared" si="16"/>
        <v>2</v>
      </c>
      <c r="J91" s="50">
        <f t="shared" si="16"/>
        <v>2</v>
      </c>
      <c r="K91" s="50">
        <f t="shared" si="16"/>
        <v>2</v>
      </c>
      <c r="L91" s="50">
        <f t="shared" si="16"/>
        <v>2</v>
      </c>
      <c r="M91" s="50">
        <f t="shared" si="16"/>
        <v>2</v>
      </c>
      <c r="N91" s="50">
        <f t="shared" si="16"/>
        <v>2</v>
      </c>
    </row>
    <row r="92" spans="1:14" hidden="1" outlineLevel="1" x14ac:dyDescent="0.2">
      <c r="A92" s="9" t="s">
        <v>159</v>
      </c>
      <c r="B92" s="1" t="s">
        <v>160</v>
      </c>
      <c r="C92" s="10">
        <v>2</v>
      </c>
      <c r="D92" s="10">
        <v>2</v>
      </c>
      <c r="E92" s="10">
        <v>2</v>
      </c>
      <c r="F92" s="10">
        <v>2</v>
      </c>
      <c r="G92" s="10">
        <v>2</v>
      </c>
      <c r="H92" s="10">
        <v>2</v>
      </c>
      <c r="I92" s="10">
        <v>2</v>
      </c>
      <c r="J92" s="10">
        <v>2</v>
      </c>
      <c r="K92" s="10">
        <v>2</v>
      </c>
      <c r="L92" s="10">
        <v>2</v>
      </c>
      <c r="M92" s="10">
        <v>2</v>
      </c>
      <c r="N92" s="10">
        <v>2</v>
      </c>
    </row>
    <row r="93" spans="1:14" collapsed="1" x14ac:dyDescent="0.2">
      <c r="A93" s="52"/>
      <c r="B93" s="52" t="s">
        <v>165</v>
      </c>
      <c r="C93" s="53">
        <f t="shared" ref="C93:N93" si="17">+C32+C52+C58+C61+C66+C75+C81+C82+C84+C91</f>
        <v>112.12000000000002</v>
      </c>
      <c r="D93" s="53">
        <f t="shared" si="17"/>
        <v>113.12000000000002</v>
      </c>
      <c r="E93" s="53">
        <f t="shared" si="17"/>
        <v>111.62</v>
      </c>
      <c r="F93" s="53">
        <f t="shared" si="17"/>
        <v>120.82000000000002</v>
      </c>
      <c r="G93" s="53">
        <f t="shared" si="17"/>
        <v>113.62</v>
      </c>
      <c r="H93" s="53">
        <f t="shared" si="17"/>
        <v>135.22</v>
      </c>
      <c r="I93" s="53">
        <f t="shared" si="17"/>
        <v>116.02000000000001</v>
      </c>
      <c r="J93" s="53">
        <f t="shared" si="17"/>
        <v>113.42</v>
      </c>
      <c r="K93" s="53">
        <f t="shared" si="17"/>
        <v>112.72000000000001</v>
      </c>
      <c r="L93" s="53">
        <f t="shared" si="17"/>
        <v>115.82000000000001</v>
      </c>
      <c r="M93" s="53">
        <f t="shared" si="17"/>
        <v>113.02000000000001</v>
      </c>
      <c r="N93" s="53">
        <f t="shared" si="17"/>
        <v>142.02000000000001</v>
      </c>
    </row>
    <row r="94" spans="1:14" x14ac:dyDescent="0.2">
      <c r="A94" s="51"/>
      <c r="B94" s="51" t="s">
        <v>166</v>
      </c>
      <c r="C94" s="19">
        <f t="shared" ref="C94:N94" si="18">+C30-C93</f>
        <v>101.57999999999997</v>
      </c>
      <c r="D94" s="19">
        <f t="shared" si="18"/>
        <v>101.57999999999997</v>
      </c>
      <c r="E94" s="19">
        <f t="shared" si="18"/>
        <v>110.07999999999998</v>
      </c>
      <c r="F94" s="19">
        <f t="shared" si="18"/>
        <v>42.879999999999967</v>
      </c>
      <c r="G94" s="19">
        <f t="shared" si="18"/>
        <v>74.079999999999984</v>
      </c>
      <c r="H94" s="19">
        <f t="shared" si="18"/>
        <v>72.47999999999999</v>
      </c>
      <c r="I94" s="19">
        <f t="shared" si="18"/>
        <v>49.679999999999978</v>
      </c>
      <c r="J94" s="19">
        <f t="shared" si="18"/>
        <v>97.279999999999987</v>
      </c>
      <c r="K94" s="19">
        <f t="shared" si="18"/>
        <v>104.97999999999998</v>
      </c>
      <c r="L94" s="19">
        <f t="shared" si="18"/>
        <v>59.879999999999981</v>
      </c>
      <c r="M94" s="19">
        <f t="shared" si="18"/>
        <v>67.679999999999978</v>
      </c>
      <c r="N94" s="19">
        <f t="shared" si="18"/>
        <v>89.679999999999978</v>
      </c>
    </row>
    <row r="95" spans="1:14" x14ac:dyDescent="0.2">
      <c r="A95" s="48" t="s">
        <v>167</v>
      </c>
      <c r="B95" s="49" t="s">
        <v>168</v>
      </c>
      <c r="C95" s="50">
        <f>SUM(C96:C109)</f>
        <v>18.8</v>
      </c>
      <c r="D95" s="50">
        <f t="shared" ref="D95:N95" si="19">SUM(D96:D109)</f>
        <v>19.100000000000001</v>
      </c>
      <c r="E95" s="50">
        <f t="shared" si="19"/>
        <v>20.599999999999998</v>
      </c>
      <c r="F95" s="50">
        <f t="shared" si="19"/>
        <v>21.299999999999997</v>
      </c>
      <c r="G95" s="50">
        <f t="shared" si="19"/>
        <v>21.4</v>
      </c>
      <c r="H95" s="50">
        <f t="shared" si="19"/>
        <v>20.5</v>
      </c>
      <c r="I95" s="50">
        <f t="shared" si="19"/>
        <v>18.599999999999998</v>
      </c>
      <c r="J95" s="50">
        <f t="shared" si="19"/>
        <v>20.599999999999998</v>
      </c>
      <c r="K95" s="50">
        <f t="shared" si="19"/>
        <v>21.299999999999997</v>
      </c>
      <c r="L95" s="50">
        <f t="shared" si="19"/>
        <v>21.4</v>
      </c>
      <c r="M95" s="50">
        <f t="shared" si="19"/>
        <v>20.5</v>
      </c>
      <c r="N95" s="50">
        <f t="shared" si="19"/>
        <v>18.899999999999999</v>
      </c>
    </row>
    <row r="96" spans="1:14" hidden="1" outlineLevel="1" x14ac:dyDescent="0.2">
      <c r="A96" s="9" t="s">
        <v>169</v>
      </c>
      <c r="B96" s="1" t="s">
        <v>170</v>
      </c>
      <c r="C96" s="10">
        <v>1.1000000000000001</v>
      </c>
      <c r="D96" s="10">
        <v>1.1000000000000001</v>
      </c>
      <c r="E96" s="10">
        <v>1.1000000000000001</v>
      </c>
      <c r="F96" s="10">
        <v>0.5</v>
      </c>
      <c r="G96" s="10">
        <v>0.5</v>
      </c>
      <c r="H96" s="10">
        <v>0.5</v>
      </c>
      <c r="I96" s="10">
        <v>0</v>
      </c>
      <c r="J96" s="10">
        <v>1.1000000000000001</v>
      </c>
      <c r="K96" s="10">
        <v>0.5</v>
      </c>
      <c r="L96" s="10">
        <v>0.5</v>
      </c>
      <c r="M96" s="10">
        <v>0.5</v>
      </c>
      <c r="N96" s="10">
        <v>0</v>
      </c>
    </row>
    <row r="97" spans="1:14" hidden="1" outlineLevel="1" x14ac:dyDescent="0.2">
      <c r="A97" s="9" t="s">
        <v>171</v>
      </c>
      <c r="B97" s="1" t="s">
        <v>172</v>
      </c>
      <c r="C97" s="10">
        <v>3.3</v>
      </c>
      <c r="D97" s="10">
        <v>3.3</v>
      </c>
      <c r="E97" s="10">
        <v>3.3</v>
      </c>
      <c r="F97" s="10">
        <v>3.3</v>
      </c>
      <c r="G97" s="10">
        <v>3.3</v>
      </c>
      <c r="H97" s="10">
        <v>3.3</v>
      </c>
      <c r="I97" s="10">
        <v>3.3</v>
      </c>
      <c r="J97" s="10">
        <v>3.3</v>
      </c>
      <c r="K97" s="10">
        <v>3.3</v>
      </c>
      <c r="L97" s="10">
        <v>3.3</v>
      </c>
      <c r="M97" s="10">
        <v>3.3</v>
      </c>
      <c r="N97" s="10">
        <v>3.3</v>
      </c>
    </row>
    <row r="98" spans="1:14" hidden="1" outlineLevel="1" x14ac:dyDescent="0.2">
      <c r="A98" s="9" t="s">
        <v>175</v>
      </c>
      <c r="B98" s="1" t="s">
        <v>176</v>
      </c>
      <c r="C98" s="10">
        <v>6.7</v>
      </c>
      <c r="D98" s="10">
        <v>6.7</v>
      </c>
      <c r="E98" s="10">
        <v>6.7</v>
      </c>
      <c r="F98" s="10">
        <v>6.7</v>
      </c>
      <c r="G98" s="10">
        <v>6.7</v>
      </c>
      <c r="H98" s="10">
        <v>6.7</v>
      </c>
      <c r="I98" s="10">
        <v>6.7</v>
      </c>
      <c r="J98" s="10">
        <v>6.7</v>
      </c>
      <c r="K98" s="10">
        <v>6.7</v>
      </c>
      <c r="L98" s="10">
        <v>6.7</v>
      </c>
      <c r="M98" s="10">
        <v>6.7</v>
      </c>
      <c r="N98" s="10">
        <v>7</v>
      </c>
    </row>
    <row r="99" spans="1:14" hidden="1" outlineLevel="1" x14ac:dyDescent="0.2">
      <c r="A99" s="9" t="s">
        <v>177</v>
      </c>
      <c r="B99" s="1" t="s">
        <v>178</v>
      </c>
      <c r="C99" s="10">
        <v>0.8</v>
      </c>
      <c r="D99" s="10">
        <v>0.8</v>
      </c>
      <c r="E99" s="10">
        <v>0.8</v>
      </c>
      <c r="F99" s="10">
        <v>0.8</v>
      </c>
      <c r="G99" s="10">
        <v>0.8</v>
      </c>
      <c r="H99" s="10">
        <v>0.8</v>
      </c>
      <c r="I99" s="10">
        <v>0.8</v>
      </c>
      <c r="J99" s="10">
        <v>0.8</v>
      </c>
      <c r="K99" s="10">
        <v>0.8</v>
      </c>
      <c r="L99" s="10">
        <v>0.8</v>
      </c>
      <c r="M99" s="10">
        <v>0.8</v>
      </c>
      <c r="N99" s="10">
        <v>0.8</v>
      </c>
    </row>
    <row r="100" spans="1:14" hidden="1" outlineLevel="1" x14ac:dyDescent="0.2">
      <c r="A100" s="9" t="s">
        <v>181</v>
      </c>
      <c r="B100" s="1" t="s">
        <v>182</v>
      </c>
      <c r="C100" s="10">
        <v>3.2</v>
      </c>
      <c r="D100" s="10">
        <v>3.2</v>
      </c>
      <c r="E100" s="10">
        <v>3.2</v>
      </c>
      <c r="F100" s="10">
        <v>3.2</v>
      </c>
      <c r="G100" s="10">
        <v>3.2</v>
      </c>
      <c r="H100" s="10">
        <v>3.2</v>
      </c>
      <c r="I100" s="10">
        <v>3.2</v>
      </c>
      <c r="J100" s="10">
        <v>3.2</v>
      </c>
      <c r="K100" s="10">
        <v>3.2</v>
      </c>
      <c r="L100" s="10">
        <v>3.2</v>
      </c>
      <c r="M100" s="10">
        <v>3.2</v>
      </c>
      <c r="N100" s="10">
        <v>3.2</v>
      </c>
    </row>
    <row r="101" spans="1:14" hidden="1" outlineLevel="1" x14ac:dyDescent="0.2">
      <c r="A101" s="9" t="s">
        <v>183</v>
      </c>
      <c r="B101" s="1" t="s">
        <v>184</v>
      </c>
      <c r="C101" s="10">
        <v>0</v>
      </c>
      <c r="D101" s="10">
        <v>0.2</v>
      </c>
      <c r="E101" s="10">
        <v>1.4</v>
      </c>
      <c r="F101" s="10">
        <v>2.7</v>
      </c>
      <c r="G101" s="10">
        <v>3.5</v>
      </c>
      <c r="H101" s="10">
        <v>1.8</v>
      </c>
      <c r="I101" s="10">
        <v>1</v>
      </c>
      <c r="J101" s="10">
        <v>1.4</v>
      </c>
      <c r="K101" s="10">
        <v>2.7</v>
      </c>
      <c r="L101" s="10">
        <v>3.5</v>
      </c>
      <c r="M101" s="10">
        <v>1.8</v>
      </c>
      <c r="N101" s="10">
        <v>1</v>
      </c>
    </row>
    <row r="102" spans="1:14" hidden="1" outlineLevel="1" x14ac:dyDescent="0.2">
      <c r="A102" s="9" t="s">
        <v>185</v>
      </c>
      <c r="B102" s="1" t="s">
        <v>186</v>
      </c>
      <c r="C102" s="10">
        <v>0.5</v>
      </c>
      <c r="D102" s="10">
        <v>0.5</v>
      </c>
      <c r="E102" s="10">
        <v>0.5</v>
      </c>
      <c r="F102" s="10">
        <v>0.5</v>
      </c>
      <c r="G102" s="10">
        <v>0.5</v>
      </c>
      <c r="H102" s="10">
        <v>0.5</v>
      </c>
      <c r="I102" s="10">
        <v>0.5</v>
      </c>
      <c r="J102" s="10">
        <v>0.5</v>
      </c>
      <c r="K102" s="10">
        <v>0.5</v>
      </c>
      <c r="L102" s="10">
        <v>0.5</v>
      </c>
      <c r="M102" s="10">
        <v>0.5</v>
      </c>
      <c r="N102" s="10">
        <v>0.5</v>
      </c>
    </row>
    <row r="103" spans="1:14" hidden="1" outlineLevel="1" x14ac:dyDescent="0.2">
      <c r="A103" s="9" t="s">
        <v>187</v>
      </c>
      <c r="B103" s="1" t="s">
        <v>184</v>
      </c>
      <c r="C103" s="10">
        <v>0.3</v>
      </c>
      <c r="D103" s="10">
        <v>0.3</v>
      </c>
      <c r="E103" s="10">
        <v>0.3</v>
      </c>
      <c r="F103" s="10">
        <v>0.3</v>
      </c>
      <c r="G103" s="10">
        <v>0.3</v>
      </c>
      <c r="H103" s="10">
        <v>0.3</v>
      </c>
      <c r="I103" s="10">
        <v>0.3</v>
      </c>
      <c r="J103" s="10">
        <v>0.3</v>
      </c>
      <c r="K103" s="10">
        <v>0.3</v>
      </c>
      <c r="L103" s="10">
        <v>0.3</v>
      </c>
      <c r="M103" s="10">
        <v>0.3</v>
      </c>
      <c r="N103" s="10">
        <v>0.3</v>
      </c>
    </row>
    <row r="104" spans="1:14" hidden="1" outlineLevel="1" x14ac:dyDescent="0.2">
      <c r="A104" s="9" t="s">
        <v>188</v>
      </c>
      <c r="B104" s="1" t="s">
        <v>189</v>
      </c>
      <c r="C104" s="10">
        <v>1</v>
      </c>
      <c r="D104" s="10">
        <v>1.1000000000000001</v>
      </c>
      <c r="E104" s="10">
        <v>1.4</v>
      </c>
      <c r="F104" s="10">
        <v>1.4</v>
      </c>
      <c r="G104" s="10">
        <v>0.7</v>
      </c>
      <c r="H104" s="10">
        <v>1.5</v>
      </c>
      <c r="I104" s="10">
        <v>0.9</v>
      </c>
      <c r="J104" s="10">
        <v>1.4</v>
      </c>
      <c r="K104" s="10">
        <v>1.4</v>
      </c>
      <c r="L104" s="10">
        <v>0.7</v>
      </c>
      <c r="M104" s="10">
        <v>1.5</v>
      </c>
      <c r="N104" s="10">
        <v>0.9</v>
      </c>
    </row>
    <row r="105" spans="1:14" hidden="1" outlineLevel="1" x14ac:dyDescent="0.2">
      <c r="A105" s="9" t="s">
        <v>190</v>
      </c>
      <c r="B105" s="1" t="s">
        <v>191</v>
      </c>
      <c r="C105" s="10">
        <v>0.3</v>
      </c>
      <c r="D105" s="10">
        <v>0.3</v>
      </c>
      <c r="E105" s="10">
        <v>0.3</v>
      </c>
      <c r="F105" s="10">
        <v>0.3</v>
      </c>
      <c r="G105" s="10">
        <v>0.3</v>
      </c>
      <c r="H105" s="10">
        <v>0.3</v>
      </c>
      <c r="I105" s="10">
        <v>0.3</v>
      </c>
      <c r="J105" s="10">
        <v>0.3</v>
      </c>
      <c r="K105" s="10">
        <v>0.3</v>
      </c>
      <c r="L105" s="10">
        <v>0.3</v>
      </c>
      <c r="M105" s="10">
        <v>0.3</v>
      </c>
      <c r="N105" s="10">
        <v>0.3</v>
      </c>
    </row>
    <row r="106" spans="1:14" hidden="1" outlineLevel="1" x14ac:dyDescent="0.2">
      <c r="A106" s="9" t="s">
        <v>192</v>
      </c>
      <c r="B106" s="1" t="s">
        <v>193</v>
      </c>
      <c r="C106" s="10">
        <v>0</v>
      </c>
      <c r="D106" s="10">
        <v>0</v>
      </c>
      <c r="E106" s="10">
        <v>0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0</v>
      </c>
      <c r="L106" s="10">
        <v>0</v>
      </c>
      <c r="M106" s="10">
        <v>0</v>
      </c>
      <c r="N106" s="10">
        <v>0</v>
      </c>
    </row>
    <row r="107" spans="1:14" hidden="1" outlineLevel="1" x14ac:dyDescent="0.2">
      <c r="A107" s="9" t="s">
        <v>194</v>
      </c>
      <c r="B107" s="1" t="s">
        <v>195</v>
      </c>
      <c r="C107" s="10">
        <v>1.2</v>
      </c>
      <c r="D107" s="10">
        <v>1.2</v>
      </c>
      <c r="E107" s="10">
        <v>1.2</v>
      </c>
      <c r="F107" s="10">
        <v>1.2</v>
      </c>
      <c r="G107" s="10">
        <v>1.2</v>
      </c>
      <c r="H107" s="10">
        <v>1.2</v>
      </c>
      <c r="I107" s="10">
        <v>1.2</v>
      </c>
      <c r="J107" s="10">
        <v>1.2</v>
      </c>
      <c r="K107" s="10">
        <v>1.2</v>
      </c>
      <c r="L107" s="10">
        <v>1.2</v>
      </c>
      <c r="M107" s="10">
        <v>1.2</v>
      </c>
      <c r="N107" s="10">
        <v>1.2</v>
      </c>
    </row>
    <row r="108" spans="1:14" hidden="1" outlineLevel="1" x14ac:dyDescent="0.2">
      <c r="A108" s="9" t="s">
        <v>196</v>
      </c>
      <c r="B108" s="1" t="s">
        <v>197</v>
      </c>
      <c r="C108" s="10">
        <v>0</v>
      </c>
      <c r="D108" s="10">
        <v>0</v>
      </c>
      <c r="E108" s="10">
        <v>0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0</v>
      </c>
      <c r="L108" s="10">
        <v>0</v>
      </c>
      <c r="M108" s="10">
        <v>0</v>
      </c>
      <c r="N108" s="10">
        <v>0</v>
      </c>
    </row>
    <row r="109" spans="1:14" hidden="1" outlineLevel="1" x14ac:dyDescent="0.2">
      <c r="A109" s="9" t="s">
        <v>198</v>
      </c>
      <c r="B109" s="1" t="s">
        <v>199</v>
      </c>
      <c r="C109" s="10">
        <v>0.4</v>
      </c>
      <c r="D109" s="10">
        <v>0.4</v>
      </c>
      <c r="E109" s="10">
        <v>0.4</v>
      </c>
      <c r="F109" s="10">
        <v>0.4</v>
      </c>
      <c r="G109" s="10">
        <v>0.4</v>
      </c>
      <c r="H109" s="10">
        <v>0.4</v>
      </c>
      <c r="I109" s="10">
        <v>0.4</v>
      </c>
      <c r="J109" s="10">
        <v>0.4</v>
      </c>
      <c r="K109" s="10">
        <v>0.4</v>
      </c>
      <c r="L109" s="10">
        <v>0.4</v>
      </c>
      <c r="M109" s="10">
        <v>0.4</v>
      </c>
      <c r="N109" s="10">
        <v>0.4</v>
      </c>
    </row>
    <row r="110" spans="1:14" collapsed="1" x14ac:dyDescent="0.2">
      <c r="A110" s="48" t="s">
        <v>200</v>
      </c>
      <c r="B110" s="49" t="s">
        <v>201</v>
      </c>
      <c r="C110" s="50">
        <f t="shared" ref="C110:N110" si="20">SUM(C111:C120)</f>
        <v>2.2000000000000002</v>
      </c>
      <c r="D110" s="50">
        <f t="shared" si="20"/>
        <v>2.2000000000000002</v>
      </c>
      <c r="E110" s="50">
        <f t="shared" si="20"/>
        <v>2.2000000000000002</v>
      </c>
      <c r="F110" s="50">
        <f t="shared" si="20"/>
        <v>2.2000000000000002</v>
      </c>
      <c r="G110" s="50">
        <f t="shared" si="20"/>
        <v>2.2000000000000002</v>
      </c>
      <c r="H110" s="50">
        <f t="shared" si="20"/>
        <v>2.2000000000000002</v>
      </c>
      <c r="I110" s="50">
        <f t="shared" si="20"/>
        <v>2.2000000000000002</v>
      </c>
      <c r="J110" s="50">
        <f t="shared" si="20"/>
        <v>2.2000000000000002</v>
      </c>
      <c r="K110" s="50">
        <f t="shared" si="20"/>
        <v>2.2000000000000002</v>
      </c>
      <c r="L110" s="50">
        <f t="shared" si="20"/>
        <v>2.2000000000000002</v>
      </c>
      <c r="M110" s="50">
        <f t="shared" si="20"/>
        <v>2.2000000000000002</v>
      </c>
      <c r="N110" s="50">
        <f t="shared" si="20"/>
        <v>2.2000000000000002</v>
      </c>
    </row>
    <row r="111" spans="1:14" hidden="1" outlineLevel="1" x14ac:dyDescent="0.2">
      <c r="A111" s="9" t="s">
        <v>202</v>
      </c>
      <c r="B111" s="1" t="s">
        <v>203</v>
      </c>
      <c r="C111" s="10">
        <v>0</v>
      </c>
      <c r="D111" s="10">
        <v>0</v>
      </c>
      <c r="E111" s="10">
        <v>0</v>
      </c>
      <c r="F111" s="10">
        <v>0</v>
      </c>
      <c r="G111" s="10">
        <v>0</v>
      </c>
      <c r="H111" s="10">
        <v>0</v>
      </c>
      <c r="I111" s="10">
        <v>0</v>
      </c>
      <c r="J111" s="10">
        <v>0</v>
      </c>
      <c r="K111" s="10">
        <v>0</v>
      </c>
      <c r="L111" s="10">
        <v>0</v>
      </c>
      <c r="M111" s="10">
        <v>0</v>
      </c>
      <c r="N111" s="10">
        <v>0</v>
      </c>
    </row>
    <row r="112" spans="1:14" hidden="1" outlineLevel="1" x14ac:dyDescent="0.2">
      <c r="A112" s="9" t="s">
        <v>204</v>
      </c>
      <c r="B112" s="1" t="s">
        <v>205</v>
      </c>
      <c r="C112" s="10">
        <v>0</v>
      </c>
      <c r="D112" s="10">
        <v>0</v>
      </c>
      <c r="E112" s="10">
        <v>0</v>
      </c>
      <c r="F112" s="10">
        <v>0</v>
      </c>
      <c r="G112" s="10">
        <v>0</v>
      </c>
      <c r="H112" s="10">
        <v>0</v>
      </c>
      <c r="I112" s="10">
        <v>0</v>
      </c>
      <c r="J112" s="10">
        <v>0</v>
      </c>
      <c r="K112" s="10">
        <v>0</v>
      </c>
      <c r="L112" s="10">
        <v>0</v>
      </c>
      <c r="M112" s="10">
        <v>0</v>
      </c>
      <c r="N112" s="10">
        <v>0</v>
      </c>
    </row>
    <row r="113" spans="1:14" hidden="1" outlineLevel="1" x14ac:dyDescent="0.2">
      <c r="A113" s="9" t="s">
        <v>206</v>
      </c>
      <c r="B113" s="1" t="s">
        <v>207</v>
      </c>
      <c r="C113" s="10">
        <v>0.2</v>
      </c>
      <c r="D113" s="10">
        <v>0.2</v>
      </c>
      <c r="E113" s="10">
        <v>0.2</v>
      </c>
      <c r="F113" s="10">
        <v>0.2</v>
      </c>
      <c r="G113" s="10">
        <v>0.2</v>
      </c>
      <c r="H113" s="10">
        <v>0.2</v>
      </c>
      <c r="I113" s="10">
        <v>0.2</v>
      </c>
      <c r="J113" s="10">
        <v>0.2</v>
      </c>
      <c r="K113" s="10">
        <v>0.2</v>
      </c>
      <c r="L113" s="10">
        <v>0.2</v>
      </c>
      <c r="M113" s="10">
        <v>0.2</v>
      </c>
      <c r="N113" s="10">
        <v>0.2</v>
      </c>
    </row>
    <row r="114" spans="1:14" hidden="1" outlineLevel="1" x14ac:dyDescent="0.2">
      <c r="A114" s="9" t="s">
        <v>208</v>
      </c>
      <c r="B114" s="1" t="s">
        <v>209</v>
      </c>
      <c r="C114" s="10">
        <v>0</v>
      </c>
      <c r="D114" s="10">
        <v>0</v>
      </c>
      <c r="E114" s="10">
        <v>0</v>
      </c>
      <c r="F114" s="10">
        <v>0</v>
      </c>
      <c r="G114" s="10">
        <v>0</v>
      </c>
      <c r="H114" s="10">
        <v>0</v>
      </c>
      <c r="I114" s="10">
        <v>0</v>
      </c>
      <c r="J114" s="10">
        <v>0</v>
      </c>
      <c r="K114" s="10">
        <v>0</v>
      </c>
      <c r="L114" s="10">
        <v>0</v>
      </c>
      <c r="M114" s="10">
        <v>0</v>
      </c>
      <c r="N114" s="10">
        <v>0</v>
      </c>
    </row>
    <row r="115" spans="1:14" hidden="1" outlineLevel="1" x14ac:dyDescent="0.2">
      <c r="A115" s="9" t="s">
        <v>210</v>
      </c>
      <c r="B115" s="1" t="s">
        <v>211</v>
      </c>
      <c r="C115" s="10">
        <v>0.1</v>
      </c>
      <c r="D115" s="10">
        <v>0.1</v>
      </c>
      <c r="E115" s="10">
        <v>0.1</v>
      </c>
      <c r="F115" s="10">
        <v>0.1</v>
      </c>
      <c r="G115" s="10">
        <v>0.1</v>
      </c>
      <c r="H115" s="10">
        <v>0.1</v>
      </c>
      <c r="I115" s="10">
        <v>0.1</v>
      </c>
      <c r="J115" s="10">
        <v>0.1</v>
      </c>
      <c r="K115" s="10">
        <v>0.1</v>
      </c>
      <c r="L115" s="10">
        <v>0.1</v>
      </c>
      <c r="M115" s="10">
        <v>0.1</v>
      </c>
      <c r="N115" s="10">
        <v>0.1</v>
      </c>
    </row>
    <row r="116" spans="1:14" hidden="1" outlineLevel="1" x14ac:dyDescent="0.2">
      <c r="A116" s="9" t="s">
        <v>212</v>
      </c>
      <c r="B116" s="1" t="s">
        <v>213</v>
      </c>
      <c r="C116" s="10">
        <v>0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  <c r="I116" s="10">
        <v>0</v>
      </c>
      <c r="J116" s="10">
        <v>0</v>
      </c>
      <c r="K116" s="10">
        <v>0</v>
      </c>
      <c r="L116" s="10">
        <v>0</v>
      </c>
      <c r="M116" s="10">
        <v>0</v>
      </c>
      <c r="N116" s="10">
        <v>0</v>
      </c>
    </row>
    <row r="117" spans="1:14" hidden="1" outlineLevel="1" x14ac:dyDescent="0.2">
      <c r="A117" s="9" t="s">
        <v>214</v>
      </c>
      <c r="B117" s="1" t="s">
        <v>215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  <c r="I117" s="10">
        <v>0</v>
      </c>
      <c r="J117" s="10">
        <v>0</v>
      </c>
      <c r="K117" s="10">
        <v>0</v>
      </c>
      <c r="L117" s="10">
        <v>0</v>
      </c>
      <c r="M117" s="10">
        <v>0</v>
      </c>
      <c r="N117" s="10">
        <v>0</v>
      </c>
    </row>
    <row r="118" spans="1:14" hidden="1" outlineLevel="1" x14ac:dyDescent="0.2">
      <c r="A118" s="9" t="s">
        <v>216</v>
      </c>
      <c r="B118" s="1" t="s">
        <v>217</v>
      </c>
      <c r="C118" s="10">
        <v>1.1000000000000001</v>
      </c>
      <c r="D118" s="10">
        <v>1.1000000000000001</v>
      </c>
      <c r="E118" s="10">
        <v>1.1000000000000001</v>
      </c>
      <c r="F118" s="10">
        <v>1.1000000000000001</v>
      </c>
      <c r="G118" s="10">
        <v>1.1000000000000001</v>
      </c>
      <c r="H118" s="10">
        <v>1.1000000000000001</v>
      </c>
      <c r="I118" s="10">
        <v>1.1000000000000001</v>
      </c>
      <c r="J118" s="10">
        <v>1.1000000000000001</v>
      </c>
      <c r="K118" s="10">
        <v>1.1000000000000001</v>
      </c>
      <c r="L118" s="10">
        <v>1.1000000000000001</v>
      </c>
      <c r="M118" s="10">
        <v>1.1000000000000001</v>
      </c>
      <c r="N118" s="10">
        <v>1.1000000000000001</v>
      </c>
    </row>
    <row r="119" spans="1:14" hidden="1" outlineLevel="1" x14ac:dyDescent="0.2">
      <c r="A119" s="9" t="s">
        <v>218</v>
      </c>
      <c r="B119" s="1" t="s">
        <v>219</v>
      </c>
      <c r="C119" s="10">
        <v>0.8</v>
      </c>
      <c r="D119" s="10">
        <v>0.8</v>
      </c>
      <c r="E119" s="10">
        <v>0.8</v>
      </c>
      <c r="F119" s="10">
        <v>0.8</v>
      </c>
      <c r="G119" s="10">
        <v>0.8</v>
      </c>
      <c r="H119" s="10">
        <v>0.8</v>
      </c>
      <c r="I119" s="10">
        <v>0.8</v>
      </c>
      <c r="J119" s="10">
        <v>0.8</v>
      </c>
      <c r="K119" s="10">
        <v>0.8</v>
      </c>
      <c r="L119" s="10">
        <v>0.8</v>
      </c>
      <c r="M119" s="10">
        <v>0.8</v>
      </c>
      <c r="N119" s="10">
        <v>0.8</v>
      </c>
    </row>
    <row r="120" spans="1:14" hidden="1" outlineLevel="1" x14ac:dyDescent="0.2">
      <c r="A120" s="9" t="s">
        <v>220</v>
      </c>
      <c r="B120" s="1" t="s">
        <v>221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  <c r="I120" s="10">
        <v>0</v>
      </c>
      <c r="J120" s="10">
        <v>0</v>
      </c>
      <c r="K120" s="10">
        <v>0</v>
      </c>
      <c r="L120" s="10">
        <v>0</v>
      </c>
      <c r="M120" s="10">
        <v>0</v>
      </c>
      <c r="N120" s="10">
        <v>0</v>
      </c>
    </row>
    <row r="121" spans="1:14" collapsed="1" x14ac:dyDescent="0.2">
      <c r="A121" s="48" t="s">
        <v>226</v>
      </c>
      <c r="B121" s="49" t="s">
        <v>227</v>
      </c>
      <c r="C121" s="50">
        <v>0</v>
      </c>
      <c r="D121" s="50">
        <v>0</v>
      </c>
      <c r="E121" s="50">
        <v>0</v>
      </c>
      <c r="F121" s="50">
        <v>0</v>
      </c>
      <c r="G121" s="50">
        <v>0</v>
      </c>
      <c r="H121" s="50">
        <v>0</v>
      </c>
      <c r="I121" s="50">
        <v>0</v>
      </c>
      <c r="J121" s="50">
        <v>0</v>
      </c>
      <c r="K121" s="50">
        <v>0</v>
      </c>
      <c r="L121" s="50">
        <v>0</v>
      </c>
      <c r="M121" s="50">
        <v>0</v>
      </c>
      <c r="N121" s="50">
        <v>0</v>
      </c>
    </row>
    <row r="122" spans="1:14" x14ac:dyDescent="0.2">
      <c r="A122" s="48" t="s">
        <v>228</v>
      </c>
      <c r="B122" s="49" t="s">
        <v>229</v>
      </c>
      <c r="C122" s="50">
        <v>0</v>
      </c>
      <c r="D122" s="50">
        <v>0</v>
      </c>
      <c r="E122" s="50">
        <v>0</v>
      </c>
      <c r="F122" s="50">
        <v>0</v>
      </c>
      <c r="G122" s="50">
        <v>0</v>
      </c>
      <c r="H122" s="50">
        <v>0</v>
      </c>
      <c r="I122" s="50">
        <v>0</v>
      </c>
      <c r="J122" s="50">
        <v>0</v>
      </c>
      <c r="K122" s="50">
        <v>0</v>
      </c>
      <c r="L122" s="50">
        <v>0</v>
      </c>
      <c r="M122" s="50">
        <v>0</v>
      </c>
      <c r="N122" s="50">
        <v>0</v>
      </c>
    </row>
    <row r="123" spans="1:14" x14ac:dyDescent="0.2">
      <c r="A123" s="48" t="s">
        <v>230</v>
      </c>
      <c r="B123" s="49" t="s">
        <v>231</v>
      </c>
      <c r="C123" s="50">
        <f t="shared" ref="C123:N123" si="21">+C124+C125</f>
        <v>6.3</v>
      </c>
      <c r="D123" s="50">
        <f t="shared" si="21"/>
        <v>6.3</v>
      </c>
      <c r="E123" s="50">
        <f t="shared" si="21"/>
        <v>6.3</v>
      </c>
      <c r="F123" s="50">
        <f t="shared" si="21"/>
        <v>6.3</v>
      </c>
      <c r="G123" s="50">
        <f t="shared" si="21"/>
        <v>6</v>
      </c>
      <c r="H123" s="50">
        <f t="shared" si="21"/>
        <v>6.3</v>
      </c>
      <c r="I123" s="50">
        <f t="shared" si="21"/>
        <v>6.3</v>
      </c>
      <c r="J123" s="50">
        <f t="shared" si="21"/>
        <v>6.3</v>
      </c>
      <c r="K123" s="50">
        <f t="shared" si="21"/>
        <v>6.3</v>
      </c>
      <c r="L123" s="50">
        <f t="shared" si="21"/>
        <v>6.3</v>
      </c>
      <c r="M123" s="50">
        <f t="shared" si="21"/>
        <v>6.3</v>
      </c>
      <c r="N123" s="50">
        <f t="shared" si="21"/>
        <v>6.3</v>
      </c>
    </row>
    <row r="124" spans="1:14" hidden="1" outlineLevel="1" x14ac:dyDescent="0.2">
      <c r="A124" s="9" t="s">
        <v>232</v>
      </c>
      <c r="B124" s="1" t="s">
        <v>233</v>
      </c>
      <c r="C124" s="10">
        <v>6.3</v>
      </c>
      <c r="D124" s="10">
        <v>6.3</v>
      </c>
      <c r="E124" s="10">
        <v>6.3</v>
      </c>
      <c r="F124" s="10">
        <v>6.3</v>
      </c>
      <c r="G124" s="10">
        <v>6.3</v>
      </c>
      <c r="H124" s="10">
        <v>6.3</v>
      </c>
      <c r="I124" s="10">
        <v>6.3</v>
      </c>
      <c r="J124" s="10">
        <v>6.3</v>
      </c>
      <c r="K124" s="10">
        <v>6.3</v>
      </c>
      <c r="L124" s="10">
        <v>6.3</v>
      </c>
      <c r="M124" s="10">
        <v>6.3</v>
      </c>
      <c r="N124" s="10">
        <v>6.3</v>
      </c>
    </row>
    <row r="125" spans="1:14" hidden="1" outlineLevel="1" x14ac:dyDescent="0.2">
      <c r="A125" s="9" t="s">
        <v>234</v>
      </c>
      <c r="B125" s="1" t="s">
        <v>235</v>
      </c>
      <c r="C125" s="10">
        <v>0</v>
      </c>
      <c r="D125" s="10">
        <v>0</v>
      </c>
      <c r="E125" s="10">
        <v>0</v>
      </c>
      <c r="F125" s="10">
        <v>0</v>
      </c>
      <c r="G125" s="10">
        <v>-0.3</v>
      </c>
      <c r="H125" s="10">
        <v>0</v>
      </c>
      <c r="I125" s="10">
        <v>0</v>
      </c>
      <c r="J125" s="10">
        <v>0</v>
      </c>
      <c r="K125" s="10">
        <v>0</v>
      </c>
      <c r="L125" s="10">
        <v>0</v>
      </c>
      <c r="M125" s="10">
        <v>0</v>
      </c>
      <c r="N125" s="10">
        <v>0</v>
      </c>
    </row>
    <row r="126" spans="1:14" collapsed="1" x14ac:dyDescent="0.2">
      <c r="A126" s="52"/>
      <c r="B126" s="52" t="s">
        <v>236</v>
      </c>
      <c r="C126" s="53">
        <f t="shared" ref="C126:N126" si="22">+C95+C110+C121+C122+C123</f>
        <v>27.3</v>
      </c>
      <c r="D126" s="53">
        <f t="shared" si="22"/>
        <v>27.6</v>
      </c>
      <c r="E126" s="53">
        <f t="shared" si="22"/>
        <v>29.099999999999998</v>
      </c>
      <c r="F126" s="53">
        <f t="shared" si="22"/>
        <v>29.799999999999997</v>
      </c>
      <c r="G126" s="53">
        <f t="shared" si="22"/>
        <v>29.599999999999998</v>
      </c>
      <c r="H126" s="53">
        <f t="shared" si="22"/>
        <v>29</v>
      </c>
      <c r="I126" s="53">
        <f t="shared" si="22"/>
        <v>27.099999999999998</v>
      </c>
      <c r="J126" s="53">
        <f t="shared" si="22"/>
        <v>29.099999999999998</v>
      </c>
      <c r="K126" s="53">
        <f t="shared" si="22"/>
        <v>29.799999999999997</v>
      </c>
      <c r="L126" s="53">
        <f t="shared" si="22"/>
        <v>29.9</v>
      </c>
      <c r="M126" s="53">
        <f t="shared" si="22"/>
        <v>29</v>
      </c>
      <c r="N126" s="53">
        <f t="shared" si="22"/>
        <v>27.4</v>
      </c>
    </row>
    <row r="127" spans="1:14" x14ac:dyDescent="0.2">
      <c r="A127" s="51"/>
      <c r="B127" s="51" t="s">
        <v>237</v>
      </c>
      <c r="C127" s="19">
        <f t="shared" ref="C127:N127" si="23">+C94-C126</f>
        <v>74.279999999999973</v>
      </c>
      <c r="D127" s="19">
        <f t="shared" si="23"/>
        <v>73.979999999999961</v>
      </c>
      <c r="E127" s="19">
        <f t="shared" si="23"/>
        <v>80.97999999999999</v>
      </c>
      <c r="F127" s="19">
        <f t="shared" si="23"/>
        <v>13.07999999999997</v>
      </c>
      <c r="G127" s="19">
        <f t="shared" si="23"/>
        <v>44.47999999999999</v>
      </c>
      <c r="H127" s="19">
        <f t="shared" si="23"/>
        <v>43.47999999999999</v>
      </c>
      <c r="I127" s="19">
        <f t="shared" si="23"/>
        <v>22.579999999999981</v>
      </c>
      <c r="J127" s="19">
        <f t="shared" si="23"/>
        <v>68.179999999999993</v>
      </c>
      <c r="K127" s="19">
        <f t="shared" si="23"/>
        <v>75.179999999999978</v>
      </c>
      <c r="L127" s="19">
        <f t="shared" si="23"/>
        <v>29.979999999999983</v>
      </c>
      <c r="M127" s="19">
        <f t="shared" si="23"/>
        <v>38.679999999999978</v>
      </c>
      <c r="N127" s="19">
        <f t="shared" si="23"/>
        <v>62.27999999999998</v>
      </c>
    </row>
    <row r="128" spans="1:14" x14ac:dyDescent="0.2">
      <c r="A128" s="48" t="s">
        <v>238</v>
      </c>
      <c r="B128" s="49" t="s">
        <v>239</v>
      </c>
      <c r="C128" s="50">
        <f t="shared" ref="C128:N128" si="24">+C129+C130</f>
        <v>1.9</v>
      </c>
      <c r="D128" s="50">
        <f t="shared" si="24"/>
        <v>1.9</v>
      </c>
      <c r="E128" s="50">
        <f t="shared" si="24"/>
        <v>1.9</v>
      </c>
      <c r="F128" s="50">
        <f t="shared" si="24"/>
        <v>1.9</v>
      </c>
      <c r="G128" s="50">
        <f t="shared" si="24"/>
        <v>1.9</v>
      </c>
      <c r="H128" s="50">
        <f t="shared" si="24"/>
        <v>1.9</v>
      </c>
      <c r="I128" s="50">
        <f t="shared" si="24"/>
        <v>1.9</v>
      </c>
      <c r="J128" s="50">
        <f t="shared" si="24"/>
        <v>1.9</v>
      </c>
      <c r="K128" s="50">
        <f t="shared" si="24"/>
        <v>1.9</v>
      </c>
      <c r="L128" s="50">
        <f t="shared" si="24"/>
        <v>1.9</v>
      </c>
      <c r="M128" s="50">
        <f t="shared" si="24"/>
        <v>1.9</v>
      </c>
      <c r="N128" s="50">
        <f t="shared" si="24"/>
        <v>1.9</v>
      </c>
    </row>
    <row r="129" spans="1:14" hidden="1" outlineLevel="1" x14ac:dyDescent="0.2">
      <c r="A129" s="9" t="s">
        <v>240</v>
      </c>
      <c r="B129" s="1" t="s">
        <v>241</v>
      </c>
      <c r="C129" s="10">
        <v>1.9</v>
      </c>
      <c r="D129" s="10">
        <v>1.9</v>
      </c>
      <c r="E129" s="10">
        <v>1.9</v>
      </c>
      <c r="F129" s="10">
        <v>1.9</v>
      </c>
      <c r="G129" s="10">
        <v>1.9</v>
      </c>
      <c r="H129" s="10">
        <v>1.9</v>
      </c>
      <c r="I129" s="10">
        <v>1.9</v>
      </c>
      <c r="J129" s="10">
        <v>1.9</v>
      </c>
      <c r="K129" s="10">
        <v>1.9</v>
      </c>
      <c r="L129" s="10">
        <v>1.9</v>
      </c>
      <c r="M129" s="10">
        <v>1.9</v>
      </c>
      <c r="N129" s="10">
        <v>1.9</v>
      </c>
    </row>
    <row r="130" spans="1:14" hidden="1" outlineLevel="1" x14ac:dyDescent="0.2">
      <c r="A130" s="9" t="s">
        <v>242</v>
      </c>
      <c r="B130" s="1" t="s">
        <v>243</v>
      </c>
      <c r="C130" s="10">
        <v>0</v>
      </c>
      <c r="D130" s="10">
        <v>0</v>
      </c>
      <c r="E130" s="10">
        <v>0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</v>
      </c>
      <c r="L130" s="10">
        <v>0</v>
      </c>
      <c r="M130" s="10">
        <v>0</v>
      </c>
      <c r="N130" s="10">
        <v>0</v>
      </c>
    </row>
    <row r="131" spans="1:14" collapsed="1" x14ac:dyDescent="0.2">
      <c r="A131" s="48" t="s">
        <v>244</v>
      </c>
      <c r="B131" s="49" t="s">
        <v>245</v>
      </c>
      <c r="C131" s="50">
        <v>0</v>
      </c>
      <c r="D131" s="50">
        <v>0</v>
      </c>
      <c r="E131" s="50">
        <v>0</v>
      </c>
      <c r="F131" s="50">
        <v>0</v>
      </c>
      <c r="G131" s="50">
        <v>0</v>
      </c>
      <c r="H131" s="50">
        <v>0</v>
      </c>
      <c r="I131" s="50">
        <v>0</v>
      </c>
      <c r="J131" s="50">
        <v>0</v>
      </c>
      <c r="K131" s="50">
        <v>0</v>
      </c>
      <c r="L131" s="50">
        <v>0</v>
      </c>
      <c r="M131" s="50">
        <v>0</v>
      </c>
      <c r="N131" s="50">
        <v>0</v>
      </c>
    </row>
    <row r="132" spans="1:14" x14ac:dyDescent="0.2">
      <c r="A132" s="51"/>
      <c r="B132" s="51" t="s">
        <v>246</v>
      </c>
      <c r="C132" s="19">
        <f t="shared" ref="C132:N132" si="25">+C127-SUM(C128,C131)</f>
        <v>72.379999999999967</v>
      </c>
      <c r="D132" s="19">
        <f t="shared" si="25"/>
        <v>72.079999999999956</v>
      </c>
      <c r="E132" s="19">
        <f t="shared" si="25"/>
        <v>79.079999999999984</v>
      </c>
      <c r="F132" s="19">
        <f t="shared" si="25"/>
        <v>11.17999999999997</v>
      </c>
      <c r="G132" s="19">
        <f t="shared" si="25"/>
        <v>42.579999999999991</v>
      </c>
      <c r="H132" s="19">
        <f t="shared" si="25"/>
        <v>41.579999999999991</v>
      </c>
      <c r="I132" s="19">
        <f t="shared" si="25"/>
        <v>20.679999999999982</v>
      </c>
      <c r="J132" s="19">
        <f t="shared" si="25"/>
        <v>66.279999999999987</v>
      </c>
      <c r="K132" s="19">
        <f t="shared" si="25"/>
        <v>73.279999999999973</v>
      </c>
      <c r="L132" s="19">
        <f t="shared" si="25"/>
        <v>28.079999999999984</v>
      </c>
      <c r="M132" s="19">
        <f t="shared" si="25"/>
        <v>36.77999999999998</v>
      </c>
      <c r="N132" s="19">
        <f t="shared" si="25"/>
        <v>60.379999999999981</v>
      </c>
    </row>
    <row r="133" spans="1:14" x14ac:dyDescent="0.2">
      <c r="A133" s="2"/>
      <c r="B133" s="2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</row>
    <row r="134" spans="1:14" x14ac:dyDescent="0.2">
      <c r="A134" s="12"/>
      <c r="B134" s="12" t="s">
        <v>247</v>
      </c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</row>
    <row r="135" spans="1:14" x14ac:dyDescent="0.2">
      <c r="A135" s="9" t="s">
        <v>248</v>
      </c>
      <c r="B135" s="1" t="s">
        <v>249</v>
      </c>
      <c r="C135" s="13">
        <v>25</v>
      </c>
      <c r="D135" s="13">
        <v>25</v>
      </c>
      <c r="E135" s="13">
        <v>22</v>
      </c>
      <c r="F135" s="13">
        <v>21</v>
      </c>
      <c r="G135" s="13">
        <v>22</v>
      </c>
      <c r="H135" s="13">
        <v>21</v>
      </c>
      <c r="I135" s="13">
        <v>20</v>
      </c>
      <c r="J135" s="13">
        <v>22</v>
      </c>
      <c r="K135" s="13">
        <v>21</v>
      </c>
      <c r="L135" s="13">
        <v>22</v>
      </c>
      <c r="M135" s="13">
        <v>21</v>
      </c>
      <c r="N135" s="13">
        <v>20</v>
      </c>
    </row>
    <row r="136" spans="1:14" hidden="1" outlineLevel="1" x14ac:dyDescent="0.2">
      <c r="A136" s="9" t="s">
        <v>250</v>
      </c>
      <c r="B136" s="1" t="s">
        <v>251</v>
      </c>
      <c r="C136" s="13">
        <v>25</v>
      </c>
      <c r="D136" s="13">
        <v>25</v>
      </c>
      <c r="E136" s="13">
        <v>22</v>
      </c>
      <c r="F136" s="13">
        <v>21</v>
      </c>
      <c r="G136" s="13">
        <v>22</v>
      </c>
      <c r="H136" s="13">
        <v>21</v>
      </c>
      <c r="I136" s="13">
        <v>20</v>
      </c>
      <c r="J136" s="13">
        <v>22</v>
      </c>
      <c r="K136" s="13">
        <v>21</v>
      </c>
      <c r="L136" s="13">
        <v>22</v>
      </c>
      <c r="M136" s="13">
        <v>21</v>
      </c>
      <c r="N136" s="13">
        <v>20</v>
      </c>
    </row>
    <row r="137" spans="1:14" collapsed="1" x14ac:dyDescent="0.2">
      <c r="A137" s="9" t="s">
        <v>252</v>
      </c>
      <c r="B137" s="1" t="s">
        <v>253</v>
      </c>
      <c r="C137" s="13">
        <v>32.4</v>
      </c>
      <c r="D137" s="13">
        <v>30.5</v>
      </c>
      <c r="E137" s="13">
        <v>28.6</v>
      </c>
      <c r="F137" s="13">
        <v>27.6</v>
      </c>
      <c r="G137" s="13">
        <v>26.6</v>
      </c>
      <c r="H137" s="13">
        <v>26.1</v>
      </c>
      <c r="I137" s="13">
        <v>24.6</v>
      </c>
      <c r="J137" s="13">
        <v>28.6</v>
      </c>
      <c r="K137" s="13">
        <v>27.6</v>
      </c>
      <c r="L137" s="13">
        <v>26.6</v>
      </c>
      <c r="M137" s="13">
        <v>26.1</v>
      </c>
      <c r="N137" s="13">
        <v>24.6</v>
      </c>
    </row>
    <row r="138" spans="1:14" hidden="1" outlineLevel="1" x14ac:dyDescent="0.2">
      <c r="A138" s="9" t="s">
        <v>254</v>
      </c>
      <c r="B138" s="1" t="s">
        <v>255</v>
      </c>
      <c r="C138" s="13">
        <v>32.4</v>
      </c>
      <c r="D138" s="13">
        <v>30.5</v>
      </c>
      <c r="E138" s="13">
        <v>28.6</v>
      </c>
      <c r="F138" s="13">
        <v>27.6</v>
      </c>
      <c r="G138" s="13">
        <v>26.6</v>
      </c>
      <c r="H138" s="13">
        <v>26.1</v>
      </c>
      <c r="I138" s="13">
        <v>24.6</v>
      </c>
      <c r="J138" s="13">
        <v>28.6</v>
      </c>
      <c r="K138" s="13">
        <v>27.6</v>
      </c>
      <c r="L138" s="13">
        <v>26.6</v>
      </c>
      <c r="M138" s="13">
        <v>26.1</v>
      </c>
      <c r="N138" s="13">
        <v>24.6</v>
      </c>
    </row>
    <row r="139" spans="1:14" collapsed="1" x14ac:dyDescent="0.2">
      <c r="A139" s="9" t="s">
        <v>256</v>
      </c>
      <c r="B139" s="1" t="s">
        <v>257</v>
      </c>
      <c r="C139" s="13">
        <v>0.9</v>
      </c>
      <c r="D139" s="13">
        <v>0.9</v>
      </c>
      <c r="E139" s="13">
        <v>0.9</v>
      </c>
      <c r="F139" s="13">
        <v>0.3</v>
      </c>
      <c r="G139" s="13">
        <v>0.3</v>
      </c>
      <c r="H139" s="13">
        <v>0.3</v>
      </c>
      <c r="I139" s="13">
        <v>0</v>
      </c>
      <c r="J139" s="13">
        <v>0.9</v>
      </c>
      <c r="K139" s="13">
        <v>0.3</v>
      </c>
      <c r="L139" s="13">
        <v>0.3</v>
      </c>
      <c r="M139" s="13">
        <v>0.3</v>
      </c>
      <c r="N139" s="13">
        <v>0</v>
      </c>
    </row>
    <row r="140" spans="1:14" hidden="1" outlineLevel="1" x14ac:dyDescent="0.2">
      <c r="A140" s="9" t="s">
        <v>258</v>
      </c>
      <c r="B140" s="1" t="s">
        <v>259</v>
      </c>
      <c r="C140" s="13">
        <v>0.9</v>
      </c>
      <c r="D140" s="13">
        <v>0.9</v>
      </c>
      <c r="E140" s="13">
        <v>0.9</v>
      </c>
      <c r="F140" s="13">
        <v>0.3</v>
      </c>
      <c r="G140" s="13">
        <v>0.3</v>
      </c>
      <c r="H140" s="13">
        <v>0.3</v>
      </c>
      <c r="I140" s="13">
        <v>0</v>
      </c>
      <c r="J140" s="13">
        <v>0.9</v>
      </c>
      <c r="K140" s="13">
        <v>0.3</v>
      </c>
      <c r="L140" s="13">
        <v>0.3</v>
      </c>
      <c r="M140" s="13">
        <v>0.3</v>
      </c>
      <c r="N140" s="13">
        <v>0</v>
      </c>
    </row>
    <row r="141" spans="1:14" hidden="1" outlineLevel="1" x14ac:dyDescent="0.2">
      <c r="A141" s="9" t="s">
        <v>363</v>
      </c>
      <c r="B141" s="1" t="s">
        <v>259</v>
      </c>
      <c r="C141" s="13">
        <v>0</v>
      </c>
      <c r="D141" s="13">
        <v>0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collapsed="1" x14ac:dyDescent="0.2">
      <c r="A142" s="9" t="s">
        <v>260</v>
      </c>
      <c r="B142" s="1" t="s">
        <v>261</v>
      </c>
      <c r="C142" s="13">
        <v>24.3</v>
      </c>
      <c r="D142" s="13">
        <v>23.4</v>
      </c>
      <c r="E142" s="13">
        <v>21.5</v>
      </c>
      <c r="F142" s="13">
        <v>21.3</v>
      </c>
      <c r="G142" s="13">
        <v>22.3</v>
      </c>
      <c r="H142" s="13">
        <v>21.7</v>
      </c>
      <c r="I142" s="13">
        <v>20.6</v>
      </c>
      <c r="J142" s="13">
        <v>21.5</v>
      </c>
      <c r="K142" s="13">
        <v>21.3</v>
      </c>
      <c r="L142" s="13">
        <v>22.3</v>
      </c>
      <c r="M142" s="13">
        <v>21.7</v>
      </c>
      <c r="N142" s="13">
        <v>20.6</v>
      </c>
    </row>
    <row r="143" spans="1:14" hidden="1" outlineLevel="1" x14ac:dyDescent="0.2">
      <c r="A143" s="9" t="s">
        <v>262</v>
      </c>
      <c r="B143" s="1" t="s">
        <v>263</v>
      </c>
      <c r="C143" s="13">
        <v>24.3</v>
      </c>
      <c r="D143" s="13">
        <v>23.4</v>
      </c>
      <c r="E143" s="13">
        <v>21.5</v>
      </c>
      <c r="F143" s="13">
        <v>21.3</v>
      </c>
      <c r="G143" s="13">
        <v>22.3</v>
      </c>
      <c r="H143" s="13">
        <v>21.7</v>
      </c>
      <c r="I143" s="13">
        <v>20.6</v>
      </c>
      <c r="J143" s="13">
        <v>21.5</v>
      </c>
      <c r="K143" s="13">
        <v>21.3</v>
      </c>
      <c r="L143" s="13">
        <v>22.3</v>
      </c>
      <c r="M143" s="13">
        <v>21.7</v>
      </c>
      <c r="N143" s="13">
        <v>20.6</v>
      </c>
    </row>
    <row r="144" spans="1:14" hidden="1" outlineLevel="1" x14ac:dyDescent="0.2">
      <c r="A144" s="9" t="s">
        <v>364</v>
      </c>
      <c r="B144" s="1" t="s">
        <v>263</v>
      </c>
      <c r="C144" s="13">
        <v>0</v>
      </c>
      <c r="D144" s="13">
        <v>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collapsed="1" x14ac:dyDescent="0.2">
      <c r="A145" s="9" t="s">
        <v>264</v>
      </c>
      <c r="B145" s="1" t="s">
        <v>265</v>
      </c>
      <c r="C145" s="13">
        <v>7.2</v>
      </c>
      <c r="D145" s="13">
        <v>6.2</v>
      </c>
      <c r="E145" s="13">
        <v>6.2</v>
      </c>
      <c r="F145" s="13">
        <v>6</v>
      </c>
      <c r="G145" s="13">
        <v>4</v>
      </c>
      <c r="H145" s="13">
        <v>4</v>
      </c>
      <c r="I145" s="13">
        <v>4</v>
      </c>
      <c r="J145" s="13">
        <v>6.2</v>
      </c>
      <c r="K145" s="13">
        <v>6</v>
      </c>
      <c r="L145" s="13">
        <v>4</v>
      </c>
      <c r="M145" s="13">
        <v>4</v>
      </c>
      <c r="N145" s="13">
        <v>4</v>
      </c>
    </row>
    <row r="146" spans="1:14" hidden="1" outlineLevel="1" x14ac:dyDescent="0.2">
      <c r="A146" s="9" t="s">
        <v>266</v>
      </c>
      <c r="B146" s="1" t="s">
        <v>267</v>
      </c>
      <c r="C146" s="13">
        <v>7.2</v>
      </c>
      <c r="D146" s="13">
        <v>6.2</v>
      </c>
      <c r="E146" s="13">
        <v>6.2</v>
      </c>
      <c r="F146" s="13">
        <v>6</v>
      </c>
      <c r="G146" s="13">
        <v>4</v>
      </c>
      <c r="H146" s="13">
        <v>4</v>
      </c>
      <c r="I146" s="13">
        <v>4</v>
      </c>
      <c r="J146" s="13">
        <v>6.2</v>
      </c>
      <c r="K146" s="13">
        <v>6</v>
      </c>
      <c r="L146" s="13">
        <v>4</v>
      </c>
      <c r="M146" s="13">
        <v>4</v>
      </c>
      <c r="N146" s="13">
        <v>4</v>
      </c>
    </row>
    <row r="147" spans="1:14" hidden="1" outlineLevel="1" x14ac:dyDescent="0.2">
      <c r="A147" s="9" t="s">
        <v>365</v>
      </c>
      <c r="B147" s="1" t="s">
        <v>366</v>
      </c>
      <c r="C147" s="13">
        <v>0</v>
      </c>
      <c r="D147" s="13">
        <v>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collapsed="1" x14ac:dyDescent="0.2">
      <c r="A148" s="9" t="s">
        <v>268</v>
      </c>
      <c r="B148" s="1" t="s">
        <v>269</v>
      </c>
      <c r="C148" s="13">
        <v>0</v>
      </c>
      <c r="D148" s="13">
        <v>0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2">
      <c r="A149" s="9" t="s">
        <v>270</v>
      </c>
      <c r="B149" s="1" t="s">
        <v>271</v>
      </c>
      <c r="C149" s="13">
        <v>0</v>
      </c>
      <c r="D149" s="13">
        <v>0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2">
      <c r="A150" s="9" t="s">
        <v>272</v>
      </c>
      <c r="B150" s="1" t="s">
        <v>273</v>
      </c>
      <c r="C150" s="13">
        <v>0</v>
      </c>
      <c r="D150" s="13">
        <v>0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2">
      <c r="A151" s="9" t="s">
        <v>274</v>
      </c>
      <c r="B151" s="1" t="s">
        <v>275</v>
      </c>
      <c r="C151" s="13">
        <v>0</v>
      </c>
      <c r="D151" s="13">
        <v>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2">
      <c r="A152" s="9" t="s">
        <v>276</v>
      </c>
      <c r="B152" s="1" t="s">
        <v>277</v>
      </c>
      <c r="C152" s="13">
        <v>0</v>
      </c>
      <c r="D152" s="13">
        <v>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2">
      <c r="A153" s="9" t="s">
        <v>280</v>
      </c>
      <c r="B153" s="1" t="s">
        <v>281</v>
      </c>
      <c r="C153" s="13">
        <v>0</v>
      </c>
      <c r="D153" s="13">
        <v>0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2">
      <c r="A154" s="9" t="s">
        <v>284</v>
      </c>
      <c r="B154" s="1" t="s">
        <v>285</v>
      </c>
      <c r="C154" s="13">
        <v>0</v>
      </c>
      <c r="D154" s="13">
        <v>0</v>
      </c>
      <c r="E154" s="13">
        <v>0</v>
      </c>
      <c r="F154" s="13">
        <v>0</v>
      </c>
      <c r="G154" s="13">
        <v>0</v>
      </c>
      <c r="H154" s="13">
        <v>0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2">
      <c r="A155" s="9" t="s">
        <v>288</v>
      </c>
      <c r="B155" s="1" t="s">
        <v>289</v>
      </c>
      <c r="C155" s="13">
        <v>0</v>
      </c>
      <c r="D155" s="13">
        <v>0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2">
      <c r="A156" s="3"/>
      <c r="B156" s="3" t="s">
        <v>290</v>
      </c>
      <c r="C156" s="15">
        <v>5.2</v>
      </c>
      <c r="D156" s="15">
        <v>5.2</v>
      </c>
      <c r="E156" s="15">
        <v>4.4000000000000004</v>
      </c>
      <c r="F156" s="15">
        <v>4.4000000000000004</v>
      </c>
      <c r="G156" s="15">
        <v>5</v>
      </c>
      <c r="H156" s="15">
        <v>4.7</v>
      </c>
      <c r="I156" s="15">
        <v>5.0999999999999996</v>
      </c>
      <c r="J156" s="15">
        <v>4.4000000000000004</v>
      </c>
      <c r="K156" s="15">
        <v>4.4000000000000004</v>
      </c>
      <c r="L156" s="15">
        <v>5</v>
      </c>
      <c r="M156" s="15">
        <v>4.7</v>
      </c>
      <c r="N156" s="15">
        <v>5.0999999999999996</v>
      </c>
    </row>
    <row r="157" spans="1:14" x14ac:dyDescent="0.2">
      <c r="A157" s="3"/>
      <c r="B157" s="3" t="s">
        <v>291</v>
      </c>
      <c r="C157" s="15" t="s">
        <v>292</v>
      </c>
      <c r="D157" s="15" t="s">
        <v>292</v>
      </c>
      <c r="E157" s="15" t="s">
        <v>292</v>
      </c>
      <c r="F157" s="15" t="s">
        <v>292</v>
      </c>
      <c r="G157" s="15" t="s">
        <v>292</v>
      </c>
      <c r="H157" s="15" t="s">
        <v>292</v>
      </c>
      <c r="I157" s="15" t="s">
        <v>292</v>
      </c>
      <c r="J157" s="15" t="s">
        <v>292</v>
      </c>
      <c r="K157" s="15" t="s">
        <v>292</v>
      </c>
      <c r="L157" s="15" t="s">
        <v>292</v>
      </c>
      <c r="M157" s="15" t="s">
        <v>292</v>
      </c>
      <c r="N157" s="15" t="s">
        <v>292</v>
      </c>
    </row>
    <row r="158" spans="1:14" x14ac:dyDescent="0.2">
      <c r="A158" s="3"/>
      <c r="B158" s="3" t="s">
        <v>293</v>
      </c>
      <c r="C158" s="15" t="s">
        <v>292</v>
      </c>
      <c r="D158" s="15" t="s">
        <v>292</v>
      </c>
      <c r="E158" s="15" t="s">
        <v>292</v>
      </c>
      <c r="F158" s="15" t="s">
        <v>292</v>
      </c>
      <c r="G158" s="15" t="s">
        <v>292</v>
      </c>
      <c r="H158" s="15" t="s">
        <v>292</v>
      </c>
      <c r="I158" s="15" t="s">
        <v>292</v>
      </c>
      <c r="J158" s="15" t="s">
        <v>292</v>
      </c>
      <c r="K158" s="15" t="s">
        <v>292</v>
      </c>
      <c r="L158" s="15" t="s">
        <v>292</v>
      </c>
      <c r="M158" s="15" t="s">
        <v>292</v>
      </c>
      <c r="N158" s="15" t="s">
        <v>292</v>
      </c>
    </row>
    <row r="159" spans="1:14" x14ac:dyDescent="0.2">
      <c r="A159" s="3"/>
      <c r="B159" s="3" t="s">
        <v>294</v>
      </c>
      <c r="C159" s="15">
        <v>0</v>
      </c>
      <c r="D159" s="15">
        <v>0</v>
      </c>
      <c r="E159" s="15">
        <v>0</v>
      </c>
      <c r="F159" s="15">
        <v>0</v>
      </c>
      <c r="G159" s="15">
        <v>0</v>
      </c>
      <c r="H159" s="15">
        <v>0</v>
      </c>
      <c r="I159" s="15">
        <v>0</v>
      </c>
      <c r="J159" s="15">
        <v>0</v>
      </c>
      <c r="K159" s="15">
        <v>0</v>
      </c>
      <c r="L159" s="15">
        <v>0</v>
      </c>
      <c r="M159" s="15">
        <v>0</v>
      </c>
      <c r="N159" s="15">
        <v>0</v>
      </c>
    </row>
    <row r="160" spans="1:14" x14ac:dyDescent="0.2">
      <c r="A160" s="12"/>
      <c r="B160" s="12" t="s">
        <v>295</v>
      </c>
      <c r="C160" s="14" t="s">
        <v>292</v>
      </c>
      <c r="D160" s="14" t="s">
        <v>292</v>
      </c>
      <c r="E160" s="14" t="s">
        <v>292</v>
      </c>
      <c r="F160" s="14" t="s">
        <v>292</v>
      </c>
      <c r="G160" s="14" t="s">
        <v>292</v>
      </c>
      <c r="H160" s="14" t="s">
        <v>292</v>
      </c>
      <c r="I160" s="14" t="s">
        <v>292</v>
      </c>
      <c r="J160" s="14" t="s">
        <v>292</v>
      </c>
      <c r="K160" s="14" t="s">
        <v>292</v>
      </c>
      <c r="L160" s="14" t="s">
        <v>292</v>
      </c>
      <c r="M160" s="14" t="s">
        <v>292</v>
      </c>
      <c r="N160" s="14" t="s">
        <v>292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6061-28A2-4A44-93E8-8238ED77F9B8}">
  <sheetPr codeName="Hoja51">
    <tabColor rgb="FF00B0F0"/>
  </sheetPr>
  <dimension ref="A1:N113"/>
  <sheetViews>
    <sheetView zoomScale="85" zoomScaleNormal="85" workbookViewId="0">
      <pane ySplit="6" topLeftCell="A7" activePane="bottomLeft" state="frozen"/>
      <selection activeCell="I54" sqref="I54"/>
      <selection pane="bottomLeft" activeCell="B38" sqref="A32:B38"/>
    </sheetView>
  </sheetViews>
  <sheetFormatPr baseColWidth="10" defaultRowHeight="12" outlineLevelRow="1" x14ac:dyDescent="0.2"/>
  <cols>
    <col min="1" max="1" width="11.7109375" style="1" customWidth="1"/>
    <col min="2" max="2" width="35.5703125" style="1" customWidth="1"/>
    <col min="3" max="3" width="12.5703125" style="1" customWidth="1"/>
    <col min="4" max="9" width="10.5703125" style="1" customWidth="1"/>
    <col min="10" max="13" width="12.85546875" style="1" customWidth="1"/>
    <col min="14" max="14" width="14.4257812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383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 t="shared" ref="C7:N7" si="0">SUM(C8:C15)</f>
        <v>132</v>
      </c>
      <c r="D7" s="50">
        <f t="shared" si="0"/>
        <v>154</v>
      </c>
      <c r="E7" s="50">
        <f t="shared" si="0"/>
        <v>148</v>
      </c>
      <c r="F7" s="50">
        <f t="shared" si="0"/>
        <v>149</v>
      </c>
      <c r="G7" s="50">
        <f t="shared" si="0"/>
        <v>153</v>
      </c>
      <c r="H7" s="50">
        <f t="shared" si="0"/>
        <v>147</v>
      </c>
      <c r="I7" s="50">
        <f t="shared" si="0"/>
        <v>150</v>
      </c>
      <c r="J7" s="50">
        <f t="shared" si="0"/>
        <v>164</v>
      </c>
      <c r="K7" s="50">
        <f t="shared" si="0"/>
        <v>180</v>
      </c>
      <c r="L7" s="50">
        <f t="shared" si="0"/>
        <v>177</v>
      </c>
      <c r="M7" s="50">
        <f t="shared" si="0"/>
        <v>162</v>
      </c>
      <c r="N7" s="50">
        <f t="shared" si="0"/>
        <v>157</v>
      </c>
    </row>
    <row r="8" spans="1:14" hidden="1" outlineLevel="1" x14ac:dyDescent="0.2">
      <c r="A8" s="9" t="s">
        <v>370</v>
      </c>
      <c r="B8" s="1" t="s">
        <v>30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25</v>
      </c>
      <c r="B9" s="1" t="s">
        <v>26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300</v>
      </c>
      <c r="B10" s="1" t="s">
        <v>36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hidden="1" outlineLevel="1" x14ac:dyDescent="0.2">
      <c r="A11" s="9" t="s">
        <v>27</v>
      </c>
      <c r="B11" s="1" t="s">
        <v>28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hidden="1" outlineLevel="1" x14ac:dyDescent="0.2">
      <c r="A12" s="9" t="s">
        <v>29</v>
      </c>
      <c r="B12" s="1" t="s">
        <v>30</v>
      </c>
      <c r="C12" s="10">
        <v>132</v>
      </c>
      <c r="D12" s="10">
        <v>154</v>
      </c>
      <c r="E12" s="10">
        <v>148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</row>
    <row r="13" spans="1:14" hidden="1" outlineLevel="1" x14ac:dyDescent="0.2">
      <c r="A13" s="9" t="s">
        <v>31</v>
      </c>
      <c r="B13" s="1" t="s">
        <v>32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147</v>
      </c>
      <c r="I13" s="10">
        <v>150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</row>
    <row r="14" spans="1:14" hidden="1" outlineLevel="1" x14ac:dyDescent="0.2">
      <c r="A14" s="9" t="s">
        <v>33</v>
      </c>
      <c r="B14" s="1" t="s">
        <v>34</v>
      </c>
      <c r="C14" s="10">
        <v>0</v>
      </c>
      <c r="D14" s="10">
        <v>0</v>
      </c>
      <c r="E14" s="10">
        <v>0</v>
      </c>
      <c r="F14" s="10">
        <v>149</v>
      </c>
      <c r="G14" s="10">
        <v>153</v>
      </c>
      <c r="H14" s="10">
        <v>0</v>
      </c>
      <c r="I14" s="10">
        <v>0</v>
      </c>
      <c r="J14" s="10">
        <v>164</v>
      </c>
      <c r="K14" s="10">
        <v>180</v>
      </c>
      <c r="L14" s="10">
        <v>177</v>
      </c>
      <c r="M14" s="10">
        <v>162</v>
      </c>
      <c r="N14" s="10">
        <v>157</v>
      </c>
    </row>
    <row r="15" spans="1:14" hidden="1" outlineLevel="1" x14ac:dyDescent="0.2">
      <c r="A15" s="9" t="s">
        <v>35</v>
      </c>
      <c r="B15" s="1" t="s">
        <v>36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48" t="s">
        <v>37</v>
      </c>
      <c r="B16" s="49" t="s">
        <v>38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48" t="s">
        <v>39</v>
      </c>
      <c r="B17" s="49" t="s">
        <v>40</v>
      </c>
      <c r="C17" s="50">
        <v>0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</row>
    <row r="18" spans="1:14" x14ac:dyDescent="0.2">
      <c r="A18" s="48" t="s">
        <v>41</v>
      </c>
      <c r="B18" s="49" t="s">
        <v>42</v>
      </c>
      <c r="C18" s="50">
        <f t="shared" ref="C18:N18" si="1">+C19</f>
        <v>0</v>
      </c>
      <c r="D18" s="50">
        <f t="shared" si="1"/>
        <v>0</v>
      </c>
      <c r="E18" s="50">
        <f t="shared" si="1"/>
        <v>0</v>
      </c>
      <c r="F18" s="50">
        <f t="shared" si="1"/>
        <v>0</v>
      </c>
      <c r="G18" s="50">
        <f t="shared" si="1"/>
        <v>0</v>
      </c>
      <c r="H18" s="50">
        <f t="shared" si="1"/>
        <v>0</v>
      </c>
      <c r="I18" s="50">
        <f t="shared" si="1"/>
        <v>0</v>
      </c>
      <c r="J18" s="50">
        <f t="shared" si="1"/>
        <v>0</v>
      </c>
      <c r="K18" s="50">
        <f t="shared" si="1"/>
        <v>0</v>
      </c>
      <c r="L18" s="50">
        <f t="shared" si="1"/>
        <v>0</v>
      </c>
      <c r="M18" s="50">
        <f t="shared" si="1"/>
        <v>0</v>
      </c>
      <c r="N18" s="50">
        <f t="shared" si="1"/>
        <v>0</v>
      </c>
    </row>
    <row r="19" spans="1:14" hidden="1" outlineLevel="1" x14ac:dyDescent="0.2">
      <c r="A19" s="9" t="s">
        <v>43</v>
      </c>
      <c r="B19" s="1" t="s">
        <v>44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collapsed="1" x14ac:dyDescent="0.2">
      <c r="A20" s="48" t="s">
        <v>45</v>
      </c>
      <c r="B20" s="49" t="s">
        <v>46</v>
      </c>
      <c r="C20" s="50">
        <v>0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50">
        <v>0</v>
      </c>
      <c r="L20" s="50">
        <v>0</v>
      </c>
      <c r="M20" s="50">
        <v>0</v>
      </c>
      <c r="N20" s="50">
        <v>0</v>
      </c>
    </row>
    <row r="21" spans="1:14" x14ac:dyDescent="0.2">
      <c r="A21" s="51"/>
      <c r="B21" s="51" t="s">
        <v>47</v>
      </c>
      <c r="C21" s="19">
        <f t="shared" ref="C21:N21" si="2">+C7+C16+C17+C18+C20</f>
        <v>132</v>
      </c>
      <c r="D21" s="19">
        <f t="shared" si="2"/>
        <v>154</v>
      </c>
      <c r="E21" s="19">
        <f t="shared" si="2"/>
        <v>148</v>
      </c>
      <c r="F21" s="19">
        <f t="shared" si="2"/>
        <v>149</v>
      </c>
      <c r="G21" s="19">
        <f t="shared" si="2"/>
        <v>153</v>
      </c>
      <c r="H21" s="19">
        <f t="shared" si="2"/>
        <v>147</v>
      </c>
      <c r="I21" s="19">
        <f t="shared" si="2"/>
        <v>150</v>
      </c>
      <c r="J21" s="19">
        <f t="shared" si="2"/>
        <v>164</v>
      </c>
      <c r="K21" s="19">
        <f t="shared" si="2"/>
        <v>180</v>
      </c>
      <c r="L21" s="19">
        <f t="shared" si="2"/>
        <v>177</v>
      </c>
      <c r="M21" s="19">
        <f t="shared" si="2"/>
        <v>162</v>
      </c>
      <c r="N21" s="19">
        <f t="shared" si="2"/>
        <v>157</v>
      </c>
    </row>
    <row r="22" spans="1:14" x14ac:dyDescent="0.2">
      <c r="A22" s="48" t="s">
        <v>48</v>
      </c>
      <c r="B22" s="49" t="s">
        <v>49</v>
      </c>
      <c r="C22" s="50">
        <f t="shared" ref="C22:N22" si="3">SUM(C23:C24)</f>
        <v>0</v>
      </c>
      <c r="D22" s="50">
        <f t="shared" si="3"/>
        <v>0</v>
      </c>
      <c r="E22" s="50">
        <f t="shared" si="3"/>
        <v>0</v>
      </c>
      <c r="F22" s="50">
        <f t="shared" si="3"/>
        <v>0</v>
      </c>
      <c r="G22" s="50">
        <f t="shared" si="3"/>
        <v>0</v>
      </c>
      <c r="H22" s="50">
        <f t="shared" si="3"/>
        <v>0</v>
      </c>
      <c r="I22" s="50">
        <f t="shared" si="3"/>
        <v>0</v>
      </c>
      <c r="J22" s="50">
        <f t="shared" si="3"/>
        <v>0</v>
      </c>
      <c r="K22" s="50">
        <f t="shared" si="3"/>
        <v>0</v>
      </c>
      <c r="L22" s="50">
        <f t="shared" si="3"/>
        <v>0</v>
      </c>
      <c r="M22" s="50">
        <f t="shared" si="3"/>
        <v>0</v>
      </c>
      <c r="N22" s="50">
        <f t="shared" si="3"/>
        <v>0</v>
      </c>
    </row>
    <row r="23" spans="1:14" hidden="1" outlineLevel="1" x14ac:dyDescent="0.2">
      <c r="A23" s="9" t="s">
        <v>56</v>
      </c>
      <c r="B23" s="1" t="s">
        <v>51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</row>
    <row r="24" spans="1:14" hidden="1" outlineLevel="1" x14ac:dyDescent="0.2">
      <c r="A24" s="9" t="s">
        <v>57</v>
      </c>
      <c r="B24" s="1" t="s">
        <v>58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collapsed="1" x14ac:dyDescent="0.2">
      <c r="A25" s="48" t="s">
        <v>60</v>
      </c>
      <c r="B25" s="49" t="s">
        <v>61</v>
      </c>
      <c r="C25" s="50">
        <v>0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50">
        <v>0</v>
      </c>
      <c r="L25" s="50">
        <v>0</v>
      </c>
      <c r="M25" s="50">
        <v>0</v>
      </c>
      <c r="N25" s="50">
        <v>0</v>
      </c>
    </row>
    <row r="26" spans="1:14" x14ac:dyDescent="0.2">
      <c r="A26" s="48" t="s">
        <v>62</v>
      </c>
      <c r="B26" s="49" t="s">
        <v>63</v>
      </c>
      <c r="C26" s="50">
        <v>0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50">
        <v>0</v>
      </c>
      <c r="L26" s="50">
        <v>0</v>
      </c>
      <c r="M26" s="50">
        <v>0</v>
      </c>
      <c r="N26" s="50">
        <v>0</v>
      </c>
    </row>
    <row r="27" spans="1:14" x14ac:dyDescent="0.2">
      <c r="A27" s="48" t="s">
        <v>64</v>
      </c>
      <c r="B27" s="49" t="s">
        <v>65</v>
      </c>
      <c r="C27" s="50">
        <f t="shared" ref="C27:N27" si="4">+C28</f>
        <v>0</v>
      </c>
      <c r="D27" s="50">
        <f t="shared" si="4"/>
        <v>0</v>
      </c>
      <c r="E27" s="50">
        <f t="shared" si="4"/>
        <v>0</v>
      </c>
      <c r="F27" s="50">
        <f t="shared" si="4"/>
        <v>0</v>
      </c>
      <c r="G27" s="50">
        <f t="shared" si="4"/>
        <v>0</v>
      </c>
      <c r="H27" s="50">
        <f t="shared" si="4"/>
        <v>0</v>
      </c>
      <c r="I27" s="50">
        <f t="shared" si="4"/>
        <v>0</v>
      </c>
      <c r="J27" s="50">
        <f t="shared" si="4"/>
        <v>0</v>
      </c>
      <c r="K27" s="50">
        <f t="shared" si="4"/>
        <v>0</v>
      </c>
      <c r="L27" s="50">
        <f t="shared" si="4"/>
        <v>0</v>
      </c>
      <c r="M27" s="50">
        <f t="shared" si="4"/>
        <v>0</v>
      </c>
      <c r="N27" s="50">
        <f t="shared" si="4"/>
        <v>0</v>
      </c>
    </row>
    <row r="28" spans="1:14" hidden="1" outlineLevel="1" x14ac:dyDescent="0.2">
      <c r="A28" s="9" t="s">
        <v>66</v>
      </c>
      <c r="B28" s="1" t="s">
        <v>67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48" t="s">
        <v>68</v>
      </c>
      <c r="B29" s="49" t="s">
        <v>69</v>
      </c>
      <c r="C29" s="50">
        <f t="shared" ref="C29:N29" si="5">+C30</f>
        <v>0</v>
      </c>
      <c r="D29" s="50">
        <f t="shared" si="5"/>
        <v>0</v>
      </c>
      <c r="E29" s="50">
        <f t="shared" si="5"/>
        <v>0</v>
      </c>
      <c r="F29" s="50">
        <f t="shared" si="5"/>
        <v>0</v>
      </c>
      <c r="G29" s="50">
        <f t="shared" si="5"/>
        <v>0</v>
      </c>
      <c r="H29" s="50">
        <f t="shared" si="5"/>
        <v>0</v>
      </c>
      <c r="I29" s="50">
        <f t="shared" si="5"/>
        <v>0</v>
      </c>
      <c r="J29" s="50">
        <f t="shared" si="5"/>
        <v>0</v>
      </c>
      <c r="K29" s="50">
        <f t="shared" si="5"/>
        <v>0</v>
      </c>
      <c r="L29" s="50">
        <f t="shared" si="5"/>
        <v>0</v>
      </c>
      <c r="M29" s="50">
        <f t="shared" si="5"/>
        <v>0</v>
      </c>
      <c r="N29" s="50">
        <f t="shared" si="5"/>
        <v>0</v>
      </c>
    </row>
    <row r="30" spans="1:14" hidden="1" outlineLevel="1" x14ac:dyDescent="0.2">
      <c r="A30" s="9" t="s">
        <v>70</v>
      </c>
      <c r="B30" s="1" t="s">
        <v>71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collapsed="1" x14ac:dyDescent="0.2">
      <c r="A31" s="52"/>
      <c r="B31" s="52" t="s">
        <v>72</v>
      </c>
      <c r="C31" s="53">
        <f t="shared" ref="C31:N31" si="6">+C22+C25+C26+C27+C29</f>
        <v>0</v>
      </c>
      <c r="D31" s="53">
        <f t="shared" si="6"/>
        <v>0</v>
      </c>
      <c r="E31" s="53">
        <f t="shared" si="6"/>
        <v>0</v>
      </c>
      <c r="F31" s="53">
        <f t="shared" si="6"/>
        <v>0</v>
      </c>
      <c r="G31" s="53">
        <f t="shared" si="6"/>
        <v>0</v>
      </c>
      <c r="H31" s="53">
        <f t="shared" si="6"/>
        <v>0</v>
      </c>
      <c r="I31" s="53">
        <f t="shared" si="6"/>
        <v>0</v>
      </c>
      <c r="J31" s="53">
        <f t="shared" si="6"/>
        <v>0</v>
      </c>
      <c r="K31" s="53">
        <f t="shared" si="6"/>
        <v>0</v>
      </c>
      <c r="L31" s="53">
        <f t="shared" si="6"/>
        <v>0</v>
      </c>
      <c r="M31" s="53">
        <f t="shared" si="6"/>
        <v>0</v>
      </c>
      <c r="N31" s="53">
        <f t="shared" si="6"/>
        <v>0</v>
      </c>
    </row>
    <row r="32" spans="1:14" x14ac:dyDescent="0.2">
      <c r="A32" s="51"/>
      <c r="B32" s="51" t="s">
        <v>73</v>
      </c>
      <c r="C32" s="19">
        <f t="shared" ref="C32:N32" si="7">+C21-C31</f>
        <v>132</v>
      </c>
      <c r="D32" s="19">
        <f t="shared" si="7"/>
        <v>154</v>
      </c>
      <c r="E32" s="19">
        <f t="shared" si="7"/>
        <v>148</v>
      </c>
      <c r="F32" s="19">
        <f t="shared" si="7"/>
        <v>149</v>
      </c>
      <c r="G32" s="19">
        <f t="shared" si="7"/>
        <v>153</v>
      </c>
      <c r="H32" s="19">
        <f t="shared" si="7"/>
        <v>147</v>
      </c>
      <c r="I32" s="19">
        <f t="shared" si="7"/>
        <v>150</v>
      </c>
      <c r="J32" s="19">
        <f t="shared" si="7"/>
        <v>164</v>
      </c>
      <c r="K32" s="19">
        <f t="shared" si="7"/>
        <v>180</v>
      </c>
      <c r="L32" s="19">
        <f t="shared" si="7"/>
        <v>177</v>
      </c>
      <c r="M32" s="19">
        <f t="shared" si="7"/>
        <v>162</v>
      </c>
      <c r="N32" s="19">
        <f t="shared" si="7"/>
        <v>157</v>
      </c>
    </row>
    <row r="33" spans="1:14" x14ac:dyDescent="0.2">
      <c r="A33" s="48" t="s">
        <v>74</v>
      </c>
      <c r="B33" s="49" t="s">
        <v>74</v>
      </c>
      <c r="C33" s="50" t="s">
        <v>74</v>
      </c>
      <c r="D33" s="50" t="s">
        <v>74</v>
      </c>
      <c r="E33" s="50" t="s">
        <v>74</v>
      </c>
      <c r="F33" s="50" t="s">
        <v>74</v>
      </c>
      <c r="G33" s="50" t="s">
        <v>74</v>
      </c>
      <c r="H33" s="50" t="s">
        <v>74</v>
      </c>
      <c r="I33" s="50" t="s">
        <v>74</v>
      </c>
      <c r="J33" s="50" t="s">
        <v>74</v>
      </c>
      <c r="K33" s="50" t="s">
        <v>74</v>
      </c>
      <c r="L33" s="50" t="s">
        <v>74</v>
      </c>
      <c r="M33" s="50" t="s">
        <v>74</v>
      </c>
      <c r="N33" s="50" t="s">
        <v>74</v>
      </c>
    </row>
    <row r="34" spans="1:14" x14ac:dyDescent="0.2">
      <c r="A34" s="48" t="s">
        <v>75</v>
      </c>
      <c r="B34" s="49" t="s">
        <v>76</v>
      </c>
      <c r="C34" s="50">
        <f>SUM(C35:C37)</f>
        <v>0.1</v>
      </c>
      <c r="D34" s="50">
        <f t="shared" ref="D34:N34" si="8">SUM(D35:D37)</f>
        <v>0.1</v>
      </c>
      <c r="E34" s="50">
        <f t="shared" si="8"/>
        <v>0.1</v>
      </c>
      <c r="F34" s="50">
        <f t="shared" si="8"/>
        <v>0.1</v>
      </c>
      <c r="G34" s="50">
        <f t="shared" si="8"/>
        <v>0.1</v>
      </c>
      <c r="H34" s="50">
        <f t="shared" si="8"/>
        <v>0.1</v>
      </c>
      <c r="I34" s="50">
        <f t="shared" si="8"/>
        <v>0.1</v>
      </c>
      <c r="J34" s="50">
        <f t="shared" si="8"/>
        <v>0.1</v>
      </c>
      <c r="K34" s="50">
        <f t="shared" si="8"/>
        <v>0.1</v>
      </c>
      <c r="L34" s="50">
        <f t="shared" si="8"/>
        <v>0.1</v>
      </c>
      <c r="M34" s="50">
        <f t="shared" si="8"/>
        <v>0.4</v>
      </c>
      <c r="N34" s="50">
        <f t="shared" si="8"/>
        <v>0.1</v>
      </c>
    </row>
    <row r="35" spans="1:14" hidden="1" outlineLevel="1" x14ac:dyDescent="0.2">
      <c r="A35" s="9" t="s">
        <v>97</v>
      </c>
      <c r="B35" s="1" t="s">
        <v>98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0.3</v>
      </c>
      <c r="N35" s="10">
        <v>0</v>
      </c>
    </row>
    <row r="36" spans="1:14" hidden="1" outlineLevel="1" x14ac:dyDescent="0.2">
      <c r="A36" s="9" t="s">
        <v>105</v>
      </c>
      <c r="B36" s="1" t="s">
        <v>106</v>
      </c>
      <c r="C36" s="28">
        <v>0.1</v>
      </c>
      <c r="D36" s="28">
        <v>0.1</v>
      </c>
      <c r="E36" s="28">
        <v>0.1</v>
      </c>
      <c r="F36" s="28">
        <v>0.1</v>
      </c>
      <c r="G36" s="28">
        <v>0.1</v>
      </c>
      <c r="H36" s="28">
        <v>0.1</v>
      </c>
      <c r="I36" s="28">
        <v>0.1</v>
      </c>
      <c r="J36" s="28">
        <v>0.1</v>
      </c>
      <c r="K36" s="28">
        <v>0.1</v>
      </c>
      <c r="L36" s="28">
        <v>0.1</v>
      </c>
      <c r="M36" s="28">
        <v>0.1</v>
      </c>
      <c r="N36" s="28">
        <v>0.1</v>
      </c>
    </row>
    <row r="37" spans="1:14" hidden="1" outlineLevel="1" x14ac:dyDescent="0.2">
      <c r="A37" s="9" t="s">
        <v>107</v>
      </c>
      <c r="B37" s="1" t="s">
        <v>108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</row>
    <row r="38" spans="1:14" collapsed="1" x14ac:dyDescent="0.2">
      <c r="A38" s="48" t="s">
        <v>111</v>
      </c>
      <c r="B38" s="49" t="s">
        <v>112</v>
      </c>
      <c r="C38" s="50">
        <f t="shared" ref="C38:I38" si="9">SUM(C39:C41)</f>
        <v>1.6</v>
      </c>
      <c r="D38" s="50">
        <f t="shared" si="9"/>
        <v>1.6</v>
      </c>
      <c r="E38" s="50">
        <f t="shared" si="9"/>
        <v>1.6</v>
      </c>
      <c r="F38" s="50">
        <f t="shared" si="9"/>
        <v>1.6</v>
      </c>
      <c r="G38" s="50">
        <f t="shared" si="9"/>
        <v>1.6</v>
      </c>
      <c r="H38" s="50">
        <f t="shared" si="9"/>
        <v>1.6</v>
      </c>
      <c r="I38" s="50">
        <f t="shared" si="9"/>
        <v>1.6</v>
      </c>
      <c r="J38" s="50">
        <f>SUM(J39:J41)</f>
        <v>1.6</v>
      </c>
      <c r="K38" s="50">
        <f t="shared" ref="K38:N38" si="10">SUM(K39:K41)</f>
        <v>1.6</v>
      </c>
      <c r="L38" s="50">
        <f t="shared" si="10"/>
        <v>1.6</v>
      </c>
      <c r="M38" s="50">
        <f t="shared" si="10"/>
        <v>1.6</v>
      </c>
      <c r="N38" s="50">
        <f t="shared" si="10"/>
        <v>1.7000000000000002</v>
      </c>
    </row>
    <row r="39" spans="1:14" hidden="1" outlineLevel="1" x14ac:dyDescent="0.2">
      <c r="A39" s="9" t="s">
        <v>115</v>
      </c>
      <c r="B39" s="1" t="s">
        <v>116</v>
      </c>
      <c r="C39" s="28">
        <v>1.3</v>
      </c>
      <c r="D39" s="28">
        <v>1.3</v>
      </c>
      <c r="E39" s="28">
        <v>1.3</v>
      </c>
      <c r="F39" s="28">
        <v>1.3</v>
      </c>
      <c r="G39" s="28">
        <v>1.3</v>
      </c>
      <c r="H39" s="28">
        <v>1.3</v>
      </c>
      <c r="I39" s="28">
        <v>1.3</v>
      </c>
      <c r="J39" s="28">
        <v>1.3</v>
      </c>
      <c r="K39" s="28">
        <v>1.3</v>
      </c>
      <c r="L39" s="28">
        <v>1.3</v>
      </c>
      <c r="M39" s="28">
        <v>1.3</v>
      </c>
      <c r="N39" s="28">
        <v>1.3</v>
      </c>
    </row>
    <row r="40" spans="1:14" hidden="1" outlineLevel="1" x14ac:dyDescent="0.2">
      <c r="A40" s="9" t="s">
        <v>311</v>
      </c>
      <c r="B40" s="1" t="s">
        <v>312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0.1</v>
      </c>
    </row>
    <row r="41" spans="1:14" hidden="1" outlineLevel="1" x14ac:dyDescent="0.2">
      <c r="A41" s="9" t="s">
        <v>117</v>
      </c>
      <c r="B41" s="1" t="s">
        <v>118</v>
      </c>
      <c r="C41" s="28">
        <v>0.3</v>
      </c>
      <c r="D41" s="28">
        <v>0.3</v>
      </c>
      <c r="E41" s="28">
        <v>0.3</v>
      </c>
      <c r="F41" s="28">
        <v>0.3</v>
      </c>
      <c r="G41" s="28">
        <v>0.3</v>
      </c>
      <c r="H41" s="28">
        <v>0.3</v>
      </c>
      <c r="I41" s="28">
        <v>0.3</v>
      </c>
      <c r="J41" s="28">
        <v>0.3</v>
      </c>
      <c r="K41" s="28">
        <v>0.3</v>
      </c>
      <c r="L41" s="28">
        <v>0.3</v>
      </c>
      <c r="M41" s="28">
        <v>0.3</v>
      </c>
      <c r="N41" s="28">
        <v>0.3</v>
      </c>
    </row>
    <row r="42" spans="1:14" collapsed="1" x14ac:dyDescent="0.2">
      <c r="A42" s="48" t="s">
        <v>119</v>
      </c>
      <c r="B42" s="49" t="s">
        <v>120</v>
      </c>
      <c r="C42" s="50">
        <f t="shared" ref="C42:I42" si="11">SUM(C43:C44)</f>
        <v>0</v>
      </c>
      <c r="D42" s="50">
        <f t="shared" si="11"/>
        <v>0</v>
      </c>
      <c r="E42" s="50">
        <f t="shared" si="11"/>
        <v>0</v>
      </c>
      <c r="F42" s="50">
        <f t="shared" si="11"/>
        <v>0</v>
      </c>
      <c r="G42" s="50">
        <f t="shared" si="11"/>
        <v>0</v>
      </c>
      <c r="H42" s="50">
        <f t="shared" si="11"/>
        <v>0</v>
      </c>
      <c r="I42" s="50">
        <f t="shared" si="11"/>
        <v>0</v>
      </c>
      <c r="J42" s="50">
        <f>SUM(J43:J44)</f>
        <v>0</v>
      </c>
      <c r="K42" s="50">
        <f t="shared" ref="K42:N42" si="12">SUM(K43:K44)</f>
        <v>0</v>
      </c>
      <c r="L42" s="50">
        <f t="shared" si="12"/>
        <v>0</v>
      </c>
      <c r="M42" s="50">
        <f t="shared" si="12"/>
        <v>0</v>
      </c>
      <c r="N42" s="50">
        <f t="shared" si="12"/>
        <v>0</v>
      </c>
    </row>
    <row r="43" spans="1:14" hidden="1" outlineLevel="1" x14ac:dyDescent="0.2">
      <c r="A43" s="9" t="s">
        <v>121</v>
      </c>
      <c r="B43" s="1" t="s">
        <v>122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123</v>
      </c>
      <c r="B44" s="1" t="s">
        <v>124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collapsed="1" x14ac:dyDescent="0.2">
      <c r="A45" s="48" t="s">
        <v>127</v>
      </c>
      <c r="B45" s="49" t="s">
        <v>128</v>
      </c>
      <c r="C45" s="50">
        <f t="shared" ref="C45:I45" si="13">+C46</f>
        <v>19.3</v>
      </c>
      <c r="D45" s="50">
        <f t="shared" si="13"/>
        <v>19.3</v>
      </c>
      <c r="E45" s="50">
        <f t="shared" si="13"/>
        <v>19.3</v>
      </c>
      <c r="F45" s="50">
        <f t="shared" si="13"/>
        <v>19.3</v>
      </c>
      <c r="G45" s="50">
        <f t="shared" si="13"/>
        <v>19.3</v>
      </c>
      <c r="H45" s="50">
        <f t="shared" si="13"/>
        <v>19.3</v>
      </c>
      <c r="I45" s="50">
        <f t="shared" si="13"/>
        <v>19.3</v>
      </c>
      <c r="J45" s="50">
        <f>+J46</f>
        <v>19.3</v>
      </c>
      <c r="K45" s="50">
        <f t="shared" ref="K45:N45" si="14">+K46</f>
        <v>19.3</v>
      </c>
      <c r="L45" s="50">
        <f t="shared" si="14"/>
        <v>19.3</v>
      </c>
      <c r="M45" s="50">
        <f t="shared" si="14"/>
        <v>19.3</v>
      </c>
      <c r="N45" s="50">
        <f t="shared" si="14"/>
        <v>19.3</v>
      </c>
    </row>
    <row r="46" spans="1:14" hidden="1" outlineLevel="1" x14ac:dyDescent="0.2">
      <c r="A46" s="9" t="s">
        <v>129</v>
      </c>
      <c r="B46" s="1" t="s">
        <v>130</v>
      </c>
      <c r="C46" s="10">
        <v>19.3</v>
      </c>
      <c r="D46" s="10">
        <v>19.3</v>
      </c>
      <c r="E46" s="10">
        <v>19.3</v>
      </c>
      <c r="F46" s="10">
        <v>19.3</v>
      </c>
      <c r="G46" s="10">
        <v>19.3</v>
      </c>
      <c r="H46" s="10">
        <v>19.3</v>
      </c>
      <c r="I46" s="10">
        <v>19.3</v>
      </c>
      <c r="J46" s="10">
        <v>19.3</v>
      </c>
      <c r="K46" s="10">
        <v>19.3</v>
      </c>
      <c r="L46" s="10">
        <v>19.3</v>
      </c>
      <c r="M46" s="10">
        <v>19.3</v>
      </c>
      <c r="N46" s="10">
        <v>19.3</v>
      </c>
    </row>
    <row r="47" spans="1:14" collapsed="1" x14ac:dyDescent="0.2">
      <c r="A47" s="48" t="s">
        <v>133</v>
      </c>
      <c r="B47" s="49" t="s">
        <v>134</v>
      </c>
      <c r="C47" s="50">
        <f t="shared" ref="C47:I47" si="15">+C48+C49</f>
        <v>15.4</v>
      </c>
      <c r="D47" s="50">
        <f t="shared" si="15"/>
        <v>15.4</v>
      </c>
      <c r="E47" s="50">
        <f t="shared" si="15"/>
        <v>15.4</v>
      </c>
      <c r="F47" s="50">
        <f t="shared" si="15"/>
        <v>15.4</v>
      </c>
      <c r="G47" s="50">
        <f t="shared" si="15"/>
        <v>15.4</v>
      </c>
      <c r="H47" s="50">
        <f t="shared" si="15"/>
        <v>15.4</v>
      </c>
      <c r="I47" s="50">
        <f t="shared" si="15"/>
        <v>15.4</v>
      </c>
      <c r="J47" s="50">
        <f>+J48+J49</f>
        <v>15.4</v>
      </c>
      <c r="K47" s="50">
        <f t="shared" ref="K47:N47" si="16">+K48+K49</f>
        <v>15.4</v>
      </c>
      <c r="L47" s="50">
        <f t="shared" si="16"/>
        <v>15.4</v>
      </c>
      <c r="M47" s="50">
        <f t="shared" si="16"/>
        <v>15.4</v>
      </c>
      <c r="N47" s="50">
        <f t="shared" si="16"/>
        <v>15.4</v>
      </c>
    </row>
    <row r="48" spans="1:14" hidden="1" outlineLevel="1" x14ac:dyDescent="0.2">
      <c r="A48" s="9" t="s">
        <v>329</v>
      </c>
      <c r="B48" s="1" t="s">
        <v>330</v>
      </c>
      <c r="C48" s="10">
        <v>15.4</v>
      </c>
      <c r="D48" s="10">
        <v>15.4</v>
      </c>
      <c r="E48" s="10">
        <v>15.4</v>
      </c>
      <c r="F48" s="10">
        <v>15.4</v>
      </c>
      <c r="G48" s="10">
        <v>15.4</v>
      </c>
      <c r="H48" s="10">
        <v>15.4</v>
      </c>
      <c r="I48" s="10">
        <v>15.4</v>
      </c>
      <c r="J48" s="10">
        <v>15.4</v>
      </c>
      <c r="K48" s="10">
        <v>15.4</v>
      </c>
      <c r="L48" s="10">
        <v>15.4</v>
      </c>
      <c r="M48" s="10">
        <v>15.4</v>
      </c>
      <c r="N48" s="10">
        <v>15.4</v>
      </c>
    </row>
    <row r="49" spans="1:14" hidden="1" outlineLevel="1" x14ac:dyDescent="0.2">
      <c r="A49" s="9" t="s">
        <v>331</v>
      </c>
      <c r="B49" s="1" t="s">
        <v>332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collapsed="1" x14ac:dyDescent="0.2">
      <c r="A50" s="48" t="s">
        <v>137</v>
      </c>
      <c r="B50" s="49" t="s">
        <v>138</v>
      </c>
      <c r="C50" s="50">
        <f t="shared" ref="C50:I50" si="17">SUM(C51:C56)</f>
        <v>10.7</v>
      </c>
      <c r="D50" s="50">
        <f t="shared" si="17"/>
        <v>10.7</v>
      </c>
      <c r="E50" s="50">
        <f t="shared" si="17"/>
        <v>10.7</v>
      </c>
      <c r="F50" s="50">
        <f t="shared" si="17"/>
        <v>10.7</v>
      </c>
      <c r="G50" s="50">
        <f t="shared" si="17"/>
        <v>10.7</v>
      </c>
      <c r="H50" s="50">
        <f t="shared" si="17"/>
        <v>10.7</v>
      </c>
      <c r="I50" s="50">
        <f t="shared" si="17"/>
        <v>10.7</v>
      </c>
      <c r="J50" s="50">
        <f>SUM(J51:J56)</f>
        <v>10.7</v>
      </c>
      <c r="K50" s="50">
        <f t="shared" ref="K50:N50" si="18">SUM(K51:K56)</f>
        <v>10.499999999999998</v>
      </c>
      <c r="L50" s="50">
        <f t="shared" si="18"/>
        <v>11.7</v>
      </c>
      <c r="M50" s="50">
        <f t="shared" si="18"/>
        <v>11.7</v>
      </c>
      <c r="N50" s="50">
        <f t="shared" si="18"/>
        <v>-4.8</v>
      </c>
    </row>
    <row r="51" spans="1:14" hidden="1" outlineLevel="1" x14ac:dyDescent="0.2">
      <c r="A51" s="9" t="s">
        <v>377</v>
      </c>
      <c r="B51" s="1" t="s">
        <v>378</v>
      </c>
      <c r="C51" s="10">
        <v>0.6</v>
      </c>
      <c r="D51" s="10">
        <v>0.6</v>
      </c>
      <c r="E51" s="10">
        <v>0.6</v>
      </c>
      <c r="F51" s="10">
        <v>0.6</v>
      </c>
      <c r="G51" s="10">
        <v>0.6</v>
      </c>
      <c r="H51" s="10">
        <v>0.6</v>
      </c>
      <c r="I51" s="10">
        <v>0.6</v>
      </c>
      <c r="J51" s="10">
        <v>0.6</v>
      </c>
      <c r="K51" s="10">
        <v>0.6</v>
      </c>
      <c r="L51" s="10">
        <v>0.6</v>
      </c>
      <c r="M51" s="10">
        <v>0.6</v>
      </c>
      <c r="N51" s="10">
        <v>0.6</v>
      </c>
    </row>
    <row r="52" spans="1:14" hidden="1" outlineLevel="1" x14ac:dyDescent="0.2">
      <c r="A52" s="9" t="s">
        <v>339</v>
      </c>
      <c r="B52" s="1" t="s">
        <v>340</v>
      </c>
      <c r="C52" s="10">
        <v>7.4</v>
      </c>
      <c r="D52" s="10">
        <v>7.4</v>
      </c>
      <c r="E52" s="10">
        <v>7.4</v>
      </c>
      <c r="F52" s="10">
        <v>7.4</v>
      </c>
      <c r="G52" s="10">
        <v>7.4</v>
      </c>
      <c r="H52" s="10">
        <v>7.4</v>
      </c>
      <c r="I52" s="10">
        <v>7.4</v>
      </c>
      <c r="J52" s="10">
        <v>7.4</v>
      </c>
      <c r="K52" s="10">
        <v>7.4</v>
      </c>
      <c r="L52" s="10">
        <v>7.4</v>
      </c>
      <c r="M52" s="10">
        <v>7.4</v>
      </c>
      <c r="N52" s="10">
        <v>1.3</v>
      </c>
    </row>
    <row r="53" spans="1:14" hidden="1" outlineLevel="1" x14ac:dyDescent="0.2">
      <c r="A53" s="9" t="s">
        <v>341</v>
      </c>
      <c r="B53" s="1" t="s">
        <v>342</v>
      </c>
      <c r="C53" s="10">
        <v>0.8</v>
      </c>
      <c r="D53" s="10">
        <v>0.8</v>
      </c>
      <c r="E53" s="10">
        <v>0.8</v>
      </c>
      <c r="F53" s="10">
        <v>0.8</v>
      </c>
      <c r="G53" s="10">
        <v>0.8</v>
      </c>
      <c r="H53" s="10">
        <v>0.8</v>
      </c>
      <c r="I53" s="10">
        <v>0.8</v>
      </c>
      <c r="J53" s="10">
        <v>0.8</v>
      </c>
      <c r="K53" s="10">
        <v>0.6</v>
      </c>
      <c r="L53" s="10">
        <v>1.8</v>
      </c>
      <c r="M53" s="10">
        <v>1.8</v>
      </c>
      <c r="N53" s="10">
        <v>1.8</v>
      </c>
    </row>
    <row r="54" spans="1:14" hidden="1" outlineLevel="1" x14ac:dyDescent="0.2">
      <c r="A54" s="9" t="s">
        <v>343</v>
      </c>
      <c r="B54" s="1" t="s">
        <v>344</v>
      </c>
      <c r="C54" s="10">
        <v>0.2</v>
      </c>
      <c r="D54" s="10">
        <v>0.2</v>
      </c>
      <c r="E54" s="10">
        <v>0.2</v>
      </c>
      <c r="F54" s="10">
        <v>0.2</v>
      </c>
      <c r="G54" s="10">
        <v>0.2</v>
      </c>
      <c r="H54" s="10">
        <v>0.2</v>
      </c>
      <c r="I54" s="10">
        <v>0.2</v>
      </c>
      <c r="J54" s="10">
        <v>0.2</v>
      </c>
      <c r="K54" s="10">
        <v>0.2</v>
      </c>
      <c r="L54" s="10">
        <v>0.2</v>
      </c>
      <c r="M54" s="10">
        <v>0.2</v>
      </c>
      <c r="N54" s="10">
        <v>0.2</v>
      </c>
    </row>
    <row r="55" spans="1:14" hidden="1" outlineLevel="1" x14ac:dyDescent="0.2">
      <c r="A55" s="9" t="s">
        <v>347</v>
      </c>
      <c r="B55" s="1" t="s">
        <v>348</v>
      </c>
      <c r="C55" s="10">
        <v>1</v>
      </c>
      <c r="D55" s="10">
        <v>1</v>
      </c>
      <c r="E55" s="10">
        <v>1</v>
      </c>
      <c r="F55" s="10">
        <v>1</v>
      </c>
      <c r="G55" s="10">
        <v>1</v>
      </c>
      <c r="H55" s="10">
        <v>1</v>
      </c>
      <c r="I55" s="10">
        <v>1</v>
      </c>
      <c r="J55" s="10">
        <v>1</v>
      </c>
      <c r="K55" s="10">
        <v>1</v>
      </c>
      <c r="L55" s="10">
        <v>1</v>
      </c>
      <c r="M55" s="10">
        <v>1</v>
      </c>
      <c r="N55" s="10">
        <v>-3.7</v>
      </c>
    </row>
    <row r="56" spans="1:14" hidden="1" outlineLevel="1" x14ac:dyDescent="0.2">
      <c r="A56" s="9" t="s">
        <v>349</v>
      </c>
      <c r="B56" s="1" t="s">
        <v>350</v>
      </c>
      <c r="C56" s="10">
        <v>0.7</v>
      </c>
      <c r="D56" s="10">
        <v>0.7</v>
      </c>
      <c r="E56" s="10">
        <v>0.7</v>
      </c>
      <c r="F56" s="10">
        <v>0.7</v>
      </c>
      <c r="G56" s="10">
        <v>0.7</v>
      </c>
      <c r="H56" s="10">
        <v>0.7</v>
      </c>
      <c r="I56" s="10">
        <v>0.7</v>
      </c>
      <c r="J56" s="10">
        <v>0.7</v>
      </c>
      <c r="K56" s="10">
        <v>0.7</v>
      </c>
      <c r="L56" s="10">
        <v>0.7</v>
      </c>
      <c r="M56" s="10">
        <v>0.7</v>
      </c>
      <c r="N56" s="10">
        <v>-5</v>
      </c>
    </row>
    <row r="57" spans="1:14" collapsed="1" x14ac:dyDescent="0.2">
      <c r="A57" s="48" t="s">
        <v>139</v>
      </c>
      <c r="B57" s="49" t="s">
        <v>140</v>
      </c>
      <c r="C57" s="50">
        <f t="shared" ref="C57:I57" si="19">+C58</f>
        <v>0</v>
      </c>
      <c r="D57" s="50">
        <f t="shared" si="19"/>
        <v>0</v>
      </c>
      <c r="E57" s="50">
        <f t="shared" si="19"/>
        <v>0</v>
      </c>
      <c r="F57" s="50">
        <f t="shared" si="19"/>
        <v>0</v>
      </c>
      <c r="G57" s="50">
        <f t="shared" si="19"/>
        <v>0</v>
      </c>
      <c r="H57" s="50">
        <f t="shared" si="19"/>
        <v>0</v>
      </c>
      <c r="I57" s="50">
        <f t="shared" si="19"/>
        <v>0</v>
      </c>
      <c r="J57" s="50">
        <f>+J58</f>
        <v>0</v>
      </c>
      <c r="K57" s="50">
        <f t="shared" ref="K57:N57" si="20">+K58</f>
        <v>0</v>
      </c>
      <c r="L57" s="50">
        <f t="shared" si="20"/>
        <v>0</v>
      </c>
      <c r="M57" s="50">
        <f t="shared" si="20"/>
        <v>0</v>
      </c>
      <c r="N57" s="50">
        <f t="shared" si="20"/>
        <v>0</v>
      </c>
    </row>
    <row r="58" spans="1:14" hidden="1" outlineLevel="1" x14ac:dyDescent="0.2">
      <c r="A58" s="9" t="s">
        <v>353</v>
      </c>
      <c r="B58" s="1" t="s">
        <v>354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</row>
    <row r="59" spans="1:14" collapsed="1" x14ac:dyDescent="0.2">
      <c r="A59" s="48" t="s">
        <v>141</v>
      </c>
      <c r="B59" s="49" t="s">
        <v>142</v>
      </c>
      <c r="C59" s="50">
        <f t="shared" ref="C59:I59" si="21">+C60</f>
        <v>0</v>
      </c>
      <c r="D59" s="50">
        <f t="shared" si="21"/>
        <v>0</v>
      </c>
      <c r="E59" s="50">
        <f t="shared" si="21"/>
        <v>0</v>
      </c>
      <c r="F59" s="50">
        <f t="shared" si="21"/>
        <v>0</v>
      </c>
      <c r="G59" s="50">
        <f t="shared" si="21"/>
        <v>0</v>
      </c>
      <c r="H59" s="50">
        <f t="shared" si="21"/>
        <v>0</v>
      </c>
      <c r="I59" s="50">
        <f t="shared" si="21"/>
        <v>0</v>
      </c>
      <c r="J59" s="50">
        <f>+J60</f>
        <v>0</v>
      </c>
      <c r="K59" s="50">
        <f t="shared" ref="K59:N59" si="22">+K60</f>
        <v>0</v>
      </c>
      <c r="L59" s="50">
        <f t="shared" si="22"/>
        <v>0</v>
      </c>
      <c r="M59" s="50">
        <f t="shared" si="22"/>
        <v>0</v>
      </c>
      <c r="N59" s="50">
        <f t="shared" si="22"/>
        <v>0</v>
      </c>
    </row>
    <row r="60" spans="1:14" hidden="1" outlineLevel="1" x14ac:dyDescent="0.2">
      <c r="A60" s="9" t="s">
        <v>379</v>
      </c>
      <c r="B60" s="1" t="s">
        <v>380</v>
      </c>
      <c r="C60" s="10">
        <v>0</v>
      </c>
      <c r="D60" s="10">
        <v>0</v>
      </c>
      <c r="E60" s="10">
        <v>0</v>
      </c>
      <c r="F60" s="10">
        <v>0</v>
      </c>
      <c r="G60" s="10">
        <v>0</v>
      </c>
      <c r="H60" s="10">
        <v>0</v>
      </c>
      <c r="I60" s="10">
        <v>0</v>
      </c>
      <c r="J60" s="10">
        <v>0</v>
      </c>
      <c r="K60" s="10">
        <v>0</v>
      </c>
      <c r="L60" s="10">
        <v>0</v>
      </c>
      <c r="M60" s="10">
        <v>0</v>
      </c>
      <c r="N60" s="10">
        <v>0</v>
      </c>
    </row>
    <row r="61" spans="1:14" collapsed="1" x14ac:dyDescent="0.2">
      <c r="A61" s="48" t="s">
        <v>143</v>
      </c>
      <c r="B61" s="49" t="s">
        <v>144</v>
      </c>
      <c r="C61" s="50">
        <f t="shared" ref="C61:I61" si="23">SUM(C62:C68)</f>
        <v>78.3</v>
      </c>
      <c r="D61" s="50">
        <f t="shared" si="23"/>
        <v>78.3</v>
      </c>
      <c r="E61" s="50">
        <f t="shared" si="23"/>
        <v>78.3</v>
      </c>
      <c r="F61" s="50">
        <f t="shared" si="23"/>
        <v>78.3</v>
      </c>
      <c r="G61" s="50">
        <f t="shared" si="23"/>
        <v>78.3</v>
      </c>
      <c r="H61" s="50">
        <f t="shared" si="23"/>
        <v>78.3</v>
      </c>
      <c r="I61" s="50">
        <f t="shared" si="23"/>
        <v>78.3</v>
      </c>
      <c r="J61" s="50">
        <f>SUM(J62:J68)</f>
        <v>78.3</v>
      </c>
      <c r="K61" s="50">
        <f t="shared" ref="K61:N61" si="24">SUM(K62:K68)</f>
        <v>68.599999999999994</v>
      </c>
      <c r="L61" s="50">
        <f t="shared" si="24"/>
        <v>72</v>
      </c>
      <c r="M61" s="50">
        <f t="shared" si="24"/>
        <v>72.400000000000006</v>
      </c>
      <c r="N61" s="50">
        <f t="shared" si="24"/>
        <v>75.799999999999983</v>
      </c>
    </row>
    <row r="62" spans="1:14" hidden="1" outlineLevel="1" x14ac:dyDescent="0.2">
      <c r="A62" s="9" t="s">
        <v>145</v>
      </c>
      <c r="B62" s="1" t="s">
        <v>146</v>
      </c>
      <c r="C62" s="28">
        <v>33</v>
      </c>
      <c r="D62" s="28">
        <v>33</v>
      </c>
      <c r="E62" s="28">
        <v>33</v>
      </c>
      <c r="F62" s="28">
        <v>33</v>
      </c>
      <c r="G62" s="28">
        <v>33</v>
      </c>
      <c r="H62" s="28">
        <v>33</v>
      </c>
      <c r="I62" s="28">
        <v>33</v>
      </c>
      <c r="J62" s="28">
        <v>33</v>
      </c>
      <c r="K62" s="28">
        <v>33</v>
      </c>
      <c r="L62" s="28">
        <v>33</v>
      </c>
      <c r="M62" s="28">
        <v>33</v>
      </c>
      <c r="N62" s="28">
        <v>33</v>
      </c>
    </row>
    <row r="63" spans="1:14" hidden="1" outlineLevel="1" x14ac:dyDescent="0.2">
      <c r="A63" s="9" t="s">
        <v>147</v>
      </c>
      <c r="B63" s="1" t="s">
        <v>148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0.1</v>
      </c>
      <c r="L63" s="10">
        <v>0</v>
      </c>
      <c r="M63" s="10">
        <v>0.1</v>
      </c>
      <c r="N63" s="10">
        <v>0.8</v>
      </c>
    </row>
    <row r="64" spans="1:14" hidden="1" outlineLevel="1" x14ac:dyDescent="0.2">
      <c r="A64" s="9" t="s">
        <v>149</v>
      </c>
      <c r="B64" s="1" t="s">
        <v>150</v>
      </c>
      <c r="C64" s="10">
        <v>9.6</v>
      </c>
      <c r="D64" s="10">
        <v>9.6</v>
      </c>
      <c r="E64" s="10">
        <v>9.6</v>
      </c>
      <c r="F64" s="10">
        <v>9.6</v>
      </c>
      <c r="G64" s="10">
        <v>9.6</v>
      </c>
      <c r="H64" s="10">
        <v>9.6</v>
      </c>
      <c r="I64" s="10">
        <v>9.6</v>
      </c>
      <c r="J64" s="10">
        <v>9.6</v>
      </c>
      <c r="K64" s="10">
        <v>-0.2</v>
      </c>
      <c r="L64" s="10">
        <v>3.3</v>
      </c>
      <c r="M64" s="10">
        <v>3.6</v>
      </c>
      <c r="N64" s="10">
        <v>6.3</v>
      </c>
    </row>
    <row r="65" spans="1:14" hidden="1" outlineLevel="1" x14ac:dyDescent="0.2">
      <c r="A65" s="9" t="s">
        <v>151</v>
      </c>
      <c r="B65" s="1" t="s">
        <v>152</v>
      </c>
      <c r="C65" s="28">
        <v>1.6</v>
      </c>
      <c r="D65" s="28">
        <v>1.6</v>
      </c>
      <c r="E65" s="28">
        <v>1.6</v>
      </c>
      <c r="F65" s="28">
        <v>1.6</v>
      </c>
      <c r="G65" s="28">
        <v>1.6</v>
      </c>
      <c r="H65" s="28">
        <v>1.6</v>
      </c>
      <c r="I65" s="28">
        <v>1.6</v>
      </c>
      <c r="J65" s="28">
        <v>1.6</v>
      </c>
      <c r="K65" s="28">
        <v>1.6</v>
      </c>
      <c r="L65" s="28">
        <v>1.6</v>
      </c>
      <c r="M65" s="28">
        <v>1.6</v>
      </c>
      <c r="N65" s="28">
        <v>1.6</v>
      </c>
    </row>
    <row r="66" spans="1:14" hidden="1" outlineLevel="1" x14ac:dyDescent="0.2">
      <c r="A66" s="9" t="s">
        <v>355</v>
      </c>
      <c r="B66" s="1" t="s">
        <v>356</v>
      </c>
      <c r="C66" s="28">
        <v>7</v>
      </c>
      <c r="D66" s="28">
        <v>7</v>
      </c>
      <c r="E66" s="28">
        <v>7</v>
      </c>
      <c r="F66" s="28">
        <v>7</v>
      </c>
      <c r="G66" s="28">
        <v>7</v>
      </c>
      <c r="H66" s="28">
        <v>7</v>
      </c>
      <c r="I66" s="28">
        <v>7</v>
      </c>
      <c r="J66" s="28">
        <v>7</v>
      </c>
      <c r="K66" s="28">
        <v>7</v>
      </c>
      <c r="L66" s="28">
        <v>7</v>
      </c>
      <c r="M66" s="28">
        <v>7</v>
      </c>
      <c r="N66" s="28">
        <v>7</v>
      </c>
    </row>
    <row r="67" spans="1:14" hidden="1" outlineLevel="1" x14ac:dyDescent="0.2">
      <c r="A67" s="9" t="s">
        <v>153</v>
      </c>
      <c r="B67" s="1" t="s">
        <v>154</v>
      </c>
      <c r="C67" s="28">
        <v>25</v>
      </c>
      <c r="D67" s="28">
        <v>25</v>
      </c>
      <c r="E67" s="28">
        <v>25</v>
      </c>
      <c r="F67" s="28">
        <v>25</v>
      </c>
      <c r="G67" s="28">
        <v>25</v>
      </c>
      <c r="H67" s="28">
        <v>25</v>
      </c>
      <c r="I67" s="28">
        <v>25</v>
      </c>
      <c r="J67" s="28">
        <v>25</v>
      </c>
      <c r="K67" s="28">
        <v>25</v>
      </c>
      <c r="L67" s="28">
        <v>25</v>
      </c>
      <c r="M67" s="28">
        <v>25</v>
      </c>
      <c r="N67" s="28">
        <v>25</v>
      </c>
    </row>
    <row r="68" spans="1:14" hidden="1" outlineLevel="1" x14ac:dyDescent="0.2">
      <c r="A68" s="9" t="s">
        <v>155</v>
      </c>
      <c r="B68" s="1" t="s">
        <v>156</v>
      </c>
      <c r="C68" s="28">
        <v>2.1</v>
      </c>
      <c r="D68" s="28">
        <v>2.1</v>
      </c>
      <c r="E68" s="28">
        <v>2.1</v>
      </c>
      <c r="F68" s="28">
        <v>2.1</v>
      </c>
      <c r="G68" s="28">
        <v>2.1</v>
      </c>
      <c r="H68" s="28">
        <v>2.1</v>
      </c>
      <c r="I68" s="28">
        <v>2.1</v>
      </c>
      <c r="J68" s="28">
        <v>2.1</v>
      </c>
      <c r="K68" s="28">
        <v>2.1</v>
      </c>
      <c r="L68" s="28">
        <v>2.1</v>
      </c>
      <c r="M68" s="28">
        <v>2.1</v>
      </c>
      <c r="N68" s="28">
        <v>2.1</v>
      </c>
    </row>
    <row r="69" spans="1:14" collapsed="1" x14ac:dyDescent="0.2">
      <c r="A69" s="48" t="s">
        <v>157</v>
      </c>
      <c r="B69" s="49" t="s">
        <v>158</v>
      </c>
      <c r="C69" s="50">
        <f t="shared" ref="C69:I69" si="25">+C70</f>
        <v>1.9</v>
      </c>
      <c r="D69" s="50">
        <f t="shared" si="25"/>
        <v>1.9</v>
      </c>
      <c r="E69" s="50">
        <f t="shared" si="25"/>
        <v>1.9</v>
      </c>
      <c r="F69" s="50">
        <f t="shared" si="25"/>
        <v>1.9</v>
      </c>
      <c r="G69" s="50">
        <f t="shared" si="25"/>
        <v>1.9</v>
      </c>
      <c r="H69" s="50">
        <f t="shared" si="25"/>
        <v>1.9</v>
      </c>
      <c r="I69" s="50">
        <f t="shared" si="25"/>
        <v>1.9</v>
      </c>
      <c r="J69" s="50">
        <f>+J70</f>
        <v>1.9</v>
      </c>
      <c r="K69" s="50">
        <f t="shared" ref="K69:N69" si="26">+K70</f>
        <v>1.9</v>
      </c>
      <c r="L69" s="50">
        <f t="shared" si="26"/>
        <v>1.9</v>
      </c>
      <c r="M69" s="50">
        <f t="shared" si="26"/>
        <v>1.9</v>
      </c>
      <c r="N69" s="50">
        <f t="shared" si="26"/>
        <v>1.9</v>
      </c>
    </row>
    <row r="70" spans="1:14" hidden="1" outlineLevel="1" x14ac:dyDescent="0.2">
      <c r="A70" s="9" t="s">
        <v>159</v>
      </c>
      <c r="B70" s="1" t="s">
        <v>160</v>
      </c>
      <c r="C70" s="28">
        <v>1.9</v>
      </c>
      <c r="D70" s="28">
        <v>1.9</v>
      </c>
      <c r="E70" s="28">
        <v>1.9</v>
      </c>
      <c r="F70" s="28">
        <v>1.9</v>
      </c>
      <c r="G70" s="28">
        <v>1.9</v>
      </c>
      <c r="H70" s="28">
        <v>1.9</v>
      </c>
      <c r="I70" s="28">
        <v>1.9</v>
      </c>
      <c r="J70" s="28">
        <v>1.9</v>
      </c>
      <c r="K70" s="28">
        <v>1.9</v>
      </c>
      <c r="L70" s="28">
        <v>1.9</v>
      </c>
      <c r="M70" s="28">
        <v>1.9</v>
      </c>
      <c r="N70" s="28">
        <v>1.9</v>
      </c>
    </row>
    <row r="71" spans="1:14" collapsed="1" x14ac:dyDescent="0.2">
      <c r="A71" s="52"/>
      <c r="B71" s="52" t="s">
        <v>165</v>
      </c>
      <c r="C71" s="53">
        <f t="shared" ref="C71:N71" si="27">+C34+C38+C42+C45+C47+C50+C57+C59+C61+C69</f>
        <v>127.3</v>
      </c>
      <c r="D71" s="53">
        <f t="shared" si="27"/>
        <v>127.3</v>
      </c>
      <c r="E71" s="53">
        <f t="shared" si="27"/>
        <v>127.3</v>
      </c>
      <c r="F71" s="53">
        <f t="shared" si="27"/>
        <v>127.3</v>
      </c>
      <c r="G71" s="53">
        <f t="shared" si="27"/>
        <v>127.3</v>
      </c>
      <c r="H71" s="53">
        <f t="shared" si="27"/>
        <v>127.3</v>
      </c>
      <c r="I71" s="53">
        <f t="shared" si="27"/>
        <v>127.3</v>
      </c>
      <c r="J71" s="53">
        <f t="shared" si="27"/>
        <v>127.3</v>
      </c>
      <c r="K71" s="53">
        <f t="shared" si="27"/>
        <v>117.4</v>
      </c>
      <c r="L71" s="53">
        <f t="shared" si="27"/>
        <v>122</v>
      </c>
      <c r="M71" s="53">
        <f t="shared" si="27"/>
        <v>122.70000000000002</v>
      </c>
      <c r="N71" s="53">
        <f t="shared" si="27"/>
        <v>109.39999999999999</v>
      </c>
    </row>
    <row r="72" spans="1:14" x14ac:dyDescent="0.2">
      <c r="A72" s="51"/>
      <c r="B72" s="51" t="s">
        <v>166</v>
      </c>
      <c r="C72" s="19">
        <f t="shared" ref="C72:N72" si="28">+C32-C71</f>
        <v>4.7000000000000028</v>
      </c>
      <c r="D72" s="19">
        <f t="shared" si="28"/>
        <v>26.700000000000003</v>
      </c>
      <c r="E72" s="19">
        <f t="shared" si="28"/>
        <v>20.700000000000003</v>
      </c>
      <c r="F72" s="19">
        <f t="shared" si="28"/>
        <v>21.700000000000003</v>
      </c>
      <c r="G72" s="19">
        <f t="shared" si="28"/>
        <v>25.700000000000003</v>
      </c>
      <c r="H72" s="19">
        <f t="shared" si="28"/>
        <v>19.700000000000003</v>
      </c>
      <c r="I72" s="19">
        <f t="shared" si="28"/>
        <v>22.700000000000003</v>
      </c>
      <c r="J72" s="19">
        <f t="shared" si="28"/>
        <v>36.700000000000003</v>
      </c>
      <c r="K72" s="19">
        <f t="shared" si="28"/>
        <v>62.599999999999994</v>
      </c>
      <c r="L72" s="19">
        <f t="shared" si="28"/>
        <v>55</v>
      </c>
      <c r="M72" s="19">
        <f t="shared" si="28"/>
        <v>39.299999999999983</v>
      </c>
      <c r="N72" s="19">
        <f t="shared" si="28"/>
        <v>47.600000000000009</v>
      </c>
    </row>
    <row r="73" spans="1:14" x14ac:dyDescent="0.2">
      <c r="A73" s="48" t="s">
        <v>167</v>
      </c>
      <c r="B73" s="49" t="s">
        <v>168</v>
      </c>
      <c r="C73" s="50">
        <v>0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50">
        <v>0</v>
      </c>
      <c r="L73" s="50">
        <v>0</v>
      </c>
      <c r="M73" s="50">
        <v>0</v>
      </c>
      <c r="N73" s="50">
        <v>0</v>
      </c>
    </row>
    <row r="74" spans="1:14" x14ac:dyDescent="0.2">
      <c r="A74" s="48" t="s">
        <v>200</v>
      </c>
      <c r="B74" s="49" t="s">
        <v>201</v>
      </c>
      <c r="C74" s="50">
        <f t="shared" ref="C74:I74" si="29">+C75+C76</f>
        <v>0</v>
      </c>
      <c r="D74" s="50">
        <f t="shared" si="29"/>
        <v>0</v>
      </c>
      <c r="E74" s="50">
        <f t="shared" si="29"/>
        <v>0</v>
      </c>
      <c r="F74" s="50">
        <f t="shared" si="29"/>
        <v>0</v>
      </c>
      <c r="G74" s="50">
        <f t="shared" si="29"/>
        <v>0</v>
      </c>
      <c r="H74" s="50">
        <f t="shared" si="29"/>
        <v>0</v>
      </c>
      <c r="I74" s="50">
        <f t="shared" si="29"/>
        <v>0</v>
      </c>
      <c r="J74" s="50">
        <f>+J75+J76</f>
        <v>0</v>
      </c>
      <c r="K74" s="50">
        <f t="shared" ref="K74:N74" si="30">+K75+K76</f>
        <v>0</v>
      </c>
      <c r="L74" s="50">
        <f t="shared" si="30"/>
        <v>0</v>
      </c>
      <c r="M74" s="50">
        <f t="shared" si="30"/>
        <v>0</v>
      </c>
      <c r="N74" s="50">
        <f t="shared" si="30"/>
        <v>0</v>
      </c>
    </row>
    <row r="75" spans="1:14" hidden="1" outlineLevel="1" x14ac:dyDescent="0.2">
      <c r="A75" s="9" t="s">
        <v>220</v>
      </c>
      <c r="B75" s="1" t="s">
        <v>221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</v>
      </c>
      <c r="I75" s="10">
        <v>0</v>
      </c>
      <c r="J75" s="10">
        <v>0</v>
      </c>
      <c r="K75" s="10">
        <v>0</v>
      </c>
      <c r="L75" s="10">
        <v>0</v>
      </c>
      <c r="M75" s="10">
        <v>0</v>
      </c>
      <c r="N75" s="10">
        <v>0</v>
      </c>
    </row>
    <row r="76" spans="1:14" hidden="1" outlineLevel="1" x14ac:dyDescent="0.2">
      <c r="A76" s="9" t="s">
        <v>222</v>
      </c>
      <c r="B76" s="1" t="s">
        <v>223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collapsed="1" x14ac:dyDescent="0.2">
      <c r="A77" s="48" t="s">
        <v>226</v>
      </c>
      <c r="B77" s="49" t="s">
        <v>227</v>
      </c>
      <c r="C77" s="50">
        <v>0</v>
      </c>
      <c r="D77" s="50">
        <v>0</v>
      </c>
      <c r="E77" s="50">
        <v>0</v>
      </c>
      <c r="F77" s="50">
        <v>0</v>
      </c>
      <c r="G77" s="50">
        <v>0</v>
      </c>
      <c r="H77" s="50">
        <v>0</v>
      </c>
      <c r="I77" s="50">
        <v>0</v>
      </c>
      <c r="J77" s="50">
        <v>0</v>
      </c>
      <c r="K77" s="50">
        <v>0</v>
      </c>
      <c r="L77" s="50">
        <v>0</v>
      </c>
      <c r="M77" s="50">
        <v>0</v>
      </c>
      <c r="N77" s="50">
        <v>0</v>
      </c>
    </row>
    <row r="78" spans="1:14" x14ac:dyDescent="0.2">
      <c r="A78" s="48" t="s">
        <v>228</v>
      </c>
      <c r="B78" s="49" t="s">
        <v>229</v>
      </c>
      <c r="C78" s="50">
        <v>0</v>
      </c>
      <c r="D78" s="50">
        <v>0</v>
      </c>
      <c r="E78" s="50">
        <v>0</v>
      </c>
      <c r="F78" s="50">
        <v>0</v>
      </c>
      <c r="G78" s="50">
        <v>0</v>
      </c>
      <c r="H78" s="50">
        <v>0</v>
      </c>
      <c r="I78" s="50">
        <v>0</v>
      </c>
      <c r="J78" s="50">
        <v>0</v>
      </c>
      <c r="K78" s="50">
        <v>0</v>
      </c>
      <c r="L78" s="50">
        <v>0</v>
      </c>
      <c r="M78" s="50">
        <v>0</v>
      </c>
      <c r="N78" s="50">
        <v>0</v>
      </c>
    </row>
    <row r="79" spans="1:14" x14ac:dyDescent="0.2">
      <c r="A79" s="48" t="s">
        <v>230</v>
      </c>
      <c r="B79" s="49" t="s">
        <v>231</v>
      </c>
      <c r="C79" s="50">
        <f t="shared" ref="C79:I79" si="31">+C80</f>
        <v>3</v>
      </c>
      <c r="D79" s="50">
        <f t="shared" si="31"/>
        <v>3</v>
      </c>
      <c r="E79" s="50">
        <f t="shared" si="31"/>
        <v>3</v>
      </c>
      <c r="F79" s="50">
        <f t="shared" si="31"/>
        <v>3</v>
      </c>
      <c r="G79" s="50">
        <f t="shared" si="31"/>
        <v>3</v>
      </c>
      <c r="H79" s="50">
        <f t="shared" si="31"/>
        <v>3</v>
      </c>
      <c r="I79" s="50">
        <f t="shared" si="31"/>
        <v>3</v>
      </c>
      <c r="J79" s="50">
        <f>+J80</f>
        <v>3</v>
      </c>
      <c r="K79" s="50">
        <f t="shared" ref="K79:N79" si="32">+K80</f>
        <v>3</v>
      </c>
      <c r="L79" s="50">
        <f t="shared" si="32"/>
        <v>3</v>
      </c>
      <c r="M79" s="50">
        <f t="shared" si="32"/>
        <v>3</v>
      </c>
      <c r="N79" s="50">
        <f t="shared" si="32"/>
        <v>3</v>
      </c>
    </row>
    <row r="80" spans="1:14" hidden="1" outlineLevel="1" x14ac:dyDescent="0.2">
      <c r="A80" s="9" t="s">
        <v>232</v>
      </c>
      <c r="B80" s="1" t="s">
        <v>233</v>
      </c>
      <c r="C80" s="28">
        <v>3</v>
      </c>
      <c r="D80" s="28">
        <v>3</v>
      </c>
      <c r="E80" s="28">
        <v>3</v>
      </c>
      <c r="F80" s="28">
        <v>3</v>
      </c>
      <c r="G80" s="28">
        <v>3</v>
      </c>
      <c r="H80" s="28">
        <v>3</v>
      </c>
      <c r="I80" s="28">
        <v>3</v>
      </c>
      <c r="J80" s="28">
        <v>3</v>
      </c>
      <c r="K80" s="28">
        <v>3</v>
      </c>
      <c r="L80" s="28">
        <v>3</v>
      </c>
      <c r="M80" s="28">
        <v>3</v>
      </c>
      <c r="N80" s="28">
        <v>3</v>
      </c>
    </row>
    <row r="81" spans="1:14" collapsed="1" x14ac:dyDescent="0.2">
      <c r="A81" s="52"/>
      <c r="B81" s="52" t="s">
        <v>236</v>
      </c>
      <c r="C81" s="53">
        <f t="shared" ref="C81:N81" si="33">+C73+C74+C77+C78+C79</f>
        <v>3</v>
      </c>
      <c r="D81" s="53">
        <f t="shared" si="33"/>
        <v>3</v>
      </c>
      <c r="E81" s="53">
        <f t="shared" si="33"/>
        <v>3</v>
      </c>
      <c r="F81" s="53">
        <f t="shared" si="33"/>
        <v>3</v>
      </c>
      <c r="G81" s="53">
        <f t="shared" si="33"/>
        <v>3</v>
      </c>
      <c r="H81" s="53">
        <f t="shared" si="33"/>
        <v>3</v>
      </c>
      <c r="I81" s="53">
        <f t="shared" si="33"/>
        <v>3</v>
      </c>
      <c r="J81" s="53">
        <f t="shared" si="33"/>
        <v>3</v>
      </c>
      <c r="K81" s="53">
        <f t="shared" si="33"/>
        <v>3</v>
      </c>
      <c r="L81" s="53">
        <f t="shared" si="33"/>
        <v>3</v>
      </c>
      <c r="M81" s="53">
        <f t="shared" si="33"/>
        <v>3</v>
      </c>
      <c r="N81" s="53">
        <f t="shared" si="33"/>
        <v>3</v>
      </c>
    </row>
    <row r="82" spans="1:14" x14ac:dyDescent="0.2">
      <c r="A82" s="51"/>
      <c r="B82" s="51" t="s">
        <v>237</v>
      </c>
      <c r="C82" s="19">
        <f t="shared" ref="C82:I82" si="34">+C72-C81</f>
        <v>1.7000000000000028</v>
      </c>
      <c r="D82" s="19">
        <f t="shared" si="34"/>
        <v>23.700000000000003</v>
      </c>
      <c r="E82" s="19">
        <f t="shared" si="34"/>
        <v>17.700000000000003</v>
      </c>
      <c r="F82" s="19">
        <f t="shared" si="34"/>
        <v>18.700000000000003</v>
      </c>
      <c r="G82" s="19">
        <f t="shared" si="34"/>
        <v>22.700000000000003</v>
      </c>
      <c r="H82" s="19">
        <f t="shared" si="34"/>
        <v>16.700000000000003</v>
      </c>
      <c r="I82" s="19">
        <f t="shared" si="34"/>
        <v>19.700000000000003</v>
      </c>
      <c r="J82" s="19">
        <f>+J72-J81</f>
        <v>33.700000000000003</v>
      </c>
      <c r="K82" s="19">
        <f t="shared" ref="K82:N82" si="35">+K72-K81</f>
        <v>59.599999999999994</v>
      </c>
      <c r="L82" s="19">
        <f t="shared" si="35"/>
        <v>52</v>
      </c>
      <c r="M82" s="19">
        <f t="shared" si="35"/>
        <v>36.299999999999983</v>
      </c>
      <c r="N82" s="19">
        <f t="shared" si="35"/>
        <v>44.600000000000009</v>
      </c>
    </row>
    <row r="83" spans="1:14" x14ac:dyDescent="0.2">
      <c r="A83" s="48" t="s">
        <v>238</v>
      </c>
      <c r="B83" s="49" t="s">
        <v>239</v>
      </c>
      <c r="C83" s="50">
        <f t="shared" ref="C83:N83" si="36">SUM(C84:C87)</f>
        <v>1.2</v>
      </c>
      <c r="D83" s="50">
        <f t="shared" si="36"/>
        <v>1.2</v>
      </c>
      <c r="E83" s="50">
        <f t="shared" si="36"/>
        <v>1.2</v>
      </c>
      <c r="F83" s="50">
        <f t="shared" si="36"/>
        <v>1.2</v>
      </c>
      <c r="G83" s="50">
        <f t="shared" si="36"/>
        <v>1.2</v>
      </c>
      <c r="H83" s="50">
        <f t="shared" si="36"/>
        <v>1.2</v>
      </c>
      <c r="I83" s="50">
        <f t="shared" si="36"/>
        <v>1.2</v>
      </c>
      <c r="J83" s="50">
        <f t="shared" si="36"/>
        <v>1.2</v>
      </c>
      <c r="K83" s="50">
        <f t="shared" si="36"/>
        <v>1.2</v>
      </c>
      <c r="L83" s="50">
        <f t="shared" si="36"/>
        <v>1.2</v>
      </c>
      <c r="M83" s="50">
        <f t="shared" si="36"/>
        <v>1.2</v>
      </c>
      <c r="N83" s="50">
        <f t="shared" si="36"/>
        <v>1.2</v>
      </c>
    </row>
    <row r="84" spans="1:14" hidden="1" outlineLevel="1" x14ac:dyDescent="0.2">
      <c r="A84" s="9" t="s">
        <v>240</v>
      </c>
      <c r="B84" s="1" t="s">
        <v>241</v>
      </c>
      <c r="C84" s="28">
        <v>1.2</v>
      </c>
      <c r="D84" s="28">
        <v>1.2</v>
      </c>
      <c r="E84" s="28">
        <v>1.2</v>
      </c>
      <c r="F84" s="28">
        <v>1.2</v>
      </c>
      <c r="G84" s="28">
        <v>1.2</v>
      </c>
      <c r="H84" s="28">
        <v>1.2</v>
      </c>
      <c r="I84" s="28">
        <v>1.2</v>
      </c>
      <c r="J84" s="28">
        <v>1.2</v>
      </c>
      <c r="K84" s="28">
        <v>1.2</v>
      </c>
      <c r="L84" s="28">
        <v>1.2</v>
      </c>
      <c r="M84" s="28">
        <v>1.2</v>
      </c>
      <c r="N84" s="28">
        <v>1.2</v>
      </c>
    </row>
    <row r="85" spans="1:14" hidden="1" outlineLevel="1" x14ac:dyDescent="0.2">
      <c r="A85" s="9" t="s">
        <v>242</v>
      </c>
      <c r="B85" s="1" t="s">
        <v>243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359</v>
      </c>
      <c r="B86" s="1" t="s">
        <v>360</v>
      </c>
      <c r="C86" s="10">
        <v>0</v>
      </c>
      <c r="D86" s="10">
        <v>0</v>
      </c>
      <c r="E86" s="10">
        <v>0</v>
      </c>
      <c r="F86" s="10">
        <v>0</v>
      </c>
      <c r="G86" s="10">
        <v>0</v>
      </c>
      <c r="H86" s="10">
        <v>0</v>
      </c>
      <c r="I86" s="10">
        <v>0</v>
      </c>
      <c r="J86" s="10">
        <v>0</v>
      </c>
      <c r="K86" s="10">
        <v>0</v>
      </c>
      <c r="L86" s="10">
        <v>0</v>
      </c>
      <c r="M86" s="10">
        <v>0</v>
      </c>
      <c r="N86" s="10">
        <v>0</v>
      </c>
    </row>
    <row r="87" spans="1:14" hidden="1" outlineLevel="1" x14ac:dyDescent="0.2">
      <c r="A87" s="9" t="s">
        <v>361</v>
      </c>
      <c r="B87" s="1" t="s">
        <v>362</v>
      </c>
      <c r="C87" s="10">
        <v>0</v>
      </c>
      <c r="D87" s="10">
        <v>0</v>
      </c>
      <c r="E87" s="10">
        <v>0</v>
      </c>
      <c r="F87" s="10">
        <v>0</v>
      </c>
      <c r="G87" s="10">
        <v>0</v>
      </c>
      <c r="H87" s="10">
        <v>0</v>
      </c>
      <c r="I87" s="10">
        <v>0</v>
      </c>
      <c r="J87" s="10">
        <v>0</v>
      </c>
      <c r="K87" s="10">
        <v>0</v>
      </c>
      <c r="L87" s="10">
        <v>0</v>
      </c>
      <c r="M87" s="10">
        <v>0</v>
      </c>
      <c r="N87" s="10">
        <v>0</v>
      </c>
    </row>
    <row r="88" spans="1:14" collapsed="1" x14ac:dyDescent="0.2">
      <c r="A88" s="48" t="s">
        <v>244</v>
      </c>
      <c r="B88" s="49" t="s">
        <v>245</v>
      </c>
      <c r="C88" s="50">
        <v>0</v>
      </c>
      <c r="D88" s="50">
        <v>0</v>
      </c>
      <c r="E88" s="50">
        <v>0</v>
      </c>
      <c r="F88" s="50">
        <v>0</v>
      </c>
      <c r="G88" s="50">
        <v>0</v>
      </c>
      <c r="H88" s="50">
        <v>0</v>
      </c>
      <c r="I88" s="50">
        <v>0</v>
      </c>
      <c r="J88" s="50">
        <v>0</v>
      </c>
      <c r="K88" s="50">
        <v>0</v>
      </c>
      <c r="L88" s="50">
        <v>0</v>
      </c>
      <c r="M88" s="50">
        <v>0</v>
      </c>
      <c r="N88" s="50">
        <v>0</v>
      </c>
    </row>
    <row r="89" spans="1:14" x14ac:dyDescent="0.2">
      <c r="A89" s="51"/>
      <c r="B89" s="51" t="s">
        <v>246</v>
      </c>
      <c r="C89" s="19">
        <f t="shared" ref="C89:N89" si="37">+C82-SUM(C83,C88)</f>
        <v>0.50000000000000289</v>
      </c>
      <c r="D89" s="19">
        <f t="shared" si="37"/>
        <v>22.500000000000004</v>
      </c>
      <c r="E89" s="19">
        <f t="shared" si="37"/>
        <v>16.500000000000004</v>
      </c>
      <c r="F89" s="19">
        <f t="shared" si="37"/>
        <v>17.500000000000004</v>
      </c>
      <c r="G89" s="19">
        <f t="shared" si="37"/>
        <v>21.500000000000004</v>
      </c>
      <c r="H89" s="19">
        <f t="shared" si="37"/>
        <v>15.500000000000004</v>
      </c>
      <c r="I89" s="19">
        <f t="shared" si="37"/>
        <v>18.500000000000004</v>
      </c>
      <c r="J89" s="19">
        <f t="shared" si="37"/>
        <v>32.5</v>
      </c>
      <c r="K89" s="19">
        <f t="shared" si="37"/>
        <v>58.399999999999991</v>
      </c>
      <c r="L89" s="19">
        <f t="shared" si="37"/>
        <v>50.8</v>
      </c>
      <c r="M89" s="19">
        <f t="shared" si="37"/>
        <v>35.09999999999998</v>
      </c>
      <c r="N89" s="19">
        <f t="shared" si="37"/>
        <v>43.400000000000006</v>
      </c>
    </row>
    <row r="90" spans="1:14" x14ac:dyDescent="0.2">
      <c r="A90" s="2"/>
      <c r="B90" s="2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</row>
    <row r="91" spans="1:14" x14ac:dyDescent="0.2">
      <c r="A91" s="2"/>
      <c r="B91" s="2"/>
      <c r="C91" s="2"/>
      <c r="D91" s="2"/>
      <c r="E91" s="2"/>
      <c r="F91" s="2"/>
      <c r="G91" s="2"/>
      <c r="H91" s="2"/>
      <c r="I91" s="11"/>
      <c r="J91" s="11"/>
      <c r="K91" s="11"/>
      <c r="L91" s="11"/>
      <c r="M91" s="11"/>
      <c r="N91" s="11"/>
    </row>
    <row r="92" spans="1:14" x14ac:dyDescent="0.2">
      <c r="A92" s="9" t="s">
        <v>74</v>
      </c>
      <c r="B92" s="1" t="s">
        <v>74</v>
      </c>
      <c r="C92" s="13" t="s">
        <v>74</v>
      </c>
      <c r="D92" s="13" t="s">
        <v>74</v>
      </c>
      <c r="E92" s="13" t="s">
        <v>74</v>
      </c>
      <c r="F92" s="13" t="s">
        <v>74</v>
      </c>
      <c r="G92" s="13" t="s">
        <v>74</v>
      </c>
      <c r="H92" s="13" t="s">
        <v>74</v>
      </c>
      <c r="I92" s="13" t="s">
        <v>74</v>
      </c>
      <c r="J92" s="13" t="s">
        <v>74</v>
      </c>
      <c r="K92" s="13" t="s">
        <v>74</v>
      </c>
      <c r="L92" s="13" t="s">
        <v>74</v>
      </c>
      <c r="M92" s="13" t="s">
        <v>74</v>
      </c>
      <c r="N92" s="13" t="s">
        <v>74</v>
      </c>
    </row>
    <row r="93" spans="1:14" x14ac:dyDescent="0.2">
      <c r="A93" s="12"/>
      <c r="B93" s="12" t="s">
        <v>247</v>
      </c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</row>
    <row r="94" spans="1:14" x14ac:dyDescent="0.2">
      <c r="A94" s="9" t="s">
        <v>248</v>
      </c>
      <c r="B94" s="1" t="s">
        <v>249</v>
      </c>
      <c r="C94" s="13">
        <v>0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2">
      <c r="A95" s="9" t="s">
        <v>252</v>
      </c>
      <c r="B95" s="1" t="s">
        <v>253</v>
      </c>
      <c r="C95" s="13">
        <v>0</v>
      </c>
      <c r="D95" s="13">
        <v>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2">
      <c r="A96" s="9" t="s">
        <v>256</v>
      </c>
      <c r="B96" s="1" t="s">
        <v>257</v>
      </c>
      <c r="C96" s="13">
        <v>0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2">
      <c r="A97" s="9" t="s">
        <v>260</v>
      </c>
      <c r="B97" s="1" t="s">
        <v>261</v>
      </c>
      <c r="C97" s="13">
        <v>0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2">
      <c r="A98" s="9" t="s">
        <v>264</v>
      </c>
      <c r="B98" s="1" t="s">
        <v>265</v>
      </c>
      <c r="C98" s="13">
        <v>0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2">
      <c r="A99" s="9" t="s">
        <v>268</v>
      </c>
      <c r="B99" s="1" t="s">
        <v>269</v>
      </c>
      <c r="C99" s="13">
        <v>0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2">
      <c r="A100" s="9" t="s">
        <v>270</v>
      </c>
      <c r="B100" s="1" t="s">
        <v>271</v>
      </c>
      <c r="C100" s="13">
        <v>0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2">
      <c r="A101" s="9" t="s">
        <v>272</v>
      </c>
      <c r="B101" s="1" t="s">
        <v>273</v>
      </c>
      <c r="C101" s="13">
        <v>0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2">
      <c r="A102" s="9" t="s">
        <v>274</v>
      </c>
      <c r="B102" s="1" t="s">
        <v>275</v>
      </c>
      <c r="C102" s="13">
        <v>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2">
      <c r="A103" s="9" t="s">
        <v>276</v>
      </c>
      <c r="B103" s="1" t="s">
        <v>277</v>
      </c>
      <c r="C103" s="17">
        <v>2710</v>
      </c>
      <c r="D103" s="17">
        <v>2710</v>
      </c>
      <c r="E103" s="17">
        <v>2710</v>
      </c>
      <c r="F103" s="17">
        <v>2450</v>
      </c>
      <c r="G103" s="17">
        <v>2450</v>
      </c>
      <c r="H103" s="17">
        <v>2450</v>
      </c>
      <c r="I103" s="17">
        <v>2450</v>
      </c>
      <c r="J103" s="17">
        <v>2710</v>
      </c>
      <c r="K103" s="17">
        <v>2710</v>
      </c>
      <c r="L103" s="17">
        <v>2710</v>
      </c>
      <c r="M103" s="17">
        <v>2450</v>
      </c>
      <c r="N103" s="17">
        <v>2450</v>
      </c>
    </row>
    <row r="104" spans="1:14" hidden="1" outlineLevel="1" x14ac:dyDescent="0.2">
      <c r="A104" s="9" t="s">
        <v>278</v>
      </c>
      <c r="B104" s="1" t="s">
        <v>279</v>
      </c>
      <c r="C104" s="17">
        <v>2710</v>
      </c>
      <c r="D104" s="17">
        <v>2710</v>
      </c>
      <c r="E104" s="17">
        <v>2710</v>
      </c>
      <c r="F104" s="17">
        <v>2450</v>
      </c>
      <c r="G104" s="17">
        <v>2450</v>
      </c>
      <c r="H104" s="17">
        <v>2450</v>
      </c>
      <c r="I104" s="17">
        <v>2450</v>
      </c>
      <c r="J104" s="17">
        <v>2710</v>
      </c>
      <c r="K104" s="17">
        <v>2710</v>
      </c>
      <c r="L104" s="17">
        <v>2710</v>
      </c>
      <c r="M104" s="17">
        <v>2450</v>
      </c>
      <c r="N104" s="17">
        <v>2450</v>
      </c>
    </row>
    <row r="105" spans="1:14" collapsed="1" x14ac:dyDescent="0.2">
      <c r="A105" s="9" t="s">
        <v>280</v>
      </c>
      <c r="B105" s="1" t="s">
        <v>281</v>
      </c>
      <c r="C105" s="17">
        <v>2710</v>
      </c>
      <c r="D105" s="17">
        <v>2710</v>
      </c>
      <c r="E105" s="17">
        <v>2710</v>
      </c>
      <c r="F105" s="17">
        <v>2450</v>
      </c>
      <c r="G105" s="17">
        <v>2450</v>
      </c>
      <c r="H105" s="17">
        <v>2450</v>
      </c>
      <c r="I105" s="17">
        <v>2450</v>
      </c>
      <c r="J105" s="17">
        <v>2710</v>
      </c>
      <c r="K105" s="17">
        <v>2710</v>
      </c>
      <c r="L105" s="17">
        <v>2710</v>
      </c>
      <c r="M105" s="17">
        <v>2450</v>
      </c>
      <c r="N105" s="17">
        <v>2450</v>
      </c>
    </row>
    <row r="106" spans="1:14" hidden="1" outlineLevel="1" x14ac:dyDescent="0.2">
      <c r="A106" s="9" t="s">
        <v>282</v>
      </c>
      <c r="B106" s="1" t="s">
        <v>283</v>
      </c>
      <c r="C106" s="17">
        <v>2710</v>
      </c>
      <c r="D106" s="17">
        <v>2710</v>
      </c>
      <c r="E106" s="17">
        <v>2710</v>
      </c>
      <c r="F106" s="17">
        <v>2450</v>
      </c>
      <c r="G106" s="17">
        <v>2450</v>
      </c>
      <c r="H106" s="17">
        <v>2450</v>
      </c>
      <c r="I106" s="17">
        <v>2450</v>
      </c>
      <c r="J106" s="17">
        <v>2710</v>
      </c>
      <c r="K106" s="17">
        <v>2710</v>
      </c>
      <c r="L106" s="17">
        <v>2710</v>
      </c>
      <c r="M106" s="17">
        <v>2450</v>
      </c>
      <c r="N106" s="17">
        <v>2450</v>
      </c>
    </row>
    <row r="107" spans="1:14" collapsed="1" x14ac:dyDescent="0.2">
      <c r="A107" s="9" t="s">
        <v>284</v>
      </c>
      <c r="B107" s="1" t="s">
        <v>285</v>
      </c>
      <c r="C107" s="13">
        <v>0</v>
      </c>
      <c r="D107" s="13">
        <v>0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2">
      <c r="A108" s="9" t="s">
        <v>288</v>
      </c>
      <c r="B108" s="1" t="s">
        <v>289</v>
      </c>
      <c r="C108" s="13">
        <v>0</v>
      </c>
      <c r="D108" s="13">
        <v>0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2">
      <c r="A109" s="3"/>
      <c r="B109" s="3" t="s">
        <v>290</v>
      </c>
      <c r="C109" s="15" t="s">
        <v>292</v>
      </c>
      <c r="D109" s="15" t="s">
        <v>292</v>
      </c>
      <c r="E109" s="15" t="s">
        <v>292</v>
      </c>
      <c r="F109" s="15" t="s">
        <v>292</v>
      </c>
      <c r="G109" s="15" t="s">
        <v>292</v>
      </c>
      <c r="H109" s="15" t="s">
        <v>292</v>
      </c>
      <c r="I109" s="15" t="s">
        <v>292</v>
      </c>
      <c r="J109" s="15" t="s">
        <v>292</v>
      </c>
      <c r="K109" s="15" t="s">
        <v>292</v>
      </c>
      <c r="L109" s="15" t="s">
        <v>292</v>
      </c>
      <c r="M109" s="15" t="s">
        <v>292</v>
      </c>
      <c r="N109" s="15" t="s">
        <v>292</v>
      </c>
    </row>
    <row r="110" spans="1:14" x14ac:dyDescent="0.2">
      <c r="A110" s="3"/>
      <c r="B110" s="3" t="s">
        <v>291</v>
      </c>
      <c r="C110" s="15" t="s">
        <v>292</v>
      </c>
      <c r="D110" s="15" t="s">
        <v>292</v>
      </c>
      <c r="E110" s="15" t="s">
        <v>292</v>
      </c>
      <c r="F110" s="15" t="s">
        <v>292</v>
      </c>
      <c r="G110" s="15" t="s">
        <v>292</v>
      </c>
      <c r="H110" s="15" t="s">
        <v>292</v>
      </c>
      <c r="I110" s="15" t="s">
        <v>292</v>
      </c>
      <c r="J110" s="15" t="s">
        <v>292</v>
      </c>
      <c r="K110" s="15" t="s">
        <v>292</v>
      </c>
      <c r="L110" s="15" t="s">
        <v>292</v>
      </c>
      <c r="M110" s="15" t="s">
        <v>292</v>
      </c>
      <c r="N110" s="15" t="s">
        <v>292</v>
      </c>
    </row>
    <row r="111" spans="1:14" x14ac:dyDescent="0.2">
      <c r="A111" s="3"/>
      <c r="B111" s="3" t="s">
        <v>293</v>
      </c>
      <c r="C111" s="15" t="s">
        <v>292</v>
      </c>
      <c r="D111" s="15" t="s">
        <v>292</v>
      </c>
      <c r="E111" s="15" t="s">
        <v>292</v>
      </c>
      <c r="F111" s="15" t="s">
        <v>292</v>
      </c>
      <c r="G111" s="15" t="s">
        <v>292</v>
      </c>
      <c r="H111" s="15" t="s">
        <v>292</v>
      </c>
      <c r="I111" s="15" t="s">
        <v>292</v>
      </c>
      <c r="J111" s="15" t="s">
        <v>292</v>
      </c>
      <c r="K111" s="15" t="s">
        <v>292</v>
      </c>
      <c r="L111" s="15" t="s">
        <v>292</v>
      </c>
      <c r="M111" s="15" t="s">
        <v>292</v>
      </c>
      <c r="N111" s="15" t="s">
        <v>292</v>
      </c>
    </row>
    <row r="112" spans="1:14" x14ac:dyDescent="0.2">
      <c r="A112" s="3"/>
      <c r="B112" s="3" t="s">
        <v>294</v>
      </c>
      <c r="C112" s="15" t="s">
        <v>292</v>
      </c>
      <c r="D112" s="15" t="s">
        <v>292</v>
      </c>
      <c r="E112" s="15" t="s">
        <v>292</v>
      </c>
      <c r="F112" s="15" t="s">
        <v>292</v>
      </c>
      <c r="G112" s="15" t="s">
        <v>292</v>
      </c>
      <c r="H112" s="15" t="s">
        <v>292</v>
      </c>
      <c r="I112" s="15" t="s">
        <v>292</v>
      </c>
      <c r="J112" s="15" t="s">
        <v>292</v>
      </c>
      <c r="K112" s="15" t="s">
        <v>292</v>
      </c>
      <c r="L112" s="15" t="s">
        <v>292</v>
      </c>
      <c r="M112" s="15" t="s">
        <v>292</v>
      </c>
      <c r="N112" s="15" t="s">
        <v>292</v>
      </c>
    </row>
    <row r="113" spans="1:14" x14ac:dyDescent="0.2">
      <c r="A113" s="12"/>
      <c r="B113" s="12" t="s">
        <v>295</v>
      </c>
      <c r="C113" s="14" t="s">
        <v>292</v>
      </c>
      <c r="D113" s="14" t="s">
        <v>292</v>
      </c>
      <c r="E113" s="14" t="s">
        <v>292</v>
      </c>
      <c r="F113" s="14" t="s">
        <v>292</v>
      </c>
      <c r="G113" s="14" t="s">
        <v>292</v>
      </c>
      <c r="H113" s="14" t="s">
        <v>292</v>
      </c>
      <c r="I113" s="14" t="s">
        <v>292</v>
      </c>
      <c r="J113" s="14" t="s">
        <v>292</v>
      </c>
      <c r="K113" s="14" t="s">
        <v>292</v>
      </c>
      <c r="L113" s="14" t="s">
        <v>292</v>
      </c>
      <c r="M113" s="14" t="s">
        <v>292</v>
      </c>
      <c r="N113" s="14" t="s">
        <v>292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885-00FE-48AE-9DAA-8F86B49B6E71}">
  <sheetPr codeName="Hoja52">
    <tabColor rgb="FF00B0F0"/>
  </sheetPr>
  <dimension ref="A1:N83"/>
  <sheetViews>
    <sheetView zoomScale="85" zoomScaleNormal="85" workbookViewId="0">
      <pane ySplit="6" topLeftCell="A7" activePane="bottomLeft" state="frozen"/>
      <selection activeCell="I54" sqref="I54"/>
      <selection pane="bottomLeft" activeCell="B12" sqref="A11:B12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384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9" t="s">
        <v>23</v>
      </c>
      <c r="B7" s="1" t="s">
        <v>24</v>
      </c>
      <c r="C7" s="10">
        <f>+C8</f>
        <v>12</v>
      </c>
      <c r="D7" s="10">
        <f t="shared" ref="D7:N7" si="0">+D8</f>
        <v>14</v>
      </c>
      <c r="E7" s="10">
        <f t="shared" si="0"/>
        <v>12</v>
      </c>
      <c r="F7" s="10">
        <f t="shared" si="0"/>
        <v>14</v>
      </c>
      <c r="G7" s="10">
        <f t="shared" si="0"/>
        <v>11</v>
      </c>
      <c r="H7" s="10">
        <f t="shared" si="0"/>
        <v>12</v>
      </c>
      <c r="I7" s="10">
        <f t="shared" si="0"/>
        <v>13</v>
      </c>
      <c r="J7" s="10">
        <f t="shared" si="0"/>
        <v>12</v>
      </c>
      <c r="K7" s="10">
        <f t="shared" si="0"/>
        <v>10</v>
      </c>
      <c r="L7" s="10">
        <f t="shared" si="0"/>
        <v>12</v>
      </c>
      <c r="M7" s="10">
        <f t="shared" si="0"/>
        <v>13</v>
      </c>
      <c r="N7" s="10">
        <f t="shared" si="0"/>
        <v>11</v>
      </c>
    </row>
    <row r="8" spans="1:14" x14ac:dyDescent="0.2">
      <c r="A8" s="9" t="s">
        <v>29</v>
      </c>
      <c r="B8" s="1" t="s">
        <v>30</v>
      </c>
      <c r="C8" s="10">
        <v>12</v>
      </c>
      <c r="D8" s="10">
        <v>14</v>
      </c>
      <c r="E8" s="10">
        <v>12</v>
      </c>
      <c r="F8" s="10">
        <v>14</v>
      </c>
      <c r="G8" s="10">
        <v>11</v>
      </c>
      <c r="H8" s="10">
        <v>12</v>
      </c>
      <c r="I8" s="10">
        <v>13</v>
      </c>
      <c r="J8" s="10">
        <v>12</v>
      </c>
      <c r="K8" s="10">
        <v>10</v>
      </c>
      <c r="L8" s="10">
        <v>12</v>
      </c>
      <c r="M8" s="10">
        <v>13</v>
      </c>
      <c r="N8" s="10">
        <v>11</v>
      </c>
    </row>
    <row r="9" spans="1:14" x14ac:dyDescent="0.2">
      <c r="A9" s="48" t="s">
        <v>37</v>
      </c>
      <c r="B9" s="49" t="s">
        <v>38</v>
      </c>
      <c r="C9" s="50">
        <v>0</v>
      </c>
      <c r="D9" s="50">
        <v>0</v>
      </c>
      <c r="E9" s="50">
        <v>0</v>
      </c>
      <c r="F9" s="50">
        <v>0</v>
      </c>
      <c r="G9" s="50">
        <v>0</v>
      </c>
      <c r="H9" s="50">
        <v>0</v>
      </c>
      <c r="I9" s="50">
        <v>0</v>
      </c>
      <c r="J9" s="50">
        <v>0</v>
      </c>
      <c r="K9" s="50">
        <v>0</v>
      </c>
      <c r="L9" s="50">
        <v>0</v>
      </c>
      <c r="M9" s="50">
        <v>0</v>
      </c>
      <c r="N9" s="50">
        <v>0</v>
      </c>
    </row>
    <row r="10" spans="1:14" x14ac:dyDescent="0.2">
      <c r="A10" s="48" t="s">
        <v>39</v>
      </c>
      <c r="B10" s="49" t="s">
        <v>40</v>
      </c>
      <c r="C10" s="50">
        <v>0</v>
      </c>
      <c r="D10" s="50">
        <v>0</v>
      </c>
      <c r="E10" s="50">
        <v>0</v>
      </c>
      <c r="F10" s="50">
        <v>0</v>
      </c>
      <c r="G10" s="50">
        <v>0</v>
      </c>
      <c r="H10" s="50">
        <v>0</v>
      </c>
      <c r="I10" s="50">
        <v>0</v>
      </c>
      <c r="J10" s="50">
        <v>0</v>
      </c>
      <c r="K10" s="50">
        <v>0</v>
      </c>
      <c r="L10" s="50">
        <v>0</v>
      </c>
      <c r="M10" s="50">
        <v>0</v>
      </c>
      <c r="N10" s="50">
        <v>0</v>
      </c>
    </row>
    <row r="11" spans="1:14" x14ac:dyDescent="0.2">
      <c r="A11" s="48" t="s">
        <v>41</v>
      </c>
      <c r="B11" s="49" t="s">
        <v>42</v>
      </c>
      <c r="C11" s="50">
        <v>0</v>
      </c>
      <c r="D11" s="50">
        <v>0</v>
      </c>
      <c r="E11" s="50">
        <v>0</v>
      </c>
      <c r="F11" s="50">
        <v>0</v>
      </c>
      <c r="G11" s="50">
        <v>0</v>
      </c>
      <c r="H11" s="50">
        <v>0</v>
      </c>
      <c r="I11" s="50">
        <v>0</v>
      </c>
      <c r="J11" s="50">
        <v>0</v>
      </c>
      <c r="K11" s="50">
        <v>0</v>
      </c>
      <c r="L11" s="50">
        <v>0</v>
      </c>
      <c r="M11" s="50">
        <v>0</v>
      </c>
      <c r="N11" s="50">
        <v>0</v>
      </c>
    </row>
    <row r="12" spans="1:14" x14ac:dyDescent="0.2">
      <c r="A12" s="48" t="s">
        <v>45</v>
      </c>
      <c r="B12" s="49" t="s">
        <v>46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51"/>
      <c r="B13" s="51" t="s">
        <v>47</v>
      </c>
      <c r="C13" s="19">
        <f>+C7+C9+C10+C11+C12</f>
        <v>12</v>
      </c>
      <c r="D13" s="19">
        <f t="shared" ref="D13:N13" si="1">+D7+D9+D10+D11+D12</f>
        <v>14</v>
      </c>
      <c r="E13" s="19">
        <f t="shared" si="1"/>
        <v>12</v>
      </c>
      <c r="F13" s="19">
        <f t="shared" si="1"/>
        <v>14</v>
      </c>
      <c r="G13" s="19">
        <f t="shared" si="1"/>
        <v>11</v>
      </c>
      <c r="H13" s="19">
        <f t="shared" si="1"/>
        <v>12</v>
      </c>
      <c r="I13" s="19">
        <f t="shared" si="1"/>
        <v>13</v>
      </c>
      <c r="J13" s="19">
        <f t="shared" si="1"/>
        <v>12</v>
      </c>
      <c r="K13" s="19">
        <f t="shared" si="1"/>
        <v>10</v>
      </c>
      <c r="L13" s="19">
        <f t="shared" si="1"/>
        <v>12</v>
      </c>
      <c r="M13" s="19">
        <f t="shared" si="1"/>
        <v>13</v>
      </c>
      <c r="N13" s="19">
        <f t="shared" si="1"/>
        <v>11</v>
      </c>
    </row>
    <row r="14" spans="1:14" x14ac:dyDescent="0.2">
      <c r="A14" s="48" t="s">
        <v>48</v>
      </c>
      <c r="B14" s="49" t="s">
        <v>49</v>
      </c>
      <c r="C14" s="50">
        <f>+C15</f>
        <v>1</v>
      </c>
      <c r="D14" s="50">
        <f t="shared" ref="D14:N14" si="2">+D15</f>
        <v>1</v>
      </c>
      <c r="E14" s="50">
        <f t="shared" si="2"/>
        <v>1</v>
      </c>
      <c r="F14" s="50">
        <f t="shared" si="2"/>
        <v>1</v>
      </c>
      <c r="G14" s="50">
        <f t="shared" si="2"/>
        <v>1</v>
      </c>
      <c r="H14" s="50">
        <f t="shared" si="2"/>
        <v>1</v>
      </c>
      <c r="I14" s="50">
        <f t="shared" si="2"/>
        <v>1</v>
      </c>
      <c r="J14" s="50">
        <f t="shared" si="2"/>
        <v>1</v>
      </c>
      <c r="K14" s="50">
        <f t="shared" si="2"/>
        <v>1</v>
      </c>
      <c r="L14" s="50">
        <f t="shared" si="2"/>
        <v>1</v>
      </c>
      <c r="M14" s="50">
        <f t="shared" si="2"/>
        <v>1</v>
      </c>
      <c r="N14" s="50">
        <f t="shared" si="2"/>
        <v>1</v>
      </c>
    </row>
    <row r="15" spans="1:14" x14ac:dyDescent="0.2">
      <c r="A15" s="9" t="s">
        <v>56</v>
      </c>
      <c r="B15" s="1" t="s">
        <v>51</v>
      </c>
      <c r="C15" s="50">
        <v>1</v>
      </c>
      <c r="D15" s="50">
        <v>1</v>
      </c>
      <c r="E15" s="50">
        <v>1</v>
      </c>
      <c r="F15" s="50">
        <v>1</v>
      </c>
      <c r="G15" s="50">
        <v>1</v>
      </c>
      <c r="H15" s="50">
        <v>1</v>
      </c>
      <c r="I15" s="50">
        <v>1</v>
      </c>
      <c r="J15" s="50">
        <v>1</v>
      </c>
      <c r="K15" s="50">
        <v>1</v>
      </c>
      <c r="L15" s="50">
        <v>1</v>
      </c>
      <c r="M15" s="50">
        <v>1</v>
      </c>
      <c r="N15" s="50">
        <v>1</v>
      </c>
    </row>
    <row r="16" spans="1:14" x14ac:dyDescent="0.2">
      <c r="A16" s="48" t="s">
        <v>60</v>
      </c>
      <c r="B16" s="49" t="s">
        <v>61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48" t="s">
        <v>62</v>
      </c>
      <c r="B17" s="49" t="s">
        <v>63</v>
      </c>
      <c r="C17" s="50">
        <v>0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</row>
    <row r="18" spans="1:14" x14ac:dyDescent="0.2">
      <c r="A18" s="48" t="s">
        <v>64</v>
      </c>
      <c r="B18" s="49" t="s">
        <v>65</v>
      </c>
      <c r="C18" s="50">
        <v>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50">
        <v>0</v>
      </c>
      <c r="N18" s="50">
        <v>0</v>
      </c>
    </row>
    <row r="19" spans="1:14" x14ac:dyDescent="0.2">
      <c r="A19" s="48" t="s">
        <v>68</v>
      </c>
      <c r="B19" s="49" t="s">
        <v>69</v>
      </c>
      <c r="C19" s="50">
        <v>0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50">
        <v>0</v>
      </c>
      <c r="L19" s="50">
        <v>0</v>
      </c>
      <c r="M19" s="50">
        <v>0</v>
      </c>
      <c r="N19" s="50">
        <v>0</v>
      </c>
    </row>
    <row r="20" spans="1:14" x14ac:dyDescent="0.2">
      <c r="A20" s="52"/>
      <c r="B20" s="52" t="s">
        <v>72</v>
      </c>
      <c r="C20" s="19">
        <f>+C14+C16+C17+C18+C19</f>
        <v>1</v>
      </c>
      <c r="D20" s="19">
        <f t="shared" ref="D20:N20" si="3">+D14+D16+D17+D18+D19</f>
        <v>1</v>
      </c>
      <c r="E20" s="19">
        <f t="shared" si="3"/>
        <v>1</v>
      </c>
      <c r="F20" s="19">
        <f t="shared" si="3"/>
        <v>1</v>
      </c>
      <c r="G20" s="19">
        <f t="shared" si="3"/>
        <v>1</v>
      </c>
      <c r="H20" s="19">
        <f t="shared" si="3"/>
        <v>1</v>
      </c>
      <c r="I20" s="19">
        <f t="shared" si="3"/>
        <v>1</v>
      </c>
      <c r="J20" s="19">
        <f t="shared" si="3"/>
        <v>1</v>
      </c>
      <c r="K20" s="19">
        <f t="shared" si="3"/>
        <v>1</v>
      </c>
      <c r="L20" s="19">
        <f t="shared" si="3"/>
        <v>1</v>
      </c>
      <c r="M20" s="19">
        <f t="shared" si="3"/>
        <v>1</v>
      </c>
      <c r="N20" s="19">
        <f t="shared" si="3"/>
        <v>1</v>
      </c>
    </row>
    <row r="21" spans="1:14" x14ac:dyDescent="0.2">
      <c r="A21" s="51"/>
      <c r="B21" s="51" t="s">
        <v>73</v>
      </c>
      <c r="C21" s="19">
        <f t="shared" ref="C21:N21" si="4">+C13-C20</f>
        <v>11</v>
      </c>
      <c r="D21" s="19">
        <f t="shared" si="4"/>
        <v>13</v>
      </c>
      <c r="E21" s="19">
        <f t="shared" si="4"/>
        <v>11</v>
      </c>
      <c r="F21" s="19">
        <f t="shared" si="4"/>
        <v>13</v>
      </c>
      <c r="G21" s="19">
        <f t="shared" si="4"/>
        <v>10</v>
      </c>
      <c r="H21" s="19">
        <f t="shared" si="4"/>
        <v>11</v>
      </c>
      <c r="I21" s="19">
        <f t="shared" si="4"/>
        <v>12</v>
      </c>
      <c r="J21" s="19">
        <f t="shared" si="4"/>
        <v>11</v>
      </c>
      <c r="K21" s="19">
        <f t="shared" si="4"/>
        <v>9</v>
      </c>
      <c r="L21" s="19">
        <f t="shared" si="4"/>
        <v>11</v>
      </c>
      <c r="M21" s="19">
        <f t="shared" si="4"/>
        <v>12</v>
      </c>
      <c r="N21" s="19">
        <f t="shared" si="4"/>
        <v>10</v>
      </c>
    </row>
    <row r="22" spans="1:14" x14ac:dyDescent="0.2">
      <c r="A22" s="9" t="s">
        <v>74</v>
      </c>
      <c r="B22" s="1" t="s">
        <v>74</v>
      </c>
      <c r="C22" s="10" t="s">
        <v>74</v>
      </c>
      <c r="D22" s="10" t="s">
        <v>74</v>
      </c>
      <c r="E22" s="10" t="s">
        <v>74</v>
      </c>
      <c r="F22" s="10" t="s">
        <v>74</v>
      </c>
      <c r="G22" s="10" t="s">
        <v>74</v>
      </c>
      <c r="H22" s="10" t="s">
        <v>74</v>
      </c>
      <c r="I22" s="10" t="s">
        <v>74</v>
      </c>
      <c r="J22" s="10" t="s">
        <v>74</v>
      </c>
      <c r="K22" s="10" t="s">
        <v>74</v>
      </c>
      <c r="L22" s="10" t="s">
        <v>74</v>
      </c>
      <c r="M22" s="10" t="s">
        <v>74</v>
      </c>
      <c r="N22" s="10" t="s">
        <v>74</v>
      </c>
    </row>
    <row r="23" spans="1:14" x14ac:dyDescent="0.2">
      <c r="A23" s="48" t="s">
        <v>75</v>
      </c>
      <c r="B23" s="49" t="s">
        <v>76</v>
      </c>
      <c r="C23" s="50">
        <f>+C24</f>
        <v>1.1000000000000001</v>
      </c>
      <c r="D23" s="50">
        <f t="shared" ref="D23:N23" si="5">+D24</f>
        <v>1.1000000000000001</v>
      </c>
      <c r="E23" s="50">
        <f t="shared" si="5"/>
        <v>1.1000000000000001</v>
      </c>
      <c r="F23" s="50">
        <f t="shared" si="5"/>
        <v>1.1000000000000001</v>
      </c>
      <c r="G23" s="50">
        <f t="shared" si="5"/>
        <v>1.1000000000000001</v>
      </c>
      <c r="H23" s="50">
        <f t="shared" si="5"/>
        <v>1.1000000000000001</v>
      </c>
      <c r="I23" s="50">
        <f t="shared" si="5"/>
        <v>1.1000000000000001</v>
      </c>
      <c r="J23" s="50">
        <f t="shared" si="5"/>
        <v>1.1000000000000001</v>
      </c>
      <c r="K23" s="50">
        <f t="shared" si="5"/>
        <v>1.1000000000000001</v>
      </c>
      <c r="L23" s="50">
        <f t="shared" si="5"/>
        <v>1.1000000000000001</v>
      </c>
      <c r="M23" s="50">
        <f t="shared" si="5"/>
        <v>1.1000000000000001</v>
      </c>
      <c r="N23" s="50">
        <f t="shared" si="5"/>
        <v>1.1000000000000001</v>
      </c>
    </row>
    <row r="24" spans="1:14" x14ac:dyDescent="0.2">
      <c r="A24" s="9" t="s">
        <v>105</v>
      </c>
      <c r="B24" s="1" t="s">
        <v>106</v>
      </c>
      <c r="C24" s="50">
        <v>1.1000000000000001</v>
      </c>
      <c r="D24" s="50">
        <v>1.1000000000000001</v>
      </c>
      <c r="E24" s="50">
        <v>1.1000000000000001</v>
      </c>
      <c r="F24" s="50">
        <v>1.1000000000000001</v>
      </c>
      <c r="G24" s="50">
        <v>1.1000000000000001</v>
      </c>
      <c r="H24" s="50">
        <v>1.1000000000000001</v>
      </c>
      <c r="I24" s="50">
        <v>1.1000000000000001</v>
      </c>
      <c r="J24" s="50">
        <v>1.1000000000000001</v>
      </c>
      <c r="K24" s="50">
        <v>1.1000000000000001</v>
      </c>
      <c r="L24" s="50">
        <v>1.1000000000000001</v>
      </c>
      <c r="M24" s="50">
        <v>1.1000000000000001</v>
      </c>
      <c r="N24" s="50">
        <v>1.1000000000000001</v>
      </c>
    </row>
    <row r="25" spans="1:14" x14ac:dyDescent="0.2">
      <c r="A25" s="48" t="s">
        <v>111</v>
      </c>
      <c r="B25" s="49" t="s">
        <v>112</v>
      </c>
      <c r="C25" s="50">
        <v>0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50">
        <v>0</v>
      </c>
      <c r="L25" s="50">
        <v>0</v>
      </c>
      <c r="M25" s="50">
        <v>0</v>
      </c>
      <c r="N25" s="50">
        <v>0</v>
      </c>
    </row>
    <row r="26" spans="1:14" x14ac:dyDescent="0.2">
      <c r="A26" s="48" t="s">
        <v>119</v>
      </c>
      <c r="B26" s="49" t="s">
        <v>120</v>
      </c>
      <c r="C26" s="50">
        <v>0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50">
        <v>0</v>
      </c>
      <c r="L26" s="50">
        <v>0</v>
      </c>
      <c r="M26" s="50">
        <v>0</v>
      </c>
      <c r="N26" s="50">
        <v>0</v>
      </c>
    </row>
    <row r="27" spans="1:14" x14ac:dyDescent="0.2">
      <c r="A27" s="48" t="s">
        <v>127</v>
      </c>
      <c r="B27" s="49" t="s">
        <v>128</v>
      </c>
      <c r="C27" s="50">
        <v>0</v>
      </c>
      <c r="D27" s="50">
        <v>0</v>
      </c>
      <c r="E27" s="50">
        <v>0</v>
      </c>
      <c r="F27" s="50">
        <v>0</v>
      </c>
      <c r="G27" s="50">
        <v>0</v>
      </c>
      <c r="H27" s="50">
        <v>0</v>
      </c>
      <c r="I27" s="50">
        <v>0</v>
      </c>
      <c r="J27" s="50">
        <v>0</v>
      </c>
      <c r="K27" s="50">
        <v>0</v>
      </c>
      <c r="L27" s="50">
        <v>0</v>
      </c>
      <c r="M27" s="50">
        <v>0</v>
      </c>
      <c r="N27" s="50">
        <v>0</v>
      </c>
    </row>
    <row r="28" spans="1:14" x14ac:dyDescent="0.2">
      <c r="A28" s="48" t="s">
        <v>133</v>
      </c>
      <c r="B28" s="49" t="s">
        <v>134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</row>
    <row r="29" spans="1:14" x14ac:dyDescent="0.2">
      <c r="A29" s="48" t="s">
        <v>137</v>
      </c>
      <c r="B29" s="49" t="s">
        <v>138</v>
      </c>
      <c r="C29" s="50">
        <v>0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0</v>
      </c>
      <c r="N29" s="50">
        <v>0</v>
      </c>
    </row>
    <row r="30" spans="1:14" x14ac:dyDescent="0.2">
      <c r="A30" s="48" t="s">
        <v>139</v>
      </c>
      <c r="B30" s="49" t="s">
        <v>140</v>
      </c>
      <c r="C30" s="50">
        <v>0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0</v>
      </c>
      <c r="N30" s="50">
        <v>0</v>
      </c>
    </row>
    <row r="31" spans="1:14" x14ac:dyDescent="0.2">
      <c r="A31" s="48" t="s">
        <v>141</v>
      </c>
      <c r="B31" s="49" t="s">
        <v>142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50">
        <v>0</v>
      </c>
      <c r="L31" s="50">
        <v>0</v>
      </c>
      <c r="M31" s="50">
        <v>0</v>
      </c>
      <c r="N31" s="50">
        <v>0</v>
      </c>
    </row>
    <row r="32" spans="1:14" x14ac:dyDescent="0.2">
      <c r="A32" s="48" t="s">
        <v>143</v>
      </c>
      <c r="B32" s="49" t="s">
        <v>144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</row>
    <row r="33" spans="1:14" x14ac:dyDescent="0.2">
      <c r="A33" s="48" t="s">
        <v>157</v>
      </c>
      <c r="B33" s="49" t="s">
        <v>158</v>
      </c>
      <c r="C33" s="50">
        <v>0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50">
        <v>0</v>
      </c>
      <c r="L33" s="50">
        <v>0</v>
      </c>
      <c r="M33" s="50">
        <v>0</v>
      </c>
      <c r="N33" s="50">
        <v>0</v>
      </c>
    </row>
    <row r="34" spans="1:14" x14ac:dyDescent="0.2">
      <c r="A34" s="52"/>
      <c r="B34" s="52" t="s">
        <v>165</v>
      </c>
      <c r="C34" s="19">
        <f>+C23+C25+C26+C27+C28+C29+C30+C31+C32+C33</f>
        <v>1.1000000000000001</v>
      </c>
      <c r="D34" s="19">
        <f t="shared" ref="D34:N34" si="6">+D23+D25+D26+D27+D28+D29+D30+D31+D32+D33</f>
        <v>1.1000000000000001</v>
      </c>
      <c r="E34" s="19">
        <f t="shared" si="6"/>
        <v>1.1000000000000001</v>
      </c>
      <c r="F34" s="19">
        <f t="shared" si="6"/>
        <v>1.1000000000000001</v>
      </c>
      <c r="G34" s="19">
        <f t="shared" si="6"/>
        <v>1.1000000000000001</v>
      </c>
      <c r="H34" s="19">
        <f t="shared" si="6"/>
        <v>1.1000000000000001</v>
      </c>
      <c r="I34" s="19">
        <f t="shared" si="6"/>
        <v>1.1000000000000001</v>
      </c>
      <c r="J34" s="19">
        <f t="shared" si="6"/>
        <v>1.1000000000000001</v>
      </c>
      <c r="K34" s="19">
        <f t="shared" si="6"/>
        <v>1.1000000000000001</v>
      </c>
      <c r="L34" s="19">
        <f t="shared" si="6"/>
        <v>1.1000000000000001</v>
      </c>
      <c r="M34" s="19">
        <f t="shared" si="6"/>
        <v>1.1000000000000001</v>
      </c>
      <c r="N34" s="19">
        <f t="shared" si="6"/>
        <v>1.1000000000000001</v>
      </c>
    </row>
    <row r="35" spans="1:14" x14ac:dyDescent="0.2">
      <c r="A35" s="51"/>
      <c r="B35" s="51" t="s">
        <v>166</v>
      </c>
      <c r="C35" s="19">
        <f>+C21-C34</f>
        <v>9.9</v>
      </c>
      <c r="D35" s="19">
        <f t="shared" ref="D35:N35" si="7">+D21-D34</f>
        <v>11.9</v>
      </c>
      <c r="E35" s="19">
        <f t="shared" si="7"/>
        <v>9.9</v>
      </c>
      <c r="F35" s="19">
        <f t="shared" si="7"/>
        <v>11.9</v>
      </c>
      <c r="G35" s="19">
        <f t="shared" si="7"/>
        <v>8.9</v>
      </c>
      <c r="H35" s="19">
        <f t="shared" si="7"/>
        <v>9.9</v>
      </c>
      <c r="I35" s="19">
        <f t="shared" si="7"/>
        <v>10.9</v>
      </c>
      <c r="J35" s="19">
        <f t="shared" si="7"/>
        <v>9.9</v>
      </c>
      <c r="K35" s="19">
        <f t="shared" si="7"/>
        <v>7.9</v>
      </c>
      <c r="L35" s="19">
        <f t="shared" si="7"/>
        <v>9.9</v>
      </c>
      <c r="M35" s="19">
        <f t="shared" si="7"/>
        <v>10.9</v>
      </c>
      <c r="N35" s="19">
        <f t="shared" si="7"/>
        <v>8.9</v>
      </c>
    </row>
    <row r="36" spans="1:14" x14ac:dyDescent="0.2">
      <c r="A36" s="48" t="s">
        <v>167</v>
      </c>
      <c r="B36" s="49" t="s">
        <v>168</v>
      </c>
      <c r="C36" s="50">
        <f>SUM(C37:C47)</f>
        <v>1.2</v>
      </c>
      <c r="D36" s="50">
        <f t="shared" ref="D36:N36" si="8">SUM(D37:D47)</f>
        <v>1.2</v>
      </c>
      <c r="E36" s="50">
        <f t="shared" si="8"/>
        <v>1.2</v>
      </c>
      <c r="F36" s="50">
        <f t="shared" si="8"/>
        <v>1.2</v>
      </c>
      <c r="G36" s="50">
        <f t="shared" si="8"/>
        <v>1.2</v>
      </c>
      <c r="H36" s="50">
        <f t="shared" si="8"/>
        <v>1.2</v>
      </c>
      <c r="I36" s="50">
        <f t="shared" si="8"/>
        <v>1.2</v>
      </c>
      <c r="J36" s="50">
        <f t="shared" si="8"/>
        <v>1.2</v>
      </c>
      <c r="K36" s="50">
        <f t="shared" si="8"/>
        <v>1.2</v>
      </c>
      <c r="L36" s="50">
        <f t="shared" si="8"/>
        <v>1.2</v>
      </c>
      <c r="M36" s="50">
        <f t="shared" si="8"/>
        <v>1.2</v>
      </c>
      <c r="N36" s="50">
        <f t="shared" si="8"/>
        <v>1.2</v>
      </c>
    </row>
    <row r="37" spans="1:14" hidden="1" outlineLevel="1" x14ac:dyDescent="0.2">
      <c r="A37" s="9" t="s">
        <v>175</v>
      </c>
      <c r="B37" s="1" t="s">
        <v>176</v>
      </c>
      <c r="C37" s="28">
        <v>1.2</v>
      </c>
      <c r="D37" s="28">
        <v>1.2</v>
      </c>
      <c r="E37" s="28">
        <v>1.2</v>
      </c>
      <c r="F37" s="28">
        <v>1.2</v>
      </c>
      <c r="G37" s="28">
        <v>1.2</v>
      </c>
      <c r="H37" s="28">
        <v>1.2</v>
      </c>
      <c r="I37" s="28">
        <v>1.2</v>
      </c>
      <c r="J37" s="28">
        <v>1.2</v>
      </c>
      <c r="K37" s="28">
        <v>1.2</v>
      </c>
      <c r="L37" s="28">
        <v>1.2</v>
      </c>
      <c r="M37" s="28">
        <v>1.2</v>
      </c>
      <c r="N37" s="28">
        <v>1.2</v>
      </c>
    </row>
    <row r="38" spans="1:14" hidden="1" outlineLevel="1" x14ac:dyDescent="0.2">
      <c r="A38" s="9" t="s">
        <v>177</v>
      </c>
      <c r="B38" s="1" t="s">
        <v>178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hidden="1" outlineLevel="1" x14ac:dyDescent="0.2">
      <c r="A39" s="9" t="s">
        <v>181</v>
      </c>
      <c r="B39" s="1" t="s">
        <v>182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0</v>
      </c>
      <c r="N39" s="10">
        <v>0</v>
      </c>
    </row>
    <row r="40" spans="1:14" hidden="1" outlineLevel="1" x14ac:dyDescent="0.2">
      <c r="A40" s="9" t="s">
        <v>183</v>
      </c>
      <c r="B40" s="1" t="s">
        <v>184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</v>
      </c>
      <c r="M40" s="10">
        <v>0</v>
      </c>
      <c r="N40" s="10">
        <v>0</v>
      </c>
    </row>
    <row r="41" spans="1:14" hidden="1" outlineLevel="1" x14ac:dyDescent="0.2">
      <c r="A41" s="9" t="s">
        <v>185</v>
      </c>
      <c r="B41" s="1" t="s">
        <v>186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hidden="1" outlineLevel="1" x14ac:dyDescent="0.2">
      <c r="A42" s="9" t="s">
        <v>187</v>
      </c>
      <c r="B42" s="1" t="s">
        <v>184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hidden="1" outlineLevel="1" x14ac:dyDescent="0.2">
      <c r="A43" s="9" t="s">
        <v>188</v>
      </c>
      <c r="B43" s="1" t="s">
        <v>189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190</v>
      </c>
      <c r="B44" s="1" t="s">
        <v>191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192</v>
      </c>
      <c r="B45" s="1" t="s">
        <v>193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hidden="1" outlineLevel="1" x14ac:dyDescent="0.2">
      <c r="A46" s="9" t="s">
        <v>194</v>
      </c>
      <c r="B46" s="1" t="s">
        <v>195</v>
      </c>
      <c r="C46" s="10">
        <v>0</v>
      </c>
      <c r="D46" s="10">
        <v>0</v>
      </c>
      <c r="E46" s="10">
        <v>0</v>
      </c>
      <c r="F46" s="10">
        <v>0</v>
      </c>
      <c r="G46" s="10">
        <v>0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0">
        <v>0</v>
      </c>
    </row>
    <row r="47" spans="1:14" hidden="1" outlineLevel="1" x14ac:dyDescent="0.2">
      <c r="A47" s="9" t="s">
        <v>198</v>
      </c>
      <c r="B47" s="1" t="s">
        <v>199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collapsed="1" x14ac:dyDescent="0.2">
      <c r="A48" s="48" t="s">
        <v>200</v>
      </c>
      <c r="B48" s="49" t="s">
        <v>201</v>
      </c>
      <c r="C48" s="50">
        <f>SUM(C49:C54)</f>
        <v>0.5</v>
      </c>
      <c r="D48" s="50">
        <f t="shared" ref="D48:N48" si="9">SUM(D49:D54)</f>
        <v>0.5</v>
      </c>
      <c r="E48" s="50">
        <f t="shared" si="9"/>
        <v>0.5</v>
      </c>
      <c r="F48" s="50">
        <f t="shared" si="9"/>
        <v>0.5</v>
      </c>
      <c r="G48" s="50">
        <f t="shared" si="9"/>
        <v>0.5</v>
      </c>
      <c r="H48" s="50">
        <f t="shared" si="9"/>
        <v>0.5</v>
      </c>
      <c r="I48" s="50">
        <f t="shared" si="9"/>
        <v>0.5</v>
      </c>
      <c r="J48" s="50">
        <f t="shared" si="9"/>
        <v>0.5</v>
      </c>
      <c r="K48" s="50">
        <f t="shared" si="9"/>
        <v>0.5</v>
      </c>
      <c r="L48" s="50">
        <f t="shared" si="9"/>
        <v>0.5</v>
      </c>
      <c r="M48" s="50">
        <f t="shared" si="9"/>
        <v>0.5</v>
      </c>
      <c r="N48" s="50">
        <f t="shared" si="9"/>
        <v>0.5</v>
      </c>
    </row>
    <row r="49" spans="1:14" hidden="1" outlineLevel="1" x14ac:dyDescent="0.2">
      <c r="A49" s="9" t="s">
        <v>204</v>
      </c>
      <c r="B49" s="1" t="s">
        <v>205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hidden="1" outlineLevel="1" x14ac:dyDescent="0.2">
      <c r="A50" s="9" t="s">
        <v>206</v>
      </c>
      <c r="B50" s="1" t="s">
        <v>207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hidden="1" outlineLevel="1" x14ac:dyDescent="0.2">
      <c r="A51" s="9" t="s">
        <v>210</v>
      </c>
      <c r="B51" s="1" t="s">
        <v>211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hidden="1" outlineLevel="1" x14ac:dyDescent="0.2">
      <c r="A52" s="9" t="s">
        <v>216</v>
      </c>
      <c r="B52" s="1" t="s">
        <v>217</v>
      </c>
      <c r="C52" s="28">
        <v>0.5</v>
      </c>
      <c r="D52" s="28">
        <v>0.5</v>
      </c>
      <c r="E52" s="28">
        <v>0.5</v>
      </c>
      <c r="F52" s="28">
        <v>0.5</v>
      </c>
      <c r="G52" s="28">
        <v>0.5</v>
      </c>
      <c r="H52" s="28">
        <v>0.5</v>
      </c>
      <c r="I52" s="28">
        <v>0.5</v>
      </c>
      <c r="J52" s="28">
        <v>0.5</v>
      </c>
      <c r="K52" s="28">
        <v>0.5</v>
      </c>
      <c r="L52" s="28">
        <v>0.5</v>
      </c>
      <c r="M52" s="28">
        <v>0.5</v>
      </c>
      <c r="N52" s="28">
        <v>0.5</v>
      </c>
    </row>
    <row r="53" spans="1:14" hidden="1" outlineLevel="1" x14ac:dyDescent="0.2">
      <c r="A53" s="9" t="s">
        <v>218</v>
      </c>
      <c r="B53" s="1" t="s">
        <v>219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hidden="1" outlineLevel="1" x14ac:dyDescent="0.2">
      <c r="A54" s="9" t="s">
        <v>220</v>
      </c>
      <c r="B54" s="1" t="s">
        <v>221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collapsed="1" x14ac:dyDescent="0.2">
      <c r="A55" s="48" t="s">
        <v>226</v>
      </c>
      <c r="B55" s="49" t="s">
        <v>227</v>
      </c>
      <c r="C55" s="50">
        <v>0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50">
        <v>0</v>
      </c>
      <c r="L55" s="50">
        <v>0</v>
      </c>
      <c r="M55" s="50">
        <v>0</v>
      </c>
      <c r="N55" s="50">
        <v>0</v>
      </c>
    </row>
    <row r="56" spans="1:14" x14ac:dyDescent="0.2">
      <c r="A56" s="48" t="s">
        <v>228</v>
      </c>
      <c r="B56" s="49" t="s">
        <v>229</v>
      </c>
      <c r="C56" s="50">
        <v>0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50">
        <v>0</v>
      </c>
      <c r="L56" s="50">
        <v>0</v>
      </c>
      <c r="M56" s="50">
        <v>0</v>
      </c>
      <c r="N56" s="50">
        <v>0</v>
      </c>
    </row>
    <row r="57" spans="1:14" x14ac:dyDescent="0.2">
      <c r="A57" s="48" t="s">
        <v>230</v>
      </c>
      <c r="B57" s="49" t="s">
        <v>231</v>
      </c>
      <c r="C57" s="50">
        <f>+C58</f>
        <v>0</v>
      </c>
      <c r="D57" s="50">
        <f t="shared" ref="D57:N57" si="10">+D58</f>
        <v>1</v>
      </c>
      <c r="E57" s="50">
        <f t="shared" si="10"/>
        <v>2</v>
      </c>
      <c r="F57" s="50">
        <f t="shared" si="10"/>
        <v>3</v>
      </c>
      <c r="G57" s="50">
        <f t="shared" si="10"/>
        <v>4</v>
      </c>
      <c r="H57" s="50">
        <f t="shared" si="10"/>
        <v>5</v>
      </c>
      <c r="I57" s="50">
        <f t="shared" si="10"/>
        <v>6</v>
      </c>
      <c r="J57" s="50">
        <f t="shared" si="10"/>
        <v>7</v>
      </c>
      <c r="K57" s="50">
        <f t="shared" si="10"/>
        <v>8</v>
      </c>
      <c r="L57" s="50">
        <f t="shared" si="10"/>
        <v>9</v>
      </c>
      <c r="M57" s="50">
        <f t="shared" si="10"/>
        <v>10</v>
      </c>
      <c r="N57" s="50">
        <f t="shared" si="10"/>
        <v>11</v>
      </c>
    </row>
    <row r="58" spans="1:14" hidden="1" outlineLevel="1" x14ac:dyDescent="0.2">
      <c r="A58" s="9" t="s">
        <v>234</v>
      </c>
      <c r="B58" s="1" t="s">
        <v>235</v>
      </c>
      <c r="C58" s="10">
        <v>0</v>
      </c>
      <c r="D58" s="10">
        <v>1</v>
      </c>
      <c r="E58" s="10">
        <v>2</v>
      </c>
      <c r="F58" s="10">
        <v>3</v>
      </c>
      <c r="G58" s="10">
        <v>4</v>
      </c>
      <c r="H58" s="10">
        <v>5</v>
      </c>
      <c r="I58" s="10">
        <v>6</v>
      </c>
      <c r="J58" s="10">
        <v>7</v>
      </c>
      <c r="K58" s="10">
        <v>8</v>
      </c>
      <c r="L58" s="10">
        <v>9</v>
      </c>
      <c r="M58" s="10">
        <v>10</v>
      </c>
      <c r="N58" s="10">
        <v>11</v>
      </c>
    </row>
    <row r="59" spans="1:14" collapsed="1" x14ac:dyDescent="0.2">
      <c r="A59" s="52"/>
      <c r="B59" s="52" t="s">
        <v>236</v>
      </c>
      <c r="C59" s="53">
        <f>+C36+C48+C55+C56+C57</f>
        <v>1.7</v>
      </c>
      <c r="D59" s="53">
        <f t="shared" ref="D59:N59" si="11">+D36+D48+D55+D56+D57</f>
        <v>2.7</v>
      </c>
      <c r="E59" s="53">
        <f t="shared" si="11"/>
        <v>3.7</v>
      </c>
      <c r="F59" s="53">
        <f t="shared" si="11"/>
        <v>4.7</v>
      </c>
      <c r="G59" s="53">
        <f t="shared" si="11"/>
        <v>5.7</v>
      </c>
      <c r="H59" s="53">
        <f t="shared" si="11"/>
        <v>6.7</v>
      </c>
      <c r="I59" s="53">
        <f t="shared" si="11"/>
        <v>7.7</v>
      </c>
      <c r="J59" s="53">
        <f t="shared" si="11"/>
        <v>8.6999999999999993</v>
      </c>
      <c r="K59" s="53">
        <f t="shared" si="11"/>
        <v>9.6999999999999993</v>
      </c>
      <c r="L59" s="53">
        <f t="shared" si="11"/>
        <v>10.7</v>
      </c>
      <c r="M59" s="53">
        <f t="shared" si="11"/>
        <v>11.7</v>
      </c>
      <c r="N59" s="53">
        <f t="shared" si="11"/>
        <v>12.7</v>
      </c>
    </row>
    <row r="60" spans="1:14" x14ac:dyDescent="0.2">
      <c r="A60" s="51"/>
      <c r="B60" s="51" t="s">
        <v>237</v>
      </c>
      <c r="C60" s="19">
        <f>+C35-C59</f>
        <v>8.2000000000000011</v>
      </c>
      <c r="D60" s="19">
        <f t="shared" ref="D60:N60" si="12">+D35-D59</f>
        <v>9.1999999999999993</v>
      </c>
      <c r="E60" s="19">
        <f t="shared" si="12"/>
        <v>6.2</v>
      </c>
      <c r="F60" s="19">
        <f t="shared" si="12"/>
        <v>7.2</v>
      </c>
      <c r="G60" s="19">
        <f t="shared" si="12"/>
        <v>3.2</v>
      </c>
      <c r="H60" s="19">
        <f t="shared" si="12"/>
        <v>3.2</v>
      </c>
      <c r="I60" s="19">
        <f t="shared" si="12"/>
        <v>3.2</v>
      </c>
      <c r="J60" s="19">
        <f t="shared" si="12"/>
        <v>1.2000000000000011</v>
      </c>
      <c r="K60" s="19">
        <f t="shared" si="12"/>
        <v>-1.7999999999999989</v>
      </c>
      <c r="L60" s="19">
        <f t="shared" si="12"/>
        <v>-0.79999999999999893</v>
      </c>
      <c r="M60" s="19">
        <f t="shared" si="12"/>
        <v>-0.79999999999999893</v>
      </c>
      <c r="N60" s="19">
        <f t="shared" si="12"/>
        <v>-3.7999999999999989</v>
      </c>
    </row>
    <row r="61" spans="1:14" x14ac:dyDescent="0.2">
      <c r="A61" s="48" t="s">
        <v>238</v>
      </c>
      <c r="B61" s="49" t="s">
        <v>239</v>
      </c>
      <c r="C61" s="50">
        <v>0</v>
      </c>
      <c r="D61" s="50">
        <v>0</v>
      </c>
      <c r="E61" s="50">
        <v>0</v>
      </c>
      <c r="F61" s="50">
        <v>0</v>
      </c>
      <c r="G61" s="50">
        <v>0</v>
      </c>
      <c r="H61" s="50">
        <v>0</v>
      </c>
      <c r="I61" s="50">
        <v>0</v>
      </c>
      <c r="J61" s="50">
        <v>0</v>
      </c>
      <c r="K61" s="50">
        <v>0</v>
      </c>
      <c r="L61" s="50">
        <v>0</v>
      </c>
      <c r="M61" s="50">
        <v>0</v>
      </c>
      <c r="N61" s="50">
        <v>0</v>
      </c>
    </row>
    <row r="62" spans="1:14" x14ac:dyDescent="0.2">
      <c r="A62" s="48" t="s">
        <v>244</v>
      </c>
      <c r="B62" s="49" t="s">
        <v>245</v>
      </c>
      <c r="C62" s="50">
        <v>0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50">
        <v>0</v>
      </c>
      <c r="L62" s="50">
        <v>0</v>
      </c>
      <c r="M62" s="50">
        <v>0</v>
      </c>
      <c r="N62" s="50">
        <v>0</v>
      </c>
    </row>
    <row r="63" spans="1:14" x14ac:dyDescent="0.2">
      <c r="A63" s="51"/>
      <c r="B63" s="51" t="s">
        <v>246</v>
      </c>
      <c r="C63" s="19">
        <f>+C60-(C61+C62)</f>
        <v>8.2000000000000011</v>
      </c>
      <c r="D63" s="19">
        <f t="shared" ref="D63:N63" si="13">+D60-(D61+D62)</f>
        <v>9.1999999999999993</v>
      </c>
      <c r="E63" s="19">
        <f t="shared" si="13"/>
        <v>6.2</v>
      </c>
      <c r="F63" s="19">
        <f t="shared" si="13"/>
        <v>7.2</v>
      </c>
      <c r="G63" s="19">
        <f t="shared" si="13"/>
        <v>3.2</v>
      </c>
      <c r="H63" s="19">
        <f t="shared" si="13"/>
        <v>3.2</v>
      </c>
      <c r="I63" s="19">
        <f t="shared" si="13"/>
        <v>3.2</v>
      </c>
      <c r="J63" s="19">
        <f t="shared" si="13"/>
        <v>1.2000000000000011</v>
      </c>
      <c r="K63" s="19">
        <f t="shared" si="13"/>
        <v>-1.7999999999999989</v>
      </c>
      <c r="L63" s="19">
        <f t="shared" si="13"/>
        <v>-0.79999999999999893</v>
      </c>
      <c r="M63" s="19">
        <f t="shared" si="13"/>
        <v>-0.79999999999999893</v>
      </c>
      <c r="N63" s="19">
        <f t="shared" si="13"/>
        <v>-3.7999999999999989</v>
      </c>
    </row>
    <row r="64" spans="1:14" x14ac:dyDescent="0.2">
      <c r="A64" s="9" t="s">
        <v>74</v>
      </c>
      <c r="B64" s="1" t="s">
        <v>74</v>
      </c>
      <c r="C64" s="13" t="s">
        <v>74</v>
      </c>
      <c r="D64" s="13" t="s">
        <v>74</v>
      </c>
      <c r="E64" s="13" t="s">
        <v>74</v>
      </c>
      <c r="F64" s="13" t="s">
        <v>74</v>
      </c>
      <c r="G64" s="13" t="s">
        <v>74</v>
      </c>
      <c r="H64" s="13" t="s">
        <v>74</v>
      </c>
      <c r="I64" s="13" t="s">
        <v>74</v>
      </c>
      <c r="J64" s="13" t="s">
        <v>74</v>
      </c>
      <c r="K64" s="13" t="s">
        <v>74</v>
      </c>
      <c r="L64" s="13" t="s">
        <v>74</v>
      </c>
      <c r="M64" s="13" t="s">
        <v>74</v>
      </c>
      <c r="N64" s="13" t="s">
        <v>74</v>
      </c>
    </row>
    <row r="65" spans="1:14" x14ac:dyDescent="0.2">
      <c r="A65" s="12"/>
      <c r="B65" s="12" t="s">
        <v>247</v>
      </c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1:14" x14ac:dyDescent="0.2">
      <c r="A66" s="9" t="s">
        <v>248</v>
      </c>
      <c r="B66" s="1" t="s">
        <v>249</v>
      </c>
      <c r="C66" s="13">
        <v>0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">
      <c r="A67" s="9" t="s">
        <v>252</v>
      </c>
      <c r="B67" s="1" t="s">
        <v>253</v>
      </c>
      <c r="C67" s="13">
        <v>0</v>
      </c>
      <c r="D67" s="13">
        <v>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">
      <c r="A68" s="9" t="s">
        <v>256</v>
      </c>
      <c r="B68" s="1" t="s">
        <v>257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260</v>
      </c>
      <c r="B69" s="1" t="s">
        <v>261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264</v>
      </c>
      <c r="B70" s="1" t="s">
        <v>265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268</v>
      </c>
      <c r="B71" s="1" t="s">
        <v>269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9" t="s">
        <v>270</v>
      </c>
      <c r="B72" s="1" t="s">
        <v>271</v>
      </c>
      <c r="C72" s="13">
        <v>0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2">
      <c r="A73" s="9" t="s">
        <v>272</v>
      </c>
      <c r="B73" s="1" t="s">
        <v>273</v>
      </c>
      <c r="C73" s="13">
        <v>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2">
      <c r="A74" s="9" t="s">
        <v>274</v>
      </c>
      <c r="B74" s="1" t="s">
        <v>275</v>
      </c>
      <c r="C74" s="13">
        <v>0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2">
      <c r="A75" s="9" t="s">
        <v>276</v>
      </c>
      <c r="B75" s="1" t="s">
        <v>277</v>
      </c>
      <c r="C75" s="13">
        <v>0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2">
      <c r="A76" s="9" t="s">
        <v>280</v>
      </c>
      <c r="B76" s="1" t="s">
        <v>281</v>
      </c>
      <c r="C76" s="13">
        <v>0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2">
      <c r="A77" s="9" t="s">
        <v>284</v>
      </c>
      <c r="B77" s="1" t="s">
        <v>285</v>
      </c>
      <c r="C77" s="13">
        <v>0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2">
      <c r="A78" s="9" t="s">
        <v>288</v>
      </c>
      <c r="B78" s="1" t="s">
        <v>289</v>
      </c>
      <c r="C78" s="13">
        <v>0</v>
      </c>
      <c r="D78" s="13">
        <v>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2">
      <c r="A79" s="3"/>
      <c r="B79" s="3" t="s">
        <v>290</v>
      </c>
      <c r="C79" s="15" t="s">
        <v>292</v>
      </c>
      <c r="D79" s="15" t="s">
        <v>292</v>
      </c>
      <c r="E79" s="15" t="s">
        <v>292</v>
      </c>
      <c r="F79" s="15" t="s">
        <v>292</v>
      </c>
      <c r="G79" s="15" t="s">
        <v>292</v>
      </c>
      <c r="H79" s="15" t="s">
        <v>292</v>
      </c>
      <c r="I79" s="15" t="s">
        <v>292</v>
      </c>
      <c r="J79" s="15" t="s">
        <v>292</v>
      </c>
      <c r="K79" s="15" t="s">
        <v>292</v>
      </c>
      <c r="L79" s="15" t="s">
        <v>292</v>
      </c>
      <c r="M79" s="15" t="s">
        <v>292</v>
      </c>
      <c r="N79" s="15" t="s">
        <v>292</v>
      </c>
    </row>
    <row r="80" spans="1:14" x14ac:dyDescent="0.2">
      <c r="A80" s="3"/>
      <c r="B80" s="3" t="s">
        <v>291</v>
      </c>
      <c r="C80" s="15" t="s">
        <v>292</v>
      </c>
      <c r="D80" s="15" t="s">
        <v>292</v>
      </c>
      <c r="E80" s="15" t="s">
        <v>292</v>
      </c>
      <c r="F80" s="15" t="s">
        <v>292</v>
      </c>
      <c r="G80" s="15" t="s">
        <v>292</v>
      </c>
      <c r="H80" s="15" t="s">
        <v>292</v>
      </c>
      <c r="I80" s="15" t="s">
        <v>292</v>
      </c>
      <c r="J80" s="15" t="s">
        <v>292</v>
      </c>
      <c r="K80" s="15" t="s">
        <v>292</v>
      </c>
      <c r="L80" s="15" t="s">
        <v>292</v>
      </c>
      <c r="M80" s="15" t="s">
        <v>292</v>
      </c>
      <c r="N80" s="15" t="s">
        <v>292</v>
      </c>
    </row>
    <row r="81" spans="1:14" x14ac:dyDescent="0.2">
      <c r="A81" s="3"/>
      <c r="B81" s="3" t="s">
        <v>293</v>
      </c>
      <c r="C81" s="15" t="s">
        <v>292</v>
      </c>
      <c r="D81" s="15" t="s">
        <v>292</v>
      </c>
      <c r="E81" s="15" t="s">
        <v>292</v>
      </c>
      <c r="F81" s="15" t="s">
        <v>292</v>
      </c>
      <c r="G81" s="15" t="s">
        <v>292</v>
      </c>
      <c r="H81" s="15" t="s">
        <v>292</v>
      </c>
      <c r="I81" s="15" t="s">
        <v>292</v>
      </c>
      <c r="J81" s="15" t="s">
        <v>292</v>
      </c>
      <c r="K81" s="15" t="s">
        <v>292</v>
      </c>
      <c r="L81" s="15" t="s">
        <v>292</v>
      </c>
      <c r="M81" s="15" t="s">
        <v>292</v>
      </c>
      <c r="N81" s="15" t="s">
        <v>292</v>
      </c>
    </row>
    <row r="82" spans="1:14" x14ac:dyDescent="0.2">
      <c r="A82" s="3"/>
      <c r="B82" s="3" t="s">
        <v>294</v>
      </c>
      <c r="C82" s="15" t="s">
        <v>292</v>
      </c>
      <c r="D82" s="15" t="s">
        <v>292</v>
      </c>
      <c r="E82" s="15" t="s">
        <v>292</v>
      </c>
      <c r="F82" s="15" t="s">
        <v>292</v>
      </c>
      <c r="G82" s="15" t="s">
        <v>292</v>
      </c>
      <c r="H82" s="15" t="s">
        <v>292</v>
      </c>
      <c r="I82" s="15" t="s">
        <v>292</v>
      </c>
      <c r="J82" s="15" t="s">
        <v>292</v>
      </c>
      <c r="K82" s="15" t="s">
        <v>292</v>
      </c>
      <c r="L82" s="15" t="s">
        <v>292</v>
      </c>
      <c r="M82" s="15" t="s">
        <v>292</v>
      </c>
      <c r="N82" s="15" t="s">
        <v>292</v>
      </c>
    </row>
    <row r="83" spans="1:14" x14ac:dyDescent="0.2">
      <c r="A83" s="12"/>
      <c r="B83" s="12" t="s">
        <v>295</v>
      </c>
      <c r="C83" s="14" t="s">
        <v>292</v>
      </c>
      <c r="D83" s="14" t="s">
        <v>292</v>
      </c>
      <c r="E83" s="14" t="s">
        <v>292</v>
      </c>
      <c r="F83" s="14" t="s">
        <v>292</v>
      </c>
      <c r="G83" s="14" t="s">
        <v>292</v>
      </c>
      <c r="H83" s="14" t="s">
        <v>292</v>
      </c>
      <c r="I83" s="14" t="s">
        <v>292</v>
      </c>
      <c r="J83" s="14" t="s">
        <v>292</v>
      </c>
      <c r="K83" s="14" t="s">
        <v>292</v>
      </c>
      <c r="L83" s="14" t="s">
        <v>292</v>
      </c>
      <c r="M83" s="14" t="s">
        <v>292</v>
      </c>
      <c r="N83" s="14" t="s">
        <v>292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A5F44-C4F8-4189-9E00-0C1931727483}">
  <sheetPr codeName="Hoja64">
    <tabColor rgb="FF7030A0"/>
  </sheetPr>
  <dimension ref="A1:N155"/>
  <sheetViews>
    <sheetView zoomScaleNormal="100" workbookViewId="0">
      <pane ySplit="6" topLeftCell="A7" activePane="bottomLeft" state="frozen"/>
      <selection activeCell="F65" sqref="F65"/>
      <selection pane="bottomLeft" activeCell="J142" sqref="J142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2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x14ac:dyDescent="0.2">
      <c r="A3" s="2" t="s">
        <v>4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</row>
    <row r="4" spans="1:14" x14ac:dyDescent="0.2">
      <c r="A4" s="5"/>
      <c r="B4" s="5"/>
      <c r="C4" s="5"/>
      <c r="D4" s="5"/>
      <c r="E4" s="5"/>
      <c r="F4" s="5"/>
      <c r="G4" s="6"/>
      <c r="H4" s="5"/>
      <c r="I4" s="5"/>
      <c r="J4" s="5"/>
      <c r="K4" s="5"/>
      <c r="L4" s="5"/>
      <c r="M4" s="6"/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SUM(C8:C12)</f>
        <v>220</v>
      </c>
      <c r="D7" s="50">
        <f t="shared" ref="D7:N7" si="0">SUM(D8:D12)</f>
        <v>262</v>
      </c>
      <c r="E7" s="50">
        <f t="shared" si="0"/>
        <v>244</v>
      </c>
      <c r="F7" s="50">
        <f t="shared" si="0"/>
        <v>256</v>
      </c>
      <c r="G7" s="50">
        <f t="shared" si="0"/>
        <v>223.1</v>
      </c>
      <c r="H7" s="50">
        <f t="shared" si="0"/>
        <v>217</v>
      </c>
      <c r="I7" s="50">
        <f t="shared" si="0"/>
        <v>264</v>
      </c>
      <c r="J7" s="50">
        <f t="shared" si="0"/>
        <v>274</v>
      </c>
      <c r="K7" s="50">
        <f t="shared" si="0"/>
        <v>273</v>
      </c>
      <c r="L7" s="50">
        <f t="shared" si="0"/>
        <v>211</v>
      </c>
      <c r="M7" s="50">
        <f t="shared" si="0"/>
        <v>305</v>
      </c>
      <c r="N7" s="50">
        <f t="shared" si="0"/>
        <v>247</v>
      </c>
    </row>
    <row r="8" spans="1:14" hidden="1" outlineLevel="1" x14ac:dyDescent="0.2">
      <c r="A8" s="9" t="s">
        <v>27</v>
      </c>
      <c r="B8" s="1" t="s">
        <v>28</v>
      </c>
      <c r="C8" s="10">
        <f>IFERROR(VLOOKUP(A8,'Centre DW13'!$A$7:$N$160,3,FALSE),0)+
IFERROR(VLOOKUP(A8,'Centre WR13'!$A$7:$N$160,3,FALSE),0)+
IFERROR(VLOOKUP(A8,'Centre WP13'!$A$7:$N$160,3,FALSE),0)</f>
        <v>0</v>
      </c>
      <c r="D8" s="10">
        <f>IFERROR(VLOOKUP(A8,'Centre DW13'!$A$7:$N$160,4,FALSE),0)+
IFERROR(VLOOKUP(A8,'Centre WR13'!$A$7:$N$160,4,FALSE),0)+
IFERROR(VLOOKUP(A8,'Centre WP13'!$A$7:$N$160,4,FALSE),0)</f>
        <v>0</v>
      </c>
      <c r="E8" s="10">
        <f>IFERROR(VLOOKUP(A8,'Centre DW13'!$A$7:$N$160,5,FALSE),0)+
IFERROR(VLOOKUP(A8,'Centre WR13'!$A$7:$N$160,5,FALSE),0)+
IFERROR(VLOOKUP(A8,'Centre WP13'!$A$7:$N$160,5,FALSE),0)</f>
        <v>0</v>
      </c>
      <c r="F8" s="10">
        <f>IFERROR(VLOOKUP(A8,'Centre DW13'!$A$7:$N$160,6,FALSE),0)+
IFERROR(VLOOKUP(A8,'Centre WR13'!$A$7:$N$160,6,FALSE),0)+
IFERROR(VLOOKUP(A8,'Centre WP13'!$A$7:$N$160,6,FALSE),0)</f>
        <v>0</v>
      </c>
      <c r="G8" s="10">
        <f>IFERROR(VLOOKUP(A8,'Centre DW13'!$A$7:$N$160,7,FALSE),0)+
IFERROR(VLOOKUP(A8,'Centre WR13'!$A$7:$N$160,7,FALSE),0)+
IFERROR(VLOOKUP(A8,'Centre WP13'!$A$7:$N$160,7,FALSE),0)</f>
        <v>0</v>
      </c>
      <c r="H8" s="10">
        <f>IFERROR(VLOOKUP(A8,'Centre DW13'!$A$7:$N$160,8,FALSE),0)+
IFERROR(VLOOKUP(A8,'Centre WR13'!$A$7:$N$160,8,FALSE),0)+
IFERROR(VLOOKUP(A8,'Centre WP13'!$A$7:$N$160,8,FALSE),0)</f>
        <v>0</v>
      </c>
      <c r="I8" s="10">
        <f>IFERROR(VLOOKUP(A8,'Centre DW13'!$A$7:$N$160,9,FALSE),0)+
IFERROR(VLOOKUP(A8,'Centre WR13'!$A$7:$N$160,9,FALSE),0)+
IFERROR(VLOOKUP(A8,'Centre WP13'!$A$7:$N$160,9,FALSE),0)</f>
        <v>0</v>
      </c>
      <c r="J8" s="24">
        <f>IFERROR(VLOOKUP(A8,'Centre DW13'!$A$7:$N$160,10,FALSE),0)+
IFERROR(VLOOKUP(A8,'Centre WR13'!$A$7:$N$160,10,FALSE),0)+
IFERROR(VLOOKUP(A8,'Centre WP13'!$A$7:$N$160,10,FALSE),0)</f>
        <v>0</v>
      </c>
      <c r="K8" s="24">
        <f>IFERROR(VLOOKUP(A8,'Centre DW13'!$A$7:$N$160,11,FALSE),0)+
IFERROR(VLOOKUP(A8,'Centre WR13'!$A$7:$N$160,11,FALSE),0)+
IFERROR(VLOOKUP(A8,'Centre WP13'!$A$7:$N$160,11,FALSE),0)</f>
        <v>0</v>
      </c>
      <c r="L8" s="24">
        <f>IFERROR(VLOOKUP(A8,'Centre DW13'!$A$7:$N$160,12,FALSE),0)+
IFERROR(VLOOKUP(A8,'Centre WR13'!$A$7:$N$160,12,FALSE),0)+
IFERROR(VLOOKUP(A8,'Centre WP13'!$A$7:$N$160,12,FALSE),0)</f>
        <v>0</v>
      </c>
      <c r="M8" s="24">
        <f>IFERROR(VLOOKUP(A8,'Centre DW13'!$A$7:$N$160,13,FALSE),0)+
IFERROR(VLOOKUP(A8,'Centre WR13'!$A$7:$N$160,13,FALSE),0)+
IFERROR(VLOOKUP(A8,'Centre WP13'!$A$7:$N$160,13,FALSE),0)</f>
        <v>0</v>
      </c>
      <c r="N8" s="24">
        <f>IFERROR(VLOOKUP(A8,'Centre DW13'!$A$7:$N$160,14,FALSE),0)+
IFERROR(VLOOKUP(A8,'Centre WR13'!$A$7:$N$160,14,FALSE),0)+
IFERROR(VLOOKUP(A8,'Centre WP13'!$A$7:$N$160,14,FALSE),0)</f>
        <v>0</v>
      </c>
    </row>
    <row r="9" spans="1:14" hidden="1" outlineLevel="1" x14ac:dyDescent="0.2">
      <c r="A9" s="9" t="s">
        <v>29</v>
      </c>
      <c r="B9" s="1" t="s">
        <v>30</v>
      </c>
      <c r="C9" s="10">
        <f>IFERROR(VLOOKUP(A9,'Centre DW13'!$A$7:$N$160,3,FALSE),0)+
IFERROR(VLOOKUP(A9,'Centre WR13'!$A$7:$N$160,3,FALSE),0)+
IFERROR(VLOOKUP(A9,'Centre WP13'!$A$7:$N$160,3,FALSE),0)</f>
        <v>10</v>
      </c>
      <c r="D9" s="10">
        <f>IFERROR(VLOOKUP(A9,'Centre DW13'!$A$7:$N$160,4,FALSE),0)+
IFERROR(VLOOKUP(A9,'Centre WR13'!$A$7:$N$160,4,FALSE),0)+
IFERROR(VLOOKUP(A9,'Centre WP13'!$A$7:$N$160,4,FALSE),0)</f>
        <v>10</v>
      </c>
      <c r="E9" s="10">
        <f>IFERROR(VLOOKUP(A9,'Centre DW13'!$A$7:$N$160,5,FALSE),0)+
IFERROR(VLOOKUP(A9,'Centre WR13'!$A$7:$N$160,5,FALSE),0)+
IFERROR(VLOOKUP(A9,'Centre WP13'!$A$7:$N$160,5,FALSE),0)</f>
        <v>10</v>
      </c>
      <c r="F9" s="10">
        <f>IFERROR(VLOOKUP(A9,'Centre DW13'!$A$7:$N$160,6,FALSE),0)+
IFERROR(VLOOKUP(A9,'Centre WR13'!$A$7:$N$160,6,FALSE),0)+
IFERROR(VLOOKUP(A9,'Centre WP13'!$A$7:$N$160,6,FALSE),0)</f>
        <v>10</v>
      </c>
      <c r="G9" s="10">
        <f>IFERROR(VLOOKUP(A9,'Centre DW13'!$A$7:$N$160,7,FALSE),0)+
IFERROR(VLOOKUP(A9,'Centre WR13'!$A$7:$N$160,7,FALSE),0)+
IFERROR(VLOOKUP(A9,'Centre WP13'!$A$7:$N$160,7,FALSE),0)</f>
        <v>10</v>
      </c>
      <c r="H9" s="10">
        <f>IFERROR(VLOOKUP(A9,'Centre DW13'!$A$7:$N$160,8,FALSE),0)+
IFERROR(VLOOKUP(A9,'Centre WR13'!$A$7:$N$160,8,FALSE),0)+
IFERROR(VLOOKUP(A9,'Centre WP13'!$A$7:$N$160,8,FALSE),0)</f>
        <v>10</v>
      </c>
      <c r="I9" s="10">
        <f>IFERROR(VLOOKUP(A9,'Centre DW13'!$A$7:$N$160,9,FALSE),0)+
IFERROR(VLOOKUP(A9,'Centre WR13'!$A$7:$N$160,9,FALSE),0)+
IFERROR(VLOOKUP(A9,'Centre WP13'!$A$7:$N$160,9,FALSE),0)</f>
        <v>10</v>
      </c>
      <c r="J9" s="24">
        <f>IFERROR(VLOOKUP(A9,'Centre DW13'!$A$7:$N$160,10,FALSE),0)+
IFERROR(VLOOKUP(A9,'Centre WR13'!$A$7:$N$160,10,FALSE),0)+
IFERROR(VLOOKUP(A9,'Centre WP13'!$A$7:$N$160,10,FALSE),0)</f>
        <v>10</v>
      </c>
      <c r="K9" s="24">
        <f>IFERROR(VLOOKUP(A9,'Centre DW13'!$A$7:$N$160,11,FALSE),0)+
IFERROR(VLOOKUP(A9,'Centre WR13'!$A$7:$N$160,11,FALSE),0)+
IFERROR(VLOOKUP(A9,'Centre WP13'!$A$7:$N$160,11,FALSE),0)</f>
        <v>10</v>
      </c>
      <c r="L9" s="24">
        <f>IFERROR(VLOOKUP(A9,'Centre DW13'!$A$7:$N$160,12,FALSE),0)+
IFERROR(VLOOKUP(A9,'Centre WR13'!$A$7:$N$160,12,FALSE),0)+
IFERROR(VLOOKUP(A9,'Centre WP13'!$A$7:$N$160,12,FALSE),0)</f>
        <v>10</v>
      </c>
      <c r="M9" s="24">
        <f>IFERROR(VLOOKUP(A9,'Centre DW13'!$A$7:$N$160,13,FALSE),0)+
IFERROR(VLOOKUP(A9,'Centre WR13'!$A$7:$N$160,13,FALSE),0)+
IFERROR(VLOOKUP(A9,'Centre WP13'!$A$7:$N$160,13,FALSE),0)</f>
        <v>10</v>
      </c>
      <c r="N9" s="24">
        <f>IFERROR(VLOOKUP(A9,'Centre DW13'!$A$7:$N$160,14,FALSE),0)+
IFERROR(VLOOKUP(A9,'Centre WR13'!$A$7:$N$160,14,FALSE),0)+
IFERROR(VLOOKUP(A9,'Centre WP13'!$A$7:$N$160,14,FALSE),0)</f>
        <v>20</v>
      </c>
    </row>
    <row r="10" spans="1:14" hidden="1" outlineLevel="1" x14ac:dyDescent="0.2">
      <c r="A10" s="9" t="s">
        <v>31</v>
      </c>
      <c r="B10" s="1" t="s">
        <v>32</v>
      </c>
      <c r="C10" s="10">
        <f>IFERROR(VLOOKUP(A10,'Centre DW13'!$A$7:$N$160,3,FALSE),0)+
IFERROR(VLOOKUP(A10,'Centre WR13'!$A$7:$N$160,3,FALSE),0)+
IFERROR(VLOOKUP(A10,'Centre WP13'!$A$7:$N$160,3,FALSE),0)</f>
        <v>0</v>
      </c>
      <c r="D10" s="10">
        <f>IFERROR(VLOOKUP(A10,'Centre DW13'!$A$7:$N$160,4,FALSE),0)+
IFERROR(VLOOKUP(A10,'Centre WR13'!$A$7:$N$160,4,FALSE),0)+
IFERROR(VLOOKUP(A10,'Centre WP13'!$A$7:$N$160,4,FALSE),0)</f>
        <v>0</v>
      </c>
      <c r="E10" s="10">
        <f>IFERROR(VLOOKUP(A10,'Centre DW13'!$A$7:$N$160,5,FALSE),0)+
IFERROR(VLOOKUP(A10,'Centre WR13'!$A$7:$N$160,5,FALSE),0)+
IFERROR(VLOOKUP(A10,'Centre WP13'!$A$7:$N$160,5,FALSE),0)</f>
        <v>0</v>
      </c>
      <c r="F10" s="10">
        <f>IFERROR(VLOOKUP(A10,'Centre DW13'!$A$7:$N$160,6,FALSE),0)+
IFERROR(VLOOKUP(A10,'Centre WR13'!$A$7:$N$160,6,FALSE),0)+
IFERROR(VLOOKUP(A10,'Centre WP13'!$A$7:$N$160,6,FALSE),0)</f>
        <v>0</v>
      </c>
      <c r="G10" s="10">
        <f>IFERROR(VLOOKUP(A10,'Centre DW13'!$A$7:$N$160,7,FALSE),0)+
IFERROR(VLOOKUP(A10,'Centre WR13'!$A$7:$N$160,7,FALSE),0)+
IFERROR(VLOOKUP(A10,'Centre WP13'!$A$7:$N$160,7,FALSE),0)</f>
        <v>0</v>
      </c>
      <c r="H10" s="10">
        <f>IFERROR(VLOOKUP(A10,'Centre DW13'!$A$7:$N$160,8,FALSE),0)+
IFERROR(VLOOKUP(A10,'Centre WR13'!$A$7:$N$160,8,FALSE),0)+
IFERROR(VLOOKUP(A10,'Centre WP13'!$A$7:$N$160,8,FALSE),0)</f>
        <v>29</v>
      </c>
      <c r="I10" s="10">
        <f>IFERROR(VLOOKUP(A10,'Centre DW13'!$A$7:$N$160,9,FALSE),0)+
IFERROR(VLOOKUP(A10,'Centre WR13'!$A$7:$N$160,9,FALSE),0)+
IFERROR(VLOOKUP(A10,'Centre WP13'!$A$7:$N$160,9,FALSE),0)</f>
        <v>42</v>
      </c>
      <c r="J10" s="24">
        <f>IFERROR(VLOOKUP(A10,'Centre DW13'!$A$7:$N$160,10,FALSE),0)+
IFERROR(VLOOKUP(A10,'Centre WR13'!$A$7:$N$160,10,FALSE),0)+
IFERROR(VLOOKUP(A10,'Centre WP13'!$A$7:$N$160,10,FALSE),0)</f>
        <v>0</v>
      </c>
      <c r="K10" s="24">
        <f>IFERROR(VLOOKUP(A10,'Centre DW13'!$A$7:$N$160,11,FALSE),0)+
IFERROR(VLOOKUP(A10,'Centre WR13'!$A$7:$N$160,11,FALSE),0)+
IFERROR(VLOOKUP(A10,'Centre WP13'!$A$7:$N$160,11,FALSE),0)</f>
        <v>0</v>
      </c>
      <c r="L10" s="24">
        <f>IFERROR(VLOOKUP(A10,'Centre DW13'!$A$7:$N$160,12,FALSE),0)+
IFERROR(VLOOKUP(A10,'Centre WR13'!$A$7:$N$160,12,FALSE),0)+
IFERROR(VLOOKUP(A10,'Centre WP13'!$A$7:$N$160,12,FALSE),0)</f>
        <v>0</v>
      </c>
      <c r="M10" s="24">
        <f>IFERROR(VLOOKUP(A10,'Centre DW13'!$A$7:$N$160,13,FALSE),0)+
IFERROR(VLOOKUP(A10,'Centre WR13'!$A$7:$N$160,13,FALSE),0)+
IFERROR(VLOOKUP(A10,'Centre WP13'!$A$7:$N$160,13,FALSE),0)</f>
        <v>0</v>
      </c>
      <c r="N10" s="24">
        <f>IFERROR(VLOOKUP(A10,'Centre DW13'!$A$7:$N$160,14,FALSE),0)+
IFERROR(VLOOKUP(A10,'Centre WR13'!$A$7:$N$160,14,FALSE),0)+
IFERROR(VLOOKUP(A10,'Centre WP13'!$A$7:$N$160,14,FALSE),0)</f>
        <v>0</v>
      </c>
    </row>
    <row r="11" spans="1:14" hidden="1" outlineLevel="1" x14ac:dyDescent="0.2">
      <c r="A11" s="9" t="s">
        <v>33</v>
      </c>
      <c r="B11" s="1" t="s">
        <v>34</v>
      </c>
      <c r="C11" s="10">
        <f>IFERROR(VLOOKUP(A11,'Centre DW13'!$A$7:$N$160,3,FALSE),0)+
IFERROR(VLOOKUP(A11,'Centre WR13'!$A$7:$N$160,3,FALSE),0)+
IFERROR(VLOOKUP(A11,'Centre WP13'!$A$7:$N$160,3,FALSE),0)</f>
        <v>210</v>
      </c>
      <c r="D11" s="10">
        <f>IFERROR(VLOOKUP(A11,'Centre DW13'!$A$7:$N$160,4,FALSE),0)+
IFERROR(VLOOKUP(A11,'Centre WR13'!$A$7:$N$160,4,FALSE),0)+
IFERROR(VLOOKUP(A11,'Centre WP13'!$A$7:$N$160,4,FALSE),0)</f>
        <v>252</v>
      </c>
      <c r="E11" s="10">
        <f>IFERROR(VLOOKUP(A11,'Centre DW13'!$A$7:$N$160,5,FALSE),0)+
IFERROR(VLOOKUP(A11,'Centre WR13'!$A$7:$N$160,5,FALSE),0)+
IFERROR(VLOOKUP(A11,'Centre WP13'!$A$7:$N$160,5,FALSE),0)</f>
        <v>234</v>
      </c>
      <c r="F11" s="10">
        <f>IFERROR(VLOOKUP(A11,'Centre DW13'!$A$7:$N$160,6,FALSE),0)+
IFERROR(VLOOKUP(A11,'Centre WR13'!$A$7:$N$160,6,FALSE),0)+
IFERROR(VLOOKUP(A11,'Centre WP13'!$A$7:$N$160,6,FALSE),0)</f>
        <v>246</v>
      </c>
      <c r="G11" s="10">
        <f>IFERROR(VLOOKUP(A11,'Centre DW13'!$A$7:$N$160,7,FALSE),0)+
IFERROR(VLOOKUP(A11,'Centre WR13'!$A$7:$N$160,7,FALSE),0)+
IFERROR(VLOOKUP(A11,'Centre WP13'!$A$7:$N$160,7,FALSE),0)</f>
        <v>213.1</v>
      </c>
      <c r="H11" s="10">
        <f>IFERROR(VLOOKUP(A11,'Centre DW13'!$A$7:$N$160,8,FALSE),0)+
IFERROR(VLOOKUP(A11,'Centre WR13'!$A$7:$N$160,8,FALSE),0)+
IFERROR(VLOOKUP(A11,'Centre WP13'!$A$7:$N$160,8,FALSE),0)</f>
        <v>178</v>
      </c>
      <c r="I11" s="10">
        <f>IFERROR(VLOOKUP(A11,'Centre DW13'!$A$7:$N$160,9,FALSE),0)+
IFERROR(VLOOKUP(A11,'Centre WR13'!$A$7:$N$160,9,FALSE),0)+
IFERROR(VLOOKUP(A11,'Centre WP13'!$A$7:$N$160,9,FALSE),0)</f>
        <v>212</v>
      </c>
      <c r="J11" s="24">
        <f>IFERROR(VLOOKUP(A11,'Centre DW13'!$A$7:$N$160,10,FALSE),0)+
IFERROR(VLOOKUP(A11,'Centre WR13'!$A$7:$N$160,10,FALSE),0)+
IFERROR(VLOOKUP(A11,'Centre WP13'!$A$7:$N$160,10,FALSE),0)</f>
        <v>264</v>
      </c>
      <c r="K11" s="24">
        <f>IFERROR(VLOOKUP(A11,'Centre DW13'!$A$7:$N$160,11,FALSE),0)+
IFERROR(VLOOKUP(A11,'Centre WR13'!$A$7:$N$160,11,FALSE),0)+
IFERROR(VLOOKUP(A11,'Centre WP13'!$A$7:$N$160,11,FALSE),0)</f>
        <v>263</v>
      </c>
      <c r="L11" s="24">
        <f>IFERROR(VLOOKUP(A11,'Centre DW13'!$A$7:$N$160,12,FALSE),0)+
IFERROR(VLOOKUP(A11,'Centre WR13'!$A$7:$N$160,12,FALSE),0)+
IFERROR(VLOOKUP(A11,'Centre WP13'!$A$7:$N$160,12,FALSE),0)</f>
        <v>201</v>
      </c>
      <c r="M11" s="24">
        <f>IFERROR(VLOOKUP(A11,'Centre DW13'!$A$7:$N$160,13,FALSE),0)+
IFERROR(VLOOKUP(A11,'Centre WR13'!$A$7:$N$160,13,FALSE),0)+
IFERROR(VLOOKUP(A11,'Centre WP13'!$A$7:$N$160,13,FALSE),0)</f>
        <v>295</v>
      </c>
      <c r="N11" s="24">
        <f>IFERROR(VLOOKUP(A11,'Centre DW13'!$A$7:$N$160,14,FALSE),0)+
IFERROR(VLOOKUP(A11,'Centre WR13'!$A$7:$N$160,14,FALSE),0)+
IFERROR(VLOOKUP(A11,'Centre WP13'!$A$7:$N$160,14,FALSE),0)</f>
        <v>227</v>
      </c>
    </row>
    <row r="12" spans="1:14" hidden="1" outlineLevel="1" x14ac:dyDescent="0.2">
      <c r="A12" s="9" t="s">
        <v>35</v>
      </c>
      <c r="B12" s="1" t="s">
        <v>36</v>
      </c>
      <c r="C12" s="10">
        <f>IFERROR(VLOOKUP(A12,'Centre DW13'!$A$7:$N$160,3,FALSE),0)+
IFERROR(VLOOKUP(A12,'Centre WR13'!$A$7:$N$160,3,FALSE),0)+
IFERROR(VLOOKUP(A12,'Centre WP13'!$A$7:$N$160,3,FALSE),0)</f>
        <v>0</v>
      </c>
      <c r="D12" s="10">
        <f>IFERROR(VLOOKUP(A12,'Centre DW13'!$A$7:$N$160,4,FALSE),0)+
IFERROR(VLOOKUP(A12,'Centre WR13'!$A$7:$N$160,4,FALSE),0)+
IFERROR(VLOOKUP(A12,'Centre WP13'!$A$7:$N$160,4,FALSE),0)</f>
        <v>0</v>
      </c>
      <c r="E12" s="10">
        <f>IFERROR(VLOOKUP(A12,'Centre DW13'!$A$7:$N$160,5,FALSE),0)+
IFERROR(VLOOKUP(A12,'Centre WR13'!$A$7:$N$160,5,FALSE),0)+
IFERROR(VLOOKUP(A12,'Centre WP13'!$A$7:$N$160,5,FALSE),0)</f>
        <v>0</v>
      </c>
      <c r="F12" s="10">
        <f>IFERROR(VLOOKUP(A12,'Centre DW13'!$A$7:$N$160,6,FALSE),0)+
IFERROR(VLOOKUP(A12,'Centre WR13'!$A$7:$N$160,6,FALSE),0)+
IFERROR(VLOOKUP(A12,'Centre WP13'!$A$7:$N$160,6,FALSE),0)</f>
        <v>0</v>
      </c>
      <c r="G12" s="10">
        <f>IFERROR(VLOOKUP(A12,'Centre DW13'!$A$7:$N$160,7,FALSE),0)+
IFERROR(VLOOKUP(A12,'Centre WR13'!$A$7:$N$160,7,FALSE),0)+
IFERROR(VLOOKUP(A12,'Centre WP13'!$A$7:$N$160,7,FALSE),0)</f>
        <v>0</v>
      </c>
      <c r="H12" s="10">
        <f>IFERROR(VLOOKUP(A12,'Centre DW13'!$A$7:$N$160,8,FALSE),0)+
IFERROR(VLOOKUP(A12,'Centre WR13'!$A$7:$N$160,8,FALSE),0)+
IFERROR(VLOOKUP(A12,'Centre WP13'!$A$7:$N$160,8,FALSE),0)</f>
        <v>0</v>
      </c>
      <c r="I12" s="10">
        <f>IFERROR(VLOOKUP(A12,'Centre DW13'!$A$7:$N$160,9,FALSE),0)+
IFERROR(VLOOKUP(A12,'Centre WR13'!$A$7:$N$160,9,FALSE),0)+
IFERROR(VLOOKUP(A12,'Centre WP13'!$A$7:$N$160,9,FALSE),0)</f>
        <v>0</v>
      </c>
      <c r="J12" s="24">
        <f>IFERROR(VLOOKUP(A12,'Centre DW13'!$A$7:$N$160,10,FALSE),0)+
IFERROR(VLOOKUP(A12,'Centre WR13'!$A$7:$N$160,10,FALSE),0)+
IFERROR(VLOOKUP(A12,'Centre WP13'!$A$7:$N$160,10,FALSE),0)</f>
        <v>0</v>
      </c>
      <c r="K12" s="24">
        <f>IFERROR(VLOOKUP(A12,'Centre DW13'!$A$7:$N$160,11,FALSE),0)+
IFERROR(VLOOKUP(A12,'Centre WR13'!$A$7:$N$160,11,FALSE),0)+
IFERROR(VLOOKUP(A12,'Centre WP13'!$A$7:$N$160,11,FALSE),0)</f>
        <v>0</v>
      </c>
      <c r="L12" s="24">
        <f>IFERROR(VLOOKUP(A12,'Centre DW13'!$A$7:$N$160,12,FALSE),0)+
IFERROR(VLOOKUP(A12,'Centre WR13'!$A$7:$N$160,12,FALSE),0)+
IFERROR(VLOOKUP(A12,'Centre WP13'!$A$7:$N$160,12,FALSE),0)</f>
        <v>0</v>
      </c>
      <c r="M12" s="24">
        <f>IFERROR(VLOOKUP(A12,'Centre DW13'!$A$7:$N$160,13,FALSE),0)+
IFERROR(VLOOKUP(A12,'Centre WR13'!$A$7:$N$160,13,FALSE),0)+
IFERROR(VLOOKUP(A12,'Centre WP13'!$A$7:$N$160,13,FALSE),0)</f>
        <v>0</v>
      </c>
      <c r="N12" s="24">
        <f>IFERROR(VLOOKUP(A12,'Centre DW13'!$A$7:$N$160,14,FALSE),0)+
IFERROR(VLOOKUP(A12,'Centre WR13'!$A$7:$N$160,14,FALSE),0)+
IFERROR(VLOOKUP(A12,'Centre WP13'!$A$7:$N$160,14,FALSE),0)</f>
        <v>0</v>
      </c>
    </row>
    <row r="13" spans="1:14" collapsed="1" x14ac:dyDescent="0.2">
      <c r="A13" s="48" t="s">
        <v>37</v>
      </c>
      <c r="B13" s="49" t="s">
        <v>38</v>
      </c>
      <c r="C13" s="50">
        <f>IFERROR(VLOOKUP(A13,'Centre DW13'!$A$7:$N$160,3,FALSE),0)+
IFERROR(VLOOKUP(A13,'Centre WR13'!$A$7:$N$160,3,FALSE),0)+
IFERROR(VLOOKUP(A13,'Centre WP13'!$A$7:$N$160,3,FALSE),0)</f>
        <v>0</v>
      </c>
      <c r="D13" s="50">
        <f>IFERROR(VLOOKUP(A13,'Centre DW13'!$A$7:$N$160,4,FALSE),0)+
IFERROR(VLOOKUP(A13,'Centre WR13'!$A$7:$N$160,4,FALSE),0)+
IFERROR(VLOOKUP(A13,'Centre WP13'!$A$7:$N$160,4,FALSE),0)</f>
        <v>0</v>
      </c>
      <c r="E13" s="50">
        <f>IFERROR(VLOOKUP(A13,'Centre DW13'!$A$7:$N$160,5,FALSE),0)+
IFERROR(VLOOKUP(A13,'Centre WR13'!$A$7:$N$160,5,FALSE),0)+
IFERROR(VLOOKUP(A13,'Centre WP13'!$A$7:$N$160,5,FALSE),0)</f>
        <v>0</v>
      </c>
      <c r="F13" s="50">
        <f>IFERROR(VLOOKUP(A13,'Centre DW13'!$A$7:$N$160,6,FALSE),0)+
IFERROR(VLOOKUP(A13,'Centre WR13'!$A$7:$N$160,6,FALSE),0)+
IFERROR(VLOOKUP(A13,'Centre WP13'!$A$7:$N$160,6,FALSE),0)</f>
        <v>0</v>
      </c>
      <c r="G13" s="50">
        <f>IFERROR(VLOOKUP(A13,'Centre DW13'!$A$7:$N$160,7,FALSE),0)+
IFERROR(VLOOKUP(A13,'Centre WR13'!$A$7:$N$160,7,FALSE),0)+
IFERROR(VLOOKUP(A13,'Centre WP13'!$A$7:$N$160,7,FALSE),0)</f>
        <v>0</v>
      </c>
      <c r="H13" s="50">
        <f>IFERROR(VLOOKUP(A13,'Centre DW13'!$A$7:$N$160,8,FALSE),0)+
IFERROR(VLOOKUP(A13,'Centre WR13'!$A$7:$N$160,8,FALSE),0)+
IFERROR(VLOOKUP(A13,'Centre WP13'!$A$7:$N$160,8,FALSE),0)</f>
        <v>0</v>
      </c>
      <c r="I13" s="50">
        <f>IFERROR(VLOOKUP(A13,'Centre DW13'!$A$7:$N$160,9,FALSE),0)+
IFERROR(VLOOKUP(A13,'Centre WR13'!$A$7:$N$160,9,FALSE),0)+
IFERROR(VLOOKUP(A13,'Centre WP13'!$A$7:$N$160,9,FALSE),0)</f>
        <v>0</v>
      </c>
      <c r="J13" s="50">
        <f>IFERROR(VLOOKUP(A13,'Centre DW13'!$A$7:$N$160,10,FALSE),0)+
IFERROR(VLOOKUP(A13,'Centre WR13'!$A$7:$N$160,10,FALSE),0)+
IFERROR(VLOOKUP(A13,'Centre WP13'!$A$7:$N$160,10,FALSE),0)</f>
        <v>0</v>
      </c>
      <c r="K13" s="50">
        <f>IFERROR(VLOOKUP(A13,'Centre DW13'!$A$7:$N$160,11,FALSE),0)+
IFERROR(VLOOKUP(A13,'Centre WR13'!$A$7:$N$160,11,FALSE),0)+
IFERROR(VLOOKUP(A13,'Centre WP13'!$A$7:$N$160,11,FALSE),0)</f>
        <v>0</v>
      </c>
      <c r="L13" s="50">
        <f>IFERROR(VLOOKUP(A13,'Centre DW13'!$A$7:$N$160,12,FALSE),0)+
IFERROR(VLOOKUP(A13,'Centre WR13'!$A$7:$N$160,12,FALSE),0)+
IFERROR(VLOOKUP(A13,'Centre WP13'!$A$7:$N$160,12,FALSE),0)</f>
        <v>0</v>
      </c>
      <c r="M13" s="50">
        <f>IFERROR(VLOOKUP(A13,'Centre DW13'!$A$7:$N$160,13,FALSE),0)+
IFERROR(VLOOKUP(A13,'Centre WR13'!$A$7:$N$160,13,FALSE),0)+
IFERROR(VLOOKUP(A13,'Centre WP13'!$A$7:$N$160,13,FALSE),0)</f>
        <v>0</v>
      </c>
      <c r="N13" s="50">
        <f>IFERROR(VLOOKUP(A13,'Centre DW13'!$A$7:$N$160,14,FALSE),0)+
IFERROR(VLOOKUP(A13,'Centre WR13'!$A$7:$N$160,14,FALSE),0)+
IFERROR(VLOOKUP(A13,'Centre WP13'!$A$7:$N$160,14,FALSE),0)</f>
        <v>0</v>
      </c>
    </row>
    <row r="14" spans="1:14" x14ac:dyDescent="0.2">
      <c r="A14" s="48" t="s">
        <v>39</v>
      </c>
      <c r="B14" s="49" t="s">
        <v>40</v>
      </c>
      <c r="C14" s="50">
        <f>IFERROR(VLOOKUP(A14,'Centre DW13'!$A$7:$N$160,3,FALSE),0)+
IFERROR(VLOOKUP(A14,'Centre WR13'!$A$7:$N$160,3,FALSE),0)+
IFERROR(VLOOKUP(A14,'Centre WP13'!$A$7:$N$160,3,FALSE),0)</f>
        <v>0</v>
      </c>
      <c r="D14" s="50">
        <f>IFERROR(VLOOKUP(A14,'Centre DW13'!$A$7:$N$160,4,FALSE),0)+
IFERROR(VLOOKUP(A14,'Centre WR13'!$A$7:$N$160,4,FALSE),0)+
IFERROR(VLOOKUP(A14,'Centre WP13'!$A$7:$N$160,4,FALSE),0)</f>
        <v>0</v>
      </c>
      <c r="E14" s="50">
        <f>IFERROR(VLOOKUP(A14,'Centre DW13'!$A$7:$N$160,5,FALSE),0)+
IFERROR(VLOOKUP(A14,'Centre WR13'!$A$7:$N$160,5,FALSE),0)+
IFERROR(VLOOKUP(A14,'Centre WP13'!$A$7:$N$160,5,FALSE),0)</f>
        <v>0</v>
      </c>
      <c r="F14" s="50">
        <f>IFERROR(VLOOKUP(A14,'Centre DW13'!$A$7:$N$160,6,FALSE),0)+
IFERROR(VLOOKUP(A14,'Centre WR13'!$A$7:$N$160,6,FALSE),0)+
IFERROR(VLOOKUP(A14,'Centre WP13'!$A$7:$N$160,6,FALSE),0)</f>
        <v>0</v>
      </c>
      <c r="G14" s="50">
        <f>IFERROR(VLOOKUP(A14,'Centre DW13'!$A$7:$N$160,7,FALSE),0)+
IFERROR(VLOOKUP(A14,'Centre WR13'!$A$7:$N$160,7,FALSE),0)+
IFERROR(VLOOKUP(A14,'Centre WP13'!$A$7:$N$160,7,FALSE),0)</f>
        <v>0</v>
      </c>
      <c r="H14" s="50">
        <f>IFERROR(VLOOKUP(A14,'Centre DW13'!$A$7:$N$160,8,FALSE),0)+
IFERROR(VLOOKUP(A14,'Centre WR13'!$A$7:$N$160,8,FALSE),0)+
IFERROR(VLOOKUP(A14,'Centre WP13'!$A$7:$N$160,8,FALSE),0)</f>
        <v>0</v>
      </c>
      <c r="I14" s="50">
        <f>IFERROR(VLOOKUP(A14,'Centre DW13'!$A$7:$N$160,9,FALSE),0)+
IFERROR(VLOOKUP(A14,'Centre WR13'!$A$7:$N$160,9,FALSE),0)+
IFERROR(VLOOKUP(A14,'Centre WP13'!$A$7:$N$160,9,FALSE),0)</f>
        <v>0</v>
      </c>
      <c r="J14" s="50">
        <f>IFERROR(VLOOKUP(A14,'Centre DW13'!$A$7:$N$160,10,FALSE),0)+
IFERROR(VLOOKUP(A14,'Centre WR13'!$A$7:$N$160,10,FALSE),0)+
IFERROR(VLOOKUP(A14,'Centre WP13'!$A$7:$N$160,10,FALSE),0)</f>
        <v>0</v>
      </c>
      <c r="K14" s="50">
        <f>IFERROR(VLOOKUP(A14,'Centre DW13'!$A$7:$N$160,11,FALSE),0)+
IFERROR(VLOOKUP(A14,'Centre WR13'!$A$7:$N$160,11,FALSE),0)+
IFERROR(VLOOKUP(A14,'Centre WP13'!$A$7:$N$160,11,FALSE),0)</f>
        <v>0</v>
      </c>
      <c r="L14" s="50">
        <f>IFERROR(VLOOKUP(A14,'Centre DW13'!$A$7:$N$160,12,FALSE),0)+
IFERROR(VLOOKUP(A14,'Centre WR13'!$A$7:$N$160,12,FALSE),0)+
IFERROR(VLOOKUP(A14,'Centre WP13'!$A$7:$N$160,12,FALSE),0)</f>
        <v>0</v>
      </c>
      <c r="M14" s="50">
        <f>IFERROR(VLOOKUP(A14,'Centre DW13'!$A$7:$N$160,13,FALSE),0)+
IFERROR(VLOOKUP(A14,'Centre WR13'!$A$7:$N$160,13,FALSE),0)+
IFERROR(VLOOKUP(A14,'Centre WP13'!$A$7:$N$160,13,FALSE),0)</f>
        <v>0</v>
      </c>
      <c r="N14" s="50">
        <f>IFERROR(VLOOKUP(A14,'Centre DW13'!$A$7:$N$160,14,FALSE),0)+
IFERROR(VLOOKUP(A14,'Centre WR13'!$A$7:$N$160,14,FALSE),0)+
IFERROR(VLOOKUP(A14,'Centre WP13'!$A$7:$N$160,14,FALSE),0)</f>
        <v>0</v>
      </c>
    </row>
    <row r="15" spans="1:14" x14ac:dyDescent="0.2">
      <c r="A15" s="48" t="s">
        <v>41</v>
      </c>
      <c r="B15" s="49" t="s">
        <v>42</v>
      </c>
      <c r="C15" s="50">
        <f>+C16</f>
        <v>0.2</v>
      </c>
      <c r="D15" s="50">
        <f t="shared" ref="D15:N15" si="1">+D16</f>
        <v>0.2</v>
      </c>
      <c r="E15" s="50">
        <f t="shared" si="1"/>
        <v>0.2</v>
      </c>
      <c r="F15" s="50">
        <f t="shared" si="1"/>
        <v>0.2</v>
      </c>
      <c r="G15" s="50">
        <f t="shared" si="1"/>
        <v>0.2</v>
      </c>
      <c r="H15" s="50">
        <f t="shared" si="1"/>
        <v>0.2</v>
      </c>
      <c r="I15" s="50">
        <f t="shared" si="1"/>
        <v>0.2</v>
      </c>
      <c r="J15" s="50">
        <f t="shared" si="1"/>
        <v>0</v>
      </c>
      <c r="K15" s="50">
        <f t="shared" si="1"/>
        <v>0</v>
      </c>
      <c r="L15" s="50">
        <f t="shared" si="1"/>
        <v>0</v>
      </c>
      <c r="M15" s="50">
        <f t="shared" si="1"/>
        <v>0</v>
      </c>
      <c r="N15" s="50">
        <f t="shared" si="1"/>
        <v>0</v>
      </c>
    </row>
    <row r="16" spans="1:14" hidden="1" outlineLevel="1" x14ac:dyDescent="0.2">
      <c r="A16" s="9" t="s">
        <v>43</v>
      </c>
      <c r="B16" s="1" t="s">
        <v>44</v>
      </c>
      <c r="C16" s="10">
        <f>IFERROR(VLOOKUP(A16,'Centre DW13'!$A$7:$N$160,3,FALSE),0)+
IFERROR(VLOOKUP(A16,'Centre WR13'!$A$7:$N$160,3,FALSE),0)+
IFERROR(VLOOKUP(A16,'Centre WP13'!$A$7:$N$160,3,FALSE),0)</f>
        <v>0.2</v>
      </c>
      <c r="D16" s="10">
        <f>IFERROR(VLOOKUP(A16,'Centre DW13'!$A$7:$N$160,4,FALSE),0)+
IFERROR(VLOOKUP(A16,'Centre WR13'!$A$7:$N$160,4,FALSE),0)+
IFERROR(VLOOKUP(A16,'Centre WP13'!$A$7:$N$160,4,FALSE),0)</f>
        <v>0.2</v>
      </c>
      <c r="E16" s="10">
        <f>IFERROR(VLOOKUP(A16,'Centre DW13'!$A$7:$N$160,5,FALSE),0)+
IFERROR(VLOOKUP(A16,'Centre WR13'!$A$7:$N$160,5,FALSE),0)+
IFERROR(VLOOKUP(A16,'Centre WP13'!$A$7:$N$160,5,FALSE),0)</f>
        <v>0.2</v>
      </c>
      <c r="F16" s="10">
        <f>IFERROR(VLOOKUP(A16,'Centre DW13'!$A$7:$N$160,6,FALSE),0)+
IFERROR(VLOOKUP(A16,'Centre WR13'!$A$7:$N$160,6,FALSE),0)+
IFERROR(VLOOKUP(A16,'Centre WP13'!$A$7:$N$160,6,FALSE),0)</f>
        <v>0.2</v>
      </c>
      <c r="G16" s="10">
        <f>IFERROR(VLOOKUP(A16,'Centre DW13'!$A$7:$N$160,7,FALSE),0)+
IFERROR(VLOOKUP(A16,'Centre WR13'!$A$7:$N$160,7,FALSE),0)+
IFERROR(VLOOKUP(A16,'Centre WP13'!$A$7:$N$160,7,FALSE),0)</f>
        <v>0.2</v>
      </c>
      <c r="H16" s="10">
        <f>IFERROR(VLOOKUP(A16,'Centre DW13'!$A$7:$N$160,8,FALSE),0)+
IFERROR(VLOOKUP(A16,'Centre WR13'!$A$7:$N$160,8,FALSE),0)+
IFERROR(VLOOKUP(A16,'Centre WP13'!$A$7:$N$160,8,FALSE),0)</f>
        <v>0.2</v>
      </c>
      <c r="I16" s="10">
        <f>IFERROR(VLOOKUP(A16,'Centre DW13'!$A$7:$N$160,9,FALSE),0)+
IFERROR(VLOOKUP(A16,'Centre WR13'!$A$7:$N$160,9,FALSE),0)+
IFERROR(VLOOKUP(A16,'Centre WP13'!$A$7:$N$160,9,FALSE),0)</f>
        <v>0.2</v>
      </c>
      <c r="J16" s="10">
        <f>IFERROR(VLOOKUP(A16,'Centre DW13'!$A$7:$N$160,10,FALSE),0)+
IFERROR(VLOOKUP(A16,'Centre WR13'!$A$7:$N$160,10,FALSE),0)+
IFERROR(VLOOKUP(A16,'Centre WP13'!$A$7:$N$160,10,FALSE),0)</f>
        <v>0</v>
      </c>
      <c r="K16" s="10">
        <f>IFERROR(VLOOKUP(A16,'Centre DW13'!$A$7:$N$160,11,FALSE),0)+
IFERROR(VLOOKUP(A16,'Centre WR13'!$A$7:$N$160,11,FALSE),0)+
IFERROR(VLOOKUP(A16,'Centre WP13'!$A$7:$N$160,11,FALSE),0)</f>
        <v>0</v>
      </c>
      <c r="L16" s="10">
        <f>IFERROR(VLOOKUP(A16,'Centre DW13'!$A$7:$N$160,12,FALSE),0)+
IFERROR(VLOOKUP(A16,'Centre WR13'!$A$7:$N$160,12,FALSE),0)+
IFERROR(VLOOKUP(A16,'Centre WP13'!$A$7:$N$160,12,FALSE),0)</f>
        <v>0</v>
      </c>
      <c r="M16" s="10">
        <f>IFERROR(VLOOKUP(A16,'Centre DW13'!$A$7:$N$160,13,FALSE),0)+
IFERROR(VLOOKUP(A16,'Centre WR13'!$A$7:$N$160,13,FALSE),0)+
IFERROR(VLOOKUP(A16,'Centre WP13'!$A$7:$N$160,13,FALSE),0)</f>
        <v>0</v>
      </c>
      <c r="N16" s="10">
        <f>IFERROR(VLOOKUP(A16,'Centre DW13'!$A$7:$N$160,14,FALSE),0)+
IFERROR(VLOOKUP(A16,'Centre WR13'!$A$7:$N$160,14,FALSE),0)+
IFERROR(VLOOKUP(A16,'Centre WP13'!$A$7:$N$160,14,FALSE),0)</f>
        <v>0</v>
      </c>
    </row>
    <row r="17" spans="1:14" collapsed="1" x14ac:dyDescent="0.2">
      <c r="A17" s="48" t="s">
        <v>45</v>
      </c>
      <c r="B17" s="49" t="s">
        <v>46</v>
      </c>
      <c r="C17" s="50">
        <f>IFERROR(VLOOKUP(A17,'Centre DW13'!$A$7:$N$160,3,FALSE),0)+
IFERROR(VLOOKUP(A17,'Centre WR13'!$A$7:$N$160,3,FALSE),0)+
IFERROR(VLOOKUP(A17,'Centre WP13'!$A$7:$N$160,3,FALSE),0)</f>
        <v>0.2</v>
      </c>
      <c r="D17" s="50">
        <f>IFERROR(VLOOKUP(A17,'Centre DW13'!$A$7:$N$160,4,FALSE),0)+
IFERROR(VLOOKUP(A17,'Centre WR13'!$A$7:$N$160,4,FALSE),0)+
IFERROR(VLOOKUP(A17,'Centre WP13'!$A$7:$N$160,4,FALSE),0)</f>
        <v>0.2</v>
      </c>
      <c r="E17" s="50">
        <f>IFERROR(VLOOKUP(A17,'Centre DW13'!$A$7:$N$160,5,FALSE),0)+
IFERROR(VLOOKUP(A17,'Centre WR13'!$A$7:$N$160,5,FALSE),0)+
IFERROR(VLOOKUP(A17,'Centre WP13'!$A$7:$N$160,5,FALSE),0)</f>
        <v>0.2</v>
      </c>
      <c r="F17" s="50">
        <f>IFERROR(VLOOKUP(A17,'Centre DW13'!$A$7:$N$160,6,FALSE),0)+
IFERROR(VLOOKUP(A17,'Centre WR13'!$A$7:$N$160,6,FALSE),0)+
IFERROR(VLOOKUP(A17,'Centre WP13'!$A$7:$N$160,6,FALSE),0)</f>
        <v>0.2</v>
      </c>
      <c r="G17" s="50">
        <f>IFERROR(VLOOKUP(A17,'Centre DW13'!$A$7:$N$160,7,FALSE),0)+
IFERROR(VLOOKUP(A17,'Centre WR13'!$A$7:$N$160,7,FALSE),0)+
IFERROR(VLOOKUP(A17,'Centre WP13'!$A$7:$N$160,7,FALSE),0)</f>
        <v>0.2</v>
      </c>
      <c r="H17" s="50">
        <f>IFERROR(VLOOKUP(A17,'Centre DW13'!$A$7:$N$160,8,FALSE),0)+
IFERROR(VLOOKUP(A17,'Centre WR13'!$A$7:$N$160,8,FALSE),0)+
IFERROR(VLOOKUP(A17,'Centre WP13'!$A$7:$N$160,8,FALSE),0)</f>
        <v>0.2</v>
      </c>
      <c r="I17" s="50">
        <f>IFERROR(VLOOKUP(A17,'Centre DW13'!$A$7:$N$160,9,FALSE),0)+
IFERROR(VLOOKUP(A17,'Centre WR13'!$A$7:$N$160,9,FALSE),0)+
IFERROR(VLOOKUP(A17,'Centre WP13'!$A$7:$N$160,9,FALSE),0)</f>
        <v>0.2</v>
      </c>
      <c r="J17" s="50">
        <f>IFERROR(VLOOKUP(A17,'Centre DW13'!$A$7:$N$160,10,FALSE),0)+
IFERROR(VLOOKUP(A17,'Centre WR13'!$A$7:$N$160,10,FALSE),0)+
IFERROR(VLOOKUP(A17,'Centre WP13'!$A$7:$N$160,10,FALSE),0)</f>
        <v>0</v>
      </c>
      <c r="K17" s="50">
        <f>IFERROR(VLOOKUP(A17,'Centre DW13'!$A$7:$N$160,11,FALSE),0)+
IFERROR(VLOOKUP(A17,'Centre WR13'!$A$7:$N$160,11,FALSE),0)+
IFERROR(VLOOKUP(A17,'Centre WP13'!$A$7:$N$160,11,FALSE),0)</f>
        <v>0</v>
      </c>
      <c r="L17" s="50">
        <f>IFERROR(VLOOKUP(A17,'Centre DW13'!$A$7:$N$160,12,FALSE),0)+
IFERROR(VLOOKUP(A17,'Centre WR13'!$A$7:$N$160,12,FALSE),0)+
IFERROR(VLOOKUP(A17,'Centre WP13'!$A$7:$N$160,12,FALSE),0)</f>
        <v>0</v>
      </c>
      <c r="M17" s="50">
        <f>IFERROR(VLOOKUP(A17,'Centre DW13'!$A$7:$N$160,13,FALSE),0)+
IFERROR(VLOOKUP(A17,'Centre WR13'!$A$7:$N$160,13,FALSE),0)+
IFERROR(VLOOKUP(A17,'Centre WP13'!$A$7:$N$160,13,FALSE),0)</f>
        <v>0</v>
      </c>
      <c r="N17" s="50">
        <f>IFERROR(VLOOKUP(A17,'Centre DW13'!$A$7:$N$160,14,FALSE),0)+
IFERROR(VLOOKUP(A17,'Centre WR13'!$A$7:$N$160,14,FALSE),0)+
IFERROR(VLOOKUP(A17,'Centre WP13'!$A$7:$N$160,14,FALSE),0)</f>
        <v>0</v>
      </c>
    </row>
    <row r="18" spans="1:14" x14ac:dyDescent="0.2">
      <c r="A18" s="51"/>
      <c r="B18" s="51" t="s">
        <v>47</v>
      </c>
      <c r="C18" s="19">
        <f t="shared" ref="C18:N18" si="2">+C7+C13+C14+C15+C17</f>
        <v>220.39999999999998</v>
      </c>
      <c r="D18" s="19">
        <f t="shared" si="2"/>
        <v>262.39999999999998</v>
      </c>
      <c r="E18" s="19">
        <f t="shared" si="2"/>
        <v>244.39999999999998</v>
      </c>
      <c r="F18" s="19">
        <f t="shared" si="2"/>
        <v>256.39999999999998</v>
      </c>
      <c r="G18" s="19">
        <f t="shared" si="2"/>
        <v>223.49999999999997</v>
      </c>
      <c r="H18" s="19">
        <f t="shared" si="2"/>
        <v>217.39999999999998</v>
      </c>
      <c r="I18" s="19">
        <f t="shared" si="2"/>
        <v>264.39999999999998</v>
      </c>
      <c r="J18" s="19">
        <f t="shared" si="2"/>
        <v>274</v>
      </c>
      <c r="K18" s="19">
        <f t="shared" si="2"/>
        <v>273</v>
      </c>
      <c r="L18" s="19">
        <f t="shared" si="2"/>
        <v>211</v>
      </c>
      <c r="M18" s="19">
        <f t="shared" si="2"/>
        <v>305</v>
      </c>
      <c r="N18" s="19">
        <f t="shared" si="2"/>
        <v>247</v>
      </c>
    </row>
    <row r="19" spans="1:14" x14ac:dyDescent="0.2">
      <c r="A19" s="48" t="s">
        <v>48</v>
      </c>
      <c r="B19" s="49" t="s">
        <v>49</v>
      </c>
      <c r="C19" s="50">
        <f>SUM(C20:C23)</f>
        <v>33.299999999999997</v>
      </c>
      <c r="D19" s="50">
        <f t="shared" ref="D19:N19" si="3">SUM(D20:D23)</f>
        <v>49</v>
      </c>
      <c r="E19" s="50">
        <f t="shared" si="3"/>
        <v>53</v>
      </c>
      <c r="F19" s="50">
        <f t="shared" si="3"/>
        <v>38</v>
      </c>
      <c r="G19" s="50">
        <f t="shared" si="3"/>
        <v>55</v>
      </c>
      <c r="H19" s="50">
        <f t="shared" si="3"/>
        <v>69.900000000000006</v>
      </c>
      <c r="I19" s="50">
        <f t="shared" si="3"/>
        <v>49.8</v>
      </c>
      <c r="J19" s="50">
        <f t="shared" si="3"/>
        <v>46</v>
      </c>
      <c r="K19" s="50">
        <f t="shared" si="3"/>
        <v>65.900000000000006</v>
      </c>
      <c r="L19" s="50">
        <f t="shared" si="3"/>
        <v>52.8</v>
      </c>
      <c r="M19" s="50">
        <f t="shared" si="3"/>
        <v>37</v>
      </c>
      <c r="N19" s="50">
        <f t="shared" si="3"/>
        <v>56</v>
      </c>
    </row>
    <row r="20" spans="1:14" hidden="1" outlineLevel="1" x14ac:dyDescent="0.2">
      <c r="A20" s="9" t="s">
        <v>54</v>
      </c>
      <c r="B20" s="1" t="s">
        <v>55</v>
      </c>
      <c r="C20" s="10">
        <f>IFERROR(VLOOKUP(A20,'Centre DW13'!$A$7:$N$160,3,FALSE),0)+
IFERROR(VLOOKUP(A20,'Centre WR13'!$A$7:$N$160,3,FALSE),0)+
IFERROR(VLOOKUP(A20,'Centre WP13'!$A$7:$N$160,3,FALSE),0)</f>
        <v>0</v>
      </c>
      <c r="D20" s="10">
        <f>IFERROR(VLOOKUP(A20,'Centre DW13'!$A$7:$N$160,4,FALSE),0)+
IFERROR(VLOOKUP(A20,'Centre WR13'!$A$7:$N$160,4,FALSE),0)+
IFERROR(VLOOKUP(A20,'Centre WP13'!$A$7:$N$160,4,FALSE),0)</f>
        <v>0</v>
      </c>
      <c r="E20" s="10">
        <f>IFERROR(VLOOKUP(A20,'Centre DW13'!$A$7:$N$160,5,FALSE),0)+
IFERROR(VLOOKUP(A20,'Centre WR13'!$A$7:$N$160,5,FALSE),0)+
IFERROR(VLOOKUP(A20,'Centre WP13'!$A$7:$N$160,5,FALSE),0)</f>
        <v>0</v>
      </c>
      <c r="F20" s="10">
        <f>IFERROR(VLOOKUP(A20,'Centre DW13'!$A$7:$N$160,6,FALSE),0)+
IFERROR(VLOOKUP(A20,'Centre WR13'!$A$7:$N$160,6,FALSE),0)+
IFERROR(VLOOKUP(A20,'Centre WP13'!$A$7:$N$160,6,FALSE),0)</f>
        <v>0</v>
      </c>
      <c r="G20" s="10">
        <f>IFERROR(VLOOKUP(A20,'Centre DW13'!$A$7:$N$160,7,FALSE),0)+
IFERROR(VLOOKUP(A20,'Centre WR13'!$A$7:$N$160,7,FALSE),0)+
IFERROR(VLOOKUP(A20,'Centre WP13'!$A$7:$N$160,7,FALSE),0)</f>
        <v>0</v>
      </c>
      <c r="H20" s="10">
        <f>IFERROR(VLOOKUP(A20,'Centre DW13'!$A$7:$N$160,8,FALSE),0)+
IFERROR(VLOOKUP(A20,'Centre WR13'!$A$7:$N$160,8,FALSE),0)+
IFERROR(VLOOKUP(A20,'Centre WP13'!$A$7:$N$160,8,FALSE),0)</f>
        <v>14.9</v>
      </c>
      <c r="I20" s="10">
        <f>IFERROR(VLOOKUP(A20,'Centre DW13'!$A$7:$N$160,9,FALSE),0)+
IFERROR(VLOOKUP(A20,'Centre WR13'!$A$7:$N$160,9,FALSE),0)+
IFERROR(VLOOKUP(A20,'Centre WP13'!$A$7:$N$160,9,FALSE),0)</f>
        <v>9.8000000000000007</v>
      </c>
      <c r="J20" s="24">
        <f>IFERROR(VLOOKUP(A20,'Centre DW13'!$A$7:$N$160,10,FALSE),0)+
IFERROR(VLOOKUP(A20,'Centre WR13'!$A$7:$N$160,10,FALSE),0)+
IFERROR(VLOOKUP(A20,'Centre WP13'!$A$7:$N$160,10,FALSE),0)</f>
        <v>0</v>
      </c>
      <c r="K20" s="24">
        <f>IFERROR(VLOOKUP(A20,'Centre DW13'!$A$7:$N$160,11,FALSE),0)+
IFERROR(VLOOKUP(A20,'Centre WR13'!$A$7:$N$160,11,FALSE),0)+
IFERROR(VLOOKUP(A20,'Centre WP13'!$A$7:$N$160,11,FALSE),0)</f>
        <v>14.9</v>
      </c>
      <c r="L20" s="24">
        <f>IFERROR(VLOOKUP(A20,'Centre DW13'!$A$7:$N$160,12,FALSE),0)+
IFERROR(VLOOKUP(A20,'Centre WR13'!$A$7:$N$160,12,FALSE),0)+
IFERROR(VLOOKUP(A20,'Centre WP13'!$A$7:$N$160,12,FALSE),0)</f>
        <v>9.8000000000000007</v>
      </c>
      <c r="M20" s="24">
        <f>IFERROR(VLOOKUP(A20,'Centre DW13'!$A$7:$N$160,13,FALSE),0)+
IFERROR(VLOOKUP(A20,'Centre WR13'!$A$7:$N$160,13,FALSE),0)+
IFERROR(VLOOKUP(A20,'Centre WP13'!$A$7:$N$160,13,FALSE),0)</f>
        <v>0</v>
      </c>
      <c r="N20" s="24">
        <f>IFERROR(VLOOKUP(A20,'Centre DW13'!$A$7:$N$160,14,FALSE),0)+
IFERROR(VLOOKUP(A20,'Centre WR13'!$A$7:$N$160,14,FALSE),0)+
IFERROR(VLOOKUP(A20,'Centre WP13'!$A$7:$N$160,14,FALSE),0)</f>
        <v>0</v>
      </c>
    </row>
    <row r="21" spans="1:14" hidden="1" outlineLevel="1" x14ac:dyDescent="0.2">
      <c r="A21" s="9" t="s">
        <v>56</v>
      </c>
      <c r="B21" s="1" t="s">
        <v>51</v>
      </c>
      <c r="C21" s="10">
        <f>IFERROR(VLOOKUP(A21,'Centre DW13'!$A$7:$N$160,3,FALSE),0)+
IFERROR(VLOOKUP(A21,'Centre WR13'!$A$7:$N$160,3,FALSE),0)+
IFERROR(VLOOKUP(A21,'Centre WP13'!$A$7:$N$160,3,FALSE),0)</f>
        <v>35</v>
      </c>
      <c r="D21" s="10">
        <f>IFERROR(VLOOKUP(A21,'Centre DW13'!$A$7:$N$160,4,FALSE),0)+
IFERROR(VLOOKUP(A21,'Centre WR13'!$A$7:$N$160,4,FALSE),0)+
IFERROR(VLOOKUP(A21,'Centre WP13'!$A$7:$N$160,4,FALSE),0)</f>
        <v>49</v>
      </c>
      <c r="E21" s="10">
        <f>IFERROR(VLOOKUP(A21,'Centre DW13'!$A$7:$N$160,5,FALSE),0)+
IFERROR(VLOOKUP(A21,'Centre WR13'!$A$7:$N$160,5,FALSE),0)+
IFERROR(VLOOKUP(A21,'Centre WP13'!$A$7:$N$160,5,FALSE),0)</f>
        <v>53</v>
      </c>
      <c r="F21" s="10">
        <f>IFERROR(VLOOKUP(A21,'Centre DW13'!$A$7:$N$160,6,FALSE),0)+
IFERROR(VLOOKUP(A21,'Centre WR13'!$A$7:$N$160,6,FALSE),0)+
IFERROR(VLOOKUP(A21,'Centre WP13'!$A$7:$N$160,6,FALSE),0)</f>
        <v>38</v>
      </c>
      <c r="G21" s="10">
        <f>IFERROR(VLOOKUP(A21,'Centre DW13'!$A$7:$N$160,7,FALSE),0)+
IFERROR(VLOOKUP(A21,'Centre WR13'!$A$7:$N$160,7,FALSE),0)+
IFERROR(VLOOKUP(A21,'Centre WP13'!$A$7:$N$160,7,FALSE),0)</f>
        <v>55</v>
      </c>
      <c r="H21" s="10">
        <f>IFERROR(VLOOKUP(A21,'Centre DW13'!$A$7:$N$160,8,FALSE),0)+
IFERROR(VLOOKUP(A21,'Centre WR13'!$A$7:$N$160,8,FALSE),0)+
IFERROR(VLOOKUP(A21,'Centre WP13'!$A$7:$N$160,8,FALSE),0)</f>
        <v>55</v>
      </c>
      <c r="I21" s="10">
        <f>IFERROR(VLOOKUP(A21,'Centre DW13'!$A$7:$N$160,9,FALSE),0)+
IFERROR(VLOOKUP(A21,'Centre WR13'!$A$7:$N$160,9,FALSE),0)+
IFERROR(VLOOKUP(A21,'Centre WP13'!$A$7:$N$160,9,FALSE),0)</f>
        <v>40</v>
      </c>
      <c r="J21" s="24">
        <f>IFERROR(VLOOKUP(A21,'Centre DW13'!$A$7:$N$160,10,FALSE),0)+
IFERROR(VLOOKUP(A21,'Centre WR13'!$A$7:$N$160,10,FALSE),0)+
IFERROR(VLOOKUP(A21,'Centre WP13'!$A$7:$N$160,10,FALSE),0)</f>
        <v>46</v>
      </c>
      <c r="K21" s="24">
        <f>IFERROR(VLOOKUP(A21,'Centre DW13'!$A$7:$N$160,11,FALSE),0)+
IFERROR(VLOOKUP(A21,'Centre WR13'!$A$7:$N$160,11,FALSE),0)+
IFERROR(VLOOKUP(A21,'Centre WP13'!$A$7:$N$160,11,FALSE),0)</f>
        <v>51</v>
      </c>
      <c r="L21" s="24">
        <f>IFERROR(VLOOKUP(A21,'Centre DW13'!$A$7:$N$160,12,FALSE),0)+
IFERROR(VLOOKUP(A21,'Centre WR13'!$A$7:$N$160,12,FALSE),0)+
IFERROR(VLOOKUP(A21,'Centre WP13'!$A$7:$N$160,12,FALSE),0)</f>
        <v>43</v>
      </c>
      <c r="M21" s="24">
        <f>IFERROR(VLOOKUP(A21,'Centre DW13'!$A$7:$N$160,13,FALSE),0)+
IFERROR(VLOOKUP(A21,'Centre WR13'!$A$7:$N$160,13,FALSE),0)+
IFERROR(VLOOKUP(A21,'Centre WP13'!$A$7:$N$160,13,FALSE),0)</f>
        <v>37</v>
      </c>
      <c r="N21" s="24">
        <f>IFERROR(VLOOKUP(A21,'Centre DW13'!$A$7:$N$160,14,FALSE),0)+
IFERROR(VLOOKUP(A21,'Centre WR13'!$A$7:$N$160,14,FALSE),0)+
IFERROR(VLOOKUP(A21,'Centre WP13'!$A$7:$N$160,14,FALSE),0)</f>
        <v>56</v>
      </c>
    </row>
    <row r="22" spans="1:14" hidden="1" outlineLevel="1" x14ac:dyDescent="0.2">
      <c r="A22" s="9" t="s">
        <v>57</v>
      </c>
      <c r="B22" s="1" t="s">
        <v>58</v>
      </c>
      <c r="C22" s="10">
        <f>IFERROR(VLOOKUP(A22,'Centre DW13'!$A$7:$N$160,3,FALSE),0)+
IFERROR(VLOOKUP(A22,'Centre WR13'!$A$7:$N$160,3,FALSE),0)+
IFERROR(VLOOKUP(A22,'Centre WP13'!$A$7:$N$160,3,FALSE),0)</f>
        <v>-1.7</v>
      </c>
      <c r="D22" s="10">
        <f>IFERROR(VLOOKUP(A22,'Centre DW13'!$A$7:$N$160,4,FALSE),0)+
IFERROR(VLOOKUP(A22,'Centre WR13'!$A$7:$N$160,4,FALSE),0)+
IFERROR(VLOOKUP(A22,'Centre WP13'!$A$7:$N$160,4,FALSE),0)</f>
        <v>0</v>
      </c>
      <c r="E22" s="10">
        <f>IFERROR(VLOOKUP(A22,'Centre DW13'!$A$7:$N$160,5,FALSE),0)+
IFERROR(VLOOKUP(A22,'Centre WR13'!$A$7:$N$160,5,FALSE),0)+
IFERROR(VLOOKUP(A22,'Centre WP13'!$A$7:$N$160,5,FALSE),0)</f>
        <v>0</v>
      </c>
      <c r="F22" s="10">
        <f>IFERROR(VLOOKUP(A22,'Centre DW13'!$A$7:$N$160,6,FALSE),0)+
IFERROR(VLOOKUP(A22,'Centre WR13'!$A$7:$N$160,6,FALSE),0)+
IFERROR(VLOOKUP(A22,'Centre WP13'!$A$7:$N$160,6,FALSE),0)</f>
        <v>0</v>
      </c>
      <c r="G22" s="10">
        <f>IFERROR(VLOOKUP(A22,'Centre DW13'!$A$7:$N$160,7,FALSE),0)+
IFERROR(VLOOKUP(A22,'Centre WR13'!$A$7:$N$160,7,FALSE),0)+
IFERROR(VLOOKUP(A22,'Centre WP13'!$A$7:$N$160,7,FALSE),0)</f>
        <v>0</v>
      </c>
      <c r="H22" s="10">
        <f>IFERROR(VLOOKUP(A22,'Centre DW13'!$A$7:$N$160,8,FALSE),0)+
IFERROR(VLOOKUP(A22,'Centre WR13'!$A$7:$N$160,8,FALSE),0)+
IFERROR(VLOOKUP(A22,'Centre WP13'!$A$7:$N$160,8,FALSE),0)</f>
        <v>0</v>
      </c>
      <c r="I22" s="10">
        <f>IFERROR(VLOOKUP(A22,'Centre DW13'!$A$7:$N$160,9,FALSE),0)+
IFERROR(VLOOKUP(A22,'Centre WR13'!$A$7:$N$160,9,FALSE),0)+
IFERROR(VLOOKUP(A22,'Centre WP13'!$A$7:$N$160,9,FALSE),0)</f>
        <v>0</v>
      </c>
      <c r="J22" s="24">
        <f>IFERROR(VLOOKUP(A22,'Centre DW13'!$A$7:$N$160,10,FALSE),0)+
IFERROR(VLOOKUP(A22,'Centre WR13'!$A$7:$N$160,10,FALSE),0)+
IFERROR(VLOOKUP(A22,'Centre WP13'!$A$7:$N$160,10,FALSE),0)</f>
        <v>0</v>
      </c>
      <c r="K22" s="24">
        <f>IFERROR(VLOOKUP(A22,'Centre DW13'!$A$7:$N$160,11,FALSE),0)+
IFERROR(VLOOKUP(A22,'Centre WR13'!$A$7:$N$160,11,FALSE),0)+
IFERROR(VLOOKUP(A22,'Centre WP13'!$A$7:$N$160,11,FALSE),0)</f>
        <v>0</v>
      </c>
      <c r="L22" s="24">
        <f>IFERROR(VLOOKUP(A22,'Centre DW13'!$A$7:$N$160,12,FALSE),0)+
IFERROR(VLOOKUP(A22,'Centre WR13'!$A$7:$N$160,12,FALSE),0)+
IFERROR(VLOOKUP(A22,'Centre WP13'!$A$7:$N$160,12,FALSE),0)</f>
        <v>0</v>
      </c>
      <c r="M22" s="24">
        <f>IFERROR(VLOOKUP(A22,'Centre DW13'!$A$7:$N$160,13,FALSE),0)+
IFERROR(VLOOKUP(A22,'Centre WR13'!$A$7:$N$160,13,FALSE),0)+
IFERROR(VLOOKUP(A22,'Centre WP13'!$A$7:$N$160,13,FALSE),0)</f>
        <v>0</v>
      </c>
      <c r="N22" s="24">
        <f>IFERROR(VLOOKUP(A22,'Centre DW13'!$A$7:$N$160,14,FALSE),0)+
IFERROR(VLOOKUP(A22,'Centre WR13'!$A$7:$N$160,14,FALSE),0)+
IFERROR(VLOOKUP(A22,'Centre WP13'!$A$7:$N$160,14,FALSE),0)</f>
        <v>0</v>
      </c>
    </row>
    <row r="23" spans="1:14" hidden="1" outlineLevel="1" x14ac:dyDescent="0.2">
      <c r="A23" s="9" t="s">
        <v>59</v>
      </c>
      <c r="B23" s="1" t="s">
        <v>53</v>
      </c>
      <c r="C23" s="10">
        <f>IFERROR(VLOOKUP(A23,'Centre DW13'!$A$7:$N$160,3,FALSE),0)+
IFERROR(VLOOKUP(A23,'Centre WR13'!$A$7:$N$160,3,FALSE),0)+
IFERROR(VLOOKUP(A23,'Centre WP13'!$A$7:$N$160,3,FALSE),0)</f>
        <v>0</v>
      </c>
      <c r="D23" s="10">
        <f>IFERROR(VLOOKUP(A23,'Centre DW13'!$A$7:$N$160,4,FALSE),0)+
IFERROR(VLOOKUP(A23,'Centre WR13'!$A$7:$N$160,4,FALSE),0)+
IFERROR(VLOOKUP(A23,'Centre WP13'!$A$7:$N$160,4,FALSE),0)</f>
        <v>0</v>
      </c>
      <c r="E23" s="10">
        <f>IFERROR(VLOOKUP(A23,'Centre DW13'!$A$7:$N$160,5,FALSE),0)+
IFERROR(VLOOKUP(A23,'Centre WR13'!$A$7:$N$160,5,FALSE),0)+
IFERROR(VLOOKUP(A23,'Centre WP13'!$A$7:$N$160,5,FALSE),0)</f>
        <v>0</v>
      </c>
      <c r="F23" s="10">
        <f>IFERROR(VLOOKUP(A23,'Centre DW13'!$A$7:$N$160,6,FALSE),0)+
IFERROR(VLOOKUP(A23,'Centre WR13'!$A$7:$N$160,6,FALSE),0)+
IFERROR(VLOOKUP(A23,'Centre WP13'!$A$7:$N$160,6,FALSE),0)</f>
        <v>0</v>
      </c>
      <c r="G23" s="10">
        <f>IFERROR(VLOOKUP(A23,'Centre DW13'!$A$7:$N$160,7,FALSE),0)+
IFERROR(VLOOKUP(A23,'Centre WR13'!$A$7:$N$160,7,FALSE),0)+
IFERROR(VLOOKUP(A23,'Centre WP13'!$A$7:$N$160,7,FALSE),0)</f>
        <v>0</v>
      </c>
      <c r="H23" s="10">
        <f>IFERROR(VLOOKUP(A23,'Centre DW13'!$A$7:$N$160,8,FALSE),0)+
IFERROR(VLOOKUP(A23,'Centre WR13'!$A$7:$N$160,8,FALSE),0)+
IFERROR(VLOOKUP(A23,'Centre WP13'!$A$7:$N$160,8,FALSE),0)</f>
        <v>0</v>
      </c>
      <c r="I23" s="10">
        <f>IFERROR(VLOOKUP(A23,'Centre DW13'!$A$7:$N$160,9,FALSE),0)+
IFERROR(VLOOKUP(A23,'Centre WR13'!$A$7:$N$160,9,FALSE),0)+
IFERROR(VLOOKUP(A23,'Centre WP13'!$A$7:$N$160,9,FALSE),0)</f>
        <v>0</v>
      </c>
      <c r="J23" s="24">
        <f>IFERROR(VLOOKUP(A23,'Centre DW13'!$A$7:$N$160,10,FALSE),0)+
IFERROR(VLOOKUP(A23,'Centre WR13'!$A$7:$N$160,10,FALSE),0)+
IFERROR(VLOOKUP(A23,'Centre WP13'!$A$7:$N$160,10,FALSE),0)</f>
        <v>0</v>
      </c>
      <c r="K23" s="24">
        <f>IFERROR(VLOOKUP(A23,'Centre DW13'!$A$7:$N$160,11,FALSE),0)+
IFERROR(VLOOKUP(A23,'Centre WR13'!$A$7:$N$160,11,FALSE),0)+
IFERROR(VLOOKUP(A23,'Centre WP13'!$A$7:$N$160,11,FALSE),0)</f>
        <v>0</v>
      </c>
      <c r="L23" s="24">
        <f>IFERROR(VLOOKUP(A23,'Centre DW13'!$A$7:$N$160,12,FALSE),0)+
IFERROR(VLOOKUP(A23,'Centre WR13'!$A$7:$N$160,12,FALSE),0)+
IFERROR(VLOOKUP(A23,'Centre WP13'!$A$7:$N$160,12,FALSE),0)</f>
        <v>0</v>
      </c>
      <c r="M23" s="24">
        <f>IFERROR(VLOOKUP(A23,'Centre DW13'!$A$7:$N$160,13,FALSE),0)+
IFERROR(VLOOKUP(A23,'Centre WR13'!$A$7:$N$160,13,FALSE),0)+
IFERROR(VLOOKUP(A23,'Centre WP13'!$A$7:$N$160,13,FALSE),0)</f>
        <v>0</v>
      </c>
      <c r="N23" s="24">
        <f>IFERROR(VLOOKUP(A23,'Centre DW13'!$A$7:$N$160,14,FALSE),0)+
IFERROR(VLOOKUP(A23,'Centre WR13'!$A$7:$N$160,14,FALSE),0)+
IFERROR(VLOOKUP(A23,'Centre WP13'!$A$7:$N$160,14,FALSE),0)</f>
        <v>0</v>
      </c>
    </row>
    <row r="24" spans="1:14" collapsed="1" x14ac:dyDescent="0.2">
      <c r="A24" s="48" t="s">
        <v>60</v>
      </c>
      <c r="B24" s="49" t="s">
        <v>61</v>
      </c>
      <c r="C24" s="50">
        <f>IFERROR(VLOOKUP(A24,'Centre DW13'!$A$7:$N$160,3,FALSE),0)+
IFERROR(VLOOKUP(A24,'Centre WR13'!$A$7:$N$160,3,FALSE),0)+
IFERROR(VLOOKUP(A24,'Centre WP13'!$A$7:$N$160,3,FALSE),0)</f>
        <v>0</v>
      </c>
      <c r="D24" s="50">
        <f>IFERROR(VLOOKUP(A24,'Centre DW13'!$A$7:$N$160,4,FALSE),0)+
IFERROR(VLOOKUP(A24,'Centre WR13'!$A$7:$N$160,4,FALSE),0)+
IFERROR(VLOOKUP(A24,'Centre WP13'!$A$7:$N$160,4,FALSE),0)</f>
        <v>0</v>
      </c>
      <c r="E24" s="50">
        <f>IFERROR(VLOOKUP(A24,'Centre DW13'!$A$7:$N$160,5,FALSE),0)+
IFERROR(VLOOKUP(A24,'Centre WR13'!$A$7:$N$160,5,FALSE),0)+
IFERROR(VLOOKUP(A24,'Centre WP13'!$A$7:$N$160,5,FALSE),0)</f>
        <v>0</v>
      </c>
      <c r="F24" s="50">
        <f>IFERROR(VLOOKUP(A24,'Centre DW13'!$A$7:$N$160,6,FALSE),0)+
IFERROR(VLOOKUP(A24,'Centre WR13'!$A$7:$N$160,6,FALSE),0)+
IFERROR(VLOOKUP(A24,'Centre WP13'!$A$7:$N$160,6,FALSE),0)</f>
        <v>0</v>
      </c>
      <c r="G24" s="50">
        <f>IFERROR(VLOOKUP(A24,'Centre DW13'!$A$7:$N$160,7,FALSE),0)+
IFERROR(VLOOKUP(A24,'Centre WR13'!$A$7:$N$160,7,FALSE),0)+
IFERROR(VLOOKUP(A24,'Centre WP13'!$A$7:$N$160,7,FALSE),0)</f>
        <v>0</v>
      </c>
      <c r="H24" s="50">
        <f>IFERROR(VLOOKUP(A24,'Centre DW13'!$A$7:$N$160,8,FALSE),0)+
IFERROR(VLOOKUP(A24,'Centre WR13'!$A$7:$N$160,8,FALSE),0)+
IFERROR(VLOOKUP(A24,'Centre WP13'!$A$7:$N$160,8,FALSE),0)</f>
        <v>0</v>
      </c>
      <c r="I24" s="50">
        <f>IFERROR(VLOOKUP(A24,'Centre DW13'!$A$7:$N$160,9,FALSE),0)+
IFERROR(VLOOKUP(A24,'Centre WR13'!$A$7:$N$160,9,FALSE),0)+
IFERROR(VLOOKUP(A24,'Centre WP13'!$A$7:$N$160,9,FALSE),0)</f>
        <v>0</v>
      </c>
      <c r="J24" s="50">
        <f>IFERROR(VLOOKUP(A24,'Centre DW13'!$A$7:$N$160,10,FALSE),0)+
IFERROR(VLOOKUP(A24,'Centre WR13'!$A$7:$N$160,10,FALSE),0)+
IFERROR(VLOOKUP(A24,'Centre WP13'!$A$7:$N$160,10,FALSE),0)</f>
        <v>0</v>
      </c>
      <c r="K24" s="50">
        <f>IFERROR(VLOOKUP(A24,'Centre DW13'!$A$7:$N$160,11,FALSE),0)+
IFERROR(VLOOKUP(A24,'Centre WR13'!$A$7:$N$160,11,FALSE),0)+
IFERROR(VLOOKUP(A24,'Centre WP13'!$A$7:$N$160,11,FALSE),0)</f>
        <v>0</v>
      </c>
      <c r="L24" s="50">
        <f>IFERROR(VLOOKUP(A24,'Centre DW13'!$A$7:$N$160,12,FALSE),0)+
IFERROR(VLOOKUP(A24,'Centre WR13'!$A$7:$N$160,12,FALSE),0)+
IFERROR(VLOOKUP(A24,'Centre WP13'!$A$7:$N$160,12,FALSE),0)</f>
        <v>0</v>
      </c>
      <c r="M24" s="50">
        <f>IFERROR(VLOOKUP(A24,'Centre DW13'!$A$7:$N$160,13,FALSE),0)+
IFERROR(VLOOKUP(A24,'Centre WR13'!$A$7:$N$160,13,FALSE),0)+
IFERROR(VLOOKUP(A24,'Centre WP13'!$A$7:$N$160,13,FALSE),0)</f>
        <v>0</v>
      </c>
      <c r="N24" s="50">
        <f>IFERROR(VLOOKUP(A24,'Centre DW13'!$A$7:$N$160,14,FALSE),0)+
IFERROR(VLOOKUP(A24,'Centre WR13'!$A$7:$N$160,14,FALSE),0)+
IFERROR(VLOOKUP(A24,'Centre WP13'!$A$7:$N$160,14,FALSE),0)</f>
        <v>0</v>
      </c>
    </row>
    <row r="25" spans="1:14" x14ac:dyDescent="0.2">
      <c r="A25" s="48" t="s">
        <v>62</v>
      </c>
      <c r="B25" s="49" t="s">
        <v>63</v>
      </c>
      <c r="C25" s="50">
        <f>IFERROR(VLOOKUP(A25,'Centre DW13'!$A$7:$N$160,3,FALSE),0)+
IFERROR(VLOOKUP(A25,'Centre WR13'!$A$7:$N$160,3,FALSE),0)+
IFERROR(VLOOKUP(A25,'Centre WP13'!$A$7:$N$160,3,FALSE),0)</f>
        <v>0</v>
      </c>
      <c r="D25" s="50">
        <f>IFERROR(VLOOKUP(A25,'Centre DW13'!$A$7:$N$160,4,FALSE),0)+
IFERROR(VLOOKUP(A25,'Centre WR13'!$A$7:$N$160,4,FALSE),0)+
IFERROR(VLOOKUP(A25,'Centre WP13'!$A$7:$N$160,4,FALSE),0)</f>
        <v>0</v>
      </c>
      <c r="E25" s="50">
        <f>IFERROR(VLOOKUP(A25,'Centre DW13'!$A$7:$N$160,5,FALSE),0)+
IFERROR(VLOOKUP(A25,'Centre WR13'!$A$7:$N$160,5,FALSE),0)+
IFERROR(VLOOKUP(A25,'Centre WP13'!$A$7:$N$160,5,FALSE),0)</f>
        <v>0</v>
      </c>
      <c r="F25" s="50">
        <f>IFERROR(VLOOKUP(A25,'Centre DW13'!$A$7:$N$160,6,FALSE),0)+
IFERROR(VLOOKUP(A25,'Centre WR13'!$A$7:$N$160,6,FALSE),0)+
IFERROR(VLOOKUP(A25,'Centre WP13'!$A$7:$N$160,6,FALSE),0)</f>
        <v>0</v>
      </c>
      <c r="G25" s="50">
        <f>IFERROR(VLOOKUP(A25,'Centre DW13'!$A$7:$N$160,7,FALSE),0)+
IFERROR(VLOOKUP(A25,'Centre WR13'!$A$7:$N$160,7,FALSE),0)+
IFERROR(VLOOKUP(A25,'Centre WP13'!$A$7:$N$160,7,FALSE),0)</f>
        <v>0</v>
      </c>
      <c r="H25" s="50">
        <f>IFERROR(VLOOKUP(A25,'Centre DW13'!$A$7:$N$160,8,FALSE),0)+
IFERROR(VLOOKUP(A25,'Centre WR13'!$A$7:$N$160,8,FALSE),0)+
IFERROR(VLOOKUP(A25,'Centre WP13'!$A$7:$N$160,8,FALSE),0)</f>
        <v>0</v>
      </c>
      <c r="I25" s="50">
        <f>IFERROR(VLOOKUP(A25,'Centre DW13'!$A$7:$N$160,9,FALSE),0)+
IFERROR(VLOOKUP(A25,'Centre WR13'!$A$7:$N$160,9,FALSE),0)+
IFERROR(VLOOKUP(A25,'Centre WP13'!$A$7:$N$160,9,FALSE),0)</f>
        <v>0</v>
      </c>
      <c r="J25" s="50">
        <f>IFERROR(VLOOKUP(A25,'Centre DW13'!$A$7:$N$160,10,FALSE),0)+
IFERROR(VLOOKUP(A25,'Centre WR13'!$A$7:$N$160,10,FALSE),0)+
IFERROR(VLOOKUP(A25,'Centre WP13'!$A$7:$N$160,10,FALSE),0)</f>
        <v>0</v>
      </c>
      <c r="K25" s="50">
        <f>IFERROR(VLOOKUP(A25,'Centre DW13'!$A$7:$N$160,11,FALSE),0)+
IFERROR(VLOOKUP(A25,'Centre WR13'!$A$7:$N$160,11,FALSE),0)+
IFERROR(VLOOKUP(A25,'Centre WP13'!$A$7:$N$160,11,FALSE),0)</f>
        <v>0</v>
      </c>
      <c r="L25" s="50">
        <f>IFERROR(VLOOKUP(A25,'Centre DW13'!$A$7:$N$160,12,FALSE),0)+
IFERROR(VLOOKUP(A25,'Centre WR13'!$A$7:$N$160,12,FALSE),0)+
IFERROR(VLOOKUP(A25,'Centre WP13'!$A$7:$N$160,12,FALSE),0)</f>
        <v>0</v>
      </c>
      <c r="M25" s="50">
        <f>IFERROR(VLOOKUP(A25,'Centre DW13'!$A$7:$N$160,13,FALSE),0)+
IFERROR(VLOOKUP(A25,'Centre WR13'!$A$7:$N$160,13,FALSE),0)+
IFERROR(VLOOKUP(A25,'Centre WP13'!$A$7:$N$160,13,FALSE),0)</f>
        <v>0</v>
      </c>
      <c r="N25" s="50">
        <f>IFERROR(VLOOKUP(A25,'Centre DW13'!$A$7:$N$160,14,FALSE),0)+
IFERROR(VLOOKUP(A25,'Centre WR13'!$A$7:$N$160,14,FALSE),0)+
IFERROR(VLOOKUP(A25,'Centre WP13'!$A$7:$N$160,14,FALSE),0)</f>
        <v>0</v>
      </c>
    </row>
    <row r="26" spans="1:14" x14ac:dyDescent="0.2">
      <c r="A26" s="48" t="s">
        <v>64</v>
      </c>
      <c r="B26" s="49" t="s">
        <v>65</v>
      </c>
      <c r="C26" s="50">
        <f>+C27</f>
        <v>2.5</v>
      </c>
      <c r="D26" s="50">
        <f t="shared" ref="D26:N26" si="4">+D27</f>
        <v>6</v>
      </c>
      <c r="E26" s="50">
        <f t="shared" si="4"/>
        <v>6</v>
      </c>
      <c r="F26" s="50">
        <f t="shared" si="4"/>
        <v>6.8</v>
      </c>
      <c r="G26" s="50">
        <f t="shared" si="4"/>
        <v>7</v>
      </c>
      <c r="H26" s="50">
        <f t="shared" si="4"/>
        <v>9</v>
      </c>
      <c r="I26" s="50">
        <f t="shared" si="4"/>
        <v>6</v>
      </c>
      <c r="J26" s="50">
        <f t="shared" si="4"/>
        <v>5.8</v>
      </c>
      <c r="K26" s="50">
        <f t="shared" si="4"/>
        <v>6.5</v>
      </c>
      <c r="L26" s="50">
        <f t="shared" si="4"/>
        <v>2</v>
      </c>
      <c r="M26" s="50">
        <f t="shared" si="4"/>
        <v>-7</v>
      </c>
      <c r="N26" s="50">
        <f t="shared" si="4"/>
        <v>-17</v>
      </c>
    </row>
    <row r="27" spans="1:14" hidden="1" outlineLevel="1" x14ac:dyDescent="0.2">
      <c r="A27" s="9" t="s">
        <v>66</v>
      </c>
      <c r="B27" s="1" t="s">
        <v>67</v>
      </c>
      <c r="C27" s="10">
        <f>IFERROR(VLOOKUP(A27,'Centre DW13'!$A$7:$N$160,3,FALSE),0)+
IFERROR(VLOOKUP(A27,'Centre WR13'!$A$7:$N$160,3,FALSE),0)+
IFERROR(VLOOKUP(A27,'Centre WP13'!$A$7:$N$160,3,FALSE),0)</f>
        <v>2.5</v>
      </c>
      <c r="D27" s="10">
        <f>IFERROR(VLOOKUP(A27,'Centre DW13'!$A$7:$N$160,4,FALSE),0)+
IFERROR(VLOOKUP(A27,'Centre WR13'!$A$7:$N$160,4,FALSE),0)+
IFERROR(VLOOKUP(A27,'Centre WP13'!$A$7:$N$160,4,FALSE),0)</f>
        <v>6</v>
      </c>
      <c r="E27" s="10">
        <f>IFERROR(VLOOKUP(A27,'Centre DW13'!$A$7:$N$160,5,FALSE),0)+
IFERROR(VLOOKUP(A27,'Centre WR13'!$A$7:$N$160,5,FALSE),0)+
IFERROR(VLOOKUP(A27,'Centre WP13'!$A$7:$N$160,5,FALSE),0)</f>
        <v>6</v>
      </c>
      <c r="F27" s="10">
        <f>IFERROR(VLOOKUP(A27,'Centre DW13'!$A$7:$N$160,6,FALSE),0)+
IFERROR(VLOOKUP(A27,'Centre WR13'!$A$7:$N$160,6,FALSE),0)+
IFERROR(VLOOKUP(A27,'Centre WP13'!$A$7:$N$160,6,FALSE),0)</f>
        <v>6.8</v>
      </c>
      <c r="G27" s="10">
        <f>IFERROR(VLOOKUP(A27,'Centre DW13'!$A$7:$N$160,7,FALSE),0)+
IFERROR(VLOOKUP(A27,'Centre WR13'!$A$7:$N$160,7,FALSE),0)+
IFERROR(VLOOKUP(A27,'Centre WP13'!$A$7:$N$160,7,FALSE),0)</f>
        <v>7</v>
      </c>
      <c r="H27" s="10">
        <f>IFERROR(VLOOKUP(A27,'Centre DW13'!$A$7:$N$160,8,FALSE),0)+
IFERROR(VLOOKUP(A27,'Centre WR13'!$A$7:$N$160,8,FALSE),0)+
IFERROR(VLOOKUP(A27,'Centre WP13'!$A$7:$N$160,8,FALSE),0)</f>
        <v>9</v>
      </c>
      <c r="I27" s="10">
        <f>IFERROR(VLOOKUP(A27,'Centre DW13'!$A$7:$N$160,9,FALSE),0)+
IFERROR(VLOOKUP(A27,'Centre WR13'!$A$7:$N$160,9,FALSE),0)+
IFERROR(VLOOKUP(A27,'Centre WP13'!$A$7:$N$160,9,FALSE),0)</f>
        <v>6</v>
      </c>
      <c r="J27" s="24">
        <f>IFERROR(VLOOKUP(A27,'Centre DW13'!$A$7:$N$160,10,FALSE),0)+
IFERROR(VLOOKUP(A27,'Centre WR13'!$A$7:$N$160,10,FALSE),0)+
IFERROR(VLOOKUP(A27,'Centre WP13'!$A$7:$N$160,10,FALSE),0)</f>
        <v>5.8</v>
      </c>
      <c r="K27" s="24">
        <f>IFERROR(VLOOKUP(A27,'Centre DW13'!$A$7:$N$160,11,FALSE),0)+
IFERROR(VLOOKUP(A27,'Centre WR13'!$A$7:$N$160,11,FALSE),0)+
IFERROR(VLOOKUP(A27,'Centre WP13'!$A$7:$N$160,11,FALSE),0)</f>
        <v>6.5</v>
      </c>
      <c r="L27" s="24">
        <f>IFERROR(VLOOKUP(A27,'Centre DW13'!$A$7:$N$160,12,FALSE),0)+
IFERROR(VLOOKUP(A27,'Centre WR13'!$A$7:$N$160,12,FALSE),0)+
IFERROR(VLOOKUP(A27,'Centre WP13'!$A$7:$N$160,12,FALSE),0)</f>
        <v>2</v>
      </c>
      <c r="M27" s="24">
        <f>IFERROR(VLOOKUP(A27,'Centre DW13'!$A$7:$N$160,13,FALSE),0)+
IFERROR(VLOOKUP(A27,'Centre WR13'!$A$7:$N$160,13,FALSE),0)+
IFERROR(VLOOKUP(A27,'Centre WP13'!$A$7:$N$160,13,FALSE),0)</f>
        <v>-7</v>
      </c>
      <c r="N27" s="24">
        <f>IFERROR(VLOOKUP(A27,'Centre DW13'!$A$7:$N$160,14,FALSE),0)+
IFERROR(VLOOKUP(A27,'Centre WR13'!$A$7:$N$160,14,FALSE),0)+
IFERROR(VLOOKUP(A27,'Centre WP13'!$A$7:$N$160,14,FALSE),0)</f>
        <v>-17</v>
      </c>
    </row>
    <row r="28" spans="1:14" collapsed="1" x14ac:dyDescent="0.2">
      <c r="A28" s="48" t="s">
        <v>68</v>
      </c>
      <c r="B28" s="49" t="s">
        <v>69</v>
      </c>
      <c r="C28" s="50">
        <f>+C29</f>
        <v>0</v>
      </c>
      <c r="D28" s="50">
        <f t="shared" ref="D28:N28" si="5">+D29</f>
        <v>0</v>
      </c>
      <c r="E28" s="50">
        <f t="shared" si="5"/>
        <v>0</v>
      </c>
      <c r="F28" s="50">
        <f t="shared" si="5"/>
        <v>0</v>
      </c>
      <c r="G28" s="50">
        <f t="shared" si="5"/>
        <v>0</v>
      </c>
      <c r="H28" s="50">
        <f t="shared" si="5"/>
        <v>0</v>
      </c>
      <c r="I28" s="50">
        <f t="shared" si="5"/>
        <v>0</v>
      </c>
      <c r="J28" s="50">
        <f t="shared" si="5"/>
        <v>0</v>
      </c>
      <c r="K28" s="50">
        <f t="shared" si="5"/>
        <v>0</v>
      </c>
      <c r="L28" s="50">
        <f t="shared" si="5"/>
        <v>0</v>
      </c>
      <c r="M28" s="50">
        <f t="shared" si="5"/>
        <v>0</v>
      </c>
      <c r="N28" s="50">
        <f t="shared" si="5"/>
        <v>0</v>
      </c>
    </row>
    <row r="29" spans="1:14" hidden="1" outlineLevel="1" x14ac:dyDescent="0.2">
      <c r="A29" s="9" t="s">
        <v>70</v>
      </c>
      <c r="B29" s="1" t="s">
        <v>71</v>
      </c>
      <c r="C29" s="10">
        <f>IFERROR(VLOOKUP(A29,'Centre DW13'!$A$7:$N$160,3,FALSE),0)+
IFERROR(VLOOKUP(A29,'Centre WR13'!$A$7:$N$160,3,FALSE),0)+
IFERROR(VLOOKUP(A29,'Centre WP13'!$A$7:$N$160,3,FALSE),0)</f>
        <v>0</v>
      </c>
      <c r="D29" s="10">
        <f>IFERROR(VLOOKUP(A29,'Centre DW13'!$A$7:$N$160,4,FALSE),0)+
IFERROR(VLOOKUP(A29,'Centre WR13'!$A$7:$N$160,4,FALSE),0)+
IFERROR(VLOOKUP(A29,'Centre WP13'!$A$7:$N$160,4,FALSE),0)</f>
        <v>0</v>
      </c>
      <c r="E29" s="10">
        <f>IFERROR(VLOOKUP(A29,'Centre DW13'!$A$7:$N$160,5,FALSE),0)+
IFERROR(VLOOKUP(A29,'Centre WR13'!$A$7:$N$160,5,FALSE),0)+
IFERROR(VLOOKUP(A29,'Centre WP13'!$A$7:$N$160,5,FALSE),0)</f>
        <v>0</v>
      </c>
      <c r="F29" s="10">
        <f>IFERROR(VLOOKUP(A29,'Centre DW13'!$A$7:$N$160,6,FALSE),0)+
IFERROR(VLOOKUP(A29,'Centre WR13'!$A$7:$N$160,6,FALSE),0)+
IFERROR(VLOOKUP(A29,'Centre WP13'!$A$7:$N$160,6,FALSE),0)</f>
        <v>0</v>
      </c>
      <c r="G29" s="10">
        <f>IFERROR(VLOOKUP(A29,'Centre DW13'!$A$7:$N$160,7,FALSE),0)+
IFERROR(VLOOKUP(A29,'Centre WR13'!$A$7:$N$160,7,FALSE),0)+
IFERROR(VLOOKUP(A29,'Centre WP13'!$A$7:$N$160,7,FALSE),0)</f>
        <v>0</v>
      </c>
      <c r="H29" s="10">
        <f>IFERROR(VLOOKUP(A29,'Centre DW13'!$A$7:$N$160,8,FALSE),0)+
IFERROR(VLOOKUP(A29,'Centre WR13'!$A$7:$N$160,8,FALSE),0)+
IFERROR(VLOOKUP(A29,'Centre WP13'!$A$7:$N$160,8,FALSE),0)</f>
        <v>0</v>
      </c>
      <c r="I29" s="10">
        <f>IFERROR(VLOOKUP(A29,'Centre DW13'!$A$7:$N$160,9,FALSE),0)+
IFERROR(VLOOKUP(A29,'Centre WR13'!$A$7:$N$160,9,FALSE),0)+
IFERROR(VLOOKUP(A29,'Centre WP13'!$A$7:$N$160,9,FALSE),0)</f>
        <v>0</v>
      </c>
      <c r="J29" s="24">
        <f>IFERROR(VLOOKUP(A29,'Centre DW13'!$A$7:$N$160,10,FALSE),0)+
IFERROR(VLOOKUP(A29,'Centre WR13'!$A$7:$N$160,10,FALSE),0)+
IFERROR(VLOOKUP(A29,'Centre WP13'!$A$7:$N$160,10,FALSE),0)</f>
        <v>0</v>
      </c>
      <c r="K29" s="24">
        <f>IFERROR(VLOOKUP(A29,'Centre DW13'!$A$7:$N$160,11,FALSE),0)+
IFERROR(VLOOKUP(A29,'Centre WR13'!$A$7:$N$160,11,FALSE),0)+
IFERROR(VLOOKUP(A29,'Centre WP13'!$A$7:$N$160,11,FALSE),0)</f>
        <v>0</v>
      </c>
      <c r="L29" s="24">
        <f>IFERROR(VLOOKUP(A29,'Centre DW13'!$A$7:$N$160,12,FALSE),0)+
IFERROR(VLOOKUP(A29,'Centre WR13'!$A$7:$N$160,12,FALSE),0)+
IFERROR(VLOOKUP(A29,'Centre WP13'!$A$7:$N$160,12,FALSE),0)</f>
        <v>0</v>
      </c>
      <c r="M29" s="24">
        <f>IFERROR(VLOOKUP(A29,'Centre DW13'!$A$7:$N$160,13,FALSE),0)+
IFERROR(VLOOKUP(A29,'Centre WR13'!$A$7:$N$160,13,FALSE),0)+
IFERROR(VLOOKUP(A29,'Centre WP13'!$A$7:$N$160,13,FALSE),0)</f>
        <v>0</v>
      </c>
      <c r="N29" s="24">
        <f>IFERROR(VLOOKUP(A29,'Centre DW13'!$A$7:$N$160,14,FALSE),0)+
IFERROR(VLOOKUP(A29,'Centre WR13'!$A$7:$N$160,14,FALSE),0)+
IFERROR(VLOOKUP(A29,'Centre WP13'!$A$7:$N$160,14,FALSE),0)</f>
        <v>0</v>
      </c>
    </row>
    <row r="30" spans="1:14" collapsed="1" x14ac:dyDescent="0.2">
      <c r="A30" s="52"/>
      <c r="B30" s="52" t="s">
        <v>72</v>
      </c>
      <c r="C30" s="53">
        <f>+C19+C24+C25+C26+C28</f>
        <v>35.799999999999997</v>
      </c>
      <c r="D30" s="53">
        <f t="shared" ref="D30:N30" si="6">+D19+D24+D25+D26+D28</f>
        <v>55</v>
      </c>
      <c r="E30" s="53">
        <f t="shared" si="6"/>
        <v>59</v>
      </c>
      <c r="F30" s="53">
        <f t="shared" si="6"/>
        <v>44.8</v>
      </c>
      <c r="G30" s="53">
        <f t="shared" si="6"/>
        <v>62</v>
      </c>
      <c r="H30" s="53">
        <f t="shared" si="6"/>
        <v>78.900000000000006</v>
      </c>
      <c r="I30" s="53">
        <f t="shared" si="6"/>
        <v>55.8</v>
      </c>
      <c r="J30" s="53">
        <f t="shared" si="6"/>
        <v>51.8</v>
      </c>
      <c r="K30" s="53">
        <f t="shared" si="6"/>
        <v>72.400000000000006</v>
      </c>
      <c r="L30" s="53">
        <f t="shared" si="6"/>
        <v>54.8</v>
      </c>
      <c r="M30" s="53">
        <f t="shared" si="6"/>
        <v>30</v>
      </c>
      <c r="N30" s="53">
        <f t="shared" si="6"/>
        <v>39</v>
      </c>
    </row>
    <row r="31" spans="1:14" x14ac:dyDescent="0.2">
      <c r="A31" s="51"/>
      <c r="B31" s="51" t="s">
        <v>73</v>
      </c>
      <c r="C31" s="19">
        <f>+C18-C30</f>
        <v>184.59999999999997</v>
      </c>
      <c r="D31" s="19">
        <f t="shared" ref="D31:I31" si="7">+D18-D30</f>
        <v>207.39999999999998</v>
      </c>
      <c r="E31" s="19">
        <f t="shared" si="7"/>
        <v>185.39999999999998</v>
      </c>
      <c r="F31" s="19">
        <f t="shared" si="7"/>
        <v>211.59999999999997</v>
      </c>
      <c r="G31" s="19">
        <f t="shared" si="7"/>
        <v>161.49999999999997</v>
      </c>
      <c r="H31" s="19">
        <f t="shared" si="7"/>
        <v>138.49999999999997</v>
      </c>
      <c r="I31" s="19">
        <f t="shared" si="7"/>
        <v>208.59999999999997</v>
      </c>
      <c r="J31" s="19">
        <f>+J18-J30</f>
        <v>222.2</v>
      </c>
      <c r="K31" s="19">
        <f t="shared" ref="K31:N31" si="8">+K18-K30</f>
        <v>200.6</v>
      </c>
      <c r="L31" s="19">
        <f t="shared" si="8"/>
        <v>156.19999999999999</v>
      </c>
      <c r="M31" s="19">
        <f t="shared" si="8"/>
        <v>275</v>
      </c>
      <c r="N31" s="19">
        <f t="shared" si="8"/>
        <v>208</v>
      </c>
    </row>
    <row r="32" spans="1:14" x14ac:dyDescent="0.2">
      <c r="A32" s="9" t="s">
        <v>74</v>
      </c>
      <c r="B32" s="1" t="s">
        <v>74</v>
      </c>
      <c r="C32" s="10" t="s">
        <v>74</v>
      </c>
      <c r="D32" s="10" t="s">
        <v>74</v>
      </c>
      <c r="E32" s="10" t="s">
        <v>74</v>
      </c>
      <c r="F32" s="10" t="s">
        <v>74</v>
      </c>
      <c r="G32" s="10" t="s">
        <v>74</v>
      </c>
      <c r="H32" s="10" t="s">
        <v>74</v>
      </c>
      <c r="I32" s="10" t="s">
        <v>74</v>
      </c>
      <c r="J32" s="10" t="s">
        <v>74</v>
      </c>
      <c r="K32" s="10" t="s">
        <v>74</v>
      </c>
      <c r="L32" s="10" t="s">
        <v>74</v>
      </c>
      <c r="M32" s="10" t="s">
        <v>74</v>
      </c>
      <c r="N32" s="10" t="s">
        <v>74</v>
      </c>
    </row>
    <row r="33" spans="1:14" x14ac:dyDescent="0.2">
      <c r="A33" s="48" t="s">
        <v>75</v>
      </c>
      <c r="B33" s="49" t="s">
        <v>76</v>
      </c>
      <c r="C33" s="50">
        <f>SUM(C34:C53)</f>
        <v>24.7</v>
      </c>
      <c r="D33" s="50">
        <f t="shared" ref="D33:N33" si="9">SUM(D34:D53)</f>
        <v>21.599999999999998</v>
      </c>
      <c r="E33" s="50">
        <f t="shared" si="9"/>
        <v>22.599999999999998</v>
      </c>
      <c r="F33" s="50">
        <f t="shared" si="9"/>
        <v>25.200000000000003</v>
      </c>
      <c r="G33" s="50">
        <f t="shared" si="9"/>
        <v>22.799999999999997</v>
      </c>
      <c r="H33" s="50">
        <f t="shared" si="9"/>
        <v>26.400000000000002</v>
      </c>
      <c r="I33" s="50">
        <f t="shared" si="9"/>
        <v>28.9</v>
      </c>
      <c r="J33" s="50">
        <f t="shared" si="9"/>
        <v>21.799999999999997</v>
      </c>
      <c r="K33" s="50">
        <f t="shared" si="9"/>
        <v>16.499999999999996</v>
      </c>
      <c r="L33" s="50">
        <f t="shared" si="9"/>
        <v>27</v>
      </c>
      <c r="M33" s="50">
        <f t="shared" si="9"/>
        <v>29.8</v>
      </c>
      <c r="N33" s="50">
        <f t="shared" si="9"/>
        <v>20.2</v>
      </c>
    </row>
    <row r="34" spans="1:14" hidden="1" outlineLevel="1" x14ac:dyDescent="0.2">
      <c r="A34" s="9" t="s">
        <v>77</v>
      </c>
      <c r="B34" s="1" t="s">
        <v>78</v>
      </c>
      <c r="C34" s="10">
        <f>IFERROR(VLOOKUP(A34,'Centre DW13'!$A$7:$N$160,3,FALSE),0)+
IFERROR(VLOOKUP(A34,'Centre WR13'!$A$7:$N$160,3,FALSE),0)+
IFERROR(VLOOKUP(A34,'Centre WP13'!$A$7:$N$160,3,FALSE),0)</f>
        <v>11</v>
      </c>
      <c r="D34" s="10">
        <f>IFERROR(VLOOKUP(A34,'Centre DW13'!$A$7:$N$160,4,FALSE),0)+
IFERROR(VLOOKUP(A34,'Centre WR13'!$A$7:$N$160,4,FALSE),0)+
IFERROR(VLOOKUP(A34,'Centre WP13'!$A$7:$N$160,4,FALSE),0)</f>
        <v>10</v>
      </c>
      <c r="E34" s="10">
        <f>IFERROR(VLOOKUP(A34,'Centre DW13'!$A$7:$N$160,5,FALSE),0)+
IFERROR(VLOOKUP(A34,'Centre WR13'!$A$7:$N$160,5,FALSE),0)+
IFERROR(VLOOKUP(A34,'Centre WP13'!$A$7:$N$160,5,FALSE),0)</f>
        <v>9</v>
      </c>
      <c r="F34" s="10">
        <f>IFERROR(VLOOKUP(A34,'Centre DW13'!$A$7:$N$160,6,FALSE),0)+
IFERROR(VLOOKUP(A34,'Centre WR13'!$A$7:$N$160,6,FALSE),0)+
IFERROR(VLOOKUP(A34,'Centre WP13'!$A$7:$N$160,6,FALSE),0)</f>
        <v>7</v>
      </c>
      <c r="G34" s="10">
        <f>IFERROR(VLOOKUP(A34,'Centre DW13'!$A$7:$N$160,7,FALSE),0)+
IFERROR(VLOOKUP(A34,'Centre WR13'!$A$7:$N$160,7,FALSE),0)+
IFERROR(VLOOKUP(A34,'Centre WP13'!$A$7:$N$160,7,FALSE),0)</f>
        <v>7</v>
      </c>
      <c r="H34" s="10">
        <f>IFERROR(VLOOKUP(A34,'Centre DW13'!$A$7:$N$160,8,FALSE),0)+
IFERROR(VLOOKUP(A34,'Centre WR13'!$A$7:$N$160,8,FALSE),0)+
IFERROR(VLOOKUP(A34,'Centre WP13'!$A$7:$N$160,8,FALSE),0)</f>
        <v>7</v>
      </c>
      <c r="I34" s="10">
        <f>IFERROR(VLOOKUP(A34,'Centre DW13'!$A$7:$N$160,9,FALSE),0)+
IFERROR(VLOOKUP(A34,'Centre WR13'!$A$7:$N$160,9,FALSE),0)+
IFERROR(VLOOKUP(A34,'Centre WP13'!$A$7:$N$160,9,FALSE),0)</f>
        <v>10</v>
      </c>
      <c r="J34" s="24">
        <f>IFERROR(VLOOKUP(A34,'Centre DW13'!$A$7:$N$160,10,FALSE),0)+
IFERROR(VLOOKUP(A34,'Centre WR13'!$A$7:$N$160,10,FALSE),0)+
IFERROR(VLOOKUP(A34,'Centre WP13'!$A$7:$N$160,10,FALSE),0)</f>
        <v>11</v>
      </c>
      <c r="K34" s="24">
        <f>IFERROR(VLOOKUP(A34,'Centre DW13'!$A$7:$N$160,11,FALSE),0)+
IFERROR(VLOOKUP(A34,'Centre WR13'!$A$7:$N$160,11,FALSE),0)+
IFERROR(VLOOKUP(A34,'Centre WP13'!$A$7:$N$160,11,FALSE),0)</f>
        <v>8</v>
      </c>
      <c r="L34" s="24">
        <f>IFERROR(VLOOKUP(A34,'Centre DW13'!$A$7:$N$160,12,FALSE),0)+
IFERROR(VLOOKUP(A34,'Centre WR13'!$A$7:$N$160,12,FALSE),0)+
IFERROR(VLOOKUP(A34,'Centre WP13'!$A$7:$N$160,12,FALSE),0)</f>
        <v>10</v>
      </c>
      <c r="M34" s="24">
        <f>IFERROR(VLOOKUP(A34,'Centre DW13'!$A$7:$N$160,13,FALSE),0)+
IFERROR(VLOOKUP(A34,'Centre WR13'!$A$7:$N$160,13,FALSE),0)+
IFERROR(VLOOKUP(A34,'Centre WP13'!$A$7:$N$160,13,FALSE),0)</f>
        <v>11</v>
      </c>
      <c r="N34" s="24">
        <f>IFERROR(VLOOKUP(A34,'Centre DW13'!$A$7:$N$160,14,FALSE),0)+
IFERROR(VLOOKUP(A34,'Centre WR13'!$A$7:$N$160,14,FALSE),0)+
IFERROR(VLOOKUP(A34,'Centre WP13'!$A$7:$N$160,14,FALSE),0)</f>
        <v>7</v>
      </c>
    </row>
    <row r="35" spans="1:14" hidden="1" outlineLevel="1" x14ac:dyDescent="0.2">
      <c r="A35" s="9" t="s">
        <v>79</v>
      </c>
      <c r="B35" s="1" t="s">
        <v>80</v>
      </c>
      <c r="C35" s="10">
        <f>IFERROR(VLOOKUP(A35,'Centre DW13'!$A$7:$N$160,3,FALSE),0)+
IFERROR(VLOOKUP(A35,'Centre WR13'!$A$7:$N$160,3,FALSE),0)+
IFERROR(VLOOKUP(A35,'Centre WP13'!$A$7:$N$160,3,FALSE),0)</f>
        <v>0.2</v>
      </c>
      <c r="D35" s="10">
        <f>IFERROR(VLOOKUP(A35,'Centre DW13'!$A$7:$N$160,4,FALSE),0)+
IFERROR(VLOOKUP(A35,'Centre WR13'!$A$7:$N$160,4,FALSE),0)+
IFERROR(VLOOKUP(A35,'Centre WP13'!$A$7:$N$160,4,FALSE),0)</f>
        <v>0.2</v>
      </c>
      <c r="E35" s="10">
        <f>IFERROR(VLOOKUP(A35,'Centre DW13'!$A$7:$N$160,5,FALSE),0)+
IFERROR(VLOOKUP(A35,'Centre WR13'!$A$7:$N$160,5,FALSE),0)+
IFERROR(VLOOKUP(A35,'Centre WP13'!$A$7:$N$160,5,FALSE),0)</f>
        <v>0.2</v>
      </c>
      <c r="F35" s="10">
        <f>IFERROR(VLOOKUP(A35,'Centre DW13'!$A$7:$N$160,6,FALSE),0)+
IFERROR(VLOOKUP(A35,'Centre WR13'!$A$7:$N$160,6,FALSE),0)+
IFERROR(VLOOKUP(A35,'Centre WP13'!$A$7:$N$160,6,FALSE),0)</f>
        <v>0.2</v>
      </c>
      <c r="G35" s="10">
        <f>IFERROR(VLOOKUP(A35,'Centre DW13'!$A$7:$N$160,7,FALSE),0)+
IFERROR(VLOOKUP(A35,'Centre WR13'!$A$7:$N$160,7,FALSE),0)+
IFERROR(VLOOKUP(A35,'Centre WP13'!$A$7:$N$160,7,FALSE),0)</f>
        <v>0.2</v>
      </c>
      <c r="H35" s="10">
        <f>IFERROR(VLOOKUP(A35,'Centre DW13'!$A$7:$N$160,8,FALSE),0)+
IFERROR(VLOOKUP(A35,'Centre WR13'!$A$7:$N$160,8,FALSE),0)+
IFERROR(VLOOKUP(A35,'Centre WP13'!$A$7:$N$160,8,FALSE),0)</f>
        <v>0.7</v>
      </c>
      <c r="I35" s="10">
        <f>IFERROR(VLOOKUP(A35,'Centre DW13'!$A$7:$N$160,9,FALSE),0)+
IFERROR(VLOOKUP(A35,'Centre WR13'!$A$7:$N$160,9,FALSE),0)+
IFERROR(VLOOKUP(A35,'Centre WP13'!$A$7:$N$160,9,FALSE),0)</f>
        <v>0.2</v>
      </c>
      <c r="J35" s="24">
        <f>IFERROR(VLOOKUP(A35,'Centre DW13'!$A$7:$N$160,10,FALSE),0)+
IFERROR(VLOOKUP(A35,'Centre WR13'!$A$7:$N$160,10,FALSE),0)+
IFERROR(VLOOKUP(A35,'Centre WP13'!$A$7:$N$160,10,FALSE),0)</f>
        <v>0.2</v>
      </c>
      <c r="K35" s="24">
        <f>IFERROR(VLOOKUP(A35,'Centre DW13'!$A$7:$N$160,11,FALSE),0)+
IFERROR(VLOOKUP(A35,'Centre WR13'!$A$7:$N$160,11,FALSE),0)+
IFERROR(VLOOKUP(A35,'Centre WP13'!$A$7:$N$160,11,FALSE),0)</f>
        <v>0.2</v>
      </c>
      <c r="L35" s="24">
        <f>IFERROR(VLOOKUP(A35,'Centre DW13'!$A$7:$N$160,12,FALSE),0)+
IFERROR(VLOOKUP(A35,'Centre WR13'!$A$7:$N$160,12,FALSE),0)+
IFERROR(VLOOKUP(A35,'Centre WP13'!$A$7:$N$160,12,FALSE),0)</f>
        <v>0.2</v>
      </c>
      <c r="M35" s="24">
        <f>IFERROR(VLOOKUP(A35,'Centre DW13'!$A$7:$N$160,13,FALSE),0)+
IFERROR(VLOOKUP(A35,'Centre WR13'!$A$7:$N$160,13,FALSE),0)+
IFERROR(VLOOKUP(A35,'Centre WP13'!$A$7:$N$160,13,FALSE),0)</f>
        <v>0.7</v>
      </c>
      <c r="N35" s="24">
        <f>IFERROR(VLOOKUP(A35,'Centre DW13'!$A$7:$N$160,14,FALSE),0)+
IFERROR(VLOOKUP(A35,'Centre WR13'!$A$7:$N$160,14,FALSE),0)+
IFERROR(VLOOKUP(A35,'Centre WP13'!$A$7:$N$160,14,FALSE),0)</f>
        <v>0.2</v>
      </c>
    </row>
    <row r="36" spans="1:14" hidden="1" outlineLevel="1" x14ac:dyDescent="0.2">
      <c r="A36" s="9" t="s">
        <v>81</v>
      </c>
      <c r="B36" s="1" t="s">
        <v>82</v>
      </c>
      <c r="C36" s="10">
        <f>IFERROR(VLOOKUP(A36,'Centre DW13'!$A$7:$N$160,3,FALSE),0)+
IFERROR(VLOOKUP(A36,'Centre WR13'!$A$7:$N$160,3,FALSE),0)+
IFERROR(VLOOKUP(A36,'Centre WP13'!$A$7:$N$160,3,FALSE),0)</f>
        <v>1.3</v>
      </c>
      <c r="D36" s="10">
        <f>IFERROR(VLOOKUP(A36,'Centre DW13'!$A$7:$N$160,4,FALSE),0)+
IFERROR(VLOOKUP(A36,'Centre WR13'!$A$7:$N$160,4,FALSE),0)+
IFERROR(VLOOKUP(A36,'Centre WP13'!$A$7:$N$160,4,FALSE),0)</f>
        <v>1.3</v>
      </c>
      <c r="E36" s="10">
        <f>IFERROR(VLOOKUP(A36,'Centre DW13'!$A$7:$N$160,5,FALSE),0)+
IFERROR(VLOOKUP(A36,'Centre WR13'!$A$7:$N$160,5,FALSE),0)+
IFERROR(VLOOKUP(A36,'Centre WP13'!$A$7:$N$160,5,FALSE),0)</f>
        <v>1.3</v>
      </c>
      <c r="F36" s="10">
        <f>IFERROR(VLOOKUP(A36,'Centre DW13'!$A$7:$N$160,6,FALSE),0)+
IFERROR(VLOOKUP(A36,'Centre WR13'!$A$7:$N$160,6,FALSE),0)+
IFERROR(VLOOKUP(A36,'Centre WP13'!$A$7:$N$160,6,FALSE),0)</f>
        <v>1.3</v>
      </c>
      <c r="G36" s="10">
        <f>IFERROR(VLOOKUP(A36,'Centre DW13'!$A$7:$N$160,7,FALSE),0)+
IFERROR(VLOOKUP(A36,'Centre WR13'!$A$7:$N$160,7,FALSE),0)+
IFERROR(VLOOKUP(A36,'Centre WP13'!$A$7:$N$160,7,FALSE),0)</f>
        <v>1.3</v>
      </c>
      <c r="H36" s="10">
        <f>IFERROR(VLOOKUP(A36,'Centre DW13'!$A$7:$N$160,8,FALSE),0)+
IFERROR(VLOOKUP(A36,'Centre WR13'!$A$7:$N$160,8,FALSE),0)+
IFERROR(VLOOKUP(A36,'Centre WP13'!$A$7:$N$160,8,FALSE),0)</f>
        <v>1.3</v>
      </c>
      <c r="I36" s="10">
        <f>IFERROR(VLOOKUP(A36,'Centre DW13'!$A$7:$N$160,9,FALSE),0)+
IFERROR(VLOOKUP(A36,'Centre WR13'!$A$7:$N$160,9,FALSE),0)+
IFERROR(VLOOKUP(A36,'Centre WP13'!$A$7:$N$160,9,FALSE),0)</f>
        <v>1.3</v>
      </c>
      <c r="J36" s="24">
        <f>IFERROR(VLOOKUP(A36,'Centre DW13'!$A$7:$N$160,10,FALSE),0)+
IFERROR(VLOOKUP(A36,'Centre WR13'!$A$7:$N$160,10,FALSE),0)+
IFERROR(VLOOKUP(A36,'Centre WP13'!$A$7:$N$160,10,FALSE),0)</f>
        <v>1.3</v>
      </c>
      <c r="K36" s="24">
        <f>IFERROR(VLOOKUP(A36,'Centre DW13'!$A$7:$N$160,11,FALSE),0)+
IFERROR(VLOOKUP(A36,'Centre WR13'!$A$7:$N$160,11,FALSE),0)+
IFERROR(VLOOKUP(A36,'Centre WP13'!$A$7:$N$160,11,FALSE),0)</f>
        <v>1.3</v>
      </c>
      <c r="L36" s="24">
        <f>IFERROR(VLOOKUP(A36,'Centre DW13'!$A$7:$N$160,12,FALSE),0)+
IFERROR(VLOOKUP(A36,'Centre WR13'!$A$7:$N$160,12,FALSE),0)+
IFERROR(VLOOKUP(A36,'Centre WP13'!$A$7:$N$160,12,FALSE),0)</f>
        <v>1.3</v>
      </c>
      <c r="M36" s="24">
        <f>IFERROR(VLOOKUP(A36,'Centre DW13'!$A$7:$N$160,13,FALSE),0)+
IFERROR(VLOOKUP(A36,'Centre WR13'!$A$7:$N$160,13,FALSE),0)+
IFERROR(VLOOKUP(A36,'Centre WP13'!$A$7:$N$160,13,FALSE),0)</f>
        <v>1.3</v>
      </c>
      <c r="N36" s="24">
        <f>IFERROR(VLOOKUP(A36,'Centre DW13'!$A$7:$N$160,14,FALSE),0)+
IFERROR(VLOOKUP(A36,'Centre WR13'!$A$7:$N$160,14,FALSE),0)+
IFERROR(VLOOKUP(A36,'Centre WP13'!$A$7:$N$160,14,FALSE),0)</f>
        <v>1.3</v>
      </c>
    </row>
    <row r="37" spans="1:14" hidden="1" outlineLevel="1" x14ac:dyDescent="0.2">
      <c r="A37" s="9" t="s">
        <v>83</v>
      </c>
      <c r="B37" s="1" t="s">
        <v>84</v>
      </c>
      <c r="C37" s="10">
        <f>IFERROR(VLOOKUP(A37,'Centre DW13'!$A$7:$N$160,3,FALSE),0)+
IFERROR(VLOOKUP(A37,'Centre WR13'!$A$7:$N$160,3,FALSE),0)+
IFERROR(VLOOKUP(A37,'Centre WP13'!$A$7:$N$160,3,FALSE),0)</f>
        <v>0</v>
      </c>
      <c r="D37" s="10">
        <f>IFERROR(VLOOKUP(A37,'Centre DW13'!$A$7:$N$160,4,FALSE),0)+
IFERROR(VLOOKUP(A37,'Centre WR13'!$A$7:$N$160,4,FALSE),0)+
IFERROR(VLOOKUP(A37,'Centre WP13'!$A$7:$N$160,4,FALSE),0)</f>
        <v>0</v>
      </c>
      <c r="E37" s="10">
        <f>IFERROR(VLOOKUP(A37,'Centre DW13'!$A$7:$N$160,5,FALSE),0)+
IFERROR(VLOOKUP(A37,'Centre WR13'!$A$7:$N$160,5,FALSE),0)+
IFERROR(VLOOKUP(A37,'Centre WP13'!$A$7:$N$160,5,FALSE),0)</f>
        <v>0</v>
      </c>
      <c r="F37" s="10">
        <f>IFERROR(VLOOKUP(A37,'Centre DW13'!$A$7:$N$160,6,FALSE),0)+
IFERROR(VLOOKUP(A37,'Centre WR13'!$A$7:$N$160,6,FALSE),0)+
IFERROR(VLOOKUP(A37,'Centre WP13'!$A$7:$N$160,6,FALSE),0)</f>
        <v>0</v>
      </c>
      <c r="G37" s="10">
        <f>IFERROR(VLOOKUP(A37,'Centre DW13'!$A$7:$N$160,7,FALSE),0)+
IFERROR(VLOOKUP(A37,'Centre WR13'!$A$7:$N$160,7,FALSE),0)+
IFERROR(VLOOKUP(A37,'Centre WP13'!$A$7:$N$160,7,FALSE),0)</f>
        <v>0</v>
      </c>
      <c r="H37" s="10">
        <f>IFERROR(VLOOKUP(A37,'Centre DW13'!$A$7:$N$160,8,FALSE),0)+
IFERROR(VLOOKUP(A37,'Centre WR13'!$A$7:$N$160,8,FALSE),0)+
IFERROR(VLOOKUP(A37,'Centre WP13'!$A$7:$N$160,8,FALSE),0)</f>
        <v>0</v>
      </c>
      <c r="I37" s="10">
        <f>IFERROR(VLOOKUP(A37,'Centre DW13'!$A$7:$N$160,9,FALSE),0)+
IFERROR(VLOOKUP(A37,'Centre WR13'!$A$7:$N$160,9,FALSE),0)+
IFERROR(VLOOKUP(A37,'Centre WP13'!$A$7:$N$160,9,FALSE),0)</f>
        <v>0</v>
      </c>
      <c r="J37" s="24">
        <f>IFERROR(VLOOKUP(A37,'Centre DW13'!$A$7:$N$160,10,FALSE),0)+
IFERROR(VLOOKUP(A37,'Centre WR13'!$A$7:$N$160,10,FALSE),0)+
IFERROR(VLOOKUP(A37,'Centre WP13'!$A$7:$N$160,10,FALSE),0)</f>
        <v>0</v>
      </c>
      <c r="K37" s="24">
        <f>IFERROR(VLOOKUP(A37,'Centre DW13'!$A$7:$N$160,11,FALSE),0)+
IFERROR(VLOOKUP(A37,'Centre WR13'!$A$7:$N$160,11,FALSE),0)+
IFERROR(VLOOKUP(A37,'Centre WP13'!$A$7:$N$160,11,FALSE),0)</f>
        <v>0</v>
      </c>
      <c r="L37" s="24">
        <f>IFERROR(VLOOKUP(A37,'Centre DW13'!$A$7:$N$160,12,FALSE),0)+
IFERROR(VLOOKUP(A37,'Centre WR13'!$A$7:$N$160,12,FALSE),0)+
IFERROR(VLOOKUP(A37,'Centre WP13'!$A$7:$N$160,12,FALSE),0)</f>
        <v>0</v>
      </c>
      <c r="M37" s="24">
        <f>IFERROR(VLOOKUP(A37,'Centre DW13'!$A$7:$N$160,13,FALSE),0)+
IFERROR(VLOOKUP(A37,'Centre WR13'!$A$7:$N$160,13,FALSE),0)+
IFERROR(VLOOKUP(A37,'Centre WP13'!$A$7:$N$160,13,FALSE),0)</f>
        <v>0</v>
      </c>
      <c r="N37" s="24">
        <f>IFERROR(VLOOKUP(A37,'Centre DW13'!$A$7:$N$160,14,FALSE),0)+
IFERROR(VLOOKUP(A37,'Centre WR13'!$A$7:$N$160,14,FALSE),0)+
IFERROR(VLOOKUP(A37,'Centre WP13'!$A$7:$N$160,14,FALSE),0)</f>
        <v>0</v>
      </c>
    </row>
    <row r="38" spans="1:14" hidden="1" outlineLevel="1" x14ac:dyDescent="0.2">
      <c r="A38" s="9" t="s">
        <v>85</v>
      </c>
      <c r="B38" s="1" t="s">
        <v>86</v>
      </c>
      <c r="C38" s="10">
        <f>IFERROR(VLOOKUP(A38,'Centre DW13'!$A$7:$N$160,3,FALSE),0)+
IFERROR(VLOOKUP(A38,'Centre WR13'!$A$7:$N$160,3,FALSE),0)+
IFERROR(VLOOKUP(A38,'Centre WP13'!$A$7:$N$160,3,FALSE),0)</f>
        <v>0.1</v>
      </c>
      <c r="D38" s="10">
        <f>IFERROR(VLOOKUP(A38,'Centre DW13'!$A$7:$N$160,4,FALSE),0)+
IFERROR(VLOOKUP(A38,'Centre WR13'!$A$7:$N$160,4,FALSE),0)+
IFERROR(VLOOKUP(A38,'Centre WP13'!$A$7:$N$160,4,FALSE),0)</f>
        <v>0.1</v>
      </c>
      <c r="E38" s="10">
        <f>IFERROR(VLOOKUP(A38,'Centre DW13'!$A$7:$N$160,5,FALSE),0)+
IFERROR(VLOOKUP(A38,'Centre WR13'!$A$7:$N$160,5,FALSE),0)+
IFERROR(VLOOKUP(A38,'Centre WP13'!$A$7:$N$160,5,FALSE),0)</f>
        <v>0.1</v>
      </c>
      <c r="F38" s="10">
        <f>IFERROR(VLOOKUP(A38,'Centre DW13'!$A$7:$N$160,6,FALSE),0)+
IFERROR(VLOOKUP(A38,'Centre WR13'!$A$7:$N$160,6,FALSE),0)+
IFERROR(VLOOKUP(A38,'Centre WP13'!$A$7:$N$160,6,FALSE),0)</f>
        <v>0.1</v>
      </c>
      <c r="G38" s="10">
        <f>IFERROR(VLOOKUP(A38,'Centre DW13'!$A$7:$N$160,7,FALSE),0)+
IFERROR(VLOOKUP(A38,'Centre WR13'!$A$7:$N$160,7,FALSE),0)+
IFERROR(VLOOKUP(A38,'Centre WP13'!$A$7:$N$160,7,FALSE),0)</f>
        <v>0.1</v>
      </c>
      <c r="H38" s="10">
        <f>IFERROR(VLOOKUP(A38,'Centre DW13'!$A$7:$N$160,8,FALSE),0)+
IFERROR(VLOOKUP(A38,'Centre WR13'!$A$7:$N$160,8,FALSE),0)+
IFERROR(VLOOKUP(A38,'Centre WP13'!$A$7:$N$160,8,FALSE),0)</f>
        <v>0.1</v>
      </c>
      <c r="I38" s="10">
        <f>IFERROR(VLOOKUP(A38,'Centre DW13'!$A$7:$N$160,9,FALSE),0)+
IFERROR(VLOOKUP(A38,'Centre WR13'!$A$7:$N$160,9,FALSE),0)+
IFERROR(VLOOKUP(A38,'Centre WP13'!$A$7:$N$160,9,FALSE),0)</f>
        <v>0.1</v>
      </c>
      <c r="J38" s="24">
        <f>IFERROR(VLOOKUP(A38,'Centre DW13'!$A$7:$N$160,10,FALSE),0)+
IFERROR(VLOOKUP(A38,'Centre WR13'!$A$7:$N$160,10,FALSE),0)+
IFERROR(VLOOKUP(A38,'Centre WP13'!$A$7:$N$160,10,FALSE),0)</f>
        <v>0.1</v>
      </c>
      <c r="K38" s="24">
        <f>IFERROR(VLOOKUP(A38,'Centre DW13'!$A$7:$N$160,11,FALSE),0)+
IFERROR(VLOOKUP(A38,'Centre WR13'!$A$7:$N$160,11,FALSE),0)+
IFERROR(VLOOKUP(A38,'Centre WP13'!$A$7:$N$160,11,FALSE),0)</f>
        <v>0.1</v>
      </c>
      <c r="L38" s="24">
        <f>IFERROR(VLOOKUP(A38,'Centre DW13'!$A$7:$N$160,12,FALSE),0)+
IFERROR(VLOOKUP(A38,'Centre WR13'!$A$7:$N$160,12,FALSE),0)+
IFERROR(VLOOKUP(A38,'Centre WP13'!$A$7:$N$160,12,FALSE),0)</f>
        <v>0.1</v>
      </c>
      <c r="M38" s="24">
        <f>IFERROR(VLOOKUP(A38,'Centre DW13'!$A$7:$N$160,13,FALSE),0)+
IFERROR(VLOOKUP(A38,'Centre WR13'!$A$7:$N$160,13,FALSE),0)+
IFERROR(VLOOKUP(A38,'Centre WP13'!$A$7:$N$160,13,FALSE),0)</f>
        <v>0.1</v>
      </c>
      <c r="N38" s="24">
        <f>IFERROR(VLOOKUP(A38,'Centre DW13'!$A$7:$N$160,14,FALSE),0)+
IFERROR(VLOOKUP(A38,'Centre WR13'!$A$7:$N$160,14,FALSE),0)+
IFERROR(VLOOKUP(A38,'Centre WP13'!$A$7:$N$160,14,FALSE),0)</f>
        <v>0.1</v>
      </c>
    </row>
    <row r="39" spans="1:14" hidden="1" outlineLevel="1" x14ac:dyDescent="0.2">
      <c r="A39" s="9" t="s">
        <v>87</v>
      </c>
      <c r="B39" s="1" t="s">
        <v>88</v>
      </c>
      <c r="C39" s="10">
        <f>IFERROR(VLOOKUP(A39,'Centre DW13'!$A$7:$N$160,3,FALSE),0)+
IFERROR(VLOOKUP(A39,'Centre WR13'!$A$7:$N$160,3,FALSE),0)+
IFERROR(VLOOKUP(A39,'Centre WP13'!$A$7:$N$160,3,FALSE),0)</f>
        <v>0.7</v>
      </c>
      <c r="D39" s="10">
        <f>IFERROR(VLOOKUP(A39,'Centre DW13'!$A$7:$N$160,4,FALSE),0)+
IFERROR(VLOOKUP(A39,'Centre WR13'!$A$7:$N$160,4,FALSE),0)+
IFERROR(VLOOKUP(A39,'Centre WP13'!$A$7:$N$160,4,FALSE),0)</f>
        <v>0.7</v>
      </c>
      <c r="E39" s="10">
        <f>IFERROR(VLOOKUP(A39,'Centre DW13'!$A$7:$N$160,5,FALSE),0)+
IFERROR(VLOOKUP(A39,'Centre WR13'!$A$7:$N$160,5,FALSE),0)+
IFERROR(VLOOKUP(A39,'Centre WP13'!$A$7:$N$160,5,FALSE),0)</f>
        <v>0.6</v>
      </c>
      <c r="F39" s="10">
        <f>IFERROR(VLOOKUP(A39,'Centre DW13'!$A$7:$N$160,6,FALSE),0)+
IFERROR(VLOOKUP(A39,'Centre WR13'!$A$7:$N$160,6,FALSE),0)+
IFERROR(VLOOKUP(A39,'Centre WP13'!$A$7:$N$160,6,FALSE),0)</f>
        <v>0.6</v>
      </c>
      <c r="G39" s="10">
        <f>IFERROR(VLOOKUP(A39,'Centre DW13'!$A$7:$N$160,7,FALSE),0)+
IFERROR(VLOOKUP(A39,'Centre WR13'!$A$7:$N$160,7,FALSE),0)+
IFERROR(VLOOKUP(A39,'Centre WP13'!$A$7:$N$160,7,FALSE),0)</f>
        <v>0.6</v>
      </c>
      <c r="H39" s="10">
        <f>IFERROR(VLOOKUP(A39,'Centre DW13'!$A$7:$N$160,8,FALSE),0)+
IFERROR(VLOOKUP(A39,'Centre WR13'!$A$7:$N$160,8,FALSE),0)+
IFERROR(VLOOKUP(A39,'Centre WP13'!$A$7:$N$160,8,FALSE),0)</f>
        <v>0.6</v>
      </c>
      <c r="I39" s="10">
        <f>IFERROR(VLOOKUP(A39,'Centre DW13'!$A$7:$N$160,9,FALSE),0)+
IFERROR(VLOOKUP(A39,'Centre WR13'!$A$7:$N$160,9,FALSE),0)+
IFERROR(VLOOKUP(A39,'Centre WP13'!$A$7:$N$160,9,FALSE),0)</f>
        <v>0.9</v>
      </c>
      <c r="J39" s="24">
        <f>IFERROR(VLOOKUP(A39,'Centre DW13'!$A$7:$N$160,10,FALSE),0)+
IFERROR(VLOOKUP(A39,'Centre WR13'!$A$7:$N$160,10,FALSE),0)+
IFERROR(VLOOKUP(A39,'Centre WP13'!$A$7:$N$160,10,FALSE),0)</f>
        <v>0.7</v>
      </c>
      <c r="K39" s="24">
        <f>IFERROR(VLOOKUP(A39,'Centre DW13'!$A$7:$N$160,11,FALSE),0)+
IFERROR(VLOOKUP(A39,'Centre WR13'!$A$7:$N$160,11,FALSE),0)+
IFERROR(VLOOKUP(A39,'Centre WP13'!$A$7:$N$160,11,FALSE),0)</f>
        <v>0.7</v>
      </c>
      <c r="L39" s="24">
        <f>IFERROR(VLOOKUP(A39,'Centre DW13'!$A$7:$N$160,12,FALSE),0)+
IFERROR(VLOOKUP(A39,'Centre WR13'!$A$7:$N$160,12,FALSE),0)+
IFERROR(VLOOKUP(A39,'Centre WP13'!$A$7:$N$160,12,FALSE),0)</f>
        <v>0.6</v>
      </c>
      <c r="M39" s="24">
        <f>IFERROR(VLOOKUP(A39,'Centre DW13'!$A$7:$N$160,13,FALSE),0)+
IFERROR(VLOOKUP(A39,'Centre WR13'!$A$7:$N$160,13,FALSE),0)+
IFERROR(VLOOKUP(A39,'Centre WP13'!$A$7:$N$160,13,FALSE),0)</f>
        <v>0.9</v>
      </c>
      <c r="N39" s="24">
        <f>IFERROR(VLOOKUP(A39,'Centre DW13'!$A$7:$N$160,14,FALSE),0)+
IFERROR(VLOOKUP(A39,'Centre WR13'!$A$7:$N$160,14,FALSE),0)+
IFERROR(VLOOKUP(A39,'Centre WP13'!$A$7:$N$160,14,FALSE),0)</f>
        <v>0.6</v>
      </c>
    </row>
    <row r="40" spans="1:14" hidden="1" outlineLevel="1" x14ac:dyDescent="0.2">
      <c r="A40" s="9" t="s">
        <v>89</v>
      </c>
      <c r="B40" s="1" t="s">
        <v>90</v>
      </c>
      <c r="C40" s="10">
        <f>IFERROR(VLOOKUP(A40,'Centre DW13'!$A$7:$N$160,3,FALSE),0)+
IFERROR(VLOOKUP(A40,'Centre WR13'!$A$7:$N$160,3,FALSE),0)+
IFERROR(VLOOKUP(A40,'Centre WP13'!$A$7:$N$160,3,FALSE),0)</f>
        <v>0.7</v>
      </c>
      <c r="D40" s="10">
        <f>IFERROR(VLOOKUP(A40,'Centre DW13'!$A$7:$N$160,4,FALSE),0)+
IFERROR(VLOOKUP(A40,'Centre WR13'!$A$7:$N$160,4,FALSE),0)+
IFERROR(VLOOKUP(A40,'Centre WP13'!$A$7:$N$160,4,FALSE),0)</f>
        <v>0.60000000000000009</v>
      </c>
      <c r="E40" s="10">
        <f>IFERROR(VLOOKUP(A40,'Centre DW13'!$A$7:$N$160,5,FALSE),0)+
IFERROR(VLOOKUP(A40,'Centre WR13'!$A$7:$N$160,5,FALSE),0)+
IFERROR(VLOOKUP(A40,'Centre WP13'!$A$7:$N$160,5,FALSE),0)</f>
        <v>0.5</v>
      </c>
      <c r="F40" s="10">
        <f>IFERROR(VLOOKUP(A40,'Centre DW13'!$A$7:$N$160,6,FALSE),0)+
IFERROR(VLOOKUP(A40,'Centre WR13'!$A$7:$N$160,6,FALSE),0)+
IFERROR(VLOOKUP(A40,'Centre WP13'!$A$7:$N$160,6,FALSE),0)</f>
        <v>0.8</v>
      </c>
      <c r="G40" s="10">
        <f>IFERROR(VLOOKUP(A40,'Centre DW13'!$A$7:$N$160,7,FALSE),0)+
IFERROR(VLOOKUP(A40,'Centre WR13'!$A$7:$N$160,7,FALSE),0)+
IFERROR(VLOOKUP(A40,'Centre WP13'!$A$7:$N$160,7,FALSE),0)</f>
        <v>0.6</v>
      </c>
      <c r="H40" s="10">
        <f>IFERROR(VLOOKUP(A40,'Centre DW13'!$A$7:$N$160,8,FALSE),0)+
IFERROR(VLOOKUP(A40,'Centre WR13'!$A$7:$N$160,8,FALSE),0)+
IFERROR(VLOOKUP(A40,'Centre WP13'!$A$7:$N$160,8,FALSE),0)</f>
        <v>1</v>
      </c>
      <c r="I40" s="10">
        <f>IFERROR(VLOOKUP(A40,'Centre DW13'!$A$7:$N$160,9,FALSE),0)+
IFERROR(VLOOKUP(A40,'Centre WR13'!$A$7:$N$160,9,FALSE),0)+
IFERROR(VLOOKUP(A40,'Centre WP13'!$A$7:$N$160,9,FALSE),0)</f>
        <v>0.6</v>
      </c>
      <c r="J40" s="24">
        <f>IFERROR(VLOOKUP(A40,'Centre DW13'!$A$7:$N$160,10,FALSE),0)+
IFERROR(VLOOKUP(A40,'Centre WR13'!$A$7:$N$160,10,FALSE),0)+
IFERROR(VLOOKUP(A40,'Centre WP13'!$A$7:$N$160,10,FALSE),0)</f>
        <v>0.60000000000000009</v>
      </c>
      <c r="K40" s="24">
        <f>IFERROR(VLOOKUP(A40,'Centre DW13'!$A$7:$N$160,11,FALSE),0)+
IFERROR(VLOOKUP(A40,'Centre WR13'!$A$7:$N$160,11,FALSE),0)+
IFERROR(VLOOKUP(A40,'Centre WP13'!$A$7:$N$160,11,FALSE),0)</f>
        <v>0.7</v>
      </c>
      <c r="L40" s="24">
        <f>IFERROR(VLOOKUP(A40,'Centre DW13'!$A$7:$N$160,12,FALSE),0)+
IFERROR(VLOOKUP(A40,'Centre WR13'!$A$7:$N$160,12,FALSE),0)+
IFERROR(VLOOKUP(A40,'Centre WP13'!$A$7:$N$160,12,FALSE),0)</f>
        <v>0.6</v>
      </c>
      <c r="M40" s="24">
        <f>IFERROR(VLOOKUP(A40,'Centre DW13'!$A$7:$N$160,13,FALSE),0)+
IFERROR(VLOOKUP(A40,'Centre WR13'!$A$7:$N$160,13,FALSE),0)+
IFERROR(VLOOKUP(A40,'Centre WP13'!$A$7:$N$160,13,FALSE),0)</f>
        <v>1.2</v>
      </c>
      <c r="N40" s="24">
        <f>IFERROR(VLOOKUP(A40,'Centre DW13'!$A$7:$N$160,14,FALSE),0)+
IFERROR(VLOOKUP(A40,'Centre WR13'!$A$7:$N$160,14,FALSE),0)+
IFERROR(VLOOKUP(A40,'Centre WP13'!$A$7:$N$160,14,FALSE),0)</f>
        <v>0.5</v>
      </c>
    </row>
    <row r="41" spans="1:14" hidden="1" outlineLevel="1" x14ac:dyDescent="0.2">
      <c r="A41" s="9" t="s">
        <v>91</v>
      </c>
      <c r="B41" s="1" t="s">
        <v>92</v>
      </c>
      <c r="C41" s="10">
        <f>IFERROR(VLOOKUP(A41,'Centre DW13'!$A$7:$N$160,3,FALSE),0)+
IFERROR(VLOOKUP(A41,'Centre WR13'!$A$7:$N$160,3,FALSE),0)+
IFERROR(VLOOKUP(A41,'Centre WP13'!$A$7:$N$160,3,FALSE),0)</f>
        <v>0</v>
      </c>
      <c r="D41" s="10">
        <f>IFERROR(VLOOKUP(A41,'Centre DW13'!$A$7:$N$160,4,FALSE),0)+
IFERROR(VLOOKUP(A41,'Centre WR13'!$A$7:$N$160,4,FALSE),0)+
IFERROR(VLOOKUP(A41,'Centre WP13'!$A$7:$N$160,4,FALSE),0)</f>
        <v>0</v>
      </c>
      <c r="E41" s="10">
        <f>IFERROR(VLOOKUP(A41,'Centre DW13'!$A$7:$N$160,5,FALSE),0)+
IFERROR(VLOOKUP(A41,'Centre WR13'!$A$7:$N$160,5,FALSE),0)+
IFERROR(VLOOKUP(A41,'Centre WP13'!$A$7:$N$160,5,FALSE),0)</f>
        <v>0</v>
      </c>
      <c r="F41" s="10">
        <f>IFERROR(VLOOKUP(A41,'Centre DW13'!$A$7:$N$160,6,FALSE),0)+
IFERROR(VLOOKUP(A41,'Centre WR13'!$A$7:$N$160,6,FALSE),0)+
IFERROR(VLOOKUP(A41,'Centre WP13'!$A$7:$N$160,6,FALSE),0)</f>
        <v>5.9</v>
      </c>
      <c r="G41" s="10">
        <f>IFERROR(VLOOKUP(A41,'Centre DW13'!$A$7:$N$160,7,FALSE),0)+
IFERROR(VLOOKUP(A41,'Centre WR13'!$A$7:$N$160,7,FALSE),0)+
IFERROR(VLOOKUP(A41,'Centre WP13'!$A$7:$N$160,7,FALSE),0)</f>
        <v>0</v>
      </c>
      <c r="H41" s="10">
        <f>IFERROR(VLOOKUP(A41,'Centre DW13'!$A$7:$N$160,8,FALSE),0)+
IFERROR(VLOOKUP(A41,'Centre WR13'!$A$7:$N$160,8,FALSE),0)+
IFERROR(VLOOKUP(A41,'Centre WP13'!$A$7:$N$160,8,FALSE),0)</f>
        <v>0</v>
      </c>
      <c r="I41" s="10">
        <f>IFERROR(VLOOKUP(A41,'Centre DW13'!$A$7:$N$160,9,FALSE),0)+
IFERROR(VLOOKUP(A41,'Centre WR13'!$A$7:$N$160,9,FALSE),0)+
IFERROR(VLOOKUP(A41,'Centre WP13'!$A$7:$N$160,9,FALSE),0)</f>
        <v>0</v>
      </c>
      <c r="J41" s="24">
        <f>IFERROR(VLOOKUP(A41,'Centre DW13'!$A$7:$N$160,10,FALSE),0)+
IFERROR(VLOOKUP(A41,'Centre WR13'!$A$7:$N$160,10,FALSE),0)+
IFERROR(VLOOKUP(A41,'Centre WP13'!$A$7:$N$160,10,FALSE),0)</f>
        <v>0</v>
      </c>
      <c r="K41" s="24">
        <f>IFERROR(VLOOKUP(A41,'Centre DW13'!$A$7:$N$160,11,FALSE),0)+
IFERROR(VLOOKUP(A41,'Centre WR13'!$A$7:$N$160,11,FALSE),0)+
IFERROR(VLOOKUP(A41,'Centre WP13'!$A$7:$N$160,11,FALSE),0)</f>
        <v>0</v>
      </c>
      <c r="L41" s="24">
        <f>IFERROR(VLOOKUP(A41,'Centre DW13'!$A$7:$N$160,12,FALSE),0)+
IFERROR(VLOOKUP(A41,'Centre WR13'!$A$7:$N$160,12,FALSE),0)+
IFERROR(VLOOKUP(A41,'Centre WP13'!$A$7:$N$160,12,FALSE),0)</f>
        <v>0</v>
      </c>
      <c r="M41" s="24">
        <f>IFERROR(VLOOKUP(A41,'Centre DW13'!$A$7:$N$160,13,FALSE),0)+
IFERROR(VLOOKUP(A41,'Centre WR13'!$A$7:$N$160,13,FALSE),0)+
IFERROR(VLOOKUP(A41,'Centre WP13'!$A$7:$N$160,13,FALSE),0)</f>
        <v>5.9</v>
      </c>
      <c r="N41" s="24">
        <f>IFERROR(VLOOKUP(A41,'Centre DW13'!$A$7:$N$160,14,FALSE),0)+
IFERROR(VLOOKUP(A41,'Centre WR13'!$A$7:$N$160,14,FALSE),0)+
IFERROR(VLOOKUP(A41,'Centre WP13'!$A$7:$N$160,14,FALSE),0)</f>
        <v>0</v>
      </c>
    </row>
    <row r="42" spans="1:14" hidden="1" outlineLevel="1" x14ac:dyDescent="0.2">
      <c r="A42" s="9" t="s">
        <v>93</v>
      </c>
      <c r="B42" s="1" t="s">
        <v>94</v>
      </c>
      <c r="C42" s="10">
        <f>IFERROR(VLOOKUP(A42,'Centre DW13'!$A$7:$N$160,3,FALSE),0)+
IFERROR(VLOOKUP(A42,'Centre WR13'!$A$7:$N$160,3,FALSE),0)+
IFERROR(VLOOKUP(A42,'Centre WP13'!$A$7:$N$160,3,FALSE),0)</f>
        <v>0.8</v>
      </c>
      <c r="D42" s="10">
        <f>IFERROR(VLOOKUP(A42,'Centre DW13'!$A$7:$N$160,4,FALSE),0)+
IFERROR(VLOOKUP(A42,'Centre WR13'!$A$7:$N$160,4,FALSE),0)+
IFERROR(VLOOKUP(A42,'Centre WP13'!$A$7:$N$160,4,FALSE),0)</f>
        <v>0.7</v>
      </c>
      <c r="E42" s="10">
        <f>IFERROR(VLOOKUP(A42,'Centre DW13'!$A$7:$N$160,5,FALSE),0)+
IFERROR(VLOOKUP(A42,'Centre WR13'!$A$7:$N$160,5,FALSE),0)+
IFERROR(VLOOKUP(A42,'Centre WP13'!$A$7:$N$160,5,FALSE),0)</f>
        <v>0.7</v>
      </c>
      <c r="F42" s="10">
        <f>IFERROR(VLOOKUP(A42,'Centre DW13'!$A$7:$N$160,6,FALSE),0)+
IFERROR(VLOOKUP(A42,'Centre WR13'!$A$7:$N$160,6,FALSE),0)+
IFERROR(VLOOKUP(A42,'Centre WP13'!$A$7:$N$160,6,FALSE),0)</f>
        <v>1.7</v>
      </c>
      <c r="G42" s="10">
        <f>IFERROR(VLOOKUP(A42,'Centre DW13'!$A$7:$N$160,7,FALSE),0)+
IFERROR(VLOOKUP(A42,'Centre WR13'!$A$7:$N$160,7,FALSE),0)+
IFERROR(VLOOKUP(A42,'Centre WP13'!$A$7:$N$160,7,FALSE),0)</f>
        <v>0.5</v>
      </c>
      <c r="H42" s="10">
        <f>IFERROR(VLOOKUP(A42,'Centre DW13'!$A$7:$N$160,8,FALSE),0)+
IFERROR(VLOOKUP(A42,'Centre WR13'!$A$7:$N$160,8,FALSE),0)+
IFERROR(VLOOKUP(A42,'Centre WP13'!$A$7:$N$160,8,FALSE),0)</f>
        <v>1</v>
      </c>
      <c r="I42" s="10">
        <f>IFERROR(VLOOKUP(A42,'Centre DW13'!$A$7:$N$160,9,FALSE),0)+
IFERROR(VLOOKUP(A42,'Centre WR13'!$A$7:$N$160,9,FALSE),0)+
IFERROR(VLOOKUP(A42,'Centre WP13'!$A$7:$N$160,9,FALSE),0)</f>
        <v>0.7</v>
      </c>
      <c r="J42" s="24">
        <f>IFERROR(VLOOKUP(A42,'Centre DW13'!$A$7:$N$160,10,FALSE),0)+
IFERROR(VLOOKUP(A42,'Centre WR13'!$A$7:$N$160,10,FALSE),0)+
IFERROR(VLOOKUP(A42,'Centre WP13'!$A$7:$N$160,10,FALSE),0)</f>
        <v>0.7</v>
      </c>
      <c r="K42" s="24">
        <f>IFERROR(VLOOKUP(A42,'Centre DW13'!$A$7:$N$160,11,FALSE),0)+
IFERROR(VLOOKUP(A42,'Centre WR13'!$A$7:$N$160,11,FALSE),0)+
IFERROR(VLOOKUP(A42,'Centre WP13'!$A$7:$N$160,11,FALSE),0)</f>
        <v>0.89999999999999991</v>
      </c>
      <c r="L42" s="24">
        <f>IFERROR(VLOOKUP(A42,'Centre DW13'!$A$7:$N$160,12,FALSE),0)+
IFERROR(VLOOKUP(A42,'Centre WR13'!$A$7:$N$160,12,FALSE),0)+
IFERROR(VLOOKUP(A42,'Centre WP13'!$A$7:$N$160,12,FALSE),0)</f>
        <v>0.60000000000000009</v>
      </c>
      <c r="M42" s="24">
        <f>IFERROR(VLOOKUP(A42,'Centre DW13'!$A$7:$N$160,13,FALSE),0)+
IFERROR(VLOOKUP(A42,'Centre WR13'!$A$7:$N$160,13,FALSE),0)+
IFERROR(VLOOKUP(A42,'Centre WP13'!$A$7:$N$160,13,FALSE),0)</f>
        <v>1.9</v>
      </c>
      <c r="N42" s="24">
        <f>IFERROR(VLOOKUP(A42,'Centre DW13'!$A$7:$N$160,14,FALSE),0)+
IFERROR(VLOOKUP(A42,'Centre WR13'!$A$7:$N$160,14,FALSE),0)+
IFERROR(VLOOKUP(A42,'Centre WP13'!$A$7:$N$160,14,FALSE),0)</f>
        <v>0.6</v>
      </c>
    </row>
    <row r="43" spans="1:14" hidden="1" outlineLevel="1" x14ac:dyDescent="0.2">
      <c r="A43" s="9" t="s">
        <v>95</v>
      </c>
      <c r="B43" s="1" t="s">
        <v>96</v>
      </c>
      <c r="C43" s="10">
        <f>IFERROR(VLOOKUP(A43,'Centre DW13'!$A$7:$N$160,3,FALSE),0)+
IFERROR(VLOOKUP(A43,'Centre WR13'!$A$7:$N$160,3,FALSE),0)+
IFERROR(VLOOKUP(A43,'Centre WP13'!$A$7:$N$160,3,FALSE),0)</f>
        <v>0.1</v>
      </c>
      <c r="D43" s="10">
        <f>IFERROR(VLOOKUP(A43,'Centre DW13'!$A$7:$N$160,4,FALSE),0)+
IFERROR(VLOOKUP(A43,'Centre WR13'!$A$7:$N$160,4,FALSE),0)+
IFERROR(VLOOKUP(A43,'Centre WP13'!$A$7:$N$160,4,FALSE),0)</f>
        <v>0.1</v>
      </c>
      <c r="E43" s="10">
        <f>IFERROR(VLOOKUP(A43,'Centre DW13'!$A$7:$N$160,5,FALSE),0)+
IFERROR(VLOOKUP(A43,'Centre WR13'!$A$7:$N$160,5,FALSE),0)+
IFERROR(VLOOKUP(A43,'Centre WP13'!$A$7:$N$160,5,FALSE),0)</f>
        <v>0.1</v>
      </c>
      <c r="F43" s="10">
        <f>IFERROR(VLOOKUP(A43,'Centre DW13'!$A$7:$N$160,6,FALSE),0)+
IFERROR(VLOOKUP(A43,'Centre WR13'!$A$7:$N$160,6,FALSE),0)+
IFERROR(VLOOKUP(A43,'Centre WP13'!$A$7:$N$160,6,FALSE),0)</f>
        <v>0.1</v>
      </c>
      <c r="G43" s="10">
        <f>IFERROR(VLOOKUP(A43,'Centre DW13'!$A$7:$N$160,7,FALSE),0)+
IFERROR(VLOOKUP(A43,'Centre WR13'!$A$7:$N$160,7,FALSE),0)+
IFERROR(VLOOKUP(A43,'Centre WP13'!$A$7:$N$160,7,FALSE),0)</f>
        <v>0</v>
      </c>
      <c r="H43" s="10">
        <f>IFERROR(VLOOKUP(A43,'Centre DW13'!$A$7:$N$160,8,FALSE),0)+
IFERROR(VLOOKUP(A43,'Centre WR13'!$A$7:$N$160,8,FALSE),0)+
IFERROR(VLOOKUP(A43,'Centre WP13'!$A$7:$N$160,8,FALSE),0)</f>
        <v>0.3</v>
      </c>
      <c r="I43" s="10">
        <f>IFERROR(VLOOKUP(A43,'Centre DW13'!$A$7:$N$160,9,FALSE),0)+
IFERROR(VLOOKUP(A43,'Centre WR13'!$A$7:$N$160,9,FALSE),0)+
IFERROR(VLOOKUP(A43,'Centre WP13'!$A$7:$N$160,9,FALSE),0)</f>
        <v>0</v>
      </c>
      <c r="J43" s="24">
        <f>IFERROR(VLOOKUP(A43,'Centre DW13'!$A$7:$N$160,10,FALSE),0)+
IFERROR(VLOOKUP(A43,'Centre WR13'!$A$7:$N$160,10,FALSE),0)+
IFERROR(VLOOKUP(A43,'Centre WP13'!$A$7:$N$160,10,FALSE),0)</f>
        <v>0.1</v>
      </c>
      <c r="K43" s="24">
        <f>IFERROR(VLOOKUP(A43,'Centre DW13'!$A$7:$N$160,11,FALSE),0)+
IFERROR(VLOOKUP(A43,'Centre WR13'!$A$7:$N$160,11,FALSE),0)+
IFERROR(VLOOKUP(A43,'Centre WP13'!$A$7:$N$160,11,FALSE),0)</f>
        <v>0.1</v>
      </c>
      <c r="L43" s="24">
        <f>IFERROR(VLOOKUP(A43,'Centre DW13'!$A$7:$N$160,12,FALSE),0)+
IFERROR(VLOOKUP(A43,'Centre WR13'!$A$7:$N$160,12,FALSE),0)+
IFERROR(VLOOKUP(A43,'Centre WP13'!$A$7:$N$160,12,FALSE),0)</f>
        <v>0.1</v>
      </c>
      <c r="M43" s="24">
        <f>IFERROR(VLOOKUP(A43,'Centre DW13'!$A$7:$N$160,13,FALSE),0)+
IFERROR(VLOOKUP(A43,'Centre WR13'!$A$7:$N$160,13,FALSE),0)+
IFERROR(VLOOKUP(A43,'Centre WP13'!$A$7:$N$160,13,FALSE),0)</f>
        <v>0.4</v>
      </c>
      <c r="N43" s="24">
        <f>IFERROR(VLOOKUP(A43,'Centre DW13'!$A$7:$N$160,14,FALSE),0)+
IFERROR(VLOOKUP(A43,'Centre WR13'!$A$7:$N$160,14,FALSE),0)+
IFERROR(VLOOKUP(A43,'Centre WP13'!$A$7:$N$160,14,FALSE),0)</f>
        <v>0</v>
      </c>
    </row>
    <row r="44" spans="1:14" hidden="1" outlineLevel="1" x14ac:dyDescent="0.2">
      <c r="A44" s="9" t="s">
        <v>97</v>
      </c>
      <c r="B44" s="1" t="s">
        <v>98</v>
      </c>
      <c r="C44" s="10">
        <f>IFERROR(VLOOKUP(A44,'Centre DW13'!$A$7:$N$160,3,FALSE),0)+
IFERROR(VLOOKUP(A44,'Centre WR13'!$A$7:$N$160,3,FALSE),0)+
IFERROR(VLOOKUP(A44,'Centre WP13'!$A$7:$N$160,3,FALSE),0)</f>
        <v>0.4</v>
      </c>
      <c r="D44" s="10">
        <f>IFERROR(VLOOKUP(A44,'Centre DW13'!$A$7:$N$160,4,FALSE),0)+
IFERROR(VLOOKUP(A44,'Centre WR13'!$A$7:$N$160,4,FALSE),0)+
IFERROR(VLOOKUP(A44,'Centre WP13'!$A$7:$N$160,4,FALSE),0)</f>
        <v>0.3</v>
      </c>
      <c r="E44" s="10">
        <f>IFERROR(VLOOKUP(A44,'Centre DW13'!$A$7:$N$160,5,FALSE),0)+
IFERROR(VLOOKUP(A44,'Centre WR13'!$A$7:$N$160,5,FALSE),0)+
IFERROR(VLOOKUP(A44,'Centre WP13'!$A$7:$N$160,5,FALSE),0)</f>
        <v>0.9</v>
      </c>
      <c r="F44" s="10">
        <f>IFERROR(VLOOKUP(A44,'Centre DW13'!$A$7:$N$160,6,FALSE),0)+
IFERROR(VLOOKUP(A44,'Centre WR13'!$A$7:$N$160,6,FALSE),0)+
IFERROR(VLOOKUP(A44,'Centre WP13'!$A$7:$N$160,6,FALSE),0)</f>
        <v>0.7</v>
      </c>
      <c r="G44" s="10">
        <f>IFERROR(VLOOKUP(A44,'Centre DW13'!$A$7:$N$160,7,FALSE),0)+
IFERROR(VLOOKUP(A44,'Centre WR13'!$A$7:$N$160,7,FALSE),0)+
IFERROR(VLOOKUP(A44,'Centre WP13'!$A$7:$N$160,7,FALSE),0)</f>
        <v>0.4</v>
      </c>
      <c r="H44" s="10">
        <f>IFERROR(VLOOKUP(A44,'Centre DW13'!$A$7:$N$160,8,FALSE),0)+
IFERROR(VLOOKUP(A44,'Centre WR13'!$A$7:$N$160,8,FALSE),0)+
IFERROR(VLOOKUP(A44,'Centre WP13'!$A$7:$N$160,8,FALSE),0)</f>
        <v>1.8</v>
      </c>
      <c r="I44" s="10">
        <f>IFERROR(VLOOKUP(A44,'Centre DW13'!$A$7:$N$160,9,FALSE),0)+
IFERROR(VLOOKUP(A44,'Centre WR13'!$A$7:$N$160,9,FALSE),0)+
IFERROR(VLOOKUP(A44,'Centre WP13'!$A$7:$N$160,9,FALSE),0)</f>
        <v>1.6</v>
      </c>
      <c r="J44" s="24">
        <f>IFERROR(VLOOKUP(A44,'Centre DW13'!$A$7:$N$160,10,FALSE),0)+
IFERROR(VLOOKUP(A44,'Centre WR13'!$A$7:$N$160,10,FALSE),0)+
IFERROR(VLOOKUP(A44,'Centre WP13'!$A$7:$N$160,10,FALSE),0)</f>
        <v>0.9</v>
      </c>
      <c r="K44" s="24">
        <f>IFERROR(VLOOKUP(A44,'Centre DW13'!$A$7:$N$160,11,FALSE),0)+
IFERROR(VLOOKUP(A44,'Centre WR13'!$A$7:$N$160,11,FALSE),0)+
IFERROR(VLOOKUP(A44,'Centre WP13'!$A$7:$N$160,11,FALSE),0)</f>
        <v>0.7</v>
      </c>
      <c r="L44" s="24">
        <f>IFERROR(VLOOKUP(A44,'Centre DW13'!$A$7:$N$160,12,FALSE),0)+
IFERROR(VLOOKUP(A44,'Centre WR13'!$A$7:$N$160,12,FALSE),0)+
IFERROR(VLOOKUP(A44,'Centre WP13'!$A$7:$N$160,12,FALSE),0)</f>
        <v>0.4</v>
      </c>
      <c r="M44" s="24">
        <f>IFERROR(VLOOKUP(A44,'Centre DW13'!$A$7:$N$160,13,FALSE),0)+
IFERROR(VLOOKUP(A44,'Centre WR13'!$A$7:$N$160,13,FALSE),0)+
IFERROR(VLOOKUP(A44,'Centre WP13'!$A$7:$N$160,13,FALSE),0)</f>
        <v>1.8</v>
      </c>
      <c r="N44" s="24">
        <f>IFERROR(VLOOKUP(A44,'Centre DW13'!$A$7:$N$160,14,FALSE),0)+
IFERROR(VLOOKUP(A44,'Centre WR13'!$A$7:$N$160,14,FALSE),0)+
IFERROR(VLOOKUP(A44,'Centre WP13'!$A$7:$N$160,14,FALSE),0)</f>
        <v>0.3</v>
      </c>
    </row>
    <row r="45" spans="1:14" hidden="1" outlineLevel="1" x14ac:dyDescent="0.2">
      <c r="A45" s="9" t="s">
        <v>303</v>
      </c>
      <c r="B45" s="1" t="s">
        <v>304</v>
      </c>
      <c r="C45" s="10">
        <f>IFERROR(VLOOKUP(A45,'Centre DW13'!$A$7:$N$160,3,FALSE),0)+
IFERROR(VLOOKUP(A45,'Centre WR13'!$A$7:$N$160,3,FALSE),0)+
IFERROR(VLOOKUP(A45,'Centre WP13'!$A$7:$N$160,3,FALSE),0)</f>
        <v>0</v>
      </c>
      <c r="D45" s="10">
        <f>IFERROR(VLOOKUP(A45,'Centre DW13'!$A$7:$N$160,4,FALSE),0)+
IFERROR(VLOOKUP(A45,'Centre WR13'!$A$7:$N$160,4,FALSE),0)+
IFERROR(VLOOKUP(A45,'Centre WP13'!$A$7:$N$160,4,FALSE),0)</f>
        <v>0</v>
      </c>
      <c r="E45" s="10">
        <f>IFERROR(VLOOKUP(A45,'Centre DW13'!$A$7:$N$160,5,FALSE),0)+
IFERROR(VLOOKUP(A45,'Centre WR13'!$A$7:$N$160,5,FALSE),0)+
IFERROR(VLOOKUP(A45,'Centre WP13'!$A$7:$N$160,5,FALSE),0)</f>
        <v>0</v>
      </c>
      <c r="F45" s="10">
        <f>IFERROR(VLOOKUP(A45,'Centre DW13'!$A$7:$N$160,6,FALSE),0)+
IFERROR(VLOOKUP(A45,'Centre WR13'!$A$7:$N$160,6,FALSE),0)+
IFERROR(VLOOKUP(A45,'Centre WP13'!$A$7:$N$160,6,FALSE),0)</f>
        <v>0</v>
      </c>
      <c r="G45" s="10">
        <f>IFERROR(VLOOKUP(A45,'Centre DW13'!$A$7:$N$160,7,FALSE),0)+
IFERROR(VLOOKUP(A45,'Centre WR13'!$A$7:$N$160,7,FALSE),0)+
IFERROR(VLOOKUP(A45,'Centre WP13'!$A$7:$N$160,7,FALSE),0)</f>
        <v>0</v>
      </c>
      <c r="H45" s="10">
        <f>IFERROR(VLOOKUP(A45,'Centre DW13'!$A$7:$N$160,8,FALSE),0)+
IFERROR(VLOOKUP(A45,'Centre WR13'!$A$7:$N$160,8,FALSE),0)+
IFERROR(VLOOKUP(A45,'Centre WP13'!$A$7:$N$160,8,FALSE),0)</f>
        <v>0</v>
      </c>
      <c r="I45" s="10">
        <f>IFERROR(VLOOKUP(A45,'Centre DW13'!$A$7:$N$160,9,FALSE),0)+
IFERROR(VLOOKUP(A45,'Centre WR13'!$A$7:$N$160,9,FALSE),0)+
IFERROR(VLOOKUP(A45,'Centre WP13'!$A$7:$N$160,9,FALSE),0)</f>
        <v>0.1</v>
      </c>
      <c r="J45" s="24">
        <f>IFERROR(VLOOKUP(A45,'Centre DW13'!$A$7:$N$160,10,FALSE),0)+
IFERROR(VLOOKUP(A45,'Centre WR13'!$A$7:$N$160,10,FALSE),0)+
IFERROR(VLOOKUP(A45,'Centre WP13'!$A$7:$N$160,10,FALSE),0)</f>
        <v>0</v>
      </c>
      <c r="K45" s="24">
        <f>IFERROR(VLOOKUP(A45,'Centre DW13'!$A$7:$N$160,11,FALSE),0)+
IFERROR(VLOOKUP(A45,'Centre WR13'!$A$7:$N$160,11,FALSE),0)+
IFERROR(VLOOKUP(A45,'Centre WP13'!$A$7:$N$160,11,FALSE),0)</f>
        <v>0</v>
      </c>
      <c r="L45" s="24">
        <f>IFERROR(VLOOKUP(A45,'Centre DW13'!$A$7:$N$160,12,FALSE),0)+
IFERROR(VLOOKUP(A45,'Centre WR13'!$A$7:$N$160,12,FALSE),0)+
IFERROR(VLOOKUP(A45,'Centre WP13'!$A$7:$N$160,12,FALSE),0)</f>
        <v>0</v>
      </c>
      <c r="M45" s="24">
        <f>IFERROR(VLOOKUP(A45,'Centre DW13'!$A$7:$N$160,13,FALSE),0)+
IFERROR(VLOOKUP(A45,'Centre WR13'!$A$7:$N$160,13,FALSE),0)+
IFERROR(VLOOKUP(A45,'Centre WP13'!$A$7:$N$160,13,FALSE),0)</f>
        <v>0</v>
      </c>
      <c r="N45" s="24">
        <f>IFERROR(VLOOKUP(A45,'Centre DW13'!$A$7:$N$160,14,FALSE),0)+
IFERROR(VLOOKUP(A45,'Centre WR13'!$A$7:$N$160,14,FALSE),0)+
IFERROR(VLOOKUP(A45,'Centre WP13'!$A$7:$N$160,14,FALSE),0)</f>
        <v>0</v>
      </c>
    </row>
    <row r="46" spans="1:14" hidden="1" outlineLevel="1" x14ac:dyDescent="0.2">
      <c r="A46" s="9" t="s">
        <v>99</v>
      </c>
      <c r="B46" s="1" t="s">
        <v>100</v>
      </c>
      <c r="C46" s="10">
        <f>IFERROR(VLOOKUP(A46,'Centre DW13'!$A$7:$N$160,3,FALSE),0)+
IFERROR(VLOOKUP(A46,'Centre WR13'!$A$7:$N$160,3,FALSE),0)+
IFERROR(VLOOKUP(A46,'Centre WP13'!$A$7:$N$160,3,FALSE),0)</f>
        <v>0</v>
      </c>
      <c r="D46" s="10">
        <f>IFERROR(VLOOKUP(A46,'Centre DW13'!$A$7:$N$160,4,FALSE),0)+
IFERROR(VLOOKUP(A46,'Centre WR13'!$A$7:$N$160,4,FALSE),0)+
IFERROR(VLOOKUP(A46,'Centre WP13'!$A$7:$N$160,4,FALSE),0)</f>
        <v>0</v>
      </c>
      <c r="E46" s="10">
        <f>IFERROR(VLOOKUP(A46,'Centre DW13'!$A$7:$N$160,5,FALSE),0)+
IFERROR(VLOOKUP(A46,'Centre WR13'!$A$7:$N$160,5,FALSE),0)+
IFERROR(VLOOKUP(A46,'Centre WP13'!$A$7:$N$160,5,FALSE),0)</f>
        <v>0</v>
      </c>
      <c r="F46" s="10">
        <f>IFERROR(VLOOKUP(A46,'Centre DW13'!$A$7:$N$160,6,FALSE),0)+
IFERROR(VLOOKUP(A46,'Centre WR13'!$A$7:$N$160,6,FALSE),0)+
IFERROR(VLOOKUP(A46,'Centre WP13'!$A$7:$N$160,6,FALSE),0)</f>
        <v>0</v>
      </c>
      <c r="G46" s="10">
        <f>IFERROR(VLOOKUP(A46,'Centre DW13'!$A$7:$N$160,7,FALSE),0)+
IFERROR(VLOOKUP(A46,'Centre WR13'!$A$7:$N$160,7,FALSE),0)+
IFERROR(VLOOKUP(A46,'Centre WP13'!$A$7:$N$160,7,FALSE),0)</f>
        <v>0</v>
      </c>
      <c r="H46" s="10">
        <f>IFERROR(VLOOKUP(A46,'Centre DW13'!$A$7:$N$160,8,FALSE),0)+
IFERROR(VLOOKUP(A46,'Centre WR13'!$A$7:$N$160,8,FALSE),0)+
IFERROR(VLOOKUP(A46,'Centre WP13'!$A$7:$N$160,8,FALSE),0)</f>
        <v>0</v>
      </c>
      <c r="I46" s="10">
        <f>IFERROR(VLOOKUP(A46,'Centre DW13'!$A$7:$N$160,9,FALSE),0)+
IFERROR(VLOOKUP(A46,'Centre WR13'!$A$7:$N$160,9,FALSE),0)+
IFERROR(VLOOKUP(A46,'Centre WP13'!$A$7:$N$160,9,FALSE),0)</f>
        <v>0</v>
      </c>
      <c r="J46" s="24">
        <f>IFERROR(VLOOKUP(A46,'Centre DW13'!$A$7:$N$160,10,FALSE),0)+
IFERROR(VLOOKUP(A46,'Centre WR13'!$A$7:$N$160,10,FALSE),0)+
IFERROR(VLOOKUP(A46,'Centre WP13'!$A$7:$N$160,10,FALSE),0)</f>
        <v>0</v>
      </c>
      <c r="K46" s="24">
        <f>IFERROR(VLOOKUP(A46,'Centre DW13'!$A$7:$N$160,11,FALSE),0)+
IFERROR(VLOOKUP(A46,'Centre WR13'!$A$7:$N$160,11,FALSE),0)+
IFERROR(VLOOKUP(A46,'Centre WP13'!$A$7:$N$160,11,FALSE),0)</f>
        <v>0</v>
      </c>
      <c r="L46" s="24">
        <f>IFERROR(VLOOKUP(A46,'Centre DW13'!$A$7:$N$160,12,FALSE),0)+
IFERROR(VLOOKUP(A46,'Centre WR13'!$A$7:$N$160,12,FALSE),0)+
IFERROR(VLOOKUP(A46,'Centre WP13'!$A$7:$N$160,12,FALSE),0)</f>
        <v>0</v>
      </c>
      <c r="M46" s="24">
        <f>IFERROR(VLOOKUP(A46,'Centre DW13'!$A$7:$N$160,13,FALSE),0)+
IFERROR(VLOOKUP(A46,'Centre WR13'!$A$7:$N$160,13,FALSE),0)+
IFERROR(VLOOKUP(A46,'Centre WP13'!$A$7:$N$160,13,FALSE),0)</f>
        <v>0</v>
      </c>
      <c r="N46" s="24">
        <f>IFERROR(VLOOKUP(A46,'Centre DW13'!$A$7:$N$160,14,FALSE),0)+
IFERROR(VLOOKUP(A46,'Centre WR13'!$A$7:$N$160,14,FALSE),0)+
IFERROR(VLOOKUP(A46,'Centre WP13'!$A$7:$N$160,14,FALSE),0)</f>
        <v>0</v>
      </c>
    </row>
    <row r="47" spans="1:14" hidden="1" outlineLevel="1" x14ac:dyDescent="0.2">
      <c r="A47" s="9" t="s">
        <v>101</v>
      </c>
      <c r="B47" s="1" t="s">
        <v>102</v>
      </c>
      <c r="C47" s="10">
        <f>IFERROR(VLOOKUP(A47,'Centre DW13'!$A$7:$N$160,3,FALSE),0)+
IFERROR(VLOOKUP(A47,'Centre WR13'!$A$7:$N$160,3,FALSE),0)+
IFERROR(VLOOKUP(A47,'Centre WP13'!$A$7:$N$160,3,FALSE),0)</f>
        <v>0</v>
      </c>
      <c r="D47" s="10">
        <f>IFERROR(VLOOKUP(A47,'Centre DW13'!$A$7:$N$160,4,FALSE),0)+
IFERROR(VLOOKUP(A47,'Centre WR13'!$A$7:$N$160,4,FALSE),0)+
IFERROR(VLOOKUP(A47,'Centre WP13'!$A$7:$N$160,4,FALSE),0)</f>
        <v>0.1</v>
      </c>
      <c r="E47" s="10">
        <f>IFERROR(VLOOKUP(A47,'Centre DW13'!$A$7:$N$160,5,FALSE),0)+
IFERROR(VLOOKUP(A47,'Centre WR13'!$A$7:$N$160,5,FALSE),0)+
IFERROR(VLOOKUP(A47,'Centre WP13'!$A$7:$N$160,5,FALSE),0)</f>
        <v>0</v>
      </c>
      <c r="F47" s="10">
        <f>IFERROR(VLOOKUP(A47,'Centre DW13'!$A$7:$N$160,6,FALSE),0)+
IFERROR(VLOOKUP(A47,'Centre WR13'!$A$7:$N$160,6,FALSE),0)+
IFERROR(VLOOKUP(A47,'Centre WP13'!$A$7:$N$160,6,FALSE),0)</f>
        <v>0</v>
      </c>
      <c r="G47" s="10">
        <f>IFERROR(VLOOKUP(A47,'Centre DW13'!$A$7:$N$160,7,FALSE),0)+
IFERROR(VLOOKUP(A47,'Centre WR13'!$A$7:$N$160,7,FALSE),0)+
IFERROR(VLOOKUP(A47,'Centre WP13'!$A$7:$N$160,7,FALSE),0)</f>
        <v>0.1</v>
      </c>
      <c r="H47" s="10">
        <f>IFERROR(VLOOKUP(A47,'Centre DW13'!$A$7:$N$160,8,FALSE),0)+
IFERROR(VLOOKUP(A47,'Centre WR13'!$A$7:$N$160,8,FALSE),0)+
IFERROR(VLOOKUP(A47,'Centre WP13'!$A$7:$N$160,8,FALSE),0)</f>
        <v>0</v>
      </c>
      <c r="I47" s="10">
        <f>IFERROR(VLOOKUP(A47,'Centre DW13'!$A$7:$N$160,9,FALSE),0)+
IFERROR(VLOOKUP(A47,'Centre WR13'!$A$7:$N$160,9,FALSE),0)+
IFERROR(VLOOKUP(A47,'Centre WP13'!$A$7:$N$160,9,FALSE),0)</f>
        <v>0</v>
      </c>
      <c r="J47" s="24">
        <f>IFERROR(VLOOKUP(A47,'Centre DW13'!$A$7:$N$160,10,FALSE),0)+
IFERROR(VLOOKUP(A47,'Centre WR13'!$A$7:$N$160,10,FALSE),0)+
IFERROR(VLOOKUP(A47,'Centre WP13'!$A$7:$N$160,10,FALSE),0)</f>
        <v>0</v>
      </c>
      <c r="K47" s="24">
        <f>IFERROR(VLOOKUP(A47,'Centre DW13'!$A$7:$N$160,11,FALSE),0)+
IFERROR(VLOOKUP(A47,'Centre WR13'!$A$7:$N$160,11,FALSE),0)+
IFERROR(VLOOKUP(A47,'Centre WP13'!$A$7:$N$160,11,FALSE),0)</f>
        <v>0</v>
      </c>
      <c r="L47" s="24">
        <f>IFERROR(VLOOKUP(A47,'Centre DW13'!$A$7:$N$160,12,FALSE),0)+
IFERROR(VLOOKUP(A47,'Centre WR13'!$A$7:$N$160,12,FALSE),0)+
IFERROR(VLOOKUP(A47,'Centre WP13'!$A$7:$N$160,12,FALSE),0)</f>
        <v>0.1</v>
      </c>
      <c r="M47" s="24">
        <f>IFERROR(VLOOKUP(A47,'Centre DW13'!$A$7:$N$160,13,FALSE),0)+
IFERROR(VLOOKUP(A47,'Centre WR13'!$A$7:$N$160,13,FALSE),0)+
IFERROR(VLOOKUP(A47,'Centre WP13'!$A$7:$N$160,13,FALSE),0)</f>
        <v>0</v>
      </c>
      <c r="N47" s="24">
        <f>IFERROR(VLOOKUP(A47,'Centre DW13'!$A$7:$N$160,14,FALSE),0)+
IFERROR(VLOOKUP(A47,'Centre WR13'!$A$7:$N$160,14,FALSE),0)+
IFERROR(VLOOKUP(A47,'Centre WP13'!$A$7:$N$160,14,FALSE),0)</f>
        <v>0.1</v>
      </c>
    </row>
    <row r="48" spans="1:14" hidden="1" outlineLevel="1" x14ac:dyDescent="0.2">
      <c r="A48" s="9" t="s">
        <v>103</v>
      </c>
      <c r="B48" s="1" t="s">
        <v>104</v>
      </c>
      <c r="C48" s="10">
        <f>IFERROR(VLOOKUP(A48,'Centre DW13'!$A$7:$N$160,3,FALSE),0)+
IFERROR(VLOOKUP(A48,'Centre WR13'!$A$7:$N$160,3,FALSE),0)+
IFERROR(VLOOKUP(A48,'Centre WP13'!$A$7:$N$160,3,FALSE),0)</f>
        <v>0.5</v>
      </c>
      <c r="D48" s="10">
        <f>IFERROR(VLOOKUP(A48,'Centre DW13'!$A$7:$N$160,4,FALSE),0)+
IFERROR(VLOOKUP(A48,'Centre WR13'!$A$7:$N$160,4,FALSE),0)+
IFERROR(VLOOKUP(A48,'Centre WP13'!$A$7:$N$160,4,FALSE),0)</f>
        <v>0.5</v>
      </c>
      <c r="E48" s="10">
        <f>IFERROR(VLOOKUP(A48,'Centre DW13'!$A$7:$N$160,5,FALSE),0)+
IFERROR(VLOOKUP(A48,'Centre WR13'!$A$7:$N$160,5,FALSE),0)+
IFERROR(VLOOKUP(A48,'Centre WP13'!$A$7:$N$160,5,FALSE),0)</f>
        <v>0.5</v>
      </c>
      <c r="F48" s="10">
        <f>IFERROR(VLOOKUP(A48,'Centre DW13'!$A$7:$N$160,6,FALSE),0)+
IFERROR(VLOOKUP(A48,'Centre WR13'!$A$7:$N$160,6,FALSE),0)+
IFERROR(VLOOKUP(A48,'Centre WP13'!$A$7:$N$160,6,FALSE),0)</f>
        <v>0.5</v>
      </c>
      <c r="G48" s="10">
        <f>IFERROR(VLOOKUP(A48,'Centre DW13'!$A$7:$N$160,7,FALSE),0)+
IFERROR(VLOOKUP(A48,'Centre WR13'!$A$7:$N$160,7,FALSE),0)+
IFERROR(VLOOKUP(A48,'Centre WP13'!$A$7:$N$160,7,FALSE),0)</f>
        <v>0.5</v>
      </c>
      <c r="H48" s="10">
        <f>IFERROR(VLOOKUP(A48,'Centre DW13'!$A$7:$N$160,8,FALSE),0)+
IFERROR(VLOOKUP(A48,'Centre WR13'!$A$7:$N$160,8,FALSE),0)+
IFERROR(VLOOKUP(A48,'Centre WP13'!$A$7:$N$160,8,FALSE),0)</f>
        <v>0.5</v>
      </c>
      <c r="I48" s="10">
        <f>IFERROR(VLOOKUP(A48,'Centre DW13'!$A$7:$N$160,9,FALSE),0)+
IFERROR(VLOOKUP(A48,'Centre WR13'!$A$7:$N$160,9,FALSE),0)+
IFERROR(VLOOKUP(A48,'Centre WP13'!$A$7:$N$160,9,FALSE),0)</f>
        <v>0.5</v>
      </c>
      <c r="J48" s="24">
        <f>IFERROR(VLOOKUP(A48,'Centre DW13'!$A$7:$N$160,10,FALSE),0)+
IFERROR(VLOOKUP(A48,'Centre WR13'!$A$7:$N$160,10,FALSE),0)+
IFERROR(VLOOKUP(A48,'Centre WP13'!$A$7:$N$160,10,FALSE),0)</f>
        <v>0.5</v>
      </c>
      <c r="K48" s="24">
        <f>IFERROR(VLOOKUP(A48,'Centre DW13'!$A$7:$N$160,11,FALSE),0)+
IFERROR(VLOOKUP(A48,'Centre WR13'!$A$7:$N$160,11,FALSE),0)+
IFERROR(VLOOKUP(A48,'Centre WP13'!$A$7:$N$160,11,FALSE),0)</f>
        <v>0.5</v>
      </c>
      <c r="L48" s="24">
        <f>IFERROR(VLOOKUP(A48,'Centre DW13'!$A$7:$N$160,12,FALSE),0)+
IFERROR(VLOOKUP(A48,'Centre WR13'!$A$7:$N$160,12,FALSE),0)+
IFERROR(VLOOKUP(A48,'Centre WP13'!$A$7:$N$160,12,FALSE),0)</f>
        <v>0.5</v>
      </c>
      <c r="M48" s="24">
        <f>IFERROR(VLOOKUP(A48,'Centre DW13'!$A$7:$N$160,13,FALSE),0)+
IFERROR(VLOOKUP(A48,'Centre WR13'!$A$7:$N$160,13,FALSE),0)+
IFERROR(VLOOKUP(A48,'Centre WP13'!$A$7:$N$160,13,FALSE),0)</f>
        <v>0.5</v>
      </c>
      <c r="N48" s="24">
        <f>IFERROR(VLOOKUP(A48,'Centre DW13'!$A$7:$N$160,14,FALSE),0)+
IFERROR(VLOOKUP(A48,'Centre WR13'!$A$7:$N$160,14,FALSE),0)+
IFERROR(VLOOKUP(A48,'Centre WP13'!$A$7:$N$160,14,FALSE),0)</f>
        <v>0.5</v>
      </c>
    </row>
    <row r="49" spans="1:14" hidden="1" outlineLevel="1" x14ac:dyDescent="0.2">
      <c r="A49" s="9" t="s">
        <v>305</v>
      </c>
      <c r="B49" s="1" t="s">
        <v>306</v>
      </c>
      <c r="C49" s="10">
        <f>IFERROR(VLOOKUP(A49,'Centre DW13'!$A$7:$N$160,3,FALSE),0)+
IFERROR(VLOOKUP(A49,'Centre WR13'!$A$7:$N$160,3,FALSE),0)+
IFERROR(VLOOKUP(A49,'Centre WP13'!$A$7:$N$160,3,FALSE),0)</f>
        <v>0</v>
      </c>
      <c r="D49" s="10">
        <f>IFERROR(VLOOKUP(A49,'Centre DW13'!$A$7:$N$160,4,FALSE),0)+
IFERROR(VLOOKUP(A49,'Centre WR13'!$A$7:$N$160,4,FALSE),0)+
IFERROR(VLOOKUP(A49,'Centre WP13'!$A$7:$N$160,4,FALSE),0)</f>
        <v>0</v>
      </c>
      <c r="E49" s="10">
        <f>IFERROR(VLOOKUP(A49,'Centre DW13'!$A$7:$N$160,5,FALSE),0)+
IFERROR(VLOOKUP(A49,'Centre WR13'!$A$7:$N$160,5,FALSE),0)+
IFERROR(VLOOKUP(A49,'Centre WP13'!$A$7:$N$160,5,FALSE),0)</f>
        <v>0</v>
      </c>
      <c r="F49" s="10">
        <f>IFERROR(VLOOKUP(A49,'Centre DW13'!$A$7:$N$160,6,FALSE),0)+
IFERROR(VLOOKUP(A49,'Centre WR13'!$A$7:$N$160,6,FALSE),0)+
IFERROR(VLOOKUP(A49,'Centre WP13'!$A$7:$N$160,6,FALSE),0)</f>
        <v>0</v>
      </c>
      <c r="G49" s="10">
        <f>IFERROR(VLOOKUP(A49,'Centre DW13'!$A$7:$N$160,7,FALSE),0)+
IFERROR(VLOOKUP(A49,'Centre WR13'!$A$7:$N$160,7,FALSE),0)+
IFERROR(VLOOKUP(A49,'Centre WP13'!$A$7:$N$160,7,FALSE),0)</f>
        <v>0</v>
      </c>
      <c r="H49" s="10">
        <f>IFERROR(VLOOKUP(A49,'Centre DW13'!$A$7:$N$160,8,FALSE),0)+
IFERROR(VLOOKUP(A49,'Centre WR13'!$A$7:$N$160,8,FALSE),0)+
IFERROR(VLOOKUP(A49,'Centre WP13'!$A$7:$N$160,8,FALSE),0)</f>
        <v>0</v>
      </c>
      <c r="I49" s="10">
        <f>IFERROR(VLOOKUP(A49,'Centre DW13'!$A$7:$N$160,9,FALSE),0)+
IFERROR(VLOOKUP(A49,'Centre WR13'!$A$7:$N$160,9,FALSE),0)+
IFERROR(VLOOKUP(A49,'Centre WP13'!$A$7:$N$160,9,FALSE),0)</f>
        <v>0</v>
      </c>
      <c r="J49" s="24">
        <f>IFERROR(VLOOKUP(A49,'Centre DW13'!$A$7:$N$160,10,FALSE),0)+
IFERROR(VLOOKUP(A49,'Centre WR13'!$A$7:$N$160,10,FALSE),0)+
IFERROR(VLOOKUP(A49,'Centre WP13'!$A$7:$N$160,10,FALSE),0)</f>
        <v>0</v>
      </c>
      <c r="K49" s="24">
        <f>IFERROR(VLOOKUP(A49,'Centre DW13'!$A$7:$N$160,11,FALSE),0)+
IFERROR(VLOOKUP(A49,'Centre WR13'!$A$7:$N$160,11,FALSE),0)+
IFERROR(VLOOKUP(A49,'Centre WP13'!$A$7:$N$160,11,FALSE),0)</f>
        <v>0</v>
      </c>
      <c r="L49" s="24">
        <f>IFERROR(VLOOKUP(A49,'Centre DW13'!$A$7:$N$160,12,FALSE),0)+
IFERROR(VLOOKUP(A49,'Centre WR13'!$A$7:$N$160,12,FALSE),0)+
IFERROR(VLOOKUP(A49,'Centre WP13'!$A$7:$N$160,12,FALSE),0)</f>
        <v>0</v>
      </c>
      <c r="M49" s="24">
        <f>IFERROR(VLOOKUP(A49,'Centre DW13'!$A$7:$N$160,13,FALSE),0)+
IFERROR(VLOOKUP(A49,'Centre WR13'!$A$7:$N$160,13,FALSE),0)+
IFERROR(VLOOKUP(A49,'Centre WP13'!$A$7:$N$160,13,FALSE),0)</f>
        <v>0</v>
      </c>
      <c r="N49" s="24">
        <f>IFERROR(VLOOKUP(A49,'Centre DW13'!$A$7:$N$160,14,FALSE),0)+
IFERROR(VLOOKUP(A49,'Centre WR13'!$A$7:$N$160,14,FALSE),0)+
IFERROR(VLOOKUP(A49,'Centre WP13'!$A$7:$N$160,14,FALSE),0)</f>
        <v>0</v>
      </c>
    </row>
    <row r="50" spans="1:14" hidden="1" outlineLevel="1" x14ac:dyDescent="0.2">
      <c r="A50" s="9" t="s">
        <v>105</v>
      </c>
      <c r="B50" s="1" t="s">
        <v>106</v>
      </c>
      <c r="C50" s="10">
        <f>IFERROR(VLOOKUP(A50,'Centre DW13'!$A$7:$N$160,3,FALSE),0)+
IFERROR(VLOOKUP(A50,'Centre WR13'!$A$7:$N$160,3,FALSE),0)+
IFERROR(VLOOKUP(A50,'Centre WP13'!$A$7:$N$160,3,FALSE),0)</f>
        <v>9</v>
      </c>
      <c r="D50" s="10">
        <f>IFERROR(VLOOKUP(A50,'Centre DW13'!$A$7:$N$160,4,FALSE),0)+
IFERROR(VLOOKUP(A50,'Centre WR13'!$A$7:$N$160,4,FALSE),0)+
IFERROR(VLOOKUP(A50,'Centre WP13'!$A$7:$N$160,4,FALSE),0)</f>
        <v>7</v>
      </c>
      <c r="E50" s="10">
        <f>IFERROR(VLOOKUP(A50,'Centre DW13'!$A$7:$N$160,5,FALSE),0)+
IFERROR(VLOOKUP(A50,'Centre WR13'!$A$7:$N$160,5,FALSE),0)+
IFERROR(VLOOKUP(A50,'Centre WP13'!$A$7:$N$160,5,FALSE),0)</f>
        <v>9</v>
      </c>
      <c r="F50" s="10">
        <f>IFERROR(VLOOKUP(A50,'Centre DW13'!$A$7:$N$160,6,FALSE),0)+
IFERROR(VLOOKUP(A50,'Centre WR13'!$A$7:$N$160,6,FALSE),0)+
IFERROR(VLOOKUP(A50,'Centre WP13'!$A$7:$N$160,6,FALSE),0)</f>
        <v>7</v>
      </c>
      <c r="G50" s="10">
        <f>IFERROR(VLOOKUP(A50,'Centre DW13'!$A$7:$N$160,7,FALSE),0)+
IFERROR(VLOOKUP(A50,'Centre WR13'!$A$7:$N$160,7,FALSE),0)+
IFERROR(VLOOKUP(A50,'Centre WP13'!$A$7:$N$160,7,FALSE),0)</f>
        <v>11</v>
      </c>
      <c r="H50" s="10">
        <f>IFERROR(VLOOKUP(A50,'Centre DW13'!$A$7:$N$160,8,FALSE),0)+
IFERROR(VLOOKUP(A50,'Centre WR13'!$A$7:$N$160,8,FALSE),0)+
IFERROR(VLOOKUP(A50,'Centre WP13'!$A$7:$N$160,8,FALSE),0)</f>
        <v>12</v>
      </c>
      <c r="I50" s="10">
        <f>IFERROR(VLOOKUP(A50,'Centre DW13'!$A$7:$N$160,9,FALSE),0)+
IFERROR(VLOOKUP(A50,'Centre WR13'!$A$7:$N$160,9,FALSE),0)+
IFERROR(VLOOKUP(A50,'Centre WP13'!$A$7:$N$160,9,FALSE),0)</f>
        <v>12</v>
      </c>
      <c r="J50" s="24">
        <f>IFERROR(VLOOKUP(A50,'Centre DW13'!$A$7:$N$160,10,FALSE),0)+
IFERROR(VLOOKUP(A50,'Centre WR13'!$A$7:$N$160,10,FALSE),0)+
IFERROR(VLOOKUP(A50,'Centre WP13'!$A$7:$N$160,10,FALSE),0)</f>
        <v>6</v>
      </c>
      <c r="K50" s="24">
        <f>IFERROR(VLOOKUP(A50,'Centre DW13'!$A$7:$N$160,11,FALSE),0)+
IFERROR(VLOOKUP(A50,'Centre WR13'!$A$7:$N$160,11,FALSE),0)+
IFERROR(VLOOKUP(A50,'Centre WP13'!$A$7:$N$160,11,FALSE),0)</f>
        <v>4</v>
      </c>
      <c r="L50" s="24">
        <f>IFERROR(VLOOKUP(A50,'Centre DW13'!$A$7:$N$160,12,FALSE),0)+
IFERROR(VLOOKUP(A50,'Centre WR13'!$A$7:$N$160,12,FALSE),0)+
IFERROR(VLOOKUP(A50,'Centre WP13'!$A$7:$N$160,12,FALSE),0)</f>
        <v>12</v>
      </c>
      <c r="M50" s="24">
        <f>IFERROR(VLOOKUP(A50,'Centre DW13'!$A$7:$N$160,13,FALSE),0)+
IFERROR(VLOOKUP(A50,'Centre WR13'!$A$7:$N$160,13,FALSE),0)+
IFERROR(VLOOKUP(A50,'Centre WP13'!$A$7:$N$160,13,FALSE),0)</f>
        <v>4</v>
      </c>
      <c r="N50" s="24">
        <f>IFERROR(VLOOKUP(A50,'Centre DW13'!$A$7:$N$160,14,FALSE),0)+
IFERROR(VLOOKUP(A50,'Centre WR13'!$A$7:$N$160,14,FALSE),0)+
IFERROR(VLOOKUP(A50,'Centre WP13'!$A$7:$N$160,14,FALSE),0)</f>
        <v>9</v>
      </c>
    </row>
    <row r="51" spans="1:14" hidden="1" outlineLevel="1" x14ac:dyDescent="0.2">
      <c r="A51" s="9" t="s">
        <v>107</v>
      </c>
      <c r="B51" s="1" t="s">
        <v>108</v>
      </c>
      <c r="C51" s="10">
        <f>IFERROR(VLOOKUP(A51,'Centre DW13'!$A$7:$N$160,3,FALSE),0)+
IFERROR(VLOOKUP(A51,'Centre WR13'!$A$7:$N$160,3,FALSE),0)+
IFERROR(VLOOKUP(A51,'Centre WP13'!$A$7:$N$160,3,FALSE),0)</f>
        <v>0.1</v>
      </c>
      <c r="D51" s="10">
        <f>IFERROR(VLOOKUP(A51,'Centre DW13'!$A$7:$N$160,4,FALSE),0)+
IFERROR(VLOOKUP(A51,'Centre WR13'!$A$7:$N$160,4,FALSE),0)+
IFERROR(VLOOKUP(A51,'Centre WP13'!$A$7:$N$160,4,FALSE),0)</f>
        <v>0</v>
      </c>
      <c r="E51" s="10">
        <f>IFERROR(VLOOKUP(A51,'Centre DW13'!$A$7:$N$160,5,FALSE),0)+
IFERROR(VLOOKUP(A51,'Centre WR13'!$A$7:$N$160,5,FALSE),0)+
IFERROR(VLOOKUP(A51,'Centre WP13'!$A$7:$N$160,5,FALSE),0)</f>
        <v>0</v>
      </c>
      <c r="F51" s="10">
        <f>IFERROR(VLOOKUP(A51,'Centre DW13'!$A$7:$N$160,6,FALSE),0)+
IFERROR(VLOOKUP(A51,'Centre WR13'!$A$7:$N$160,6,FALSE),0)+
IFERROR(VLOOKUP(A51,'Centre WP13'!$A$7:$N$160,6,FALSE),0)</f>
        <v>0</v>
      </c>
      <c r="G51" s="10">
        <f>IFERROR(VLOOKUP(A51,'Centre DW13'!$A$7:$N$160,7,FALSE),0)+
IFERROR(VLOOKUP(A51,'Centre WR13'!$A$7:$N$160,7,FALSE),0)+
IFERROR(VLOOKUP(A51,'Centre WP13'!$A$7:$N$160,7,FALSE),0)</f>
        <v>0</v>
      </c>
      <c r="H51" s="10">
        <f>IFERROR(VLOOKUP(A51,'Centre DW13'!$A$7:$N$160,8,FALSE),0)+
IFERROR(VLOOKUP(A51,'Centre WR13'!$A$7:$N$160,8,FALSE),0)+
IFERROR(VLOOKUP(A51,'Centre WP13'!$A$7:$N$160,8,FALSE),0)</f>
        <v>0.1</v>
      </c>
      <c r="I51" s="10">
        <f>IFERROR(VLOOKUP(A51,'Centre DW13'!$A$7:$N$160,9,FALSE),0)+
IFERROR(VLOOKUP(A51,'Centre WR13'!$A$7:$N$160,9,FALSE),0)+
IFERROR(VLOOKUP(A51,'Centre WP13'!$A$7:$N$160,9,FALSE),0)</f>
        <v>0.2</v>
      </c>
      <c r="J51" s="24">
        <f>IFERROR(VLOOKUP(A51,'Centre DW13'!$A$7:$N$160,10,FALSE),0)+
IFERROR(VLOOKUP(A51,'Centre WR13'!$A$7:$N$160,10,FALSE),0)+
IFERROR(VLOOKUP(A51,'Centre WP13'!$A$7:$N$160,10,FALSE),0)</f>
        <v>0</v>
      </c>
      <c r="K51" s="24">
        <f>IFERROR(VLOOKUP(A51,'Centre DW13'!$A$7:$N$160,11,FALSE),0)+
IFERROR(VLOOKUP(A51,'Centre WR13'!$A$7:$N$160,11,FALSE),0)+
IFERROR(VLOOKUP(A51,'Centre WP13'!$A$7:$N$160,11,FALSE),0)</f>
        <v>0</v>
      </c>
      <c r="L51" s="24">
        <f>IFERROR(VLOOKUP(A51,'Centre DW13'!$A$7:$N$160,12,FALSE),0)+
IFERROR(VLOOKUP(A51,'Centre WR13'!$A$7:$N$160,12,FALSE),0)+
IFERROR(VLOOKUP(A51,'Centre WP13'!$A$7:$N$160,12,FALSE),0)</f>
        <v>0</v>
      </c>
      <c r="M51" s="24">
        <f>IFERROR(VLOOKUP(A51,'Centre DW13'!$A$7:$N$160,13,FALSE),0)+
IFERROR(VLOOKUP(A51,'Centre WR13'!$A$7:$N$160,13,FALSE),0)+
IFERROR(VLOOKUP(A51,'Centre WP13'!$A$7:$N$160,13,FALSE),0)</f>
        <v>0.1</v>
      </c>
      <c r="N51" s="24">
        <f>IFERROR(VLOOKUP(A51,'Centre DW13'!$A$7:$N$160,14,FALSE),0)+
IFERROR(VLOOKUP(A51,'Centre WR13'!$A$7:$N$160,14,FALSE),0)+
IFERROR(VLOOKUP(A51,'Centre WP13'!$A$7:$N$160,14,FALSE),0)</f>
        <v>0</v>
      </c>
    </row>
    <row r="52" spans="1:14" hidden="1" outlineLevel="1" x14ac:dyDescent="0.2">
      <c r="A52" s="9" t="s">
        <v>109</v>
      </c>
      <c r="B52" s="1" t="s">
        <v>110</v>
      </c>
      <c r="C52" s="10">
        <f>IFERROR(VLOOKUP(A52,'Centre DW13'!$A$7:$N$160,3,FALSE),0)+
IFERROR(VLOOKUP(A52,'Centre WR13'!$A$7:$N$160,3,FALSE),0)+
IFERROR(VLOOKUP(A52,'Centre WP13'!$A$7:$N$160,3,FALSE),0)</f>
        <v>0</v>
      </c>
      <c r="D52" s="10">
        <f>IFERROR(VLOOKUP(A52,'Centre DW13'!$A$7:$N$160,4,FALSE),0)+
IFERROR(VLOOKUP(A52,'Centre WR13'!$A$7:$N$160,4,FALSE),0)+
IFERROR(VLOOKUP(A52,'Centre WP13'!$A$7:$N$160,4,FALSE),0)</f>
        <v>0</v>
      </c>
      <c r="E52" s="10">
        <f>IFERROR(VLOOKUP(A52,'Centre DW13'!$A$7:$N$160,5,FALSE),0)+
IFERROR(VLOOKUP(A52,'Centre WR13'!$A$7:$N$160,5,FALSE),0)+
IFERROR(VLOOKUP(A52,'Centre WP13'!$A$7:$N$160,5,FALSE),0)</f>
        <v>0</v>
      </c>
      <c r="F52" s="10">
        <f>IFERROR(VLOOKUP(A52,'Centre DW13'!$A$7:$N$160,6,FALSE),0)+
IFERROR(VLOOKUP(A52,'Centre WR13'!$A$7:$N$160,6,FALSE),0)+
IFERROR(VLOOKUP(A52,'Centre WP13'!$A$7:$N$160,6,FALSE),0)</f>
        <v>0</v>
      </c>
      <c r="G52" s="10">
        <f>IFERROR(VLOOKUP(A52,'Centre DW13'!$A$7:$N$160,7,FALSE),0)+
IFERROR(VLOOKUP(A52,'Centre WR13'!$A$7:$N$160,7,FALSE),0)+
IFERROR(VLOOKUP(A52,'Centre WP13'!$A$7:$N$160,7,FALSE),0)</f>
        <v>0.2</v>
      </c>
      <c r="H52" s="10">
        <f>IFERROR(VLOOKUP(A52,'Centre DW13'!$A$7:$N$160,8,FALSE),0)+
IFERROR(VLOOKUP(A52,'Centre WR13'!$A$7:$N$160,8,FALSE),0)+
IFERROR(VLOOKUP(A52,'Centre WP13'!$A$7:$N$160,8,FALSE),0)</f>
        <v>0</v>
      </c>
      <c r="I52" s="10">
        <f>IFERROR(VLOOKUP(A52,'Centre DW13'!$A$7:$N$160,9,FALSE),0)+
IFERROR(VLOOKUP(A52,'Centre WR13'!$A$7:$N$160,9,FALSE),0)+
IFERROR(VLOOKUP(A52,'Centre WP13'!$A$7:$N$160,9,FALSE),0)</f>
        <v>0.7</v>
      </c>
      <c r="J52" s="24">
        <f>IFERROR(VLOOKUP(A52,'Centre DW13'!$A$7:$N$160,10,FALSE),0)+
IFERROR(VLOOKUP(A52,'Centre WR13'!$A$7:$N$160,10,FALSE),0)+
IFERROR(VLOOKUP(A52,'Centre WP13'!$A$7:$N$160,10,FALSE),0)</f>
        <v>0</v>
      </c>
      <c r="K52" s="24">
        <f>IFERROR(VLOOKUP(A52,'Centre DW13'!$A$7:$N$160,11,FALSE),0)+
IFERROR(VLOOKUP(A52,'Centre WR13'!$A$7:$N$160,11,FALSE),0)+
IFERROR(VLOOKUP(A52,'Centre WP13'!$A$7:$N$160,11,FALSE),0)</f>
        <v>0</v>
      </c>
      <c r="L52" s="24">
        <f>IFERROR(VLOOKUP(A52,'Centre DW13'!$A$7:$N$160,12,FALSE),0)+
IFERROR(VLOOKUP(A52,'Centre WR13'!$A$7:$N$160,12,FALSE),0)+
IFERROR(VLOOKUP(A52,'Centre WP13'!$A$7:$N$160,12,FALSE),0)</f>
        <v>0.2</v>
      </c>
      <c r="M52" s="24">
        <f>IFERROR(VLOOKUP(A52,'Centre DW13'!$A$7:$N$160,13,FALSE),0)+
IFERROR(VLOOKUP(A52,'Centre WR13'!$A$7:$N$160,13,FALSE),0)+
IFERROR(VLOOKUP(A52,'Centre WP13'!$A$7:$N$160,13,FALSE),0)</f>
        <v>0</v>
      </c>
      <c r="N52" s="24">
        <f>IFERROR(VLOOKUP(A52,'Centre DW13'!$A$7:$N$160,14,FALSE),0)+
IFERROR(VLOOKUP(A52,'Centre WR13'!$A$7:$N$160,14,FALSE),0)+
IFERROR(VLOOKUP(A52,'Centre WP13'!$A$7:$N$160,14,FALSE),0)</f>
        <v>0</v>
      </c>
    </row>
    <row r="53" spans="1:14" hidden="1" outlineLevel="1" x14ac:dyDescent="0.2">
      <c r="A53" s="9" t="s">
        <v>307</v>
      </c>
      <c r="B53" s="1" t="s">
        <v>308</v>
      </c>
      <c r="C53" s="10">
        <f>IFERROR(VLOOKUP(A53,'Centre DW13'!$A$7:$N$160,3,FALSE),0)+
IFERROR(VLOOKUP(A53,'Centre WR13'!$A$7:$N$160,3,FALSE),0)+
IFERROR(VLOOKUP(A53,'Centre WP13'!$A$7:$N$160,3,FALSE),0)</f>
        <v>-0.2</v>
      </c>
      <c r="D53" s="10">
        <f>IFERROR(VLOOKUP(A53,'Centre DW13'!$A$7:$N$160,4,FALSE),0)+
IFERROR(VLOOKUP(A53,'Centre WR13'!$A$7:$N$160,4,FALSE),0)+
IFERROR(VLOOKUP(A53,'Centre WP13'!$A$7:$N$160,4,FALSE),0)</f>
        <v>0</v>
      </c>
      <c r="E53" s="10">
        <f>IFERROR(VLOOKUP(A53,'Centre DW13'!$A$7:$N$160,5,FALSE),0)+
IFERROR(VLOOKUP(A53,'Centre WR13'!$A$7:$N$160,5,FALSE),0)+
IFERROR(VLOOKUP(A53,'Centre WP13'!$A$7:$N$160,5,FALSE),0)</f>
        <v>-0.3</v>
      </c>
      <c r="F53" s="10">
        <f>IFERROR(VLOOKUP(A53,'Centre DW13'!$A$7:$N$160,6,FALSE),0)+
IFERROR(VLOOKUP(A53,'Centre WR13'!$A$7:$N$160,6,FALSE),0)+
IFERROR(VLOOKUP(A53,'Centre WP13'!$A$7:$N$160,6,FALSE),0)</f>
        <v>-0.7</v>
      </c>
      <c r="G53" s="10">
        <f>IFERROR(VLOOKUP(A53,'Centre DW13'!$A$7:$N$160,7,FALSE),0)+
IFERROR(VLOOKUP(A53,'Centre WR13'!$A$7:$N$160,7,FALSE),0)+
IFERROR(VLOOKUP(A53,'Centre WP13'!$A$7:$N$160,7,FALSE),0)</f>
        <v>0.3</v>
      </c>
      <c r="H53" s="10">
        <f>IFERROR(VLOOKUP(A53,'Centre DW13'!$A$7:$N$160,8,FALSE),0)+
IFERROR(VLOOKUP(A53,'Centre WR13'!$A$7:$N$160,8,FALSE),0)+
IFERROR(VLOOKUP(A53,'Centre WP13'!$A$7:$N$160,8,FALSE),0)</f>
        <v>0</v>
      </c>
      <c r="I53" s="10">
        <f>IFERROR(VLOOKUP(A53,'Centre DW13'!$A$7:$N$160,9,FALSE),0)+
IFERROR(VLOOKUP(A53,'Centre WR13'!$A$7:$N$160,9,FALSE),0)+
IFERROR(VLOOKUP(A53,'Centre WP13'!$A$7:$N$160,9,FALSE),0)</f>
        <v>0</v>
      </c>
      <c r="J53" s="24">
        <f>IFERROR(VLOOKUP(A53,'Centre DW13'!$A$7:$N$160,10,FALSE),0)+
IFERROR(VLOOKUP(A53,'Centre WR13'!$A$7:$N$160,10,FALSE),0)+
IFERROR(VLOOKUP(A53,'Centre WP13'!$A$7:$N$160,10,FALSE),0)</f>
        <v>-0.3</v>
      </c>
      <c r="K53" s="24">
        <f>IFERROR(VLOOKUP(A53,'Centre DW13'!$A$7:$N$160,11,FALSE),0)+
IFERROR(VLOOKUP(A53,'Centre WR13'!$A$7:$N$160,11,FALSE),0)+
IFERROR(VLOOKUP(A53,'Centre WP13'!$A$7:$N$160,11,FALSE),0)</f>
        <v>-0.7</v>
      </c>
      <c r="L53" s="24">
        <f>IFERROR(VLOOKUP(A53,'Centre DW13'!$A$7:$N$160,12,FALSE),0)+
IFERROR(VLOOKUP(A53,'Centre WR13'!$A$7:$N$160,12,FALSE),0)+
IFERROR(VLOOKUP(A53,'Centre WP13'!$A$7:$N$160,12,FALSE),0)</f>
        <v>0.3</v>
      </c>
      <c r="M53" s="24">
        <f>IFERROR(VLOOKUP(A53,'Centre DW13'!$A$7:$N$160,13,FALSE),0)+
IFERROR(VLOOKUP(A53,'Centre WR13'!$A$7:$N$160,13,FALSE),0)+
IFERROR(VLOOKUP(A53,'Centre WP13'!$A$7:$N$160,13,FALSE),0)</f>
        <v>0</v>
      </c>
      <c r="N53" s="24">
        <f>IFERROR(VLOOKUP(A53,'Centre DW13'!$A$7:$N$160,14,FALSE),0)+
IFERROR(VLOOKUP(A53,'Centre WR13'!$A$7:$N$160,14,FALSE),0)+
IFERROR(VLOOKUP(A53,'Centre WP13'!$A$7:$N$160,14,FALSE),0)</f>
        <v>0</v>
      </c>
    </row>
    <row r="54" spans="1:14" collapsed="1" x14ac:dyDescent="0.2">
      <c r="A54" s="48" t="s">
        <v>111</v>
      </c>
      <c r="B54" s="49" t="s">
        <v>112</v>
      </c>
      <c r="C54" s="50">
        <f>SUM(C55:C58)</f>
        <v>0.5</v>
      </c>
      <c r="D54" s="50">
        <f t="shared" ref="D54:N54" si="10">SUM(D55:D58)</f>
        <v>0</v>
      </c>
      <c r="E54" s="50">
        <f t="shared" si="10"/>
        <v>0</v>
      </c>
      <c r="F54" s="50">
        <f t="shared" si="10"/>
        <v>0</v>
      </c>
      <c r="G54" s="50">
        <f t="shared" si="10"/>
        <v>0</v>
      </c>
      <c r="H54" s="50">
        <f t="shared" si="10"/>
        <v>0</v>
      </c>
      <c r="I54" s="50">
        <f t="shared" si="10"/>
        <v>0.3</v>
      </c>
      <c r="J54" s="50">
        <f t="shared" si="10"/>
        <v>0</v>
      </c>
      <c r="K54" s="50">
        <f t="shared" si="10"/>
        <v>0</v>
      </c>
      <c r="L54" s="50">
        <f t="shared" si="10"/>
        <v>0</v>
      </c>
      <c r="M54" s="50">
        <f t="shared" si="10"/>
        <v>0.3</v>
      </c>
      <c r="N54" s="50">
        <f t="shared" si="10"/>
        <v>0.3</v>
      </c>
    </row>
    <row r="55" spans="1:14" hidden="1" outlineLevel="1" x14ac:dyDescent="0.2">
      <c r="A55" s="9" t="s">
        <v>113</v>
      </c>
      <c r="B55" s="1" t="s">
        <v>114</v>
      </c>
      <c r="C55" s="10">
        <f>IFERROR(VLOOKUP(A55,'Centre DW13'!$A$7:$N$160,3,FALSE),0)+
IFERROR(VLOOKUP(A55,'Centre WR13'!$A$7:$N$160,3,FALSE),0)+
IFERROR(VLOOKUP(A55,'Centre WP13'!$A$7:$N$160,3,FALSE),0)</f>
        <v>0.5</v>
      </c>
      <c r="D55" s="10">
        <f>IFERROR(VLOOKUP(A55,'Centre DW13'!$A$7:$N$160,4,FALSE),0)+
IFERROR(VLOOKUP(A55,'Centre WR13'!$A$7:$N$160,4,FALSE),0)+
IFERROR(VLOOKUP(A55,'Centre WP13'!$A$7:$N$160,4,FALSE),0)</f>
        <v>0</v>
      </c>
      <c r="E55" s="10">
        <f>IFERROR(VLOOKUP(A55,'Centre DW13'!$A$7:$N$160,5,FALSE),0)+
IFERROR(VLOOKUP(A55,'Centre WR13'!$A$7:$N$160,5,FALSE),0)+
IFERROR(VLOOKUP(A55,'Centre WP13'!$A$7:$N$160,5,FALSE),0)</f>
        <v>0</v>
      </c>
      <c r="F55" s="10">
        <f>IFERROR(VLOOKUP(A55,'Centre DW13'!$A$7:$N$160,6,FALSE),0)+
IFERROR(VLOOKUP(A55,'Centre WR13'!$A$7:$N$160,6,FALSE),0)+
IFERROR(VLOOKUP(A55,'Centre WP13'!$A$7:$N$160,6,FALSE),0)</f>
        <v>0</v>
      </c>
      <c r="G55" s="10">
        <f>IFERROR(VLOOKUP(A55,'Centre DW13'!$A$7:$N$160,7,FALSE),0)+
IFERROR(VLOOKUP(A55,'Centre WR13'!$A$7:$N$160,7,FALSE),0)+
IFERROR(VLOOKUP(A55,'Centre WP13'!$A$7:$N$160,7,FALSE),0)</f>
        <v>0</v>
      </c>
      <c r="H55" s="10">
        <f>IFERROR(VLOOKUP(A55,'Centre DW13'!$A$7:$N$160,8,FALSE),0)+
IFERROR(VLOOKUP(A55,'Centre WR13'!$A$7:$N$160,8,FALSE),0)+
IFERROR(VLOOKUP(A55,'Centre WP13'!$A$7:$N$160,8,FALSE),0)</f>
        <v>0</v>
      </c>
      <c r="I55" s="10">
        <f>IFERROR(VLOOKUP(A55,'Centre DW13'!$A$7:$N$160,9,FALSE),0)+
IFERROR(VLOOKUP(A55,'Centre WR13'!$A$7:$N$160,9,FALSE),0)+
IFERROR(VLOOKUP(A55,'Centre WP13'!$A$7:$N$160,9,FALSE),0)</f>
        <v>0</v>
      </c>
      <c r="J55" s="24">
        <f>IFERROR(VLOOKUP(A55,'Centre DW13'!$A$7:$N$160,10,FALSE),0)+
IFERROR(VLOOKUP(A55,'Centre WR13'!$A$7:$N$160,10,FALSE),0)+
IFERROR(VLOOKUP(A55,'Centre WP13'!$A$7:$N$160,10,FALSE),0)</f>
        <v>0</v>
      </c>
      <c r="K55" s="24">
        <f>IFERROR(VLOOKUP(A55,'Centre DW13'!$A$7:$N$160,11,FALSE),0)+
IFERROR(VLOOKUP(A55,'Centre WR13'!$A$7:$N$160,11,FALSE),0)+
IFERROR(VLOOKUP(A55,'Centre WP13'!$A$7:$N$160,11,FALSE),0)</f>
        <v>0</v>
      </c>
      <c r="L55" s="24">
        <f>IFERROR(VLOOKUP(A55,'Centre DW13'!$A$7:$N$160,12,FALSE),0)+
IFERROR(VLOOKUP(A55,'Centre WR13'!$A$7:$N$160,12,FALSE),0)+
IFERROR(VLOOKUP(A55,'Centre WP13'!$A$7:$N$160,12,FALSE),0)</f>
        <v>0</v>
      </c>
      <c r="M55" s="24">
        <f>IFERROR(VLOOKUP(A55,'Centre DW13'!$A$7:$N$160,13,FALSE),0)+
IFERROR(VLOOKUP(A55,'Centre WR13'!$A$7:$N$160,13,FALSE),0)+
IFERROR(VLOOKUP(A55,'Centre WP13'!$A$7:$N$160,13,FALSE),0)</f>
        <v>0</v>
      </c>
      <c r="N55" s="24">
        <f>IFERROR(VLOOKUP(A55,'Centre DW13'!$A$7:$N$160,14,FALSE),0)+
IFERROR(VLOOKUP(A55,'Centre WR13'!$A$7:$N$160,14,FALSE),0)+
IFERROR(VLOOKUP(A55,'Centre WP13'!$A$7:$N$160,14,FALSE),0)</f>
        <v>0</v>
      </c>
    </row>
    <row r="56" spans="1:14" hidden="1" outlineLevel="1" x14ac:dyDescent="0.2">
      <c r="A56" s="9" t="s">
        <v>388</v>
      </c>
      <c r="B56" s="1" t="s">
        <v>389</v>
      </c>
      <c r="C56" s="10">
        <f>IFERROR(VLOOKUP(A56,'Centre DW13'!$A$7:$N$160,3,FALSE),0)+
IFERROR(VLOOKUP(A56,'Centre WR13'!$A$7:$N$160,3,FALSE),0)+
IFERROR(VLOOKUP(A56,'Centre WP13'!$A$7:$N$160,3,FALSE),0)</f>
        <v>0</v>
      </c>
      <c r="D56" s="10">
        <f>IFERROR(VLOOKUP(A56,'Centre DW13'!$A$7:$N$160,4,FALSE),0)+
IFERROR(VLOOKUP(A56,'Centre WR13'!$A$7:$N$160,4,FALSE),0)+
IFERROR(VLOOKUP(A56,'Centre WP13'!$A$7:$N$160,4,FALSE),0)</f>
        <v>0</v>
      </c>
      <c r="E56" s="10">
        <f>IFERROR(VLOOKUP(A56,'Centre DW13'!$A$7:$N$160,5,FALSE),0)+
IFERROR(VLOOKUP(A56,'Centre WR13'!$A$7:$N$160,5,FALSE),0)+
IFERROR(VLOOKUP(A56,'Centre WP13'!$A$7:$N$160,5,FALSE),0)</f>
        <v>0</v>
      </c>
      <c r="F56" s="10">
        <f>IFERROR(VLOOKUP(A56,'Centre DW13'!$A$7:$N$160,6,FALSE),0)+
IFERROR(VLOOKUP(A56,'Centre WR13'!$A$7:$N$160,6,FALSE),0)+
IFERROR(VLOOKUP(A56,'Centre WP13'!$A$7:$N$160,6,FALSE),0)</f>
        <v>0</v>
      </c>
      <c r="G56" s="10">
        <f>IFERROR(VLOOKUP(A56,'Centre DW13'!$A$7:$N$160,7,FALSE),0)+
IFERROR(VLOOKUP(A56,'Centre WR13'!$A$7:$N$160,7,FALSE),0)+
IFERROR(VLOOKUP(A56,'Centre WP13'!$A$7:$N$160,7,FALSE),0)</f>
        <v>0</v>
      </c>
      <c r="H56" s="10">
        <f>IFERROR(VLOOKUP(A56,'Centre DW13'!$A$7:$N$160,8,FALSE),0)+
IFERROR(VLOOKUP(A56,'Centre WR13'!$A$7:$N$160,8,FALSE),0)+
IFERROR(VLOOKUP(A56,'Centre WP13'!$A$7:$N$160,8,FALSE),0)</f>
        <v>0</v>
      </c>
      <c r="I56" s="10">
        <f>IFERROR(VLOOKUP(A56,'Centre DW13'!$A$7:$N$160,9,FALSE),0)+
IFERROR(VLOOKUP(A56,'Centre WR13'!$A$7:$N$160,9,FALSE),0)+
IFERROR(VLOOKUP(A56,'Centre WP13'!$A$7:$N$160,9,FALSE),0)</f>
        <v>0</v>
      </c>
      <c r="J56" s="24">
        <f>IFERROR(VLOOKUP(A56,'Centre DW13'!$A$7:$N$160,10,FALSE),0)+
IFERROR(VLOOKUP(A56,'Centre WR13'!$A$7:$N$160,10,FALSE),0)+
IFERROR(VLOOKUP(A56,'Centre WP13'!$A$7:$N$160,10,FALSE),0)</f>
        <v>0</v>
      </c>
      <c r="K56" s="24">
        <f>IFERROR(VLOOKUP(A56,'Centre DW13'!$A$7:$N$160,11,FALSE),0)+
IFERROR(VLOOKUP(A56,'Centre WR13'!$A$7:$N$160,11,FALSE),0)+
IFERROR(VLOOKUP(A56,'Centre WP13'!$A$7:$N$160,11,FALSE),0)</f>
        <v>0</v>
      </c>
      <c r="L56" s="24">
        <f>IFERROR(VLOOKUP(A56,'Centre DW13'!$A$7:$N$160,12,FALSE),0)+
IFERROR(VLOOKUP(A56,'Centre WR13'!$A$7:$N$160,12,FALSE),0)+
IFERROR(VLOOKUP(A56,'Centre WP13'!$A$7:$N$160,12,FALSE),0)</f>
        <v>0</v>
      </c>
      <c r="M56" s="24">
        <f>IFERROR(VLOOKUP(A56,'Centre DW13'!$A$7:$N$160,13,FALSE),0)+
IFERROR(VLOOKUP(A56,'Centre WR13'!$A$7:$N$160,13,FALSE),0)+
IFERROR(VLOOKUP(A56,'Centre WP13'!$A$7:$N$160,13,FALSE),0)</f>
        <v>0</v>
      </c>
      <c r="N56" s="24">
        <f>IFERROR(VLOOKUP(A56,'Centre DW13'!$A$7:$N$160,14,FALSE),0)+
IFERROR(VLOOKUP(A56,'Centre WR13'!$A$7:$N$160,14,FALSE),0)+
IFERROR(VLOOKUP(A56,'Centre WP13'!$A$7:$N$160,14,FALSE),0)</f>
        <v>0</v>
      </c>
    </row>
    <row r="57" spans="1:14" hidden="1" outlineLevel="1" x14ac:dyDescent="0.2">
      <c r="A57" s="9" t="s">
        <v>311</v>
      </c>
      <c r="B57" s="1" t="s">
        <v>312</v>
      </c>
      <c r="C57" s="10">
        <f>IFERROR(VLOOKUP(A57,'Centre DW13'!$A$7:$N$160,3,FALSE),0)+
IFERROR(VLOOKUP(A57,'Centre WR13'!$A$7:$N$160,3,FALSE),0)+
IFERROR(VLOOKUP(A57,'Centre WP13'!$A$7:$N$160,3,FALSE),0)</f>
        <v>0</v>
      </c>
      <c r="D57" s="10">
        <f>IFERROR(VLOOKUP(A57,'Centre DW13'!$A$7:$N$160,4,FALSE),0)+
IFERROR(VLOOKUP(A57,'Centre WR13'!$A$7:$N$160,4,FALSE),0)+
IFERROR(VLOOKUP(A57,'Centre WP13'!$A$7:$N$160,4,FALSE),0)</f>
        <v>0</v>
      </c>
      <c r="E57" s="10">
        <f>IFERROR(VLOOKUP(A57,'Centre DW13'!$A$7:$N$160,5,FALSE),0)+
IFERROR(VLOOKUP(A57,'Centre WR13'!$A$7:$N$160,5,FALSE),0)+
IFERROR(VLOOKUP(A57,'Centre WP13'!$A$7:$N$160,5,FALSE),0)</f>
        <v>0</v>
      </c>
      <c r="F57" s="10">
        <f>IFERROR(VLOOKUP(A57,'Centre DW13'!$A$7:$N$160,6,FALSE),0)+
IFERROR(VLOOKUP(A57,'Centre WR13'!$A$7:$N$160,6,FALSE),0)+
IFERROR(VLOOKUP(A57,'Centre WP13'!$A$7:$N$160,6,FALSE),0)</f>
        <v>0</v>
      </c>
      <c r="G57" s="10">
        <f>IFERROR(VLOOKUP(A57,'Centre DW13'!$A$7:$N$160,7,FALSE),0)+
IFERROR(VLOOKUP(A57,'Centre WR13'!$A$7:$N$160,7,FALSE),0)+
IFERROR(VLOOKUP(A57,'Centre WP13'!$A$7:$N$160,7,FALSE),0)</f>
        <v>0</v>
      </c>
      <c r="H57" s="10">
        <f>IFERROR(VLOOKUP(A57,'Centre DW13'!$A$7:$N$160,8,FALSE),0)+
IFERROR(VLOOKUP(A57,'Centre WR13'!$A$7:$N$160,8,FALSE),0)+
IFERROR(VLOOKUP(A57,'Centre WP13'!$A$7:$N$160,8,FALSE),0)</f>
        <v>0</v>
      </c>
      <c r="I57" s="10">
        <f>IFERROR(VLOOKUP(A57,'Centre DW13'!$A$7:$N$160,9,FALSE),0)+
IFERROR(VLOOKUP(A57,'Centre WR13'!$A$7:$N$160,9,FALSE),0)+
IFERROR(VLOOKUP(A57,'Centre WP13'!$A$7:$N$160,9,FALSE),0)</f>
        <v>0.3</v>
      </c>
      <c r="J57" s="24">
        <f>IFERROR(VLOOKUP(A57,'Centre DW13'!$A$7:$N$160,10,FALSE),0)+
IFERROR(VLOOKUP(A57,'Centre WR13'!$A$7:$N$160,10,FALSE),0)+
IFERROR(VLOOKUP(A57,'Centre WP13'!$A$7:$N$160,10,FALSE),0)</f>
        <v>0</v>
      </c>
      <c r="K57" s="24">
        <f>IFERROR(VLOOKUP(A57,'Centre DW13'!$A$7:$N$160,11,FALSE),0)+
IFERROR(VLOOKUP(A57,'Centre WR13'!$A$7:$N$160,11,FALSE),0)+
IFERROR(VLOOKUP(A57,'Centre WP13'!$A$7:$N$160,11,FALSE),0)</f>
        <v>0</v>
      </c>
      <c r="L57" s="24">
        <f>IFERROR(VLOOKUP(A57,'Centre DW13'!$A$7:$N$160,12,FALSE),0)+
IFERROR(VLOOKUP(A57,'Centre WR13'!$A$7:$N$160,12,FALSE),0)+
IFERROR(VLOOKUP(A57,'Centre WP13'!$A$7:$N$160,12,FALSE),0)</f>
        <v>0</v>
      </c>
      <c r="M57" s="24">
        <f>IFERROR(VLOOKUP(A57,'Centre DW13'!$A$7:$N$160,13,FALSE),0)+
IFERROR(VLOOKUP(A57,'Centre WR13'!$A$7:$N$160,13,FALSE),0)+
IFERROR(VLOOKUP(A57,'Centre WP13'!$A$7:$N$160,13,FALSE),0)</f>
        <v>0.3</v>
      </c>
      <c r="N57" s="24">
        <f>IFERROR(VLOOKUP(A57,'Centre DW13'!$A$7:$N$160,14,FALSE),0)+
IFERROR(VLOOKUP(A57,'Centre WR13'!$A$7:$N$160,14,FALSE),0)+
IFERROR(VLOOKUP(A57,'Centre WP13'!$A$7:$N$160,14,FALSE),0)</f>
        <v>0.3</v>
      </c>
    </row>
    <row r="58" spans="1:14" hidden="1" outlineLevel="1" x14ac:dyDescent="0.2">
      <c r="A58" s="9" t="s">
        <v>117</v>
      </c>
      <c r="B58" s="1" t="s">
        <v>118</v>
      </c>
      <c r="C58" s="10">
        <f>IFERROR(VLOOKUP(A58,'Centre DW13'!$A$7:$N$160,3,FALSE),0)+
IFERROR(VLOOKUP(A58,'Centre WR13'!$A$7:$N$160,3,FALSE),0)+
IFERROR(VLOOKUP(A58,'Centre WP13'!$A$7:$N$160,3,FALSE),0)</f>
        <v>0</v>
      </c>
      <c r="D58" s="10">
        <f>IFERROR(VLOOKUP(A58,'Centre DW13'!$A$7:$N$160,4,FALSE),0)+
IFERROR(VLOOKUP(A58,'Centre WR13'!$A$7:$N$160,4,FALSE),0)+
IFERROR(VLOOKUP(A58,'Centre WP13'!$A$7:$N$160,4,FALSE),0)</f>
        <v>0</v>
      </c>
      <c r="E58" s="10">
        <f>IFERROR(VLOOKUP(A58,'Centre DW13'!$A$7:$N$160,5,FALSE),0)+
IFERROR(VLOOKUP(A58,'Centre WR13'!$A$7:$N$160,5,FALSE),0)+
IFERROR(VLOOKUP(A58,'Centre WP13'!$A$7:$N$160,5,FALSE),0)</f>
        <v>0</v>
      </c>
      <c r="F58" s="10">
        <f>IFERROR(VLOOKUP(A58,'Centre DW13'!$A$7:$N$160,6,FALSE),0)+
IFERROR(VLOOKUP(A58,'Centre WR13'!$A$7:$N$160,6,FALSE),0)+
IFERROR(VLOOKUP(A58,'Centre WP13'!$A$7:$N$160,6,FALSE),0)</f>
        <v>0</v>
      </c>
      <c r="G58" s="10">
        <f>IFERROR(VLOOKUP(A58,'Centre DW13'!$A$7:$N$160,7,FALSE),0)+
IFERROR(VLOOKUP(A58,'Centre WR13'!$A$7:$N$160,7,FALSE),0)+
IFERROR(VLOOKUP(A58,'Centre WP13'!$A$7:$N$160,7,FALSE),0)</f>
        <v>0</v>
      </c>
      <c r="H58" s="10">
        <f>IFERROR(VLOOKUP(A58,'Centre DW13'!$A$7:$N$160,8,FALSE),0)+
IFERROR(VLOOKUP(A58,'Centre WR13'!$A$7:$N$160,8,FALSE),0)+
IFERROR(VLOOKUP(A58,'Centre WP13'!$A$7:$N$160,8,FALSE),0)</f>
        <v>0</v>
      </c>
      <c r="I58" s="10">
        <f>IFERROR(VLOOKUP(A58,'Centre DW13'!$A$7:$N$160,9,FALSE),0)+
IFERROR(VLOOKUP(A58,'Centre WR13'!$A$7:$N$160,9,FALSE),0)+
IFERROR(VLOOKUP(A58,'Centre WP13'!$A$7:$N$160,9,FALSE),0)</f>
        <v>0</v>
      </c>
      <c r="J58" s="24">
        <f>IFERROR(VLOOKUP(A58,'Centre DW13'!$A$7:$N$160,10,FALSE),0)+
IFERROR(VLOOKUP(A58,'Centre WR13'!$A$7:$N$160,10,FALSE),0)+
IFERROR(VLOOKUP(A58,'Centre WP13'!$A$7:$N$160,10,FALSE),0)</f>
        <v>0</v>
      </c>
      <c r="K58" s="24">
        <f>IFERROR(VLOOKUP(A58,'Centre DW13'!$A$7:$N$160,11,FALSE),0)+
IFERROR(VLOOKUP(A58,'Centre WR13'!$A$7:$N$160,11,FALSE),0)+
IFERROR(VLOOKUP(A58,'Centre WP13'!$A$7:$N$160,11,FALSE),0)</f>
        <v>0</v>
      </c>
      <c r="L58" s="24">
        <f>IFERROR(VLOOKUP(A58,'Centre DW13'!$A$7:$N$160,12,FALSE),0)+
IFERROR(VLOOKUP(A58,'Centre WR13'!$A$7:$N$160,12,FALSE),0)+
IFERROR(VLOOKUP(A58,'Centre WP13'!$A$7:$N$160,12,FALSE),0)</f>
        <v>0</v>
      </c>
      <c r="M58" s="24">
        <f>IFERROR(VLOOKUP(A58,'Centre DW13'!$A$7:$N$160,13,FALSE),0)+
IFERROR(VLOOKUP(A58,'Centre WR13'!$A$7:$N$160,13,FALSE),0)+
IFERROR(VLOOKUP(A58,'Centre WP13'!$A$7:$N$160,13,FALSE),0)</f>
        <v>0</v>
      </c>
      <c r="N58" s="24">
        <f>IFERROR(VLOOKUP(A58,'Centre DW13'!$A$7:$N$160,14,FALSE),0)+
IFERROR(VLOOKUP(A58,'Centre WR13'!$A$7:$N$160,14,FALSE),0)+
IFERROR(VLOOKUP(A58,'Centre WP13'!$A$7:$N$160,14,FALSE),0)</f>
        <v>0</v>
      </c>
    </row>
    <row r="59" spans="1:14" collapsed="1" x14ac:dyDescent="0.2">
      <c r="A59" s="48" t="s">
        <v>119</v>
      </c>
      <c r="B59" s="49" t="s">
        <v>120</v>
      </c>
      <c r="C59" s="50">
        <f>SUM(C60:C61)</f>
        <v>0.1</v>
      </c>
      <c r="D59" s="50">
        <f t="shared" ref="D59:N59" si="11">SUM(D60:D61)</f>
        <v>0.1</v>
      </c>
      <c r="E59" s="50">
        <f t="shared" si="11"/>
        <v>0.1</v>
      </c>
      <c r="F59" s="50">
        <f t="shared" si="11"/>
        <v>0.1</v>
      </c>
      <c r="G59" s="50">
        <f t="shared" si="11"/>
        <v>0.1</v>
      </c>
      <c r="H59" s="50">
        <f t="shared" si="11"/>
        <v>0.1</v>
      </c>
      <c r="I59" s="50">
        <f t="shared" si="11"/>
        <v>0.1</v>
      </c>
      <c r="J59" s="50">
        <f t="shared" si="11"/>
        <v>0.1</v>
      </c>
      <c r="K59" s="50">
        <f t="shared" si="11"/>
        <v>0.1</v>
      </c>
      <c r="L59" s="50">
        <f t="shared" si="11"/>
        <v>0.1</v>
      </c>
      <c r="M59" s="50">
        <f t="shared" si="11"/>
        <v>0.1</v>
      </c>
      <c r="N59" s="50">
        <f t="shared" si="11"/>
        <v>0.1</v>
      </c>
    </row>
    <row r="60" spans="1:14" hidden="1" outlineLevel="1" x14ac:dyDescent="0.2">
      <c r="A60" s="9" t="s">
        <v>123</v>
      </c>
      <c r="B60" s="1" t="s">
        <v>124</v>
      </c>
      <c r="C60" s="10">
        <f>IFERROR(VLOOKUP(A60,'Centre DW13'!$A$7:$N$160,3,FALSE),0)+
IFERROR(VLOOKUP(A60,'Centre WR13'!$A$7:$N$160,3,FALSE),0)+
IFERROR(VLOOKUP(A60,'Centre WP13'!$A$7:$N$160,3,FALSE),0)</f>
        <v>0.1</v>
      </c>
      <c r="D60" s="10">
        <f>IFERROR(VLOOKUP(A60,'Centre DW13'!$A$7:$N$160,4,FALSE),0)+
IFERROR(VLOOKUP(A60,'Centre WR13'!$A$7:$N$160,4,FALSE),0)+
IFERROR(VLOOKUP(A60,'Centre WP13'!$A$7:$N$160,4,FALSE),0)</f>
        <v>0.1</v>
      </c>
      <c r="E60" s="10">
        <f>IFERROR(VLOOKUP(A60,'Centre DW13'!$A$7:$N$160,5,FALSE),0)+
IFERROR(VLOOKUP(A60,'Centre WR13'!$A$7:$N$160,5,FALSE),0)+
IFERROR(VLOOKUP(A60,'Centre WP13'!$A$7:$N$160,5,FALSE),0)</f>
        <v>0.1</v>
      </c>
      <c r="F60" s="10">
        <f>IFERROR(VLOOKUP(A60,'Centre DW13'!$A$7:$N$160,6,FALSE),0)+
IFERROR(VLOOKUP(A60,'Centre WR13'!$A$7:$N$160,6,FALSE),0)+
IFERROR(VLOOKUP(A60,'Centre WP13'!$A$7:$N$160,6,FALSE),0)</f>
        <v>0.1</v>
      </c>
      <c r="G60" s="10">
        <f>IFERROR(VLOOKUP(A60,'Centre DW13'!$A$7:$N$160,7,FALSE),0)+
IFERROR(VLOOKUP(A60,'Centre WR13'!$A$7:$N$160,7,FALSE),0)+
IFERROR(VLOOKUP(A60,'Centre WP13'!$A$7:$N$160,7,FALSE),0)</f>
        <v>0.1</v>
      </c>
      <c r="H60" s="10">
        <f>IFERROR(VLOOKUP(A60,'Centre DW13'!$A$7:$N$160,8,FALSE),0)+
IFERROR(VLOOKUP(A60,'Centre WR13'!$A$7:$N$160,8,FALSE),0)+
IFERROR(VLOOKUP(A60,'Centre WP13'!$A$7:$N$160,8,FALSE),0)</f>
        <v>0.1</v>
      </c>
      <c r="I60" s="10">
        <f>IFERROR(VLOOKUP(A60,'Centre DW13'!$A$7:$N$160,9,FALSE),0)+
IFERROR(VLOOKUP(A60,'Centre WR13'!$A$7:$N$160,9,FALSE),0)+
IFERROR(VLOOKUP(A60,'Centre WP13'!$A$7:$N$160,9,FALSE),0)</f>
        <v>0.1</v>
      </c>
      <c r="J60" s="24">
        <f>IFERROR(VLOOKUP(A60,'Centre DW13'!$A$7:$N$160,10,FALSE),0)+
IFERROR(VLOOKUP(A60,'Centre WR13'!$A$7:$N$160,10,FALSE),0)+
IFERROR(VLOOKUP(A60,'Centre WP13'!$A$7:$N$160,10,FALSE),0)</f>
        <v>0.1</v>
      </c>
      <c r="K60" s="24">
        <f>IFERROR(VLOOKUP(A60,'Centre DW13'!$A$7:$N$160,11,FALSE),0)+
IFERROR(VLOOKUP(A60,'Centre WR13'!$A$7:$N$160,11,FALSE),0)+
IFERROR(VLOOKUP(A60,'Centre WP13'!$A$7:$N$160,11,FALSE),0)</f>
        <v>0.1</v>
      </c>
      <c r="L60" s="24">
        <f>IFERROR(VLOOKUP(A60,'Centre DW13'!$A$7:$N$160,12,FALSE),0)+
IFERROR(VLOOKUP(A60,'Centre WR13'!$A$7:$N$160,12,FALSE),0)+
IFERROR(VLOOKUP(A60,'Centre WP13'!$A$7:$N$160,12,FALSE),0)</f>
        <v>0.1</v>
      </c>
      <c r="M60" s="24">
        <f>IFERROR(VLOOKUP(A60,'Centre DW13'!$A$7:$N$160,13,FALSE),0)+
IFERROR(VLOOKUP(A60,'Centre WR13'!$A$7:$N$160,13,FALSE),0)+
IFERROR(VLOOKUP(A60,'Centre WP13'!$A$7:$N$160,13,FALSE),0)</f>
        <v>0.1</v>
      </c>
      <c r="N60" s="24">
        <f>IFERROR(VLOOKUP(A60,'Centre DW13'!$A$7:$N$160,14,FALSE),0)+
IFERROR(VLOOKUP(A60,'Centre WR13'!$A$7:$N$160,14,FALSE),0)+
IFERROR(VLOOKUP(A60,'Centre WP13'!$A$7:$N$160,14,FALSE),0)</f>
        <v>0.1</v>
      </c>
    </row>
    <row r="61" spans="1:14" hidden="1" outlineLevel="1" x14ac:dyDescent="0.2">
      <c r="A61" s="9" t="s">
        <v>125</v>
      </c>
      <c r="B61" s="1" t="s">
        <v>126</v>
      </c>
      <c r="C61" s="10">
        <f>IFERROR(VLOOKUP(A61,'Centre DW13'!$A$7:$N$160,3,FALSE),0)+
IFERROR(VLOOKUP(A61,'Centre WR13'!$A$7:$N$160,3,FALSE),0)+
IFERROR(VLOOKUP(A61,'Centre WP13'!$A$7:$N$160,3,FALSE),0)</f>
        <v>0</v>
      </c>
      <c r="D61" s="10">
        <f>IFERROR(VLOOKUP(A61,'Centre DW13'!$A$7:$N$160,4,FALSE),0)+
IFERROR(VLOOKUP(A61,'Centre WR13'!$A$7:$N$160,4,FALSE),0)+
IFERROR(VLOOKUP(A61,'Centre WP13'!$A$7:$N$160,4,FALSE),0)</f>
        <v>0</v>
      </c>
      <c r="E61" s="10">
        <f>IFERROR(VLOOKUP(A61,'Centre DW13'!$A$7:$N$160,5,FALSE),0)+
IFERROR(VLOOKUP(A61,'Centre WR13'!$A$7:$N$160,5,FALSE),0)+
IFERROR(VLOOKUP(A61,'Centre WP13'!$A$7:$N$160,5,FALSE),0)</f>
        <v>0</v>
      </c>
      <c r="F61" s="10">
        <f>IFERROR(VLOOKUP(A61,'Centre DW13'!$A$7:$N$160,6,FALSE),0)+
IFERROR(VLOOKUP(A61,'Centre WR13'!$A$7:$N$160,6,FALSE),0)+
IFERROR(VLOOKUP(A61,'Centre WP13'!$A$7:$N$160,6,FALSE),0)</f>
        <v>0</v>
      </c>
      <c r="G61" s="10">
        <f>IFERROR(VLOOKUP(A61,'Centre DW13'!$A$7:$N$160,7,FALSE),0)+
IFERROR(VLOOKUP(A61,'Centre WR13'!$A$7:$N$160,7,FALSE),0)+
IFERROR(VLOOKUP(A61,'Centre WP13'!$A$7:$N$160,7,FALSE),0)</f>
        <v>0</v>
      </c>
      <c r="H61" s="10">
        <f>IFERROR(VLOOKUP(A61,'Centre DW13'!$A$7:$N$160,8,FALSE),0)+
IFERROR(VLOOKUP(A61,'Centre WR13'!$A$7:$N$160,8,FALSE),0)+
IFERROR(VLOOKUP(A61,'Centre WP13'!$A$7:$N$160,8,FALSE),0)</f>
        <v>0</v>
      </c>
      <c r="I61" s="10">
        <f>IFERROR(VLOOKUP(A61,'Centre DW13'!$A$7:$N$160,9,FALSE),0)+
IFERROR(VLOOKUP(A61,'Centre WR13'!$A$7:$N$160,9,FALSE),0)+
IFERROR(VLOOKUP(A61,'Centre WP13'!$A$7:$N$160,9,FALSE),0)</f>
        <v>0</v>
      </c>
      <c r="J61" s="24">
        <f>IFERROR(VLOOKUP(A61,'Centre DW13'!$A$7:$N$160,10,FALSE),0)+
IFERROR(VLOOKUP(A61,'Centre WR13'!$A$7:$N$160,10,FALSE),0)+
IFERROR(VLOOKUP(A61,'Centre WP13'!$A$7:$N$160,10,FALSE),0)</f>
        <v>0</v>
      </c>
      <c r="K61" s="24">
        <f>IFERROR(VLOOKUP(A61,'Centre DW13'!$A$7:$N$160,11,FALSE),0)+
IFERROR(VLOOKUP(A61,'Centre WR13'!$A$7:$N$160,11,FALSE),0)+
IFERROR(VLOOKUP(A61,'Centre WP13'!$A$7:$N$160,11,FALSE),0)</f>
        <v>0</v>
      </c>
      <c r="L61" s="24">
        <f>IFERROR(VLOOKUP(A61,'Centre DW13'!$A$7:$N$160,12,FALSE),0)+
IFERROR(VLOOKUP(A61,'Centre WR13'!$A$7:$N$160,12,FALSE),0)+
IFERROR(VLOOKUP(A61,'Centre WP13'!$A$7:$N$160,12,FALSE),0)</f>
        <v>0</v>
      </c>
      <c r="M61" s="24">
        <f>IFERROR(VLOOKUP(A61,'Centre DW13'!$A$7:$N$160,13,FALSE),0)+
IFERROR(VLOOKUP(A61,'Centre WR13'!$A$7:$N$160,13,FALSE),0)+
IFERROR(VLOOKUP(A61,'Centre WP13'!$A$7:$N$160,13,FALSE),0)</f>
        <v>0</v>
      </c>
      <c r="N61" s="24">
        <f>IFERROR(VLOOKUP(A61,'Centre DW13'!$A$7:$N$160,14,FALSE),0)+
IFERROR(VLOOKUP(A61,'Centre WR13'!$A$7:$N$160,14,FALSE),0)+
IFERROR(VLOOKUP(A61,'Centre WP13'!$A$7:$N$160,14,FALSE),0)</f>
        <v>0</v>
      </c>
    </row>
    <row r="62" spans="1:14" collapsed="1" x14ac:dyDescent="0.2">
      <c r="A62" s="48" t="s">
        <v>127</v>
      </c>
      <c r="B62" s="49" t="s">
        <v>128</v>
      </c>
      <c r="C62" s="50">
        <f>SUM(C63:C64)</f>
        <v>0.79999999999999993</v>
      </c>
      <c r="D62" s="50">
        <f t="shared" ref="D62:N62" si="12">SUM(D63:D64)</f>
        <v>0.4</v>
      </c>
      <c r="E62" s="50">
        <f t="shared" si="12"/>
        <v>0.30000000000000004</v>
      </c>
      <c r="F62" s="50">
        <f t="shared" si="12"/>
        <v>-0.1</v>
      </c>
      <c r="G62" s="50">
        <f t="shared" si="12"/>
        <v>0.6</v>
      </c>
      <c r="H62" s="50">
        <f t="shared" si="12"/>
        <v>0.9</v>
      </c>
      <c r="I62" s="50">
        <f t="shared" si="12"/>
        <v>0.5</v>
      </c>
      <c r="J62" s="50">
        <f t="shared" si="12"/>
        <v>0.6</v>
      </c>
      <c r="K62" s="50">
        <f t="shared" si="12"/>
        <v>0.9</v>
      </c>
      <c r="L62" s="50">
        <f t="shared" si="12"/>
        <v>0.6</v>
      </c>
      <c r="M62" s="50">
        <f t="shared" si="12"/>
        <v>0.9</v>
      </c>
      <c r="N62" s="50">
        <f t="shared" si="12"/>
        <v>0.5</v>
      </c>
    </row>
    <row r="63" spans="1:14" hidden="1" outlineLevel="1" x14ac:dyDescent="0.2">
      <c r="A63" s="9" t="s">
        <v>129</v>
      </c>
      <c r="B63" s="1" t="s">
        <v>130</v>
      </c>
      <c r="C63" s="10">
        <f>IFERROR(VLOOKUP(A63,'Centre DW13'!$A$7:$N$160,3,FALSE),0)+
IFERROR(VLOOKUP(A63,'Centre WR13'!$A$7:$N$160,3,FALSE),0)+
IFERROR(VLOOKUP(A63,'Centre WP13'!$A$7:$N$160,3,FALSE),0)</f>
        <v>0.79999999999999993</v>
      </c>
      <c r="D63" s="10">
        <f>IFERROR(VLOOKUP(A63,'Centre DW13'!$A$7:$N$160,4,FALSE),0)+
IFERROR(VLOOKUP(A63,'Centre WR13'!$A$7:$N$160,4,FALSE),0)+
IFERROR(VLOOKUP(A63,'Centre WP13'!$A$7:$N$160,4,FALSE),0)</f>
        <v>0.4</v>
      </c>
      <c r="E63" s="10">
        <f>IFERROR(VLOOKUP(A63,'Centre DW13'!$A$7:$N$160,5,FALSE),0)+
IFERROR(VLOOKUP(A63,'Centre WR13'!$A$7:$N$160,5,FALSE),0)+
IFERROR(VLOOKUP(A63,'Centre WP13'!$A$7:$N$160,5,FALSE),0)</f>
        <v>0.30000000000000004</v>
      </c>
      <c r="F63" s="10">
        <f>IFERROR(VLOOKUP(A63,'Centre DW13'!$A$7:$N$160,6,FALSE),0)+
IFERROR(VLOOKUP(A63,'Centre WR13'!$A$7:$N$160,6,FALSE),0)+
IFERROR(VLOOKUP(A63,'Centre WP13'!$A$7:$N$160,6,FALSE),0)</f>
        <v>-0.1</v>
      </c>
      <c r="G63" s="10">
        <f>IFERROR(VLOOKUP(A63,'Centre DW13'!$A$7:$N$160,7,FALSE),0)+
IFERROR(VLOOKUP(A63,'Centre WR13'!$A$7:$N$160,7,FALSE),0)+
IFERROR(VLOOKUP(A63,'Centre WP13'!$A$7:$N$160,7,FALSE),0)</f>
        <v>0.6</v>
      </c>
      <c r="H63" s="10">
        <f>IFERROR(VLOOKUP(A63,'Centre DW13'!$A$7:$N$160,8,FALSE),0)+
IFERROR(VLOOKUP(A63,'Centre WR13'!$A$7:$N$160,8,FALSE),0)+
IFERROR(VLOOKUP(A63,'Centre WP13'!$A$7:$N$160,8,FALSE),0)</f>
        <v>0.9</v>
      </c>
      <c r="I63" s="10">
        <f>IFERROR(VLOOKUP(A63,'Centre DW13'!$A$7:$N$160,9,FALSE),0)+
IFERROR(VLOOKUP(A63,'Centre WR13'!$A$7:$N$160,9,FALSE),0)+
IFERROR(VLOOKUP(A63,'Centre WP13'!$A$7:$N$160,9,FALSE),0)</f>
        <v>0.5</v>
      </c>
      <c r="J63" s="24">
        <f>IFERROR(VLOOKUP(A63,'Centre DW13'!$A$7:$N$160,10,FALSE),0)+
IFERROR(VLOOKUP(A63,'Centre WR13'!$A$7:$N$160,10,FALSE),0)+
IFERROR(VLOOKUP(A63,'Centre WP13'!$A$7:$N$160,10,FALSE),0)</f>
        <v>0.6</v>
      </c>
      <c r="K63" s="24">
        <f>IFERROR(VLOOKUP(A63,'Centre DW13'!$A$7:$N$160,11,FALSE),0)+
IFERROR(VLOOKUP(A63,'Centre WR13'!$A$7:$N$160,11,FALSE),0)+
IFERROR(VLOOKUP(A63,'Centre WP13'!$A$7:$N$160,11,FALSE),0)</f>
        <v>0.9</v>
      </c>
      <c r="L63" s="24">
        <f>IFERROR(VLOOKUP(A63,'Centre DW13'!$A$7:$N$160,12,FALSE),0)+
IFERROR(VLOOKUP(A63,'Centre WR13'!$A$7:$N$160,12,FALSE),0)+
IFERROR(VLOOKUP(A63,'Centre WP13'!$A$7:$N$160,12,FALSE),0)</f>
        <v>0.6</v>
      </c>
      <c r="M63" s="24">
        <f>IFERROR(VLOOKUP(A63,'Centre DW13'!$A$7:$N$160,13,FALSE),0)+
IFERROR(VLOOKUP(A63,'Centre WR13'!$A$7:$N$160,13,FALSE),0)+
IFERROR(VLOOKUP(A63,'Centre WP13'!$A$7:$N$160,13,FALSE),0)</f>
        <v>0.9</v>
      </c>
      <c r="N63" s="24">
        <f>IFERROR(VLOOKUP(A63,'Centre DW13'!$A$7:$N$160,14,FALSE),0)+
IFERROR(VLOOKUP(A63,'Centre WR13'!$A$7:$N$160,14,FALSE),0)+
IFERROR(VLOOKUP(A63,'Centre WP13'!$A$7:$N$160,14,FALSE),0)</f>
        <v>0.5</v>
      </c>
    </row>
    <row r="64" spans="1:14" hidden="1" outlineLevel="1" x14ac:dyDescent="0.2">
      <c r="A64" s="9" t="s">
        <v>131</v>
      </c>
      <c r="B64" s="1" t="s">
        <v>132</v>
      </c>
      <c r="C64" s="10">
        <f>IFERROR(VLOOKUP(A64,'Centre DW13'!$A$7:$N$160,3,FALSE),0)+
IFERROR(VLOOKUP(A64,'Centre WR13'!$A$7:$N$160,3,FALSE),0)+
IFERROR(VLOOKUP(A64,'Centre WP13'!$A$7:$N$160,3,FALSE),0)</f>
        <v>0</v>
      </c>
      <c r="D64" s="10">
        <f>IFERROR(VLOOKUP(A64,'Centre DW13'!$A$7:$N$160,4,FALSE),0)+
IFERROR(VLOOKUP(A64,'Centre WR13'!$A$7:$N$160,4,FALSE),0)+
IFERROR(VLOOKUP(A64,'Centre WP13'!$A$7:$N$160,4,FALSE),0)</f>
        <v>0</v>
      </c>
      <c r="E64" s="10">
        <f>IFERROR(VLOOKUP(A64,'Centre DW13'!$A$7:$N$160,5,FALSE),0)+
IFERROR(VLOOKUP(A64,'Centre WR13'!$A$7:$N$160,5,FALSE),0)+
IFERROR(VLOOKUP(A64,'Centre WP13'!$A$7:$N$160,5,FALSE),0)</f>
        <v>0</v>
      </c>
      <c r="F64" s="10">
        <f>IFERROR(VLOOKUP(A64,'Centre DW13'!$A$7:$N$160,6,FALSE),0)+
IFERROR(VLOOKUP(A64,'Centre WR13'!$A$7:$N$160,6,FALSE),0)+
IFERROR(VLOOKUP(A64,'Centre WP13'!$A$7:$N$160,6,FALSE),0)</f>
        <v>0</v>
      </c>
      <c r="G64" s="10">
        <f>IFERROR(VLOOKUP(A64,'Centre DW13'!$A$7:$N$160,7,FALSE),0)+
IFERROR(VLOOKUP(A64,'Centre WR13'!$A$7:$N$160,7,FALSE),0)+
IFERROR(VLOOKUP(A64,'Centre WP13'!$A$7:$N$160,7,FALSE),0)</f>
        <v>0</v>
      </c>
      <c r="H64" s="10">
        <f>IFERROR(VLOOKUP(A64,'Centre DW13'!$A$7:$N$160,8,FALSE),0)+
IFERROR(VLOOKUP(A64,'Centre WR13'!$A$7:$N$160,8,FALSE),0)+
IFERROR(VLOOKUP(A64,'Centre WP13'!$A$7:$N$160,8,FALSE),0)</f>
        <v>0</v>
      </c>
      <c r="I64" s="10">
        <f>IFERROR(VLOOKUP(A64,'Centre DW13'!$A$7:$N$160,9,FALSE),0)+
IFERROR(VLOOKUP(A64,'Centre WR13'!$A$7:$N$160,9,FALSE),0)+
IFERROR(VLOOKUP(A64,'Centre WP13'!$A$7:$N$160,9,FALSE),0)</f>
        <v>0</v>
      </c>
      <c r="J64" s="24">
        <f>IFERROR(VLOOKUP(A64,'Centre DW13'!$A$7:$N$160,10,FALSE),0)+
IFERROR(VLOOKUP(A64,'Centre WR13'!$A$7:$N$160,10,FALSE),0)+
IFERROR(VLOOKUP(A64,'Centre WP13'!$A$7:$N$160,10,FALSE),0)</f>
        <v>0</v>
      </c>
      <c r="K64" s="24">
        <f>IFERROR(VLOOKUP(A64,'Centre DW13'!$A$7:$N$160,11,FALSE),0)+
IFERROR(VLOOKUP(A64,'Centre WR13'!$A$7:$N$160,11,FALSE),0)+
IFERROR(VLOOKUP(A64,'Centre WP13'!$A$7:$N$160,11,FALSE),0)</f>
        <v>0</v>
      </c>
      <c r="L64" s="24">
        <f>IFERROR(VLOOKUP(A64,'Centre DW13'!$A$7:$N$160,12,FALSE),0)+
IFERROR(VLOOKUP(A64,'Centre WR13'!$A$7:$N$160,12,FALSE),0)+
IFERROR(VLOOKUP(A64,'Centre WP13'!$A$7:$N$160,12,FALSE),0)</f>
        <v>0</v>
      </c>
      <c r="M64" s="24">
        <f>IFERROR(VLOOKUP(A64,'Centre DW13'!$A$7:$N$160,13,FALSE),0)+
IFERROR(VLOOKUP(A64,'Centre WR13'!$A$7:$N$160,13,FALSE),0)+
IFERROR(VLOOKUP(A64,'Centre WP13'!$A$7:$N$160,13,FALSE),0)</f>
        <v>0</v>
      </c>
      <c r="N64" s="24">
        <f>IFERROR(VLOOKUP(A64,'Centre DW13'!$A$7:$N$160,14,FALSE),0)+
IFERROR(VLOOKUP(A64,'Centre WR13'!$A$7:$N$160,14,FALSE),0)+
IFERROR(VLOOKUP(A64,'Centre WP13'!$A$7:$N$160,14,FALSE),0)</f>
        <v>0</v>
      </c>
    </row>
    <row r="65" spans="1:14" collapsed="1" x14ac:dyDescent="0.2">
      <c r="A65" s="48" t="s">
        <v>133</v>
      </c>
      <c r="B65" s="49" t="s">
        <v>134</v>
      </c>
      <c r="C65" s="50">
        <f>SUM(C66:C68)</f>
        <v>0.1</v>
      </c>
      <c r="D65" s="50">
        <f t="shared" ref="D65:N65" si="13">SUM(D66:D68)</f>
        <v>-3.1</v>
      </c>
      <c r="E65" s="50">
        <f t="shared" si="13"/>
        <v>0.5</v>
      </c>
      <c r="F65" s="50">
        <f t="shared" si="13"/>
        <v>5.9</v>
      </c>
      <c r="G65" s="50">
        <f t="shared" si="13"/>
        <v>-0.5</v>
      </c>
      <c r="H65" s="50">
        <f t="shared" si="13"/>
        <v>8.1</v>
      </c>
      <c r="I65" s="50">
        <f t="shared" si="13"/>
        <v>0</v>
      </c>
      <c r="J65" s="50">
        <f t="shared" si="13"/>
        <v>5.9</v>
      </c>
      <c r="K65" s="50">
        <f t="shared" si="13"/>
        <v>-0.5</v>
      </c>
      <c r="L65" s="50">
        <f t="shared" si="13"/>
        <v>8.1</v>
      </c>
      <c r="M65" s="50">
        <f t="shared" si="13"/>
        <v>7</v>
      </c>
      <c r="N65" s="50">
        <f t="shared" si="13"/>
        <v>-0.3</v>
      </c>
    </row>
    <row r="66" spans="1:14" hidden="1" outlineLevel="1" x14ac:dyDescent="0.2">
      <c r="A66" s="9" t="s">
        <v>329</v>
      </c>
      <c r="B66" s="1" t="s">
        <v>330</v>
      </c>
      <c r="C66" s="10">
        <f>IFERROR(VLOOKUP(A66,'Centre DW13'!$A$7:$N$160,3,FALSE),0)+
IFERROR(VLOOKUP(A66,'Centre WR13'!$A$7:$N$160,3,FALSE),0)+
IFERROR(VLOOKUP(A66,'Centre WP13'!$A$7:$N$160,3,FALSE),0)</f>
        <v>0</v>
      </c>
      <c r="D66" s="10">
        <f>IFERROR(VLOOKUP(A66,'Centre DW13'!$A$7:$N$160,4,FALSE),0)+
IFERROR(VLOOKUP(A66,'Centre WR13'!$A$7:$N$160,4,FALSE),0)+
IFERROR(VLOOKUP(A66,'Centre WP13'!$A$7:$N$160,4,FALSE),0)</f>
        <v>0</v>
      </c>
      <c r="E66" s="10">
        <f>IFERROR(VLOOKUP(A66,'Centre DW13'!$A$7:$N$160,5,FALSE),0)+
IFERROR(VLOOKUP(A66,'Centre WR13'!$A$7:$N$160,5,FALSE),0)+
IFERROR(VLOOKUP(A66,'Centre WP13'!$A$7:$N$160,5,FALSE),0)</f>
        <v>0.2</v>
      </c>
      <c r="F66" s="10">
        <f>IFERROR(VLOOKUP(A66,'Centre DW13'!$A$7:$N$160,6,FALSE),0)+
IFERROR(VLOOKUP(A66,'Centre WR13'!$A$7:$N$160,6,FALSE),0)+
IFERROR(VLOOKUP(A66,'Centre WP13'!$A$7:$N$160,6,FALSE),0)</f>
        <v>0</v>
      </c>
      <c r="G66" s="10">
        <f>IFERROR(VLOOKUP(A66,'Centre DW13'!$A$7:$N$160,7,FALSE),0)+
IFERROR(VLOOKUP(A66,'Centre WR13'!$A$7:$N$160,7,FALSE),0)+
IFERROR(VLOOKUP(A66,'Centre WP13'!$A$7:$N$160,7,FALSE),0)</f>
        <v>0</v>
      </c>
      <c r="H66" s="10">
        <f>IFERROR(VLOOKUP(A66,'Centre DW13'!$A$7:$N$160,8,FALSE),0)+
IFERROR(VLOOKUP(A66,'Centre WR13'!$A$7:$N$160,8,FALSE),0)+
IFERROR(VLOOKUP(A66,'Centre WP13'!$A$7:$N$160,8,FALSE),0)</f>
        <v>0</v>
      </c>
      <c r="I66" s="10">
        <f>IFERROR(VLOOKUP(A66,'Centre DW13'!$A$7:$N$160,9,FALSE),0)+
IFERROR(VLOOKUP(A66,'Centre WR13'!$A$7:$N$160,9,FALSE),0)+
IFERROR(VLOOKUP(A66,'Centre WP13'!$A$7:$N$160,9,FALSE),0)</f>
        <v>0</v>
      </c>
      <c r="J66" s="24">
        <f>IFERROR(VLOOKUP(A66,'Centre DW13'!$A$7:$N$160,10,FALSE),0)+
IFERROR(VLOOKUP(A66,'Centre WR13'!$A$7:$N$160,10,FALSE),0)+
IFERROR(VLOOKUP(A66,'Centre WP13'!$A$7:$N$160,10,FALSE),0)</f>
        <v>0</v>
      </c>
      <c r="K66" s="24">
        <f>IFERROR(VLOOKUP(A66,'Centre DW13'!$A$7:$N$160,11,FALSE),0)+
IFERROR(VLOOKUP(A66,'Centre WR13'!$A$7:$N$160,11,FALSE),0)+
IFERROR(VLOOKUP(A66,'Centre WP13'!$A$7:$N$160,11,FALSE),0)</f>
        <v>0</v>
      </c>
      <c r="L66" s="24">
        <f>IFERROR(VLOOKUP(A66,'Centre DW13'!$A$7:$N$160,12,FALSE),0)+
IFERROR(VLOOKUP(A66,'Centre WR13'!$A$7:$N$160,12,FALSE),0)+
IFERROR(VLOOKUP(A66,'Centre WP13'!$A$7:$N$160,12,FALSE),0)</f>
        <v>0</v>
      </c>
      <c r="M66" s="24">
        <f>IFERROR(VLOOKUP(A66,'Centre DW13'!$A$7:$N$160,13,FALSE),0)+
IFERROR(VLOOKUP(A66,'Centre WR13'!$A$7:$N$160,13,FALSE),0)+
IFERROR(VLOOKUP(A66,'Centre WP13'!$A$7:$N$160,13,FALSE),0)</f>
        <v>0</v>
      </c>
      <c r="N66" s="24">
        <f>IFERROR(VLOOKUP(A66,'Centre DW13'!$A$7:$N$160,14,FALSE),0)+
IFERROR(VLOOKUP(A66,'Centre WR13'!$A$7:$N$160,14,FALSE),0)+
IFERROR(VLOOKUP(A66,'Centre WP13'!$A$7:$N$160,14,FALSE),0)</f>
        <v>0</v>
      </c>
    </row>
    <row r="67" spans="1:14" hidden="1" outlineLevel="1" x14ac:dyDescent="0.2">
      <c r="A67" s="9" t="s">
        <v>135</v>
      </c>
      <c r="B67" s="1" t="s">
        <v>136</v>
      </c>
      <c r="C67" s="10">
        <f>IFERROR(VLOOKUP(A67,'Centre DW13'!$A$7:$N$160,3,FALSE),0)+
IFERROR(VLOOKUP(A67,'Centre WR13'!$A$7:$N$160,3,FALSE),0)+
IFERROR(VLOOKUP(A67,'Centre WP13'!$A$7:$N$160,3,FALSE),0)</f>
        <v>0</v>
      </c>
      <c r="D67" s="10">
        <f>IFERROR(VLOOKUP(A67,'Centre DW13'!$A$7:$N$160,4,FALSE),0)+
IFERROR(VLOOKUP(A67,'Centre WR13'!$A$7:$N$160,4,FALSE),0)+
IFERROR(VLOOKUP(A67,'Centre WP13'!$A$7:$N$160,4,FALSE),0)</f>
        <v>0</v>
      </c>
      <c r="E67" s="10">
        <f>IFERROR(VLOOKUP(A67,'Centre DW13'!$A$7:$N$160,5,FALSE),0)+
IFERROR(VLOOKUP(A67,'Centre WR13'!$A$7:$N$160,5,FALSE),0)+
IFERROR(VLOOKUP(A67,'Centre WP13'!$A$7:$N$160,5,FALSE),0)</f>
        <v>0</v>
      </c>
      <c r="F67" s="10">
        <f>IFERROR(VLOOKUP(A67,'Centre DW13'!$A$7:$N$160,6,FALSE),0)+
IFERROR(VLOOKUP(A67,'Centre WR13'!$A$7:$N$160,6,FALSE),0)+
IFERROR(VLOOKUP(A67,'Centre WP13'!$A$7:$N$160,6,FALSE),0)</f>
        <v>0</v>
      </c>
      <c r="G67" s="10">
        <f>IFERROR(VLOOKUP(A67,'Centre DW13'!$A$7:$N$160,7,FALSE),0)+
IFERROR(VLOOKUP(A67,'Centre WR13'!$A$7:$N$160,7,FALSE),0)+
IFERROR(VLOOKUP(A67,'Centre WP13'!$A$7:$N$160,7,FALSE),0)</f>
        <v>0</v>
      </c>
      <c r="H67" s="10">
        <f>IFERROR(VLOOKUP(A67,'Centre DW13'!$A$7:$N$160,8,FALSE),0)+
IFERROR(VLOOKUP(A67,'Centre WR13'!$A$7:$N$160,8,FALSE),0)+
IFERROR(VLOOKUP(A67,'Centre WP13'!$A$7:$N$160,8,FALSE),0)</f>
        <v>0</v>
      </c>
      <c r="I67" s="10">
        <f>IFERROR(VLOOKUP(A67,'Centre DW13'!$A$7:$N$160,9,FALSE),0)+
IFERROR(VLOOKUP(A67,'Centre WR13'!$A$7:$N$160,9,FALSE),0)+
IFERROR(VLOOKUP(A67,'Centre WP13'!$A$7:$N$160,9,FALSE),0)</f>
        <v>0</v>
      </c>
      <c r="J67" s="24">
        <f>IFERROR(VLOOKUP(A67,'Centre DW13'!$A$7:$N$160,10,FALSE),0)+
IFERROR(VLOOKUP(A67,'Centre WR13'!$A$7:$N$160,10,FALSE),0)+
IFERROR(VLOOKUP(A67,'Centre WP13'!$A$7:$N$160,10,FALSE),0)</f>
        <v>0</v>
      </c>
      <c r="K67" s="24">
        <f>IFERROR(VLOOKUP(A67,'Centre DW13'!$A$7:$N$160,11,FALSE),0)+
IFERROR(VLOOKUP(A67,'Centre WR13'!$A$7:$N$160,11,FALSE),0)+
IFERROR(VLOOKUP(A67,'Centre WP13'!$A$7:$N$160,11,FALSE),0)</f>
        <v>0</v>
      </c>
      <c r="L67" s="24">
        <f>IFERROR(VLOOKUP(A67,'Centre DW13'!$A$7:$N$160,12,FALSE),0)+
IFERROR(VLOOKUP(A67,'Centre WR13'!$A$7:$N$160,12,FALSE),0)+
IFERROR(VLOOKUP(A67,'Centre WP13'!$A$7:$N$160,12,FALSE),0)</f>
        <v>0</v>
      </c>
      <c r="M67" s="24">
        <f>IFERROR(VLOOKUP(A67,'Centre DW13'!$A$7:$N$160,13,FALSE),0)+
IFERROR(VLOOKUP(A67,'Centre WR13'!$A$7:$N$160,13,FALSE),0)+
IFERROR(VLOOKUP(A67,'Centre WP13'!$A$7:$N$160,13,FALSE),0)</f>
        <v>0</v>
      </c>
      <c r="N67" s="24">
        <f>IFERROR(VLOOKUP(A67,'Centre DW13'!$A$7:$N$160,14,FALSE),0)+
IFERROR(VLOOKUP(A67,'Centre WR13'!$A$7:$N$160,14,FALSE),0)+
IFERROR(VLOOKUP(A67,'Centre WP13'!$A$7:$N$160,14,FALSE),0)</f>
        <v>0</v>
      </c>
    </row>
    <row r="68" spans="1:14" hidden="1" outlineLevel="1" x14ac:dyDescent="0.2">
      <c r="A68" s="9" t="s">
        <v>335</v>
      </c>
      <c r="B68" s="1" t="s">
        <v>336</v>
      </c>
      <c r="C68" s="10">
        <f>IFERROR(VLOOKUP(A68,'Centre DW13'!$A$7:$N$160,3,FALSE),0)+
IFERROR(VLOOKUP(A68,'Centre WR13'!$A$7:$N$160,3,FALSE),0)+
IFERROR(VLOOKUP(A68,'Centre WP13'!$A$7:$N$160,3,FALSE),0)</f>
        <v>0.1</v>
      </c>
      <c r="D68" s="10">
        <f>IFERROR(VLOOKUP(A68,'Centre DW13'!$A$7:$N$160,4,FALSE),0)+
IFERROR(VLOOKUP(A68,'Centre WR13'!$A$7:$N$160,4,FALSE),0)+
IFERROR(VLOOKUP(A68,'Centre WP13'!$A$7:$N$160,4,FALSE),0)</f>
        <v>-3.1</v>
      </c>
      <c r="E68" s="10">
        <f>IFERROR(VLOOKUP(A68,'Centre DW13'!$A$7:$N$160,5,FALSE),0)+
IFERROR(VLOOKUP(A68,'Centre WR13'!$A$7:$N$160,5,FALSE),0)+
IFERROR(VLOOKUP(A68,'Centre WP13'!$A$7:$N$160,5,FALSE),0)</f>
        <v>0.3</v>
      </c>
      <c r="F68" s="10">
        <f>IFERROR(VLOOKUP(A68,'Centre DW13'!$A$7:$N$160,6,FALSE),0)+
IFERROR(VLOOKUP(A68,'Centre WR13'!$A$7:$N$160,6,FALSE),0)+
IFERROR(VLOOKUP(A68,'Centre WP13'!$A$7:$N$160,6,FALSE),0)</f>
        <v>5.9</v>
      </c>
      <c r="G68" s="10">
        <f>IFERROR(VLOOKUP(A68,'Centre DW13'!$A$7:$N$160,7,FALSE),0)+
IFERROR(VLOOKUP(A68,'Centre WR13'!$A$7:$N$160,7,FALSE),0)+
IFERROR(VLOOKUP(A68,'Centre WP13'!$A$7:$N$160,7,FALSE),0)</f>
        <v>-0.5</v>
      </c>
      <c r="H68" s="10">
        <f>IFERROR(VLOOKUP(A68,'Centre DW13'!$A$7:$N$160,8,FALSE),0)+
IFERROR(VLOOKUP(A68,'Centre WR13'!$A$7:$N$160,8,FALSE),0)+
IFERROR(VLOOKUP(A68,'Centre WP13'!$A$7:$N$160,8,FALSE),0)</f>
        <v>8.1</v>
      </c>
      <c r="I68" s="10">
        <f>IFERROR(VLOOKUP(A68,'Centre DW13'!$A$7:$N$160,9,FALSE),0)+
IFERROR(VLOOKUP(A68,'Centre WR13'!$A$7:$N$160,9,FALSE),0)+
IFERROR(VLOOKUP(A68,'Centre WP13'!$A$7:$N$160,9,FALSE),0)</f>
        <v>0</v>
      </c>
      <c r="J68" s="24">
        <f>IFERROR(VLOOKUP(A68,'Centre DW13'!$A$7:$N$160,10,FALSE),0)+
IFERROR(VLOOKUP(A68,'Centre WR13'!$A$7:$N$160,10,FALSE),0)+
IFERROR(VLOOKUP(A68,'Centre WP13'!$A$7:$N$160,10,FALSE),0)</f>
        <v>5.9</v>
      </c>
      <c r="K68" s="24">
        <f>IFERROR(VLOOKUP(A68,'Centre DW13'!$A$7:$N$160,11,FALSE),0)+
IFERROR(VLOOKUP(A68,'Centre WR13'!$A$7:$N$160,11,FALSE),0)+
IFERROR(VLOOKUP(A68,'Centre WP13'!$A$7:$N$160,11,FALSE),0)</f>
        <v>-0.5</v>
      </c>
      <c r="L68" s="24">
        <f>IFERROR(VLOOKUP(A68,'Centre DW13'!$A$7:$N$160,12,FALSE),0)+
IFERROR(VLOOKUP(A68,'Centre WR13'!$A$7:$N$160,12,FALSE),0)+
IFERROR(VLOOKUP(A68,'Centre WP13'!$A$7:$N$160,12,FALSE),0)</f>
        <v>8.1</v>
      </c>
      <c r="M68" s="24">
        <f>IFERROR(VLOOKUP(A68,'Centre DW13'!$A$7:$N$160,13,FALSE),0)+
IFERROR(VLOOKUP(A68,'Centre WR13'!$A$7:$N$160,13,FALSE),0)+
IFERROR(VLOOKUP(A68,'Centre WP13'!$A$7:$N$160,13,FALSE),0)</f>
        <v>7</v>
      </c>
      <c r="N68" s="24">
        <f>IFERROR(VLOOKUP(A68,'Centre DW13'!$A$7:$N$160,14,FALSE),0)+
IFERROR(VLOOKUP(A68,'Centre WR13'!$A$7:$N$160,14,FALSE),0)+
IFERROR(VLOOKUP(A68,'Centre WP13'!$A$7:$N$160,14,FALSE),0)</f>
        <v>-0.3</v>
      </c>
    </row>
    <row r="69" spans="1:14" collapsed="1" x14ac:dyDescent="0.2">
      <c r="A69" s="48" t="s">
        <v>137</v>
      </c>
      <c r="B69" s="49" t="s">
        <v>138</v>
      </c>
      <c r="C69" s="50">
        <f>+C70</f>
        <v>0</v>
      </c>
      <c r="D69" s="50">
        <f t="shared" ref="D69:N69" si="14">+D70</f>
        <v>0</v>
      </c>
      <c r="E69" s="50">
        <f t="shared" si="14"/>
        <v>0</v>
      </c>
      <c r="F69" s="50">
        <f t="shared" si="14"/>
        <v>0</v>
      </c>
      <c r="G69" s="50">
        <f t="shared" si="14"/>
        <v>0</v>
      </c>
      <c r="H69" s="50">
        <f t="shared" si="14"/>
        <v>0</v>
      </c>
      <c r="I69" s="50">
        <f t="shared" si="14"/>
        <v>0</v>
      </c>
      <c r="J69" s="50">
        <f t="shared" si="14"/>
        <v>0</v>
      </c>
      <c r="K69" s="50">
        <f t="shared" si="14"/>
        <v>0</v>
      </c>
      <c r="L69" s="50">
        <f t="shared" si="14"/>
        <v>0</v>
      </c>
      <c r="M69" s="50">
        <f t="shared" si="14"/>
        <v>0</v>
      </c>
      <c r="N69" s="50">
        <f t="shared" si="14"/>
        <v>0</v>
      </c>
    </row>
    <row r="70" spans="1:14" hidden="1" outlineLevel="1" x14ac:dyDescent="0.2">
      <c r="A70" s="9" t="s">
        <v>351</v>
      </c>
      <c r="B70" s="1" t="s">
        <v>352</v>
      </c>
      <c r="C70" s="10">
        <f>IFERROR(VLOOKUP(A70,'Centre DW13'!$A$7:$N$160,3,FALSE),0)+
IFERROR(VLOOKUP(A70,'Centre WR13'!$A$7:$N$160,3,FALSE),0)+
IFERROR(VLOOKUP(A70,'Centre WP13'!$A$7:$N$160,3,FALSE),0)</f>
        <v>0</v>
      </c>
      <c r="D70" s="10">
        <f>IFERROR(VLOOKUP(A70,'Centre DW13'!$A$7:$N$160,4,FALSE),0)+
IFERROR(VLOOKUP(A70,'Centre WR13'!$A$7:$N$160,4,FALSE),0)+
IFERROR(VLOOKUP(A70,'Centre WP13'!$A$7:$N$160,4,FALSE),0)</f>
        <v>0</v>
      </c>
      <c r="E70" s="10">
        <f>IFERROR(VLOOKUP(A70,'Centre DW13'!$A$7:$N$160,5,FALSE),0)+
IFERROR(VLOOKUP(A70,'Centre WR13'!$A$7:$N$160,5,FALSE),0)+
IFERROR(VLOOKUP(A70,'Centre WP13'!$A$7:$N$160,5,FALSE),0)</f>
        <v>0</v>
      </c>
      <c r="F70" s="10">
        <f>IFERROR(VLOOKUP(A70,'Centre DW13'!$A$7:$N$160,6,FALSE),0)+
IFERROR(VLOOKUP(A70,'Centre WR13'!$A$7:$N$160,6,FALSE),0)+
IFERROR(VLOOKUP(A70,'Centre WP13'!$A$7:$N$160,6,FALSE),0)</f>
        <v>0</v>
      </c>
      <c r="G70" s="10">
        <f>IFERROR(VLOOKUP(A70,'Centre DW13'!$A$7:$N$160,7,FALSE),0)+
IFERROR(VLOOKUP(A70,'Centre WR13'!$A$7:$N$160,7,FALSE),0)+
IFERROR(VLOOKUP(A70,'Centre WP13'!$A$7:$N$160,7,FALSE),0)</f>
        <v>0</v>
      </c>
      <c r="H70" s="10">
        <f>IFERROR(VLOOKUP(A70,'Centre DW13'!$A$7:$N$160,8,FALSE),0)+
IFERROR(VLOOKUP(A70,'Centre WR13'!$A$7:$N$160,8,FALSE),0)+
IFERROR(VLOOKUP(A70,'Centre WP13'!$A$7:$N$160,8,FALSE),0)</f>
        <v>0</v>
      </c>
      <c r="I70" s="10">
        <f>IFERROR(VLOOKUP(A70,'Centre DW13'!$A$7:$N$160,9,FALSE),0)+
IFERROR(VLOOKUP(A70,'Centre WR13'!$A$7:$N$160,9,FALSE),0)+
IFERROR(VLOOKUP(A70,'Centre WP13'!$A$7:$N$160,9,FALSE),0)</f>
        <v>0</v>
      </c>
      <c r="J70" s="24">
        <f>IFERROR(VLOOKUP(A70,'Centre DW13'!$A$7:$N$160,10,FALSE),0)+
IFERROR(VLOOKUP(A70,'Centre WR13'!$A$7:$N$160,10,FALSE),0)+
IFERROR(VLOOKUP(A70,'Centre WP13'!$A$7:$N$160,10,FALSE),0)</f>
        <v>0</v>
      </c>
      <c r="K70" s="24">
        <f>IFERROR(VLOOKUP(A70,'Centre DW13'!$A$7:$N$160,11,FALSE),0)+
IFERROR(VLOOKUP(A70,'Centre WR13'!$A$7:$N$160,11,FALSE),0)+
IFERROR(VLOOKUP(A70,'Centre WP13'!$A$7:$N$160,11,FALSE),0)</f>
        <v>0</v>
      </c>
      <c r="L70" s="24">
        <f>IFERROR(VLOOKUP(A70,'Centre DW13'!$A$7:$N$160,12,FALSE),0)+
IFERROR(VLOOKUP(A70,'Centre WR13'!$A$7:$N$160,12,FALSE),0)+
IFERROR(VLOOKUP(A70,'Centre WP13'!$A$7:$N$160,12,FALSE),0)</f>
        <v>0</v>
      </c>
      <c r="M70" s="24">
        <f>IFERROR(VLOOKUP(A70,'Centre DW13'!$A$7:$N$160,13,FALSE),0)+
IFERROR(VLOOKUP(A70,'Centre WR13'!$A$7:$N$160,13,FALSE),0)+
IFERROR(VLOOKUP(A70,'Centre WP13'!$A$7:$N$160,13,FALSE),0)</f>
        <v>0</v>
      </c>
      <c r="N70" s="24">
        <f>IFERROR(VLOOKUP(A70,'Centre DW13'!$A$7:$N$160,14,FALSE),0)+
IFERROR(VLOOKUP(A70,'Centre WR13'!$A$7:$N$160,14,FALSE),0)+
IFERROR(VLOOKUP(A70,'Centre WP13'!$A$7:$N$160,14,FALSE),0)</f>
        <v>0</v>
      </c>
    </row>
    <row r="71" spans="1:14" collapsed="1" x14ac:dyDescent="0.2">
      <c r="A71" s="48" t="s">
        <v>139</v>
      </c>
      <c r="B71" s="49" t="s">
        <v>140</v>
      </c>
      <c r="C71" s="50">
        <f>+C72</f>
        <v>0</v>
      </c>
      <c r="D71" s="50">
        <f t="shared" ref="D71:N71" si="15">+D72</f>
        <v>0</v>
      </c>
      <c r="E71" s="50">
        <f t="shared" si="15"/>
        <v>0</v>
      </c>
      <c r="F71" s="50">
        <f t="shared" si="15"/>
        <v>0</v>
      </c>
      <c r="G71" s="50">
        <f t="shared" si="15"/>
        <v>0</v>
      </c>
      <c r="H71" s="50">
        <f t="shared" si="15"/>
        <v>0</v>
      </c>
      <c r="I71" s="50">
        <f t="shared" si="15"/>
        <v>0</v>
      </c>
      <c r="J71" s="50">
        <f t="shared" si="15"/>
        <v>0</v>
      </c>
      <c r="K71" s="50">
        <f t="shared" si="15"/>
        <v>0</v>
      </c>
      <c r="L71" s="50">
        <f t="shared" si="15"/>
        <v>0</v>
      </c>
      <c r="M71" s="50">
        <f t="shared" si="15"/>
        <v>0</v>
      </c>
      <c r="N71" s="50">
        <f t="shared" si="15"/>
        <v>0</v>
      </c>
    </row>
    <row r="72" spans="1:14" hidden="1" outlineLevel="1" x14ac:dyDescent="0.2">
      <c r="A72" s="9" t="s">
        <v>353</v>
      </c>
      <c r="B72" s="1" t="s">
        <v>354</v>
      </c>
      <c r="C72" s="10">
        <f>IFERROR(VLOOKUP(A72,'Centre DW13'!$A$7:$N$160,3,FALSE),0)+
IFERROR(VLOOKUP(A72,'Centre WR13'!$A$7:$N$160,3,FALSE),0)+
IFERROR(VLOOKUP(A72,'Centre WP13'!$A$7:$N$160,3,FALSE),0)</f>
        <v>0</v>
      </c>
      <c r="D72" s="10">
        <f>IFERROR(VLOOKUP(A72,'Centre DW13'!$A$7:$N$160,4,FALSE),0)+
IFERROR(VLOOKUP(A72,'Centre WR13'!$A$7:$N$160,4,FALSE),0)+
IFERROR(VLOOKUP(A72,'Centre WP13'!$A$7:$N$160,4,FALSE),0)</f>
        <v>0</v>
      </c>
      <c r="E72" s="10">
        <f>IFERROR(VLOOKUP(A72,'Centre DW13'!$A$7:$N$160,5,FALSE),0)+
IFERROR(VLOOKUP(A72,'Centre WR13'!$A$7:$N$160,5,FALSE),0)+
IFERROR(VLOOKUP(A72,'Centre WP13'!$A$7:$N$160,5,FALSE),0)</f>
        <v>0</v>
      </c>
      <c r="F72" s="10">
        <f>IFERROR(VLOOKUP(A72,'Centre DW13'!$A$7:$N$160,6,FALSE),0)+
IFERROR(VLOOKUP(A72,'Centre WR13'!$A$7:$N$160,6,FALSE),0)+
IFERROR(VLOOKUP(A72,'Centre WP13'!$A$7:$N$160,6,FALSE),0)</f>
        <v>0</v>
      </c>
      <c r="G72" s="10">
        <f>IFERROR(VLOOKUP(A72,'Centre DW13'!$A$7:$N$160,7,FALSE),0)+
IFERROR(VLOOKUP(A72,'Centre WR13'!$A$7:$N$160,7,FALSE),0)+
IFERROR(VLOOKUP(A72,'Centre WP13'!$A$7:$N$160,7,FALSE),0)</f>
        <v>0</v>
      </c>
      <c r="H72" s="10">
        <f>IFERROR(VLOOKUP(A72,'Centre DW13'!$A$7:$N$160,8,FALSE),0)+
IFERROR(VLOOKUP(A72,'Centre WR13'!$A$7:$N$160,8,FALSE),0)+
IFERROR(VLOOKUP(A72,'Centre WP13'!$A$7:$N$160,8,FALSE),0)</f>
        <v>0</v>
      </c>
      <c r="I72" s="10">
        <f>IFERROR(VLOOKUP(A72,'Centre DW13'!$A$7:$N$160,9,FALSE),0)+
IFERROR(VLOOKUP(A72,'Centre WR13'!$A$7:$N$160,9,FALSE),0)+
IFERROR(VLOOKUP(A72,'Centre WP13'!$A$7:$N$160,9,FALSE),0)</f>
        <v>0</v>
      </c>
      <c r="J72" s="24">
        <f>IFERROR(VLOOKUP(A72,'Centre DW13'!$A$7:$N$160,10,FALSE),0)+
IFERROR(VLOOKUP(A72,'Centre WR13'!$A$7:$N$160,10,FALSE),0)+
IFERROR(VLOOKUP(A72,'Centre WP13'!$A$7:$N$160,10,FALSE),0)</f>
        <v>0</v>
      </c>
      <c r="K72" s="24">
        <f>IFERROR(VLOOKUP(A72,'Centre DW13'!$A$7:$N$160,11,FALSE),0)+
IFERROR(VLOOKUP(A72,'Centre WR13'!$A$7:$N$160,11,FALSE),0)+
IFERROR(VLOOKUP(A72,'Centre WP13'!$A$7:$N$160,11,FALSE),0)</f>
        <v>0</v>
      </c>
      <c r="L72" s="24">
        <f>IFERROR(VLOOKUP(A72,'Centre DW13'!$A$7:$N$160,12,FALSE),0)+
IFERROR(VLOOKUP(A72,'Centre WR13'!$A$7:$N$160,12,FALSE),0)+
IFERROR(VLOOKUP(A72,'Centre WP13'!$A$7:$N$160,12,FALSE),0)</f>
        <v>0</v>
      </c>
      <c r="M72" s="24">
        <f>IFERROR(VLOOKUP(A72,'Centre DW13'!$A$7:$N$160,13,FALSE),0)+
IFERROR(VLOOKUP(A72,'Centre WR13'!$A$7:$N$160,13,FALSE),0)+
IFERROR(VLOOKUP(A72,'Centre WP13'!$A$7:$N$160,13,FALSE),0)</f>
        <v>0</v>
      </c>
      <c r="N72" s="24">
        <f>IFERROR(VLOOKUP(A72,'Centre DW13'!$A$7:$N$160,14,FALSE),0)+
IFERROR(VLOOKUP(A72,'Centre WR13'!$A$7:$N$160,14,FALSE),0)+
IFERROR(VLOOKUP(A72,'Centre WP13'!$A$7:$N$160,14,FALSE),0)</f>
        <v>0</v>
      </c>
    </row>
    <row r="73" spans="1:14" collapsed="1" x14ac:dyDescent="0.2">
      <c r="A73" s="48" t="s">
        <v>141</v>
      </c>
      <c r="B73" s="49" t="s">
        <v>142</v>
      </c>
      <c r="C73" s="50">
        <f>IFERROR(VLOOKUP(A73,'Centre DW13'!$A$7:$N$160,3,FALSE),0)+
IFERROR(VLOOKUP(A73,'Centre WR13'!$A$7:$N$160,3,FALSE),0)+
IFERROR(VLOOKUP(A73,'Centre WP13'!$A$7:$N$160,3,FALSE),0)</f>
        <v>0</v>
      </c>
      <c r="D73" s="50">
        <f>IFERROR(VLOOKUP(A73,'Centre DW13'!$A$7:$N$160,4,FALSE),0)+
IFERROR(VLOOKUP(A73,'Centre WR13'!$A$7:$N$160,4,FALSE),0)+
IFERROR(VLOOKUP(A73,'Centre WP13'!$A$7:$N$160,4,FALSE),0)</f>
        <v>0</v>
      </c>
      <c r="E73" s="50">
        <f>IFERROR(VLOOKUP(A73,'Centre DW13'!$A$7:$N$160,5,FALSE),0)+
IFERROR(VLOOKUP(A73,'Centre WR13'!$A$7:$N$160,5,FALSE),0)+
IFERROR(VLOOKUP(A73,'Centre WP13'!$A$7:$N$160,5,FALSE),0)</f>
        <v>0</v>
      </c>
      <c r="F73" s="50">
        <f>IFERROR(VLOOKUP(A73,'Centre DW13'!$A$7:$N$160,6,FALSE),0)+
IFERROR(VLOOKUP(A73,'Centre WR13'!$A$7:$N$160,6,FALSE),0)+
IFERROR(VLOOKUP(A73,'Centre WP13'!$A$7:$N$160,6,FALSE),0)</f>
        <v>0</v>
      </c>
      <c r="G73" s="50">
        <f>IFERROR(VLOOKUP(A73,'Centre DW13'!$A$7:$N$160,7,FALSE),0)+
IFERROR(VLOOKUP(A73,'Centre WR13'!$A$7:$N$160,7,FALSE),0)+
IFERROR(VLOOKUP(A73,'Centre WP13'!$A$7:$N$160,7,FALSE),0)</f>
        <v>0</v>
      </c>
      <c r="H73" s="50">
        <f>IFERROR(VLOOKUP(A73,'Centre DW13'!$A$7:$N$160,8,FALSE),0)+
IFERROR(VLOOKUP(A73,'Centre WR13'!$A$7:$N$160,8,FALSE),0)+
IFERROR(VLOOKUP(A73,'Centre WP13'!$A$7:$N$160,8,FALSE),0)</f>
        <v>0</v>
      </c>
      <c r="I73" s="50">
        <f>IFERROR(VLOOKUP(A73,'Centre DW13'!$A$7:$N$160,9,FALSE),0)+
IFERROR(VLOOKUP(A73,'Centre WR13'!$A$7:$N$160,9,FALSE),0)+
IFERROR(VLOOKUP(A73,'Centre WP13'!$A$7:$N$160,9,FALSE),0)</f>
        <v>0</v>
      </c>
      <c r="J73" s="50">
        <f>IFERROR(VLOOKUP(A73,'Centre DW13'!$A$7:$N$160,10,FALSE),0)+
IFERROR(VLOOKUP(A73,'Centre WR13'!$A$7:$N$160,10,FALSE),0)+
IFERROR(VLOOKUP(A73,'Centre WP13'!$A$7:$N$160,10,FALSE),0)</f>
        <v>0</v>
      </c>
      <c r="K73" s="50">
        <f>IFERROR(VLOOKUP(A73,'Centre DW13'!$A$7:$N$160,11,FALSE),0)+
IFERROR(VLOOKUP(A73,'Centre WR13'!$A$7:$N$160,11,FALSE),0)+
IFERROR(VLOOKUP(A73,'Centre WP13'!$A$7:$N$160,11,FALSE),0)</f>
        <v>0</v>
      </c>
      <c r="L73" s="50">
        <f>IFERROR(VLOOKUP(A73,'Centre DW13'!$A$7:$N$160,12,FALSE),0)+
IFERROR(VLOOKUP(A73,'Centre WR13'!$A$7:$N$160,12,FALSE),0)+
IFERROR(VLOOKUP(A73,'Centre WP13'!$A$7:$N$160,12,FALSE),0)</f>
        <v>0</v>
      </c>
      <c r="M73" s="50">
        <f>IFERROR(VLOOKUP(A73,'Centre DW13'!$A$7:$N$160,13,FALSE),0)+
IFERROR(VLOOKUP(A73,'Centre WR13'!$A$7:$N$160,13,FALSE),0)+
IFERROR(VLOOKUP(A73,'Centre WP13'!$A$7:$N$160,13,FALSE),0)</f>
        <v>0</v>
      </c>
      <c r="N73" s="50">
        <f>IFERROR(VLOOKUP(A73,'Centre DW13'!$A$7:$N$160,14,FALSE),0)+
IFERROR(VLOOKUP(A73,'Centre WR13'!$A$7:$N$160,14,FALSE),0)+
IFERROR(VLOOKUP(A73,'Centre WP13'!$A$7:$N$160,14,FALSE),0)</f>
        <v>0</v>
      </c>
    </row>
    <row r="74" spans="1:14" x14ac:dyDescent="0.2">
      <c r="A74" s="48" t="s">
        <v>143</v>
      </c>
      <c r="B74" s="49" t="s">
        <v>144</v>
      </c>
      <c r="C74" s="50">
        <f>SUM(C75:C80)</f>
        <v>14.9</v>
      </c>
      <c r="D74" s="50">
        <f t="shared" ref="D74:N74" si="16">SUM(D75:D80)</f>
        <v>13.9</v>
      </c>
      <c r="E74" s="50">
        <f t="shared" si="16"/>
        <v>12.9</v>
      </c>
      <c r="F74" s="50">
        <f t="shared" si="16"/>
        <v>15.9</v>
      </c>
      <c r="G74" s="50">
        <f t="shared" si="16"/>
        <v>13.9</v>
      </c>
      <c r="H74" s="50">
        <f t="shared" si="16"/>
        <v>14.9</v>
      </c>
      <c r="I74" s="50">
        <f t="shared" si="16"/>
        <v>13.9</v>
      </c>
      <c r="J74" s="50">
        <f t="shared" si="16"/>
        <v>14.9</v>
      </c>
      <c r="K74" s="50">
        <f t="shared" si="16"/>
        <v>15.9</v>
      </c>
      <c r="L74" s="50">
        <f t="shared" si="16"/>
        <v>15.9</v>
      </c>
      <c r="M74" s="50">
        <f t="shared" si="16"/>
        <v>12.9</v>
      </c>
      <c r="N74" s="50">
        <f t="shared" si="16"/>
        <v>14.9</v>
      </c>
    </row>
    <row r="75" spans="1:14" hidden="1" outlineLevel="1" x14ac:dyDescent="0.2">
      <c r="A75" s="9" t="s">
        <v>145</v>
      </c>
      <c r="B75" s="1" t="s">
        <v>146</v>
      </c>
      <c r="C75" s="10">
        <f>IFERROR(VLOOKUP(A75,'Centre DW13'!$A$7:$N$160,3,FALSE),0)+
IFERROR(VLOOKUP(A75,'Centre WR13'!$A$7:$N$160,3,FALSE),0)+
IFERROR(VLOOKUP(A75,'Centre WP13'!$A$7:$N$160,3,FALSE),0)</f>
        <v>12.5</v>
      </c>
      <c r="D75" s="10">
        <f>IFERROR(VLOOKUP(A75,'Centre DW13'!$A$7:$N$160,4,FALSE),0)+
IFERROR(VLOOKUP(A75,'Centre WR13'!$A$7:$N$160,4,FALSE),0)+
IFERROR(VLOOKUP(A75,'Centre WP13'!$A$7:$N$160,4,FALSE),0)</f>
        <v>11.5</v>
      </c>
      <c r="E75" s="10">
        <f>IFERROR(VLOOKUP(A75,'Centre DW13'!$A$7:$N$160,5,FALSE),0)+
IFERROR(VLOOKUP(A75,'Centre WR13'!$A$7:$N$160,5,FALSE),0)+
IFERROR(VLOOKUP(A75,'Centre WP13'!$A$7:$N$160,5,FALSE),0)</f>
        <v>10.5</v>
      </c>
      <c r="F75" s="10">
        <f>IFERROR(VLOOKUP(A75,'Centre DW13'!$A$7:$N$160,6,FALSE),0)+
IFERROR(VLOOKUP(A75,'Centre WR13'!$A$7:$N$160,6,FALSE),0)+
IFERROR(VLOOKUP(A75,'Centre WP13'!$A$7:$N$160,6,FALSE),0)</f>
        <v>13.5</v>
      </c>
      <c r="G75" s="10">
        <f>IFERROR(VLOOKUP(A75,'Centre DW13'!$A$7:$N$160,7,FALSE),0)+
IFERROR(VLOOKUP(A75,'Centre WR13'!$A$7:$N$160,7,FALSE),0)+
IFERROR(VLOOKUP(A75,'Centre WP13'!$A$7:$N$160,7,FALSE),0)</f>
        <v>11.5</v>
      </c>
      <c r="H75" s="10">
        <f>IFERROR(VLOOKUP(A75,'Centre DW13'!$A$7:$N$160,8,FALSE),0)+
IFERROR(VLOOKUP(A75,'Centre WR13'!$A$7:$N$160,8,FALSE),0)+
IFERROR(VLOOKUP(A75,'Centre WP13'!$A$7:$N$160,8,FALSE),0)</f>
        <v>12.5</v>
      </c>
      <c r="I75" s="10">
        <f>IFERROR(VLOOKUP(A75,'Centre DW13'!$A$7:$N$160,9,FALSE),0)+
IFERROR(VLOOKUP(A75,'Centre WR13'!$A$7:$N$160,9,FALSE),0)+
IFERROR(VLOOKUP(A75,'Centre WP13'!$A$7:$N$160,9,FALSE),0)</f>
        <v>11.5</v>
      </c>
      <c r="J75" s="24">
        <f>IFERROR(VLOOKUP(A75,'Centre DW13'!$A$7:$N$160,10,FALSE),0)+
IFERROR(VLOOKUP(A75,'Centre WR13'!$A$7:$N$160,10,FALSE),0)+
IFERROR(VLOOKUP(A75,'Centre WP13'!$A$7:$N$160,10,FALSE),0)</f>
        <v>12.5</v>
      </c>
      <c r="K75" s="24">
        <f>IFERROR(VLOOKUP(A75,'Centre DW13'!$A$7:$N$160,11,FALSE),0)+
IFERROR(VLOOKUP(A75,'Centre WR13'!$A$7:$N$160,11,FALSE),0)+
IFERROR(VLOOKUP(A75,'Centre WP13'!$A$7:$N$160,11,FALSE),0)</f>
        <v>13.5</v>
      </c>
      <c r="L75" s="24">
        <f>IFERROR(VLOOKUP(A75,'Centre DW13'!$A$7:$N$160,12,FALSE),0)+
IFERROR(VLOOKUP(A75,'Centre WR13'!$A$7:$N$160,12,FALSE),0)+
IFERROR(VLOOKUP(A75,'Centre WP13'!$A$7:$N$160,12,FALSE),0)</f>
        <v>13.5</v>
      </c>
      <c r="M75" s="24">
        <f>IFERROR(VLOOKUP(A75,'Centre DW13'!$A$7:$N$160,13,FALSE),0)+
IFERROR(VLOOKUP(A75,'Centre WR13'!$A$7:$N$160,13,FALSE),0)+
IFERROR(VLOOKUP(A75,'Centre WP13'!$A$7:$N$160,13,FALSE),0)</f>
        <v>10.5</v>
      </c>
      <c r="N75" s="24">
        <f>IFERROR(VLOOKUP(A75,'Centre DW13'!$A$7:$N$160,14,FALSE),0)+
IFERROR(VLOOKUP(A75,'Centre WR13'!$A$7:$N$160,14,FALSE),0)+
IFERROR(VLOOKUP(A75,'Centre WP13'!$A$7:$N$160,14,FALSE),0)</f>
        <v>12.5</v>
      </c>
    </row>
    <row r="76" spans="1:14" hidden="1" outlineLevel="1" x14ac:dyDescent="0.2">
      <c r="A76" s="9" t="s">
        <v>147</v>
      </c>
      <c r="B76" s="1" t="s">
        <v>148</v>
      </c>
      <c r="C76" s="10">
        <f>IFERROR(VLOOKUP(A76,'Centre DW13'!$A$7:$N$160,3,FALSE),0)+
IFERROR(VLOOKUP(A76,'Centre WR13'!$A$7:$N$160,3,FALSE),0)+
IFERROR(VLOOKUP(A76,'Centre WP13'!$A$7:$N$160,3,FALSE),0)</f>
        <v>1.5</v>
      </c>
      <c r="D76" s="10">
        <f>IFERROR(VLOOKUP(A76,'Centre DW13'!$A$7:$N$160,4,FALSE),0)+
IFERROR(VLOOKUP(A76,'Centre WR13'!$A$7:$N$160,4,FALSE),0)+
IFERROR(VLOOKUP(A76,'Centre WP13'!$A$7:$N$160,4,FALSE),0)</f>
        <v>1.5</v>
      </c>
      <c r="E76" s="10">
        <f>IFERROR(VLOOKUP(A76,'Centre DW13'!$A$7:$N$160,5,FALSE),0)+
IFERROR(VLOOKUP(A76,'Centre WR13'!$A$7:$N$160,5,FALSE),0)+
IFERROR(VLOOKUP(A76,'Centre WP13'!$A$7:$N$160,5,FALSE),0)</f>
        <v>1.5</v>
      </c>
      <c r="F76" s="10">
        <f>IFERROR(VLOOKUP(A76,'Centre DW13'!$A$7:$N$160,6,FALSE),0)+
IFERROR(VLOOKUP(A76,'Centre WR13'!$A$7:$N$160,6,FALSE),0)+
IFERROR(VLOOKUP(A76,'Centre WP13'!$A$7:$N$160,6,FALSE),0)</f>
        <v>1.5</v>
      </c>
      <c r="G76" s="10">
        <f>IFERROR(VLOOKUP(A76,'Centre DW13'!$A$7:$N$160,7,FALSE),0)+
IFERROR(VLOOKUP(A76,'Centre WR13'!$A$7:$N$160,7,FALSE),0)+
IFERROR(VLOOKUP(A76,'Centre WP13'!$A$7:$N$160,7,FALSE),0)</f>
        <v>1.5</v>
      </c>
      <c r="H76" s="10">
        <f>IFERROR(VLOOKUP(A76,'Centre DW13'!$A$7:$N$160,8,FALSE),0)+
IFERROR(VLOOKUP(A76,'Centre WR13'!$A$7:$N$160,8,FALSE),0)+
IFERROR(VLOOKUP(A76,'Centre WP13'!$A$7:$N$160,8,FALSE),0)</f>
        <v>1.5</v>
      </c>
      <c r="I76" s="10">
        <f>IFERROR(VLOOKUP(A76,'Centre DW13'!$A$7:$N$160,9,FALSE),0)+
IFERROR(VLOOKUP(A76,'Centre WR13'!$A$7:$N$160,9,FALSE),0)+
IFERROR(VLOOKUP(A76,'Centre WP13'!$A$7:$N$160,9,FALSE),0)</f>
        <v>1.5</v>
      </c>
      <c r="J76" s="24">
        <f>IFERROR(VLOOKUP(A76,'Centre DW13'!$A$7:$N$160,10,FALSE),0)+
IFERROR(VLOOKUP(A76,'Centre WR13'!$A$7:$N$160,10,FALSE),0)+
IFERROR(VLOOKUP(A76,'Centre WP13'!$A$7:$N$160,10,FALSE),0)</f>
        <v>1.5</v>
      </c>
      <c r="K76" s="24">
        <f>IFERROR(VLOOKUP(A76,'Centre DW13'!$A$7:$N$160,11,FALSE),0)+
IFERROR(VLOOKUP(A76,'Centre WR13'!$A$7:$N$160,11,FALSE),0)+
IFERROR(VLOOKUP(A76,'Centre WP13'!$A$7:$N$160,11,FALSE),0)</f>
        <v>1.5</v>
      </c>
      <c r="L76" s="24">
        <f>IFERROR(VLOOKUP(A76,'Centre DW13'!$A$7:$N$160,12,FALSE),0)+
IFERROR(VLOOKUP(A76,'Centre WR13'!$A$7:$N$160,12,FALSE),0)+
IFERROR(VLOOKUP(A76,'Centre WP13'!$A$7:$N$160,12,FALSE),0)</f>
        <v>1.5</v>
      </c>
      <c r="M76" s="24">
        <f>IFERROR(VLOOKUP(A76,'Centre DW13'!$A$7:$N$160,13,FALSE),0)+
IFERROR(VLOOKUP(A76,'Centre WR13'!$A$7:$N$160,13,FALSE),0)+
IFERROR(VLOOKUP(A76,'Centre WP13'!$A$7:$N$160,13,FALSE),0)</f>
        <v>1.5</v>
      </c>
      <c r="N76" s="24">
        <f>IFERROR(VLOOKUP(A76,'Centre DW13'!$A$7:$N$160,14,FALSE),0)+
IFERROR(VLOOKUP(A76,'Centre WR13'!$A$7:$N$160,14,FALSE),0)+
IFERROR(VLOOKUP(A76,'Centre WP13'!$A$7:$N$160,14,FALSE),0)</f>
        <v>1.5</v>
      </c>
    </row>
    <row r="77" spans="1:14" hidden="1" outlineLevel="1" x14ac:dyDescent="0.2">
      <c r="A77" s="9" t="s">
        <v>149</v>
      </c>
      <c r="B77" s="1" t="s">
        <v>150</v>
      </c>
      <c r="C77" s="10">
        <f>IFERROR(VLOOKUP(A77,'Centre DW13'!$A$7:$N$160,3,FALSE),0)+
IFERROR(VLOOKUP(A77,'Centre WR13'!$A$7:$N$160,3,FALSE),0)+
IFERROR(VLOOKUP(A77,'Centre WP13'!$A$7:$N$160,3,FALSE),0)</f>
        <v>0</v>
      </c>
      <c r="D77" s="10">
        <f>IFERROR(VLOOKUP(A77,'Centre DW13'!$A$7:$N$160,4,FALSE),0)+
IFERROR(VLOOKUP(A77,'Centre WR13'!$A$7:$N$160,4,FALSE),0)+
IFERROR(VLOOKUP(A77,'Centre WP13'!$A$7:$N$160,4,FALSE),0)</f>
        <v>0</v>
      </c>
      <c r="E77" s="10">
        <f>IFERROR(VLOOKUP(A77,'Centre DW13'!$A$7:$N$160,5,FALSE),0)+
IFERROR(VLOOKUP(A77,'Centre WR13'!$A$7:$N$160,5,FALSE),0)+
IFERROR(VLOOKUP(A77,'Centre WP13'!$A$7:$N$160,5,FALSE),0)</f>
        <v>0</v>
      </c>
      <c r="F77" s="10">
        <f>IFERROR(VLOOKUP(A77,'Centre DW13'!$A$7:$N$160,6,FALSE),0)+
IFERROR(VLOOKUP(A77,'Centre WR13'!$A$7:$N$160,6,FALSE),0)+
IFERROR(VLOOKUP(A77,'Centre WP13'!$A$7:$N$160,6,FALSE),0)</f>
        <v>0</v>
      </c>
      <c r="G77" s="10">
        <f>IFERROR(VLOOKUP(A77,'Centre DW13'!$A$7:$N$160,7,FALSE),0)+
IFERROR(VLOOKUP(A77,'Centre WR13'!$A$7:$N$160,7,FALSE),0)+
IFERROR(VLOOKUP(A77,'Centre WP13'!$A$7:$N$160,7,FALSE),0)</f>
        <v>0</v>
      </c>
      <c r="H77" s="10">
        <f>IFERROR(VLOOKUP(A77,'Centre DW13'!$A$7:$N$160,8,FALSE),0)+
IFERROR(VLOOKUP(A77,'Centre WR13'!$A$7:$N$160,8,FALSE),0)+
IFERROR(VLOOKUP(A77,'Centre WP13'!$A$7:$N$160,8,FALSE),0)</f>
        <v>0</v>
      </c>
      <c r="I77" s="10">
        <f>IFERROR(VLOOKUP(A77,'Centre DW13'!$A$7:$N$160,9,FALSE),0)+
IFERROR(VLOOKUP(A77,'Centre WR13'!$A$7:$N$160,9,FALSE),0)+
IFERROR(VLOOKUP(A77,'Centre WP13'!$A$7:$N$160,9,FALSE),0)</f>
        <v>0</v>
      </c>
      <c r="J77" s="24">
        <f>IFERROR(VLOOKUP(A77,'Centre DW13'!$A$7:$N$160,10,FALSE),0)+
IFERROR(VLOOKUP(A77,'Centre WR13'!$A$7:$N$160,10,FALSE),0)+
IFERROR(VLOOKUP(A77,'Centre WP13'!$A$7:$N$160,10,FALSE),0)</f>
        <v>0</v>
      </c>
      <c r="K77" s="24">
        <f>IFERROR(VLOOKUP(A77,'Centre DW13'!$A$7:$N$160,11,FALSE),0)+
IFERROR(VLOOKUP(A77,'Centre WR13'!$A$7:$N$160,11,FALSE),0)+
IFERROR(VLOOKUP(A77,'Centre WP13'!$A$7:$N$160,11,FALSE),0)</f>
        <v>0</v>
      </c>
      <c r="L77" s="24">
        <f>IFERROR(VLOOKUP(A77,'Centre DW13'!$A$7:$N$160,12,FALSE),0)+
IFERROR(VLOOKUP(A77,'Centre WR13'!$A$7:$N$160,12,FALSE),0)+
IFERROR(VLOOKUP(A77,'Centre WP13'!$A$7:$N$160,12,FALSE),0)</f>
        <v>0</v>
      </c>
      <c r="M77" s="24">
        <f>IFERROR(VLOOKUP(A77,'Centre DW13'!$A$7:$N$160,13,FALSE),0)+
IFERROR(VLOOKUP(A77,'Centre WR13'!$A$7:$N$160,13,FALSE),0)+
IFERROR(VLOOKUP(A77,'Centre WP13'!$A$7:$N$160,13,FALSE),0)</f>
        <v>0</v>
      </c>
      <c r="N77" s="24">
        <f>IFERROR(VLOOKUP(A77,'Centre DW13'!$A$7:$N$160,14,FALSE),0)+
IFERROR(VLOOKUP(A77,'Centre WR13'!$A$7:$N$160,14,FALSE),0)+
IFERROR(VLOOKUP(A77,'Centre WP13'!$A$7:$N$160,14,FALSE),0)</f>
        <v>0</v>
      </c>
    </row>
    <row r="78" spans="1:14" hidden="1" outlineLevel="1" x14ac:dyDescent="0.2">
      <c r="A78" s="9" t="s">
        <v>151</v>
      </c>
      <c r="B78" s="1" t="s">
        <v>152</v>
      </c>
      <c r="C78" s="10">
        <f>IFERROR(VLOOKUP(A78,'Centre DW13'!$A$7:$N$160,3,FALSE),0)+
IFERROR(VLOOKUP(A78,'Centre WR13'!$A$7:$N$160,3,FALSE),0)+
IFERROR(VLOOKUP(A78,'Centre WP13'!$A$7:$N$160,3,FALSE),0)</f>
        <v>0</v>
      </c>
      <c r="D78" s="10">
        <f>IFERROR(VLOOKUP(A78,'Centre DW13'!$A$7:$N$160,4,FALSE),0)+
IFERROR(VLOOKUP(A78,'Centre WR13'!$A$7:$N$160,4,FALSE),0)+
IFERROR(VLOOKUP(A78,'Centre WP13'!$A$7:$N$160,4,FALSE),0)</f>
        <v>0</v>
      </c>
      <c r="E78" s="10">
        <f>IFERROR(VLOOKUP(A78,'Centre DW13'!$A$7:$N$160,5,FALSE),0)+
IFERROR(VLOOKUP(A78,'Centre WR13'!$A$7:$N$160,5,FALSE),0)+
IFERROR(VLOOKUP(A78,'Centre WP13'!$A$7:$N$160,5,FALSE),0)</f>
        <v>0</v>
      </c>
      <c r="F78" s="10">
        <f>IFERROR(VLOOKUP(A78,'Centre DW13'!$A$7:$N$160,6,FALSE),0)+
IFERROR(VLOOKUP(A78,'Centre WR13'!$A$7:$N$160,6,FALSE),0)+
IFERROR(VLOOKUP(A78,'Centre WP13'!$A$7:$N$160,6,FALSE),0)</f>
        <v>0</v>
      </c>
      <c r="G78" s="10">
        <f>IFERROR(VLOOKUP(A78,'Centre DW13'!$A$7:$N$160,7,FALSE),0)+
IFERROR(VLOOKUP(A78,'Centre WR13'!$A$7:$N$160,7,FALSE),0)+
IFERROR(VLOOKUP(A78,'Centre WP13'!$A$7:$N$160,7,FALSE),0)</f>
        <v>0</v>
      </c>
      <c r="H78" s="10">
        <f>IFERROR(VLOOKUP(A78,'Centre DW13'!$A$7:$N$160,8,FALSE),0)+
IFERROR(VLOOKUP(A78,'Centre WR13'!$A$7:$N$160,8,FALSE),0)+
IFERROR(VLOOKUP(A78,'Centre WP13'!$A$7:$N$160,8,FALSE),0)</f>
        <v>0</v>
      </c>
      <c r="I78" s="10">
        <f>IFERROR(VLOOKUP(A78,'Centre DW13'!$A$7:$N$160,9,FALSE),0)+
IFERROR(VLOOKUP(A78,'Centre WR13'!$A$7:$N$160,9,FALSE),0)+
IFERROR(VLOOKUP(A78,'Centre WP13'!$A$7:$N$160,9,FALSE),0)</f>
        <v>0</v>
      </c>
      <c r="J78" s="24">
        <f>IFERROR(VLOOKUP(A78,'Centre DW13'!$A$7:$N$160,10,FALSE),0)+
IFERROR(VLOOKUP(A78,'Centre WR13'!$A$7:$N$160,10,FALSE),0)+
IFERROR(VLOOKUP(A78,'Centre WP13'!$A$7:$N$160,10,FALSE),0)</f>
        <v>0</v>
      </c>
      <c r="K78" s="24">
        <f>IFERROR(VLOOKUP(A78,'Centre DW13'!$A$7:$N$160,11,FALSE),0)+
IFERROR(VLOOKUP(A78,'Centre WR13'!$A$7:$N$160,11,FALSE),0)+
IFERROR(VLOOKUP(A78,'Centre WP13'!$A$7:$N$160,11,FALSE),0)</f>
        <v>0</v>
      </c>
      <c r="L78" s="24">
        <f>IFERROR(VLOOKUP(A78,'Centre DW13'!$A$7:$N$160,12,FALSE),0)+
IFERROR(VLOOKUP(A78,'Centre WR13'!$A$7:$N$160,12,FALSE),0)+
IFERROR(VLOOKUP(A78,'Centre WP13'!$A$7:$N$160,12,FALSE),0)</f>
        <v>0</v>
      </c>
      <c r="M78" s="24">
        <f>IFERROR(VLOOKUP(A78,'Centre DW13'!$A$7:$N$160,13,FALSE),0)+
IFERROR(VLOOKUP(A78,'Centre WR13'!$A$7:$N$160,13,FALSE),0)+
IFERROR(VLOOKUP(A78,'Centre WP13'!$A$7:$N$160,13,FALSE),0)</f>
        <v>0</v>
      </c>
      <c r="N78" s="24">
        <f>IFERROR(VLOOKUP(A78,'Centre DW13'!$A$7:$N$160,14,FALSE),0)+
IFERROR(VLOOKUP(A78,'Centre WR13'!$A$7:$N$160,14,FALSE),0)+
IFERROR(VLOOKUP(A78,'Centre WP13'!$A$7:$N$160,14,FALSE),0)</f>
        <v>0</v>
      </c>
    </row>
    <row r="79" spans="1:14" hidden="1" outlineLevel="1" x14ac:dyDescent="0.2">
      <c r="A79" s="9" t="s">
        <v>153</v>
      </c>
      <c r="B79" s="1" t="s">
        <v>154</v>
      </c>
      <c r="C79" s="10">
        <f>IFERROR(VLOOKUP(A79,'Centre DW13'!$A$7:$N$160,3,FALSE),0)+
IFERROR(VLOOKUP(A79,'Centre WR13'!$A$7:$N$160,3,FALSE),0)+
IFERROR(VLOOKUP(A79,'Centre WP13'!$A$7:$N$160,3,FALSE),0)</f>
        <v>0.4</v>
      </c>
      <c r="D79" s="10">
        <f>IFERROR(VLOOKUP(A79,'Centre DW13'!$A$7:$N$160,4,FALSE),0)+
IFERROR(VLOOKUP(A79,'Centre WR13'!$A$7:$N$160,4,FALSE),0)+
IFERROR(VLOOKUP(A79,'Centre WP13'!$A$7:$N$160,4,FALSE),0)</f>
        <v>0.4</v>
      </c>
      <c r="E79" s="10">
        <f>IFERROR(VLOOKUP(A79,'Centre DW13'!$A$7:$N$160,5,FALSE),0)+
IFERROR(VLOOKUP(A79,'Centre WR13'!$A$7:$N$160,5,FALSE),0)+
IFERROR(VLOOKUP(A79,'Centre WP13'!$A$7:$N$160,5,FALSE),0)</f>
        <v>0.4</v>
      </c>
      <c r="F79" s="10">
        <f>IFERROR(VLOOKUP(A79,'Centre DW13'!$A$7:$N$160,6,FALSE),0)+
IFERROR(VLOOKUP(A79,'Centre WR13'!$A$7:$N$160,6,FALSE),0)+
IFERROR(VLOOKUP(A79,'Centre WP13'!$A$7:$N$160,6,FALSE),0)</f>
        <v>0.4</v>
      </c>
      <c r="G79" s="10">
        <f>IFERROR(VLOOKUP(A79,'Centre DW13'!$A$7:$N$160,7,FALSE),0)+
IFERROR(VLOOKUP(A79,'Centre WR13'!$A$7:$N$160,7,FALSE),0)+
IFERROR(VLOOKUP(A79,'Centre WP13'!$A$7:$N$160,7,FALSE),0)</f>
        <v>0.4</v>
      </c>
      <c r="H79" s="10">
        <f>IFERROR(VLOOKUP(A79,'Centre DW13'!$A$7:$N$160,8,FALSE),0)+
IFERROR(VLOOKUP(A79,'Centre WR13'!$A$7:$N$160,8,FALSE),0)+
IFERROR(VLOOKUP(A79,'Centre WP13'!$A$7:$N$160,8,FALSE),0)</f>
        <v>0.4</v>
      </c>
      <c r="I79" s="10">
        <f>IFERROR(VLOOKUP(A79,'Centre DW13'!$A$7:$N$160,9,FALSE),0)+
IFERROR(VLOOKUP(A79,'Centre WR13'!$A$7:$N$160,9,FALSE),0)+
IFERROR(VLOOKUP(A79,'Centre WP13'!$A$7:$N$160,9,FALSE),0)</f>
        <v>0.4</v>
      </c>
      <c r="J79" s="24">
        <f>IFERROR(VLOOKUP(A79,'Centre DW13'!$A$7:$N$160,10,FALSE),0)+
IFERROR(VLOOKUP(A79,'Centre WR13'!$A$7:$N$160,10,FALSE),0)+
IFERROR(VLOOKUP(A79,'Centre WP13'!$A$7:$N$160,10,FALSE),0)</f>
        <v>0.4</v>
      </c>
      <c r="K79" s="24">
        <f>IFERROR(VLOOKUP(A79,'Centre DW13'!$A$7:$N$160,11,FALSE),0)+
IFERROR(VLOOKUP(A79,'Centre WR13'!$A$7:$N$160,11,FALSE),0)+
IFERROR(VLOOKUP(A79,'Centre WP13'!$A$7:$N$160,11,FALSE),0)</f>
        <v>0.4</v>
      </c>
      <c r="L79" s="24">
        <f>IFERROR(VLOOKUP(A79,'Centre DW13'!$A$7:$N$160,12,FALSE),0)+
IFERROR(VLOOKUP(A79,'Centre WR13'!$A$7:$N$160,12,FALSE),0)+
IFERROR(VLOOKUP(A79,'Centre WP13'!$A$7:$N$160,12,FALSE),0)</f>
        <v>0.4</v>
      </c>
      <c r="M79" s="24">
        <f>IFERROR(VLOOKUP(A79,'Centre DW13'!$A$7:$N$160,13,FALSE),0)+
IFERROR(VLOOKUP(A79,'Centre WR13'!$A$7:$N$160,13,FALSE),0)+
IFERROR(VLOOKUP(A79,'Centre WP13'!$A$7:$N$160,13,FALSE),0)</f>
        <v>0.4</v>
      </c>
      <c r="N79" s="24">
        <f>IFERROR(VLOOKUP(A79,'Centre DW13'!$A$7:$N$160,14,FALSE),0)+
IFERROR(VLOOKUP(A79,'Centre WR13'!$A$7:$N$160,14,FALSE),0)+
IFERROR(VLOOKUP(A79,'Centre WP13'!$A$7:$N$160,14,FALSE),0)</f>
        <v>0.4</v>
      </c>
    </row>
    <row r="80" spans="1:14" hidden="1" outlineLevel="1" x14ac:dyDescent="0.2">
      <c r="A80" s="9" t="s">
        <v>155</v>
      </c>
      <c r="B80" s="1" t="s">
        <v>156</v>
      </c>
      <c r="C80" s="10">
        <f>IFERROR(VLOOKUP(A80,'Centre DW13'!$A$7:$N$160,3,FALSE),0)+
IFERROR(VLOOKUP(A80,'Centre WR13'!$A$7:$N$160,3,FALSE),0)+
IFERROR(VLOOKUP(A80,'Centre WP13'!$A$7:$N$160,3,FALSE),0)</f>
        <v>0.5</v>
      </c>
      <c r="D80" s="10">
        <f>IFERROR(VLOOKUP(A80,'Centre DW13'!$A$7:$N$160,4,FALSE),0)+
IFERROR(VLOOKUP(A80,'Centre WR13'!$A$7:$N$160,4,FALSE),0)+
IFERROR(VLOOKUP(A80,'Centre WP13'!$A$7:$N$160,4,FALSE),0)</f>
        <v>0.5</v>
      </c>
      <c r="E80" s="10">
        <f>IFERROR(VLOOKUP(A80,'Centre DW13'!$A$7:$N$160,5,FALSE),0)+
IFERROR(VLOOKUP(A80,'Centre WR13'!$A$7:$N$160,5,FALSE),0)+
IFERROR(VLOOKUP(A80,'Centre WP13'!$A$7:$N$160,5,FALSE),0)</f>
        <v>0.5</v>
      </c>
      <c r="F80" s="10">
        <f>IFERROR(VLOOKUP(A80,'Centre DW13'!$A$7:$N$160,6,FALSE),0)+
IFERROR(VLOOKUP(A80,'Centre WR13'!$A$7:$N$160,6,FALSE),0)+
IFERROR(VLOOKUP(A80,'Centre WP13'!$A$7:$N$160,6,FALSE),0)</f>
        <v>0.5</v>
      </c>
      <c r="G80" s="10">
        <f>IFERROR(VLOOKUP(A80,'Centre DW13'!$A$7:$N$160,7,FALSE),0)+
IFERROR(VLOOKUP(A80,'Centre WR13'!$A$7:$N$160,7,FALSE),0)+
IFERROR(VLOOKUP(A80,'Centre WP13'!$A$7:$N$160,7,FALSE),0)</f>
        <v>0.5</v>
      </c>
      <c r="H80" s="10">
        <f>IFERROR(VLOOKUP(A80,'Centre DW13'!$A$7:$N$160,8,FALSE),0)+
IFERROR(VLOOKUP(A80,'Centre WR13'!$A$7:$N$160,8,FALSE),0)+
IFERROR(VLOOKUP(A80,'Centre WP13'!$A$7:$N$160,8,FALSE),0)</f>
        <v>0.5</v>
      </c>
      <c r="I80" s="10">
        <f>IFERROR(VLOOKUP(A80,'Centre DW13'!$A$7:$N$160,9,FALSE),0)+
IFERROR(VLOOKUP(A80,'Centre WR13'!$A$7:$N$160,9,FALSE),0)+
IFERROR(VLOOKUP(A80,'Centre WP13'!$A$7:$N$160,9,FALSE),0)</f>
        <v>0.5</v>
      </c>
      <c r="J80" s="24">
        <f>IFERROR(VLOOKUP(A80,'Centre DW13'!$A$7:$N$160,10,FALSE),0)+
IFERROR(VLOOKUP(A80,'Centre WR13'!$A$7:$N$160,10,FALSE),0)+
IFERROR(VLOOKUP(A80,'Centre WP13'!$A$7:$N$160,10,FALSE),0)</f>
        <v>0.5</v>
      </c>
      <c r="K80" s="24">
        <f>IFERROR(VLOOKUP(A80,'Centre DW13'!$A$7:$N$160,11,FALSE),0)+
IFERROR(VLOOKUP(A80,'Centre WR13'!$A$7:$N$160,11,FALSE),0)+
IFERROR(VLOOKUP(A80,'Centre WP13'!$A$7:$N$160,11,FALSE),0)</f>
        <v>0.5</v>
      </c>
      <c r="L80" s="24">
        <f>IFERROR(VLOOKUP(A80,'Centre DW13'!$A$7:$N$160,12,FALSE),0)+
IFERROR(VLOOKUP(A80,'Centre WR13'!$A$7:$N$160,12,FALSE),0)+
IFERROR(VLOOKUP(A80,'Centre WP13'!$A$7:$N$160,12,FALSE),0)</f>
        <v>0.5</v>
      </c>
      <c r="M80" s="24">
        <f>IFERROR(VLOOKUP(A80,'Centre DW13'!$A$7:$N$160,13,FALSE),0)+
IFERROR(VLOOKUP(A80,'Centre WR13'!$A$7:$N$160,13,FALSE),0)+
IFERROR(VLOOKUP(A80,'Centre WP13'!$A$7:$N$160,13,FALSE),0)</f>
        <v>0.5</v>
      </c>
      <c r="N80" s="24">
        <f>IFERROR(VLOOKUP(A80,'Centre DW13'!$A$7:$N$160,14,FALSE),0)+
IFERROR(VLOOKUP(A80,'Centre WR13'!$A$7:$N$160,14,FALSE),0)+
IFERROR(VLOOKUP(A80,'Centre WP13'!$A$7:$N$160,14,FALSE),0)</f>
        <v>0.5</v>
      </c>
    </row>
    <row r="81" spans="1:14" collapsed="1" x14ac:dyDescent="0.2">
      <c r="A81" s="48" t="s">
        <v>157</v>
      </c>
      <c r="B81" s="49" t="s">
        <v>158</v>
      </c>
      <c r="C81" s="50">
        <f>+C82</f>
        <v>1.6</v>
      </c>
      <c r="D81" s="50">
        <f t="shared" ref="D81:N81" si="17">+D82</f>
        <v>1.6</v>
      </c>
      <c r="E81" s="50">
        <f t="shared" si="17"/>
        <v>1.6</v>
      </c>
      <c r="F81" s="50">
        <f t="shared" si="17"/>
        <v>1.6</v>
      </c>
      <c r="G81" s="50">
        <f t="shared" si="17"/>
        <v>1.6</v>
      </c>
      <c r="H81" s="50">
        <f t="shared" si="17"/>
        <v>1.6</v>
      </c>
      <c r="I81" s="50">
        <f t="shared" si="17"/>
        <v>1.6</v>
      </c>
      <c r="J81" s="50">
        <f t="shared" si="17"/>
        <v>1.6</v>
      </c>
      <c r="K81" s="50">
        <f t="shared" si="17"/>
        <v>1.6</v>
      </c>
      <c r="L81" s="50">
        <f t="shared" si="17"/>
        <v>1.6</v>
      </c>
      <c r="M81" s="50">
        <f t="shared" si="17"/>
        <v>1.6</v>
      </c>
      <c r="N81" s="50">
        <f t="shared" si="17"/>
        <v>1.6</v>
      </c>
    </row>
    <row r="82" spans="1:14" hidden="1" outlineLevel="1" x14ac:dyDescent="0.2">
      <c r="A82" s="9" t="s">
        <v>159</v>
      </c>
      <c r="B82" s="1" t="s">
        <v>160</v>
      </c>
      <c r="C82" s="10">
        <f>IFERROR(VLOOKUP(A82,'Centre DW13'!$A$7:$N$160,3,FALSE),0)+
IFERROR(VLOOKUP(A82,'Centre WR13'!$A$7:$N$160,3,FALSE),0)+
IFERROR(VLOOKUP(A82,'Centre WP13'!$A$7:$N$160,3,FALSE),0)</f>
        <v>1.6</v>
      </c>
      <c r="D82" s="10">
        <f>IFERROR(VLOOKUP(A82,'Centre DW13'!$A$7:$N$160,4,FALSE),0)+
IFERROR(VLOOKUP(A82,'Centre WR13'!$A$7:$N$160,4,FALSE),0)+
IFERROR(VLOOKUP(A82,'Centre WP13'!$A$7:$N$160,4,FALSE),0)</f>
        <v>1.6</v>
      </c>
      <c r="E82" s="10">
        <f>IFERROR(VLOOKUP(A82,'Centre DW13'!$A$7:$N$160,5,FALSE),0)+
IFERROR(VLOOKUP(A82,'Centre WR13'!$A$7:$N$160,5,FALSE),0)+
IFERROR(VLOOKUP(A82,'Centre WP13'!$A$7:$N$160,5,FALSE),0)</f>
        <v>1.6</v>
      </c>
      <c r="F82" s="10">
        <f>IFERROR(VLOOKUP(A82,'Centre DW13'!$A$7:$N$160,6,FALSE),0)+
IFERROR(VLOOKUP(A82,'Centre WR13'!$A$7:$N$160,6,FALSE),0)+
IFERROR(VLOOKUP(A82,'Centre WP13'!$A$7:$N$160,6,FALSE),0)</f>
        <v>1.6</v>
      </c>
      <c r="G82" s="10">
        <f>IFERROR(VLOOKUP(A82,'Centre DW13'!$A$7:$N$160,7,FALSE),0)+
IFERROR(VLOOKUP(A82,'Centre WR13'!$A$7:$N$160,7,FALSE),0)+
IFERROR(VLOOKUP(A82,'Centre WP13'!$A$7:$N$160,7,FALSE),0)</f>
        <v>1.6</v>
      </c>
      <c r="H82" s="10">
        <f>IFERROR(VLOOKUP(A82,'Centre DW13'!$A$7:$N$160,8,FALSE),0)+
IFERROR(VLOOKUP(A82,'Centre WR13'!$A$7:$N$160,8,FALSE),0)+
IFERROR(VLOOKUP(A82,'Centre WP13'!$A$7:$N$160,8,FALSE),0)</f>
        <v>1.6</v>
      </c>
      <c r="I82" s="10">
        <f>IFERROR(VLOOKUP(A82,'Centre DW13'!$A$7:$N$160,9,FALSE),0)+
IFERROR(VLOOKUP(A82,'Centre WR13'!$A$7:$N$160,9,FALSE),0)+
IFERROR(VLOOKUP(A82,'Centre WP13'!$A$7:$N$160,9,FALSE),0)</f>
        <v>1.6</v>
      </c>
      <c r="J82" s="24">
        <f>IFERROR(VLOOKUP(A82,'Centre DW13'!$A$7:$N$160,10,FALSE),0)+
IFERROR(VLOOKUP(A82,'Centre WR13'!$A$7:$N$160,10,FALSE),0)+
IFERROR(VLOOKUP(A82,'Centre WP13'!$A$7:$N$160,10,FALSE),0)</f>
        <v>1.6</v>
      </c>
      <c r="K82" s="24">
        <f>IFERROR(VLOOKUP(A82,'Centre DW13'!$A$7:$N$160,11,FALSE),0)+
IFERROR(VLOOKUP(A82,'Centre WR13'!$A$7:$N$160,11,FALSE),0)+
IFERROR(VLOOKUP(A82,'Centre WP13'!$A$7:$N$160,11,FALSE),0)</f>
        <v>1.6</v>
      </c>
      <c r="L82" s="24">
        <f>IFERROR(VLOOKUP(A82,'Centre DW13'!$A$7:$N$160,12,FALSE),0)+
IFERROR(VLOOKUP(A82,'Centre WR13'!$A$7:$N$160,12,FALSE),0)+
IFERROR(VLOOKUP(A82,'Centre WP13'!$A$7:$N$160,12,FALSE),0)</f>
        <v>1.6</v>
      </c>
      <c r="M82" s="24">
        <f>IFERROR(VLOOKUP(A82,'Centre DW13'!$A$7:$N$160,13,FALSE),0)+
IFERROR(VLOOKUP(A82,'Centre WR13'!$A$7:$N$160,13,FALSE),0)+
IFERROR(VLOOKUP(A82,'Centre WP13'!$A$7:$N$160,13,FALSE),0)</f>
        <v>1.6</v>
      </c>
      <c r="N82" s="24">
        <f>IFERROR(VLOOKUP(A82,'Centre DW13'!$A$7:$N$160,14,FALSE),0)+
IFERROR(VLOOKUP(A82,'Centre WR13'!$A$7:$N$160,14,FALSE),0)+
IFERROR(VLOOKUP(A82,'Centre WP13'!$A$7:$N$160,14,FALSE),0)</f>
        <v>1.6</v>
      </c>
    </row>
    <row r="83" spans="1:14" collapsed="1" x14ac:dyDescent="0.2">
      <c r="A83" s="52"/>
      <c r="B83" s="52" t="s">
        <v>165</v>
      </c>
      <c r="C83" s="53">
        <f>+C33+C54+C59+C62+C65+C69+C71+C73+C74+C81</f>
        <v>42.7</v>
      </c>
      <c r="D83" s="53">
        <f t="shared" ref="D83:N83" si="18">+D33+D54+D59+D62+D65+D69+D71+D73+D74+D81</f>
        <v>34.5</v>
      </c>
      <c r="E83" s="53">
        <f t="shared" si="18"/>
        <v>38</v>
      </c>
      <c r="F83" s="53">
        <f t="shared" si="18"/>
        <v>48.6</v>
      </c>
      <c r="G83" s="53">
        <f t="shared" si="18"/>
        <v>38.5</v>
      </c>
      <c r="H83" s="53">
        <f t="shared" si="18"/>
        <v>52</v>
      </c>
      <c r="I83" s="53">
        <f t="shared" si="18"/>
        <v>45.300000000000004</v>
      </c>
      <c r="J83" s="53">
        <f t="shared" si="18"/>
        <v>44.9</v>
      </c>
      <c r="K83" s="53">
        <f t="shared" si="18"/>
        <v>34.5</v>
      </c>
      <c r="L83" s="53">
        <f t="shared" si="18"/>
        <v>53.300000000000004</v>
      </c>
      <c r="M83" s="53">
        <f t="shared" si="18"/>
        <v>52.6</v>
      </c>
      <c r="N83" s="53">
        <f t="shared" si="18"/>
        <v>37.300000000000004</v>
      </c>
    </row>
    <row r="84" spans="1:14" x14ac:dyDescent="0.2">
      <c r="A84" s="51"/>
      <c r="B84" s="51" t="s">
        <v>166</v>
      </c>
      <c r="C84" s="19">
        <f>+C31-C83</f>
        <v>141.89999999999998</v>
      </c>
      <c r="D84" s="19">
        <f t="shared" ref="D84:N84" si="19">+D31-D83</f>
        <v>172.89999999999998</v>
      </c>
      <c r="E84" s="19">
        <f t="shared" si="19"/>
        <v>147.39999999999998</v>
      </c>
      <c r="F84" s="19">
        <f t="shared" si="19"/>
        <v>162.99999999999997</v>
      </c>
      <c r="G84" s="19">
        <f t="shared" si="19"/>
        <v>122.99999999999997</v>
      </c>
      <c r="H84" s="19">
        <f t="shared" si="19"/>
        <v>86.499999999999972</v>
      </c>
      <c r="I84" s="19">
        <f t="shared" si="19"/>
        <v>163.29999999999995</v>
      </c>
      <c r="J84" s="19">
        <f t="shared" si="19"/>
        <v>177.29999999999998</v>
      </c>
      <c r="K84" s="19">
        <f t="shared" si="19"/>
        <v>166.1</v>
      </c>
      <c r="L84" s="19">
        <f t="shared" si="19"/>
        <v>102.89999999999998</v>
      </c>
      <c r="M84" s="19">
        <f t="shared" si="19"/>
        <v>222.4</v>
      </c>
      <c r="N84" s="19">
        <f t="shared" si="19"/>
        <v>170.7</v>
      </c>
    </row>
    <row r="85" spans="1:14" x14ac:dyDescent="0.2">
      <c r="A85" s="48" t="s">
        <v>167</v>
      </c>
      <c r="B85" s="49" t="s">
        <v>168</v>
      </c>
      <c r="C85" s="50">
        <f>SUM(C86:C101)</f>
        <v>9.25</v>
      </c>
      <c r="D85" s="50">
        <f t="shared" ref="D85:N85" si="20">SUM(D86:D101)</f>
        <v>6.6499999999999986</v>
      </c>
      <c r="E85" s="50">
        <f t="shared" si="20"/>
        <v>7.6499999999999995</v>
      </c>
      <c r="F85" s="50">
        <f t="shared" si="20"/>
        <v>8.75</v>
      </c>
      <c r="G85" s="50">
        <f t="shared" si="20"/>
        <v>7.4499999999999993</v>
      </c>
      <c r="H85" s="50">
        <f t="shared" si="20"/>
        <v>18.95</v>
      </c>
      <c r="I85" s="50">
        <f t="shared" si="20"/>
        <v>5.55</v>
      </c>
      <c r="J85" s="50">
        <f t="shared" si="20"/>
        <v>16.149999999999999</v>
      </c>
      <c r="K85" s="50">
        <f t="shared" si="20"/>
        <v>7.6499999999999995</v>
      </c>
      <c r="L85" s="50">
        <f t="shared" si="20"/>
        <v>17.550000000000004</v>
      </c>
      <c r="M85" s="50">
        <f t="shared" si="20"/>
        <v>7.4499999999999993</v>
      </c>
      <c r="N85" s="50">
        <f t="shared" si="20"/>
        <v>11.35</v>
      </c>
    </row>
    <row r="86" spans="1:14" hidden="1" outlineLevel="1" x14ac:dyDescent="0.2">
      <c r="A86" s="9" t="s">
        <v>169</v>
      </c>
      <c r="B86" s="1" t="s">
        <v>170</v>
      </c>
      <c r="C86" s="10">
        <f>IFERROR(VLOOKUP(A86,'Centre DW13'!$A$7:$N$160,3,FALSE),0)+
IFERROR(VLOOKUP(A86,'Centre WR13'!$A$7:$N$160,3,FALSE),0)+
IFERROR(VLOOKUP(A86,'Centre WP13'!$A$7:$N$160,3,FALSE),0)</f>
        <v>0</v>
      </c>
      <c r="D86" s="10">
        <f>IFERROR(VLOOKUP(A86,'Centre DW13'!$A$7:$N$160,4,FALSE),0)+
IFERROR(VLOOKUP(A86,'Centre WR13'!$A$7:$N$160,4,FALSE),0)+
IFERROR(VLOOKUP(A86,'Centre WP13'!$A$7:$N$160,4,FALSE),0)</f>
        <v>0</v>
      </c>
      <c r="E86" s="10">
        <f>IFERROR(VLOOKUP(A86,'Centre DW13'!$A$7:$N$160,5,FALSE),0)+
IFERROR(VLOOKUP(A86,'Centre WR13'!$A$7:$N$160,5,FALSE),0)+
IFERROR(VLOOKUP(A86,'Centre WP13'!$A$7:$N$160,5,FALSE),0)</f>
        <v>0</v>
      </c>
      <c r="F86" s="10">
        <f>IFERROR(VLOOKUP(A86,'Centre DW13'!$A$7:$N$160,6,FALSE),0)+
IFERROR(VLOOKUP(A86,'Centre WR13'!$A$7:$N$160,6,FALSE),0)+
IFERROR(VLOOKUP(A86,'Centre WP13'!$A$7:$N$160,6,FALSE),0)</f>
        <v>0</v>
      </c>
      <c r="G86" s="10">
        <f>IFERROR(VLOOKUP(A86,'Centre DW13'!$A$7:$N$160,7,FALSE),0)+
IFERROR(VLOOKUP(A86,'Centre WR13'!$A$7:$N$160,7,FALSE),0)+
IFERROR(VLOOKUP(A86,'Centre WP13'!$A$7:$N$160,7,FALSE),0)</f>
        <v>0</v>
      </c>
      <c r="H86" s="10">
        <f>IFERROR(VLOOKUP(A86,'Centre DW13'!$A$7:$N$160,8,FALSE),0)+
IFERROR(VLOOKUP(A86,'Centre WR13'!$A$7:$N$160,8,FALSE),0)+
IFERROR(VLOOKUP(A86,'Centre WP13'!$A$7:$N$160,8,FALSE),0)</f>
        <v>0.5</v>
      </c>
      <c r="I86" s="10">
        <f>IFERROR(VLOOKUP(A86,'Centre DW13'!$A$7:$N$160,9,FALSE),0)+
IFERROR(VLOOKUP(A86,'Centre WR13'!$A$7:$N$160,9,FALSE),0)+
IFERROR(VLOOKUP(A86,'Centre WP13'!$A$7:$N$160,9,FALSE),0)</f>
        <v>0</v>
      </c>
      <c r="J86" s="24">
        <f>IFERROR(VLOOKUP(A86,'Centre DW13'!$A$7:$N$160,10,FALSE),0)+
IFERROR(VLOOKUP(A86,'Centre WR13'!$A$7:$N$160,10,FALSE),0)+
IFERROR(VLOOKUP(A86,'Centre WP13'!$A$7:$N$160,10,FALSE),0)</f>
        <v>0.5</v>
      </c>
      <c r="K86" s="24">
        <f>IFERROR(VLOOKUP(A86,'Centre DW13'!$A$7:$N$160,11,FALSE),0)+
IFERROR(VLOOKUP(A86,'Centre WR13'!$A$7:$N$160,11,FALSE),0)+
IFERROR(VLOOKUP(A86,'Centre WP13'!$A$7:$N$160,11,FALSE),0)</f>
        <v>0</v>
      </c>
      <c r="L86" s="24">
        <f>IFERROR(VLOOKUP(A86,'Centre DW13'!$A$7:$N$160,12,FALSE),0)+
IFERROR(VLOOKUP(A86,'Centre WR13'!$A$7:$N$160,12,FALSE),0)+
IFERROR(VLOOKUP(A86,'Centre WP13'!$A$7:$N$160,12,FALSE),0)</f>
        <v>0.5</v>
      </c>
      <c r="M86" s="24">
        <f>IFERROR(VLOOKUP(A86,'Centre DW13'!$A$7:$N$160,13,FALSE),0)+
IFERROR(VLOOKUP(A86,'Centre WR13'!$A$7:$N$160,13,FALSE),0)+
IFERROR(VLOOKUP(A86,'Centre WP13'!$A$7:$N$160,13,FALSE),0)</f>
        <v>0</v>
      </c>
      <c r="N86" s="24">
        <f>IFERROR(VLOOKUP(A86,'Centre DW13'!$A$7:$N$160,14,FALSE),0)+
IFERROR(VLOOKUP(A86,'Centre WR13'!$A$7:$N$160,14,FALSE),0)+
IFERROR(VLOOKUP(A86,'Centre WP13'!$A$7:$N$160,14,FALSE),0)</f>
        <v>1</v>
      </c>
    </row>
    <row r="87" spans="1:14" hidden="1" outlineLevel="1" x14ac:dyDescent="0.2">
      <c r="A87" s="9" t="s">
        <v>171</v>
      </c>
      <c r="B87" s="1" t="s">
        <v>172</v>
      </c>
      <c r="C87" s="10">
        <f>IFERROR(VLOOKUP(A87,'Centre DW13'!$A$7:$N$160,3,FALSE),0)+
IFERROR(VLOOKUP(A87,'Centre WR13'!$A$7:$N$160,3,FALSE),0)+
IFERROR(VLOOKUP(A87,'Centre WP13'!$A$7:$N$160,3,FALSE),0)</f>
        <v>1.5</v>
      </c>
      <c r="D87" s="10">
        <f>IFERROR(VLOOKUP(A87,'Centre DW13'!$A$7:$N$160,4,FALSE),0)+
IFERROR(VLOOKUP(A87,'Centre WR13'!$A$7:$N$160,4,FALSE),0)+
IFERROR(VLOOKUP(A87,'Centre WP13'!$A$7:$N$160,4,FALSE),0)</f>
        <v>1.5</v>
      </c>
      <c r="E87" s="10">
        <f>IFERROR(VLOOKUP(A87,'Centre DW13'!$A$7:$N$160,5,FALSE),0)+
IFERROR(VLOOKUP(A87,'Centre WR13'!$A$7:$N$160,5,FALSE),0)+
IFERROR(VLOOKUP(A87,'Centre WP13'!$A$7:$N$160,5,FALSE),0)</f>
        <v>1.5</v>
      </c>
      <c r="F87" s="10">
        <f>IFERROR(VLOOKUP(A87,'Centre DW13'!$A$7:$N$160,6,FALSE),0)+
IFERROR(VLOOKUP(A87,'Centre WR13'!$A$7:$N$160,6,FALSE),0)+
IFERROR(VLOOKUP(A87,'Centre WP13'!$A$7:$N$160,6,FALSE),0)</f>
        <v>1.5</v>
      </c>
      <c r="G87" s="10">
        <f>IFERROR(VLOOKUP(A87,'Centre DW13'!$A$7:$N$160,7,FALSE),0)+
IFERROR(VLOOKUP(A87,'Centre WR13'!$A$7:$N$160,7,FALSE),0)+
IFERROR(VLOOKUP(A87,'Centre WP13'!$A$7:$N$160,7,FALSE),0)</f>
        <v>1.5</v>
      </c>
      <c r="H87" s="10">
        <f>IFERROR(VLOOKUP(A87,'Centre DW13'!$A$7:$N$160,8,FALSE),0)+
IFERROR(VLOOKUP(A87,'Centre WR13'!$A$7:$N$160,8,FALSE),0)+
IFERROR(VLOOKUP(A87,'Centre WP13'!$A$7:$N$160,8,FALSE),0)</f>
        <v>2.2000000000000002</v>
      </c>
      <c r="I87" s="10">
        <f>IFERROR(VLOOKUP(A87,'Centre DW13'!$A$7:$N$160,9,FALSE),0)+
IFERROR(VLOOKUP(A87,'Centre WR13'!$A$7:$N$160,9,FALSE),0)+
IFERROR(VLOOKUP(A87,'Centre WP13'!$A$7:$N$160,9,FALSE),0)</f>
        <v>1.5</v>
      </c>
      <c r="J87" s="24">
        <f>IFERROR(VLOOKUP(A87,'Centre DW13'!$A$7:$N$160,10,FALSE),0)+
IFERROR(VLOOKUP(A87,'Centre WR13'!$A$7:$N$160,10,FALSE),0)+
IFERROR(VLOOKUP(A87,'Centre WP13'!$A$7:$N$160,10,FALSE),0)</f>
        <v>2.2000000000000002</v>
      </c>
      <c r="K87" s="24">
        <f>IFERROR(VLOOKUP(A87,'Centre DW13'!$A$7:$N$160,11,FALSE),0)+
IFERROR(VLOOKUP(A87,'Centre WR13'!$A$7:$N$160,11,FALSE),0)+
IFERROR(VLOOKUP(A87,'Centre WP13'!$A$7:$N$160,11,FALSE),0)</f>
        <v>1.5</v>
      </c>
      <c r="L87" s="24">
        <f>IFERROR(VLOOKUP(A87,'Centre DW13'!$A$7:$N$160,12,FALSE),0)+
IFERROR(VLOOKUP(A87,'Centre WR13'!$A$7:$N$160,12,FALSE),0)+
IFERROR(VLOOKUP(A87,'Centre WP13'!$A$7:$N$160,12,FALSE),0)</f>
        <v>2.4</v>
      </c>
      <c r="M87" s="24">
        <f>IFERROR(VLOOKUP(A87,'Centre DW13'!$A$7:$N$160,13,FALSE),0)+
IFERROR(VLOOKUP(A87,'Centre WR13'!$A$7:$N$160,13,FALSE),0)+
IFERROR(VLOOKUP(A87,'Centre WP13'!$A$7:$N$160,13,FALSE),0)</f>
        <v>1.5</v>
      </c>
      <c r="N87" s="24">
        <f>IFERROR(VLOOKUP(A87,'Centre DW13'!$A$7:$N$160,14,FALSE),0)+
IFERROR(VLOOKUP(A87,'Centre WR13'!$A$7:$N$160,14,FALSE),0)+
IFERROR(VLOOKUP(A87,'Centre WP13'!$A$7:$N$160,14,FALSE),0)</f>
        <v>2.1</v>
      </c>
    </row>
    <row r="88" spans="1:14" hidden="1" outlineLevel="1" x14ac:dyDescent="0.2">
      <c r="A88" s="9" t="s">
        <v>173</v>
      </c>
      <c r="B88" s="1" t="s">
        <v>174</v>
      </c>
      <c r="C88" s="10">
        <f>IFERROR(VLOOKUP(A88,'Centre DW13'!$A$7:$N$160,3,FALSE),0)+
IFERROR(VLOOKUP(A88,'Centre WR13'!$A$7:$N$160,3,FALSE),0)+
IFERROR(VLOOKUP(A88,'Centre WP13'!$A$7:$N$160,3,FALSE),0)</f>
        <v>2.9</v>
      </c>
      <c r="D88" s="10">
        <f>IFERROR(VLOOKUP(A88,'Centre DW13'!$A$7:$N$160,4,FALSE),0)+
IFERROR(VLOOKUP(A88,'Centre WR13'!$A$7:$N$160,4,FALSE),0)+
IFERROR(VLOOKUP(A88,'Centre WP13'!$A$7:$N$160,4,FALSE),0)</f>
        <v>0.1</v>
      </c>
      <c r="E88" s="10">
        <f>IFERROR(VLOOKUP(A88,'Centre DW13'!$A$7:$N$160,5,FALSE),0)+
IFERROR(VLOOKUP(A88,'Centre WR13'!$A$7:$N$160,5,FALSE),0)+
IFERROR(VLOOKUP(A88,'Centre WP13'!$A$7:$N$160,5,FALSE),0)</f>
        <v>0.9</v>
      </c>
      <c r="F88" s="10">
        <f>IFERROR(VLOOKUP(A88,'Centre DW13'!$A$7:$N$160,6,FALSE),0)+
IFERROR(VLOOKUP(A88,'Centre WR13'!$A$7:$N$160,6,FALSE),0)+
IFERROR(VLOOKUP(A88,'Centre WP13'!$A$7:$N$160,6,FALSE),0)</f>
        <v>1.7</v>
      </c>
      <c r="G88" s="10">
        <f>IFERROR(VLOOKUP(A88,'Centre DW13'!$A$7:$N$160,7,FALSE),0)+
IFERROR(VLOOKUP(A88,'Centre WR13'!$A$7:$N$160,7,FALSE),0)+
IFERROR(VLOOKUP(A88,'Centre WP13'!$A$7:$N$160,7,FALSE),0)</f>
        <v>0.5</v>
      </c>
      <c r="H88" s="10">
        <f>IFERROR(VLOOKUP(A88,'Centre DW13'!$A$7:$N$160,8,FALSE),0)+
IFERROR(VLOOKUP(A88,'Centre WR13'!$A$7:$N$160,8,FALSE),0)+
IFERROR(VLOOKUP(A88,'Centre WP13'!$A$7:$N$160,8,FALSE),0)</f>
        <v>2.9</v>
      </c>
      <c r="I88" s="10">
        <f>IFERROR(VLOOKUP(A88,'Centre DW13'!$A$7:$N$160,9,FALSE),0)+
IFERROR(VLOOKUP(A88,'Centre WR13'!$A$7:$N$160,9,FALSE),0)+
IFERROR(VLOOKUP(A88,'Centre WP13'!$A$7:$N$160,9,FALSE),0)</f>
        <v>-0.8</v>
      </c>
      <c r="J88" s="24">
        <f>IFERROR(VLOOKUP(A88,'Centre DW13'!$A$7:$N$160,10,FALSE),0)+
IFERROR(VLOOKUP(A88,'Centre WR13'!$A$7:$N$160,10,FALSE),0)+
IFERROR(VLOOKUP(A88,'Centre WP13'!$A$7:$N$160,10,FALSE),0)</f>
        <v>0.1</v>
      </c>
      <c r="K88" s="24">
        <f>IFERROR(VLOOKUP(A88,'Centre DW13'!$A$7:$N$160,11,FALSE),0)+
IFERROR(VLOOKUP(A88,'Centre WR13'!$A$7:$N$160,11,FALSE),0)+
IFERROR(VLOOKUP(A88,'Centre WP13'!$A$7:$N$160,11,FALSE),0)</f>
        <v>0.9</v>
      </c>
      <c r="L88" s="24">
        <f>IFERROR(VLOOKUP(A88,'Centre DW13'!$A$7:$N$160,12,FALSE),0)+
IFERROR(VLOOKUP(A88,'Centre WR13'!$A$7:$N$160,12,FALSE),0)+
IFERROR(VLOOKUP(A88,'Centre WP13'!$A$7:$N$160,12,FALSE),0)</f>
        <v>1.7</v>
      </c>
      <c r="M88" s="24">
        <f>IFERROR(VLOOKUP(A88,'Centre DW13'!$A$7:$N$160,13,FALSE),0)+
IFERROR(VLOOKUP(A88,'Centre WR13'!$A$7:$N$160,13,FALSE),0)+
IFERROR(VLOOKUP(A88,'Centre WP13'!$A$7:$N$160,13,FALSE),0)</f>
        <v>0.5</v>
      </c>
      <c r="N88" s="24">
        <f>IFERROR(VLOOKUP(A88,'Centre DW13'!$A$7:$N$160,14,FALSE),0)+
IFERROR(VLOOKUP(A88,'Centre WR13'!$A$7:$N$160,14,FALSE),0)+
IFERROR(VLOOKUP(A88,'Centre WP13'!$A$7:$N$160,14,FALSE),0)</f>
        <v>2.9</v>
      </c>
    </row>
    <row r="89" spans="1:14" hidden="1" outlineLevel="1" x14ac:dyDescent="0.2">
      <c r="A89" s="9" t="s">
        <v>175</v>
      </c>
      <c r="B89" s="1" t="s">
        <v>176</v>
      </c>
      <c r="C89" s="10">
        <f>IFERROR(VLOOKUP(A89,'Centre DW13'!$A$7:$N$160,3,FALSE),0)+
IFERROR(VLOOKUP(A89,'Centre WR13'!$A$7:$N$160,3,FALSE),0)+
IFERROR(VLOOKUP(A89,'Centre WP13'!$A$7:$N$160,3,FALSE),0)</f>
        <v>2.5</v>
      </c>
      <c r="D89" s="10">
        <f>IFERROR(VLOOKUP(A89,'Centre DW13'!$A$7:$N$160,4,FALSE),0)+
IFERROR(VLOOKUP(A89,'Centre WR13'!$A$7:$N$160,4,FALSE),0)+
IFERROR(VLOOKUP(A89,'Centre WP13'!$A$7:$N$160,4,FALSE),0)</f>
        <v>2.5</v>
      </c>
      <c r="E89" s="10">
        <f>IFERROR(VLOOKUP(A89,'Centre DW13'!$A$7:$N$160,5,FALSE),0)+
IFERROR(VLOOKUP(A89,'Centre WR13'!$A$7:$N$160,5,FALSE),0)+
IFERROR(VLOOKUP(A89,'Centre WP13'!$A$7:$N$160,5,FALSE),0)</f>
        <v>2.5</v>
      </c>
      <c r="F89" s="10">
        <f>IFERROR(VLOOKUP(A89,'Centre DW13'!$A$7:$N$160,6,FALSE),0)+
IFERROR(VLOOKUP(A89,'Centre WR13'!$A$7:$N$160,6,FALSE),0)+
IFERROR(VLOOKUP(A89,'Centre WP13'!$A$7:$N$160,6,FALSE),0)</f>
        <v>2.5</v>
      </c>
      <c r="G89" s="10">
        <f>IFERROR(VLOOKUP(A89,'Centre DW13'!$A$7:$N$160,7,FALSE),0)+
IFERROR(VLOOKUP(A89,'Centre WR13'!$A$7:$N$160,7,FALSE),0)+
IFERROR(VLOOKUP(A89,'Centre WP13'!$A$7:$N$160,7,FALSE),0)</f>
        <v>2.5</v>
      </c>
      <c r="H89" s="10">
        <f>IFERROR(VLOOKUP(A89,'Centre DW13'!$A$7:$N$160,8,FALSE),0)+
IFERROR(VLOOKUP(A89,'Centre WR13'!$A$7:$N$160,8,FALSE),0)+
IFERROR(VLOOKUP(A89,'Centre WP13'!$A$7:$N$160,8,FALSE),0)</f>
        <v>10.199999999999999</v>
      </c>
      <c r="I89" s="10">
        <f>IFERROR(VLOOKUP(A89,'Centre DW13'!$A$7:$N$160,9,FALSE),0)+
IFERROR(VLOOKUP(A89,'Centre WR13'!$A$7:$N$160,9,FALSE),0)+
IFERROR(VLOOKUP(A89,'Centre WP13'!$A$7:$N$160,9,FALSE),0)</f>
        <v>2.5</v>
      </c>
      <c r="J89" s="24">
        <f>IFERROR(VLOOKUP(A89,'Centre DW13'!$A$7:$N$160,10,FALSE),0)+
IFERROR(VLOOKUP(A89,'Centre WR13'!$A$7:$N$160,10,FALSE),0)+
IFERROR(VLOOKUP(A89,'Centre WP13'!$A$7:$N$160,10,FALSE),0)</f>
        <v>10.199999999999999</v>
      </c>
      <c r="K89" s="24">
        <f>IFERROR(VLOOKUP(A89,'Centre DW13'!$A$7:$N$160,11,FALSE),0)+
IFERROR(VLOOKUP(A89,'Centre WR13'!$A$7:$N$160,11,FALSE),0)+
IFERROR(VLOOKUP(A89,'Centre WP13'!$A$7:$N$160,11,FALSE),0)</f>
        <v>2.5</v>
      </c>
      <c r="L89" s="24">
        <f>IFERROR(VLOOKUP(A89,'Centre DW13'!$A$7:$N$160,12,FALSE),0)+
IFERROR(VLOOKUP(A89,'Centre WR13'!$A$7:$N$160,12,FALSE),0)+
IFERROR(VLOOKUP(A89,'Centre WP13'!$A$7:$N$160,12,FALSE),0)</f>
        <v>9.3000000000000007</v>
      </c>
      <c r="M89" s="24">
        <f>IFERROR(VLOOKUP(A89,'Centre DW13'!$A$7:$N$160,13,FALSE),0)+
IFERROR(VLOOKUP(A89,'Centre WR13'!$A$7:$N$160,13,FALSE),0)+
IFERROR(VLOOKUP(A89,'Centre WP13'!$A$7:$N$160,13,FALSE),0)</f>
        <v>2.5</v>
      </c>
      <c r="N89" s="24">
        <f>IFERROR(VLOOKUP(A89,'Centre DW13'!$A$7:$N$160,14,FALSE),0)+
IFERROR(VLOOKUP(A89,'Centre WR13'!$A$7:$N$160,14,FALSE),0)+
IFERROR(VLOOKUP(A89,'Centre WP13'!$A$7:$N$160,14,FALSE),0)</f>
        <v>2.8</v>
      </c>
    </row>
    <row r="90" spans="1:14" hidden="1" outlineLevel="1" x14ac:dyDescent="0.2">
      <c r="A90" s="9" t="s">
        <v>177</v>
      </c>
      <c r="B90" s="1" t="s">
        <v>178</v>
      </c>
      <c r="C90" s="10">
        <f>IFERROR(VLOOKUP(A90,'Centre DW13'!$A$7:$N$160,3,FALSE),0)+
IFERROR(VLOOKUP(A90,'Centre WR13'!$A$7:$N$160,3,FALSE),0)+
IFERROR(VLOOKUP(A90,'Centre WP13'!$A$7:$N$160,3,FALSE),0)</f>
        <v>0.2</v>
      </c>
      <c r="D90" s="10">
        <f>IFERROR(VLOOKUP(A90,'Centre DW13'!$A$7:$N$160,4,FALSE),0)+
IFERROR(VLOOKUP(A90,'Centre WR13'!$A$7:$N$160,4,FALSE),0)+
IFERROR(VLOOKUP(A90,'Centre WP13'!$A$7:$N$160,4,FALSE),0)</f>
        <v>0.3</v>
      </c>
      <c r="E90" s="10">
        <f>IFERROR(VLOOKUP(A90,'Centre DW13'!$A$7:$N$160,5,FALSE),0)+
IFERROR(VLOOKUP(A90,'Centre WR13'!$A$7:$N$160,5,FALSE),0)+
IFERROR(VLOOKUP(A90,'Centre WP13'!$A$7:$N$160,5,FALSE),0)</f>
        <v>0.3</v>
      </c>
      <c r="F90" s="10">
        <f>IFERROR(VLOOKUP(A90,'Centre DW13'!$A$7:$N$160,6,FALSE),0)+
IFERROR(VLOOKUP(A90,'Centre WR13'!$A$7:$N$160,6,FALSE),0)+
IFERROR(VLOOKUP(A90,'Centre WP13'!$A$7:$N$160,6,FALSE),0)</f>
        <v>0.3</v>
      </c>
      <c r="G90" s="10">
        <f>IFERROR(VLOOKUP(A90,'Centre DW13'!$A$7:$N$160,7,FALSE),0)+
IFERROR(VLOOKUP(A90,'Centre WR13'!$A$7:$N$160,7,FALSE),0)+
IFERROR(VLOOKUP(A90,'Centre WP13'!$A$7:$N$160,7,FALSE),0)</f>
        <v>0</v>
      </c>
      <c r="H90" s="10">
        <f>IFERROR(VLOOKUP(A90,'Centre DW13'!$A$7:$N$160,8,FALSE),0)+
IFERROR(VLOOKUP(A90,'Centre WR13'!$A$7:$N$160,8,FALSE),0)+
IFERROR(VLOOKUP(A90,'Centre WP13'!$A$7:$N$160,8,FALSE),0)</f>
        <v>0.6</v>
      </c>
      <c r="I90" s="10">
        <f>IFERROR(VLOOKUP(A90,'Centre DW13'!$A$7:$N$160,9,FALSE),0)+
IFERROR(VLOOKUP(A90,'Centre WR13'!$A$7:$N$160,9,FALSE),0)+
IFERROR(VLOOKUP(A90,'Centre WP13'!$A$7:$N$160,9,FALSE),0)</f>
        <v>0</v>
      </c>
      <c r="J90" s="24">
        <f>IFERROR(VLOOKUP(A90,'Centre DW13'!$A$7:$N$160,10,FALSE),0)+
IFERROR(VLOOKUP(A90,'Centre WR13'!$A$7:$N$160,10,FALSE),0)+
IFERROR(VLOOKUP(A90,'Centre WP13'!$A$7:$N$160,10,FALSE),0)</f>
        <v>0.89999999999999991</v>
      </c>
      <c r="K90" s="24">
        <f>IFERROR(VLOOKUP(A90,'Centre DW13'!$A$7:$N$160,11,FALSE),0)+
IFERROR(VLOOKUP(A90,'Centre WR13'!$A$7:$N$160,11,FALSE),0)+
IFERROR(VLOOKUP(A90,'Centre WP13'!$A$7:$N$160,11,FALSE),0)</f>
        <v>0.3</v>
      </c>
      <c r="L90" s="24">
        <f>IFERROR(VLOOKUP(A90,'Centre DW13'!$A$7:$N$160,12,FALSE),0)+
IFERROR(VLOOKUP(A90,'Centre WR13'!$A$7:$N$160,12,FALSE),0)+
IFERROR(VLOOKUP(A90,'Centre WP13'!$A$7:$N$160,12,FALSE),0)</f>
        <v>0.89999999999999991</v>
      </c>
      <c r="M90" s="24">
        <f>IFERROR(VLOOKUP(A90,'Centre DW13'!$A$7:$N$160,13,FALSE),0)+
IFERROR(VLOOKUP(A90,'Centre WR13'!$A$7:$N$160,13,FALSE),0)+
IFERROR(VLOOKUP(A90,'Centre WP13'!$A$7:$N$160,13,FALSE),0)</f>
        <v>0</v>
      </c>
      <c r="N90" s="24">
        <f>IFERROR(VLOOKUP(A90,'Centre DW13'!$A$7:$N$160,14,FALSE),0)+
IFERROR(VLOOKUP(A90,'Centre WR13'!$A$7:$N$160,14,FALSE),0)+
IFERROR(VLOOKUP(A90,'Centre WP13'!$A$7:$N$160,14,FALSE),0)</f>
        <v>0</v>
      </c>
    </row>
    <row r="91" spans="1:14" hidden="1" outlineLevel="1" x14ac:dyDescent="0.2">
      <c r="A91" s="9" t="s">
        <v>179</v>
      </c>
      <c r="B91" s="1" t="s">
        <v>180</v>
      </c>
      <c r="C91" s="10">
        <f>IFERROR(VLOOKUP(A91,'Centre DW13'!$A$7:$N$160,3,FALSE),0)+
IFERROR(VLOOKUP(A91,'Centre WR13'!$A$7:$N$160,3,FALSE),0)+
IFERROR(VLOOKUP(A91,'Centre WP13'!$A$7:$N$160,3,FALSE),0)</f>
        <v>0</v>
      </c>
      <c r="D91" s="10">
        <f>IFERROR(VLOOKUP(A91,'Centre DW13'!$A$7:$N$160,4,FALSE),0)+
IFERROR(VLOOKUP(A91,'Centre WR13'!$A$7:$N$160,4,FALSE),0)+
IFERROR(VLOOKUP(A91,'Centre WP13'!$A$7:$N$160,4,FALSE),0)</f>
        <v>0</v>
      </c>
      <c r="E91" s="10">
        <f>IFERROR(VLOOKUP(A91,'Centre DW13'!$A$7:$N$160,5,FALSE),0)+
IFERROR(VLOOKUP(A91,'Centre WR13'!$A$7:$N$160,5,FALSE),0)+
IFERROR(VLOOKUP(A91,'Centre WP13'!$A$7:$N$160,5,FALSE),0)</f>
        <v>0</v>
      </c>
      <c r="F91" s="10">
        <f>IFERROR(VLOOKUP(A91,'Centre DW13'!$A$7:$N$160,6,FALSE),0)+
IFERROR(VLOOKUP(A91,'Centre WR13'!$A$7:$N$160,6,FALSE),0)+
IFERROR(VLOOKUP(A91,'Centre WP13'!$A$7:$N$160,6,FALSE),0)</f>
        <v>0</v>
      </c>
      <c r="G91" s="10">
        <f>IFERROR(VLOOKUP(A91,'Centre DW13'!$A$7:$N$160,7,FALSE),0)+
IFERROR(VLOOKUP(A91,'Centre WR13'!$A$7:$N$160,7,FALSE),0)+
IFERROR(VLOOKUP(A91,'Centre WP13'!$A$7:$N$160,7,FALSE),0)</f>
        <v>0</v>
      </c>
      <c r="H91" s="10">
        <f>IFERROR(VLOOKUP(A91,'Centre DW13'!$A$7:$N$160,8,FALSE),0)+
IFERROR(VLOOKUP(A91,'Centre WR13'!$A$7:$N$160,8,FALSE),0)+
IFERROR(VLOOKUP(A91,'Centre WP13'!$A$7:$N$160,8,FALSE),0)</f>
        <v>0</v>
      </c>
      <c r="I91" s="10">
        <f>IFERROR(VLOOKUP(A91,'Centre DW13'!$A$7:$N$160,9,FALSE),0)+
IFERROR(VLOOKUP(A91,'Centre WR13'!$A$7:$N$160,9,FALSE),0)+
IFERROR(VLOOKUP(A91,'Centre WP13'!$A$7:$N$160,9,FALSE),0)</f>
        <v>0</v>
      </c>
      <c r="J91" s="24">
        <f>IFERROR(VLOOKUP(A91,'Centre DW13'!$A$7:$N$160,10,FALSE),0)+
IFERROR(VLOOKUP(A91,'Centre WR13'!$A$7:$N$160,10,FALSE),0)+
IFERROR(VLOOKUP(A91,'Centre WP13'!$A$7:$N$160,10,FALSE),0)</f>
        <v>0</v>
      </c>
      <c r="K91" s="24">
        <f>IFERROR(VLOOKUP(A91,'Centre DW13'!$A$7:$N$160,11,FALSE),0)+
IFERROR(VLOOKUP(A91,'Centre WR13'!$A$7:$N$160,11,FALSE),0)+
IFERROR(VLOOKUP(A91,'Centre WP13'!$A$7:$N$160,11,FALSE),0)</f>
        <v>0</v>
      </c>
      <c r="L91" s="24">
        <f>IFERROR(VLOOKUP(A91,'Centre DW13'!$A$7:$N$160,12,FALSE),0)+
IFERROR(VLOOKUP(A91,'Centre WR13'!$A$7:$N$160,12,FALSE),0)+
IFERROR(VLOOKUP(A91,'Centre WP13'!$A$7:$N$160,12,FALSE),0)</f>
        <v>0</v>
      </c>
      <c r="M91" s="24">
        <f>IFERROR(VLOOKUP(A91,'Centre DW13'!$A$7:$N$160,13,FALSE),0)+
IFERROR(VLOOKUP(A91,'Centre WR13'!$A$7:$N$160,13,FALSE),0)+
IFERROR(VLOOKUP(A91,'Centre WP13'!$A$7:$N$160,13,FALSE),0)</f>
        <v>0</v>
      </c>
      <c r="N91" s="24">
        <f>IFERROR(VLOOKUP(A91,'Centre DW13'!$A$7:$N$160,14,FALSE),0)+
IFERROR(VLOOKUP(A91,'Centre WR13'!$A$7:$N$160,14,FALSE),0)+
IFERROR(VLOOKUP(A91,'Centre WP13'!$A$7:$N$160,14,FALSE),0)</f>
        <v>0</v>
      </c>
    </row>
    <row r="92" spans="1:14" hidden="1" outlineLevel="1" x14ac:dyDescent="0.2">
      <c r="A92" s="9" t="s">
        <v>181</v>
      </c>
      <c r="B92" s="1" t="s">
        <v>182</v>
      </c>
      <c r="C92" s="10">
        <f>IFERROR(VLOOKUP(A92,'Centre DW13'!$A$7:$N$160,3,FALSE),0)+
IFERROR(VLOOKUP(A92,'Centre WR13'!$A$7:$N$160,3,FALSE),0)+
IFERROR(VLOOKUP(A92,'Centre WP13'!$A$7:$N$160,3,FALSE),0)</f>
        <v>1.2</v>
      </c>
      <c r="D92" s="10">
        <f>IFERROR(VLOOKUP(A92,'Centre DW13'!$A$7:$N$160,4,FALSE),0)+
IFERROR(VLOOKUP(A92,'Centre WR13'!$A$7:$N$160,4,FALSE),0)+
IFERROR(VLOOKUP(A92,'Centre WP13'!$A$7:$N$160,4,FALSE),0)</f>
        <v>1.2</v>
      </c>
      <c r="E92" s="10">
        <f>IFERROR(VLOOKUP(A92,'Centre DW13'!$A$7:$N$160,5,FALSE),0)+
IFERROR(VLOOKUP(A92,'Centre WR13'!$A$7:$N$160,5,FALSE),0)+
IFERROR(VLOOKUP(A92,'Centre WP13'!$A$7:$N$160,5,FALSE),0)</f>
        <v>1.2</v>
      </c>
      <c r="F92" s="10">
        <f>IFERROR(VLOOKUP(A92,'Centre DW13'!$A$7:$N$160,6,FALSE),0)+
IFERROR(VLOOKUP(A92,'Centre WR13'!$A$7:$N$160,6,FALSE),0)+
IFERROR(VLOOKUP(A92,'Centre WP13'!$A$7:$N$160,6,FALSE),0)</f>
        <v>1.2</v>
      </c>
      <c r="G92" s="10">
        <f>IFERROR(VLOOKUP(A92,'Centre DW13'!$A$7:$N$160,7,FALSE),0)+
IFERROR(VLOOKUP(A92,'Centre WR13'!$A$7:$N$160,7,FALSE),0)+
IFERROR(VLOOKUP(A92,'Centre WP13'!$A$7:$N$160,7,FALSE),0)</f>
        <v>1.2</v>
      </c>
      <c r="H92" s="10">
        <f>IFERROR(VLOOKUP(A92,'Centre DW13'!$A$7:$N$160,8,FALSE),0)+
IFERROR(VLOOKUP(A92,'Centre WR13'!$A$7:$N$160,8,FALSE),0)+
IFERROR(VLOOKUP(A92,'Centre WP13'!$A$7:$N$160,8,FALSE),0)</f>
        <v>1.2</v>
      </c>
      <c r="I92" s="10">
        <f>IFERROR(VLOOKUP(A92,'Centre DW13'!$A$7:$N$160,9,FALSE),0)+
IFERROR(VLOOKUP(A92,'Centre WR13'!$A$7:$N$160,9,FALSE),0)+
IFERROR(VLOOKUP(A92,'Centre WP13'!$A$7:$N$160,9,FALSE),0)</f>
        <v>1.2</v>
      </c>
      <c r="J92" s="24">
        <f>IFERROR(VLOOKUP(A92,'Centre DW13'!$A$7:$N$160,10,FALSE),0)+
IFERROR(VLOOKUP(A92,'Centre WR13'!$A$7:$N$160,10,FALSE),0)+
IFERROR(VLOOKUP(A92,'Centre WP13'!$A$7:$N$160,10,FALSE),0)</f>
        <v>1.2</v>
      </c>
      <c r="K92" s="24">
        <f>IFERROR(VLOOKUP(A92,'Centre DW13'!$A$7:$N$160,11,FALSE),0)+
IFERROR(VLOOKUP(A92,'Centre WR13'!$A$7:$N$160,11,FALSE),0)+
IFERROR(VLOOKUP(A92,'Centre WP13'!$A$7:$N$160,11,FALSE),0)</f>
        <v>1.2</v>
      </c>
      <c r="L92" s="24">
        <f>IFERROR(VLOOKUP(A92,'Centre DW13'!$A$7:$N$160,12,FALSE),0)+
IFERROR(VLOOKUP(A92,'Centre WR13'!$A$7:$N$160,12,FALSE),0)+
IFERROR(VLOOKUP(A92,'Centre WP13'!$A$7:$N$160,12,FALSE),0)</f>
        <v>1.2</v>
      </c>
      <c r="M92" s="24">
        <f>IFERROR(VLOOKUP(A92,'Centre DW13'!$A$7:$N$160,13,FALSE),0)+
IFERROR(VLOOKUP(A92,'Centre WR13'!$A$7:$N$160,13,FALSE),0)+
IFERROR(VLOOKUP(A92,'Centre WP13'!$A$7:$N$160,13,FALSE),0)</f>
        <v>1.2</v>
      </c>
      <c r="N92" s="24">
        <f>IFERROR(VLOOKUP(A92,'Centre DW13'!$A$7:$N$160,14,FALSE),0)+
IFERROR(VLOOKUP(A92,'Centre WR13'!$A$7:$N$160,14,FALSE),0)+
IFERROR(VLOOKUP(A92,'Centre WP13'!$A$7:$N$160,14,FALSE),0)</f>
        <v>1.2</v>
      </c>
    </row>
    <row r="93" spans="1:14" hidden="1" outlineLevel="1" x14ac:dyDescent="0.2">
      <c r="A93" s="9" t="s">
        <v>183</v>
      </c>
      <c r="B93" s="1" t="s">
        <v>184</v>
      </c>
      <c r="C93" s="10">
        <f>IFERROR(VLOOKUP(A93,'Centre DW13'!$A$7:$N$160,3,FALSE),0)+
IFERROR(VLOOKUP(A93,'Centre WR13'!$A$7:$N$160,3,FALSE),0)+
IFERROR(VLOOKUP(A93,'Centre WP13'!$A$7:$N$160,3,FALSE),0)</f>
        <v>0</v>
      </c>
      <c r="D93" s="10">
        <f>IFERROR(VLOOKUP(A93,'Centre DW13'!$A$7:$N$160,4,FALSE),0)+
IFERROR(VLOOKUP(A93,'Centre WR13'!$A$7:$N$160,4,FALSE),0)+
IFERROR(VLOOKUP(A93,'Centre WP13'!$A$7:$N$160,4,FALSE),0)</f>
        <v>0.1</v>
      </c>
      <c r="E93" s="10">
        <f>IFERROR(VLOOKUP(A93,'Centre DW13'!$A$7:$N$160,5,FALSE),0)+
IFERROR(VLOOKUP(A93,'Centre WR13'!$A$7:$N$160,5,FALSE),0)+
IFERROR(VLOOKUP(A93,'Centre WP13'!$A$7:$N$160,5,FALSE),0)</f>
        <v>0.3</v>
      </c>
      <c r="F93" s="10">
        <f>IFERROR(VLOOKUP(A93,'Centre DW13'!$A$7:$N$160,6,FALSE),0)+
IFERROR(VLOOKUP(A93,'Centre WR13'!$A$7:$N$160,6,FALSE),0)+
IFERROR(VLOOKUP(A93,'Centre WP13'!$A$7:$N$160,6,FALSE),0)</f>
        <v>0.6</v>
      </c>
      <c r="G93" s="10">
        <f>IFERROR(VLOOKUP(A93,'Centre DW13'!$A$7:$N$160,7,FALSE),0)+
IFERROR(VLOOKUP(A93,'Centre WR13'!$A$7:$N$160,7,FALSE),0)+
IFERROR(VLOOKUP(A93,'Centre WP13'!$A$7:$N$160,7,FALSE),0)</f>
        <v>0.8</v>
      </c>
      <c r="H93" s="10">
        <f>IFERROR(VLOOKUP(A93,'Centre DW13'!$A$7:$N$160,8,FALSE),0)+
IFERROR(VLOOKUP(A93,'Centre WR13'!$A$7:$N$160,8,FALSE),0)+
IFERROR(VLOOKUP(A93,'Centre WP13'!$A$7:$N$160,8,FALSE),0)</f>
        <v>0.4</v>
      </c>
      <c r="I93" s="10">
        <f>IFERROR(VLOOKUP(A93,'Centre DW13'!$A$7:$N$160,9,FALSE),0)+
IFERROR(VLOOKUP(A93,'Centre WR13'!$A$7:$N$160,9,FALSE),0)+
IFERROR(VLOOKUP(A93,'Centre WP13'!$A$7:$N$160,9,FALSE),0)</f>
        <v>0.2</v>
      </c>
      <c r="J93" s="24">
        <f>IFERROR(VLOOKUP(A93,'Centre DW13'!$A$7:$N$160,10,FALSE),0)+
IFERROR(VLOOKUP(A93,'Centre WR13'!$A$7:$N$160,10,FALSE),0)+
IFERROR(VLOOKUP(A93,'Centre WP13'!$A$7:$N$160,10,FALSE),0)</f>
        <v>0.1</v>
      </c>
      <c r="K93" s="24">
        <f>IFERROR(VLOOKUP(A93,'Centre DW13'!$A$7:$N$160,11,FALSE),0)+
IFERROR(VLOOKUP(A93,'Centre WR13'!$A$7:$N$160,11,FALSE),0)+
IFERROR(VLOOKUP(A93,'Centre WP13'!$A$7:$N$160,11,FALSE),0)</f>
        <v>0.3</v>
      </c>
      <c r="L93" s="24">
        <f>IFERROR(VLOOKUP(A93,'Centre DW13'!$A$7:$N$160,12,FALSE),0)+
IFERROR(VLOOKUP(A93,'Centre WR13'!$A$7:$N$160,12,FALSE),0)+
IFERROR(VLOOKUP(A93,'Centre WP13'!$A$7:$N$160,12,FALSE),0)</f>
        <v>0.6</v>
      </c>
      <c r="M93" s="24">
        <f>IFERROR(VLOOKUP(A93,'Centre DW13'!$A$7:$N$160,13,FALSE),0)+
IFERROR(VLOOKUP(A93,'Centre WR13'!$A$7:$N$160,13,FALSE),0)+
IFERROR(VLOOKUP(A93,'Centre WP13'!$A$7:$N$160,13,FALSE),0)</f>
        <v>0.8</v>
      </c>
      <c r="N93" s="24">
        <f>IFERROR(VLOOKUP(A93,'Centre DW13'!$A$7:$N$160,14,FALSE),0)+
IFERROR(VLOOKUP(A93,'Centre WR13'!$A$7:$N$160,14,FALSE),0)+
IFERROR(VLOOKUP(A93,'Centre WP13'!$A$7:$N$160,14,FALSE),0)</f>
        <v>0.4</v>
      </c>
    </row>
    <row r="94" spans="1:14" hidden="1" outlineLevel="1" x14ac:dyDescent="0.2">
      <c r="A94" s="9" t="s">
        <v>185</v>
      </c>
      <c r="B94" s="1" t="s">
        <v>186</v>
      </c>
      <c r="C94" s="10">
        <f>IFERROR(VLOOKUP(A94,'Centre DW13'!$A$7:$N$160,3,FALSE),0)+
IFERROR(VLOOKUP(A94,'Centre WR13'!$A$7:$N$160,3,FALSE),0)+
IFERROR(VLOOKUP(A94,'Centre WP13'!$A$7:$N$160,3,FALSE),0)</f>
        <v>0.25</v>
      </c>
      <c r="D94" s="10">
        <f>IFERROR(VLOOKUP(A94,'Centre DW13'!$A$7:$N$160,4,FALSE),0)+
IFERROR(VLOOKUP(A94,'Centre WR13'!$A$7:$N$160,4,FALSE),0)+
IFERROR(VLOOKUP(A94,'Centre WP13'!$A$7:$N$160,4,FALSE),0)</f>
        <v>0.25</v>
      </c>
      <c r="E94" s="10">
        <f>IFERROR(VLOOKUP(A94,'Centre DW13'!$A$7:$N$160,5,FALSE),0)+
IFERROR(VLOOKUP(A94,'Centre WR13'!$A$7:$N$160,5,FALSE),0)+
IFERROR(VLOOKUP(A94,'Centre WP13'!$A$7:$N$160,5,FALSE),0)</f>
        <v>0.25</v>
      </c>
      <c r="F94" s="10">
        <f>IFERROR(VLOOKUP(A94,'Centre DW13'!$A$7:$N$160,6,FALSE),0)+
IFERROR(VLOOKUP(A94,'Centre WR13'!$A$7:$N$160,6,FALSE),0)+
IFERROR(VLOOKUP(A94,'Centre WP13'!$A$7:$N$160,6,FALSE),0)</f>
        <v>0.25</v>
      </c>
      <c r="G94" s="10">
        <f>IFERROR(VLOOKUP(A94,'Centre DW13'!$A$7:$N$160,7,FALSE),0)+
IFERROR(VLOOKUP(A94,'Centre WR13'!$A$7:$N$160,7,FALSE),0)+
IFERROR(VLOOKUP(A94,'Centre WP13'!$A$7:$N$160,7,FALSE),0)</f>
        <v>0.25</v>
      </c>
      <c r="H94" s="10">
        <f>IFERROR(VLOOKUP(A94,'Centre DW13'!$A$7:$N$160,8,FALSE),0)+
IFERROR(VLOOKUP(A94,'Centre WR13'!$A$7:$N$160,8,FALSE),0)+
IFERROR(VLOOKUP(A94,'Centre WP13'!$A$7:$N$160,8,FALSE),0)</f>
        <v>0.25</v>
      </c>
      <c r="I94" s="10">
        <f>IFERROR(VLOOKUP(A94,'Centre DW13'!$A$7:$N$160,9,FALSE),0)+
IFERROR(VLOOKUP(A94,'Centre WR13'!$A$7:$N$160,9,FALSE),0)+
IFERROR(VLOOKUP(A94,'Centre WP13'!$A$7:$N$160,9,FALSE),0)</f>
        <v>0.25</v>
      </c>
      <c r="J94" s="24">
        <f>IFERROR(VLOOKUP(A94,'Centre DW13'!$A$7:$N$160,10,FALSE),0)+
IFERROR(VLOOKUP(A94,'Centre WR13'!$A$7:$N$160,10,FALSE),0)+
IFERROR(VLOOKUP(A94,'Centre WP13'!$A$7:$N$160,10,FALSE),0)</f>
        <v>0.25</v>
      </c>
      <c r="K94" s="24">
        <f>IFERROR(VLOOKUP(A94,'Centre DW13'!$A$7:$N$160,11,FALSE),0)+
IFERROR(VLOOKUP(A94,'Centre WR13'!$A$7:$N$160,11,FALSE),0)+
IFERROR(VLOOKUP(A94,'Centre WP13'!$A$7:$N$160,11,FALSE),0)</f>
        <v>0.25</v>
      </c>
      <c r="L94" s="24">
        <f>IFERROR(VLOOKUP(A94,'Centre DW13'!$A$7:$N$160,12,FALSE),0)+
IFERROR(VLOOKUP(A94,'Centre WR13'!$A$7:$N$160,12,FALSE),0)+
IFERROR(VLOOKUP(A94,'Centre WP13'!$A$7:$N$160,12,FALSE),0)</f>
        <v>0.25</v>
      </c>
      <c r="M94" s="24">
        <f>IFERROR(VLOOKUP(A94,'Centre DW13'!$A$7:$N$160,13,FALSE),0)+
IFERROR(VLOOKUP(A94,'Centre WR13'!$A$7:$N$160,13,FALSE),0)+
IFERROR(VLOOKUP(A94,'Centre WP13'!$A$7:$N$160,13,FALSE),0)</f>
        <v>0.25</v>
      </c>
      <c r="N94" s="24">
        <f>IFERROR(VLOOKUP(A94,'Centre DW13'!$A$7:$N$160,14,FALSE),0)+
IFERROR(VLOOKUP(A94,'Centre WR13'!$A$7:$N$160,14,FALSE),0)+
IFERROR(VLOOKUP(A94,'Centre WP13'!$A$7:$N$160,14,FALSE),0)</f>
        <v>0.25</v>
      </c>
    </row>
    <row r="95" spans="1:14" hidden="1" outlineLevel="1" x14ac:dyDescent="0.2">
      <c r="A95" s="9" t="s">
        <v>187</v>
      </c>
      <c r="B95" s="1" t="s">
        <v>184</v>
      </c>
      <c r="C95" s="10">
        <f>IFERROR(VLOOKUP(A95,'Centre DW13'!$A$7:$N$160,3,FALSE),0)+
IFERROR(VLOOKUP(A95,'Centre WR13'!$A$7:$N$160,3,FALSE),0)+
IFERROR(VLOOKUP(A95,'Centre WP13'!$A$7:$N$160,3,FALSE),0)</f>
        <v>0</v>
      </c>
      <c r="D95" s="10">
        <f>IFERROR(VLOOKUP(A95,'Centre DW13'!$A$7:$N$160,4,FALSE),0)+
IFERROR(VLOOKUP(A95,'Centre WR13'!$A$7:$N$160,4,FALSE),0)+
IFERROR(VLOOKUP(A95,'Centre WP13'!$A$7:$N$160,4,FALSE),0)</f>
        <v>0</v>
      </c>
      <c r="E95" s="10">
        <f>IFERROR(VLOOKUP(A95,'Centre DW13'!$A$7:$N$160,5,FALSE),0)+
IFERROR(VLOOKUP(A95,'Centre WR13'!$A$7:$N$160,5,FALSE),0)+
IFERROR(VLOOKUP(A95,'Centre WP13'!$A$7:$N$160,5,FALSE),0)</f>
        <v>0</v>
      </c>
      <c r="F95" s="10">
        <f>IFERROR(VLOOKUP(A95,'Centre DW13'!$A$7:$N$160,6,FALSE),0)+
IFERROR(VLOOKUP(A95,'Centre WR13'!$A$7:$N$160,6,FALSE),0)+
IFERROR(VLOOKUP(A95,'Centre WP13'!$A$7:$N$160,6,FALSE),0)</f>
        <v>0</v>
      </c>
      <c r="G95" s="10">
        <f>IFERROR(VLOOKUP(A95,'Centre DW13'!$A$7:$N$160,7,FALSE),0)+
IFERROR(VLOOKUP(A95,'Centre WR13'!$A$7:$N$160,7,FALSE),0)+
IFERROR(VLOOKUP(A95,'Centre WP13'!$A$7:$N$160,7,FALSE),0)</f>
        <v>0</v>
      </c>
      <c r="H95" s="10">
        <f>IFERROR(VLOOKUP(A95,'Centre DW13'!$A$7:$N$160,8,FALSE),0)+
IFERROR(VLOOKUP(A95,'Centre WR13'!$A$7:$N$160,8,FALSE),0)+
IFERROR(VLOOKUP(A95,'Centre WP13'!$A$7:$N$160,8,FALSE),0)</f>
        <v>0</v>
      </c>
      <c r="I95" s="10">
        <f>IFERROR(VLOOKUP(A95,'Centre DW13'!$A$7:$N$160,9,FALSE),0)+
IFERROR(VLOOKUP(A95,'Centre WR13'!$A$7:$N$160,9,FALSE),0)+
IFERROR(VLOOKUP(A95,'Centre WP13'!$A$7:$N$160,9,FALSE),0)</f>
        <v>0</v>
      </c>
      <c r="J95" s="24">
        <f>IFERROR(VLOOKUP(A95,'Centre DW13'!$A$7:$N$160,10,FALSE),0)+
IFERROR(VLOOKUP(A95,'Centre WR13'!$A$7:$N$160,10,FALSE),0)+
IFERROR(VLOOKUP(A95,'Centre WP13'!$A$7:$N$160,10,FALSE),0)</f>
        <v>0</v>
      </c>
      <c r="K95" s="24">
        <f>IFERROR(VLOOKUP(A95,'Centre DW13'!$A$7:$N$160,11,FALSE),0)+
IFERROR(VLOOKUP(A95,'Centre WR13'!$A$7:$N$160,11,FALSE),0)+
IFERROR(VLOOKUP(A95,'Centre WP13'!$A$7:$N$160,11,FALSE),0)</f>
        <v>0</v>
      </c>
      <c r="L95" s="24">
        <f>IFERROR(VLOOKUP(A95,'Centre DW13'!$A$7:$N$160,12,FALSE),0)+
IFERROR(VLOOKUP(A95,'Centre WR13'!$A$7:$N$160,12,FALSE),0)+
IFERROR(VLOOKUP(A95,'Centre WP13'!$A$7:$N$160,12,FALSE),0)</f>
        <v>0</v>
      </c>
      <c r="M95" s="24">
        <f>IFERROR(VLOOKUP(A95,'Centre DW13'!$A$7:$N$160,13,FALSE),0)+
IFERROR(VLOOKUP(A95,'Centre WR13'!$A$7:$N$160,13,FALSE),0)+
IFERROR(VLOOKUP(A95,'Centre WP13'!$A$7:$N$160,13,FALSE),0)</f>
        <v>0</v>
      </c>
      <c r="N95" s="24">
        <f>IFERROR(VLOOKUP(A95,'Centre DW13'!$A$7:$N$160,14,FALSE),0)+
IFERROR(VLOOKUP(A95,'Centre WR13'!$A$7:$N$160,14,FALSE),0)+
IFERROR(VLOOKUP(A95,'Centre WP13'!$A$7:$N$160,14,FALSE),0)</f>
        <v>0</v>
      </c>
    </row>
    <row r="96" spans="1:14" hidden="1" outlineLevel="1" x14ac:dyDescent="0.2">
      <c r="A96" s="9" t="s">
        <v>188</v>
      </c>
      <c r="B96" s="1" t="s">
        <v>189</v>
      </c>
      <c r="C96" s="10">
        <f>IFERROR(VLOOKUP(A96,'Centre DW13'!$A$7:$N$160,3,FALSE),0)+
IFERROR(VLOOKUP(A96,'Centre WR13'!$A$7:$N$160,3,FALSE),0)+
IFERROR(VLOOKUP(A96,'Centre WP13'!$A$7:$N$160,3,FALSE),0)</f>
        <v>0.2</v>
      </c>
      <c r="D96" s="10">
        <f>IFERROR(VLOOKUP(A96,'Centre DW13'!$A$7:$N$160,4,FALSE),0)+
IFERROR(VLOOKUP(A96,'Centre WR13'!$A$7:$N$160,4,FALSE),0)+
IFERROR(VLOOKUP(A96,'Centre WP13'!$A$7:$N$160,4,FALSE),0)</f>
        <v>0.2</v>
      </c>
      <c r="E96" s="10">
        <f>IFERROR(VLOOKUP(A96,'Centre DW13'!$A$7:$N$160,5,FALSE),0)+
IFERROR(VLOOKUP(A96,'Centre WR13'!$A$7:$N$160,5,FALSE),0)+
IFERROR(VLOOKUP(A96,'Centre WP13'!$A$7:$N$160,5,FALSE),0)</f>
        <v>0.2</v>
      </c>
      <c r="F96" s="10">
        <f>IFERROR(VLOOKUP(A96,'Centre DW13'!$A$7:$N$160,6,FALSE),0)+
IFERROR(VLOOKUP(A96,'Centre WR13'!$A$7:$N$160,6,FALSE),0)+
IFERROR(VLOOKUP(A96,'Centre WP13'!$A$7:$N$160,6,FALSE),0)</f>
        <v>0.2</v>
      </c>
      <c r="G96" s="10">
        <f>IFERROR(VLOOKUP(A96,'Centre DW13'!$A$7:$N$160,7,FALSE),0)+
IFERROR(VLOOKUP(A96,'Centre WR13'!$A$7:$N$160,7,FALSE),0)+
IFERROR(VLOOKUP(A96,'Centre WP13'!$A$7:$N$160,7,FALSE),0)</f>
        <v>0.2</v>
      </c>
      <c r="H96" s="10">
        <f>IFERROR(VLOOKUP(A96,'Centre DW13'!$A$7:$N$160,8,FALSE),0)+
IFERROR(VLOOKUP(A96,'Centre WR13'!$A$7:$N$160,8,FALSE),0)+
IFERROR(VLOOKUP(A96,'Centre WP13'!$A$7:$N$160,8,FALSE),0)</f>
        <v>0.2</v>
      </c>
      <c r="I96" s="10">
        <f>IFERROR(VLOOKUP(A96,'Centre DW13'!$A$7:$N$160,9,FALSE),0)+
IFERROR(VLOOKUP(A96,'Centre WR13'!$A$7:$N$160,9,FALSE),0)+
IFERROR(VLOOKUP(A96,'Centre WP13'!$A$7:$N$160,9,FALSE),0)</f>
        <v>0.2</v>
      </c>
      <c r="J96" s="24">
        <f>IFERROR(VLOOKUP(A96,'Centre DW13'!$A$7:$N$160,10,FALSE),0)+
IFERROR(VLOOKUP(A96,'Centre WR13'!$A$7:$N$160,10,FALSE),0)+
IFERROR(VLOOKUP(A96,'Centre WP13'!$A$7:$N$160,10,FALSE),0)</f>
        <v>0.2</v>
      </c>
      <c r="K96" s="24">
        <f>IFERROR(VLOOKUP(A96,'Centre DW13'!$A$7:$N$160,11,FALSE),0)+
IFERROR(VLOOKUP(A96,'Centre WR13'!$A$7:$N$160,11,FALSE),0)+
IFERROR(VLOOKUP(A96,'Centre WP13'!$A$7:$N$160,11,FALSE),0)</f>
        <v>0.2</v>
      </c>
      <c r="L96" s="24">
        <f>IFERROR(VLOOKUP(A96,'Centre DW13'!$A$7:$N$160,12,FALSE),0)+
IFERROR(VLOOKUP(A96,'Centre WR13'!$A$7:$N$160,12,FALSE),0)+
IFERROR(VLOOKUP(A96,'Centre WP13'!$A$7:$N$160,12,FALSE),0)</f>
        <v>0.2</v>
      </c>
      <c r="M96" s="24">
        <f>IFERROR(VLOOKUP(A96,'Centre DW13'!$A$7:$N$160,13,FALSE),0)+
IFERROR(VLOOKUP(A96,'Centre WR13'!$A$7:$N$160,13,FALSE),0)+
IFERROR(VLOOKUP(A96,'Centre WP13'!$A$7:$N$160,13,FALSE),0)</f>
        <v>0.2</v>
      </c>
      <c r="N96" s="24">
        <f>IFERROR(VLOOKUP(A96,'Centre DW13'!$A$7:$N$160,14,FALSE),0)+
IFERROR(VLOOKUP(A96,'Centre WR13'!$A$7:$N$160,14,FALSE),0)+
IFERROR(VLOOKUP(A96,'Centre WP13'!$A$7:$N$160,14,FALSE),0)</f>
        <v>0.2</v>
      </c>
    </row>
    <row r="97" spans="1:14" hidden="1" outlineLevel="1" x14ac:dyDescent="0.2">
      <c r="A97" s="9" t="s">
        <v>190</v>
      </c>
      <c r="B97" s="1" t="s">
        <v>191</v>
      </c>
      <c r="C97" s="10">
        <f>IFERROR(VLOOKUP(A97,'Centre DW13'!$A$7:$N$160,3,FALSE),0)+
IFERROR(VLOOKUP(A97,'Centre WR13'!$A$7:$N$160,3,FALSE),0)+
IFERROR(VLOOKUP(A97,'Centre WP13'!$A$7:$N$160,3,FALSE),0)</f>
        <v>0.1</v>
      </c>
      <c r="D97" s="10">
        <f>IFERROR(VLOOKUP(A97,'Centre DW13'!$A$7:$N$160,4,FALSE),0)+
IFERROR(VLOOKUP(A97,'Centre WR13'!$A$7:$N$160,4,FALSE),0)+
IFERROR(VLOOKUP(A97,'Centre WP13'!$A$7:$N$160,4,FALSE),0)</f>
        <v>0.1</v>
      </c>
      <c r="E97" s="10">
        <f>IFERROR(VLOOKUP(A97,'Centre DW13'!$A$7:$N$160,5,FALSE),0)+
IFERROR(VLOOKUP(A97,'Centre WR13'!$A$7:$N$160,5,FALSE),0)+
IFERROR(VLOOKUP(A97,'Centre WP13'!$A$7:$N$160,5,FALSE),0)</f>
        <v>0.1</v>
      </c>
      <c r="F97" s="10">
        <f>IFERROR(VLOOKUP(A97,'Centre DW13'!$A$7:$N$160,6,FALSE),0)+
IFERROR(VLOOKUP(A97,'Centre WR13'!$A$7:$N$160,6,FALSE),0)+
IFERROR(VLOOKUP(A97,'Centre WP13'!$A$7:$N$160,6,FALSE),0)</f>
        <v>0.1</v>
      </c>
      <c r="G97" s="10">
        <f>IFERROR(VLOOKUP(A97,'Centre DW13'!$A$7:$N$160,7,FALSE),0)+
IFERROR(VLOOKUP(A97,'Centre WR13'!$A$7:$N$160,7,FALSE),0)+
IFERROR(VLOOKUP(A97,'Centre WP13'!$A$7:$N$160,7,FALSE),0)</f>
        <v>0.1</v>
      </c>
      <c r="H97" s="10">
        <f>IFERROR(VLOOKUP(A97,'Centre DW13'!$A$7:$N$160,8,FALSE),0)+
IFERROR(VLOOKUP(A97,'Centre WR13'!$A$7:$N$160,8,FALSE),0)+
IFERROR(VLOOKUP(A97,'Centre WP13'!$A$7:$N$160,8,FALSE),0)</f>
        <v>0.1</v>
      </c>
      <c r="I97" s="10">
        <f>IFERROR(VLOOKUP(A97,'Centre DW13'!$A$7:$N$160,9,FALSE),0)+
IFERROR(VLOOKUP(A97,'Centre WR13'!$A$7:$N$160,9,FALSE),0)+
IFERROR(VLOOKUP(A97,'Centre WP13'!$A$7:$N$160,9,FALSE),0)</f>
        <v>0.1</v>
      </c>
      <c r="J97" s="24">
        <f>IFERROR(VLOOKUP(A97,'Centre DW13'!$A$7:$N$160,10,FALSE),0)+
IFERROR(VLOOKUP(A97,'Centre WR13'!$A$7:$N$160,10,FALSE),0)+
IFERROR(VLOOKUP(A97,'Centre WP13'!$A$7:$N$160,10,FALSE),0)</f>
        <v>0.1</v>
      </c>
      <c r="K97" s="24">
        <f>IFERROR(VLOOKUP(A97,'Centre DW13'!$A$7:$N$160,11,FALSE),0)+
IFERROR(VLOOKUP(A97,'Centre WR13'!$A$7:$N$160,11,FALSE),0)+
IFERROR(VLOOKUP(A97,'Centre WP13'!$A$7:$N$160,11,FALSE),0)</f>
        <v>0.1</v>
      </c>
      <c r="L97" s="24">
        <f>IFERROR(VLOOKUP(A97,'Centre DW13'!$A$7:$N$160,12,FALSE),0)+
IFERROR(VLOOKUP(A97,'Centre WR13'!$A$7:$N$160,12,FALSE),0)+
IFERROR(VLOOKUP(A97,'Centre WP13'!$A$7:$N$160,12,FALSE),0)</f>
        <v>0.1</v>
      </c>
      <c r="M97" s="24">
        <f>IFERROR(VLOOKUP(A97,'Centre DW13'!$A$7:$N$160,13,FALSE),0)+
IFERROR(VLOOKUP(A97,'Centre WR13'!$A$7:$N$160,13,FALSE),0)+
IFERROR(VLOOKUP(A97,'Centre WP13'!$A$7:$N$160,13,FALSE),0)</f>
        <v>0.1</v>
      </c>
      <c r="N97" s="24">
        <f>IFERROR(VLOOKUP(A97,'Centre DW13'!$A$7:$N$160,14,FALSE),0)+
IFERROR(VLOOKUP(A97,'Centre WR13'!$A$7:$N$160,14,FALSE),0)+
IFERROR(VLOOKUP(A97,'Centre WP13'!$A$7:$N$160,14,FALSE),0)</f>
        <v>0.1</v>
      </c>
    </row>
    <row r="98" spans="1:14" hidden="1" outlineLevel="1" x14ac:dyDescent="0.2">
      <c r="A98" s="9" t="s">
        <v>192</v>
      </c>
      <c r="B98" s="1" t="s">
        <v>193</v>
      </c>
      <c r="C98" s="10">
        <f>IFERROR(VLOOKUP(A98,'Centre DW13'!$A$7:$N$160,3,FALSE),0)+
IFERROR(VLOOKUP(A98,'Centre WR13'!$A$7:$N$160,3,FALSE),0)+
IFERROR(VLOOKUP(A98,'Centre WP13'!$A$7:$N$160,3,FALSE),0)</f>
        <v>0</v>
      </c>
      <c r="D98" s="10">
        <f>IFERROR(VLOOKUP(A98,'Centre DW13'!$A$7:$N$160,4,FALSE),0)+
IFERROR(VLOOKUP(A98,'Centre WR13'!$A$7:$N$160,4,FALSE),0)+
IFERROR(VLOOKUP(A98,'Centre WP13'!$A$7:$N$160,4,FALSE),0)</f>
        <v>0</v>
      </c>
      <c r="E98" s="10">
        <f>IFERROR(VLOOKUP(A98,'Centre DW13'!$A$7:$N$160,5,FALSE),0)+
IFERROR(VLOOKUP(A98,'Centre WR13'!$A$7:$N$160,5,FALSE),0)+
IFERROR(VLOOKUP(A98,'Centre WP13'!$A$7:$N$160,5,FALSE),0)</f>
        <v>0</v>
      </c>
      <c r="F98" s="10">
        <f>IFERROR(VLOOKUP(A98,'Centre DW13'!$A$7:$N$160,6,FALSE),0)+
IFERROR(VLOOKUP(A98,'Centre WR13'!$A$7:$N$160,6,FALSE),0)+
IFERROR(VLOOKUP(A98,'Centre WP13'!$A$7:$N$160,6,FALSE),0)</f>
        <v>0</v>
      </c>
      <c r="G98" s="10">
        <f>IFERROR(VLOOKUP(A98,'Centre DW13'!$A$7:$N$160,7,FALSE),0)+
IFERROR(VLOOKUP(A98,'Centre WR13'!$A$7:$N$160,7,FALSE),0)+
IFERROR(VLOOKUP(A98,'Centre WP13'!$A$7:$N$160,7,FALSE),0)</f>
        <v>0</v>
      </c>
      <c r="H98" s="10">
        <f>IFERROR(VLOOKUP(A98,'Centre DW13'!$A$7:$N$160,8,FALSE),0)+
IFERROR(VLOOKUP(A98,'Centre WR13'!$A$7:$N$160,8,FALSE),0)+
IFERROR(VLOOKUP(A98,'Centre WP13'!$A$7:$N$160,8,FALSE),0)</f>
        <v>0</v>
      </c>
      <c r="I98" s="10">
        <f>IFERROR(VLOOKUP(A98,'Centre DW13'!$A$7:$N$160,9,FALSE),0)+
IFERROR(VLOOKUP(A98,'Centre WR13'!$A$7:$N$160,9,FALSE),0)+
IFERROR(VLOOKUP(A98,'Centre WP13'!$A$7:$N$160,9,FALSE),0)</f>
        <v>0</v>
      </c>
      <c r="J98" s="24">
        <f>IFERROR(VLOOKUP(A98,'Centre DW13'!$A$7:$N$160,10,FALSE),0)+
IFERROR(VLOOKUP(A98,'Centre WR13'!$A$7:$N$160,10,FALSE),0)+
IFERROR(VLOOKUP(A98,'Centre WP13'!$A$7:$N$160,10,FALSE),0)</f>
        <v>0</v>
      </c>
      <c r="K98" s="24">
        <f>IFERROR(VLOOKUP(A98,'Centre DW13'!$A$7:$N$160,11,FALSE),0)+
IFERROR(VLOOKUP(A98,'Centre WR13'!$A$7:$N$160,11,FALSE),0)+
IFERROR(VLOOKUP(A98,'Centre WP13'!$A$7:$N$160,11,FALSE),0)</f>
        <v>0</v>
      </c>
      <c r="L98" s="24">
        <f>IFERROR(VLOOKUP(A98,'Centre DW13'!$A$7:$N$160,12,FALSE),0)+
IFERROR(VLOOKUP(A98,'Centre WR13'!$A$7:$N$160,12,FALSE),0)+
IFERROR(VLOOKUP(A98,'Centre WP13'!$A$7:$N$160,12,FALSE),0)</f>
        <v>0</v>
      </c>
      <c r="M98" s="24">
        <f>IFERROR(VLOOKUP(A98,'Centre DW13'!$A$7:$N$160,13,FALSE),0)+
IFERROR(VLOOKUP(A98,'Centre WR13'!$A$7:$N$160,13,FALSE),0)+
IFERROR(VLOOKUP(A98,'Centre WP13'!$A$7:$N$160,13,FALSE),0)</f>
        <v>0</v>
      </c>
      <c r="N98" s="24">
        <f>IFERROR(VLOOKUP(A98,'Centre DW13'!$A$7:$N$160,14,FALSE),0)+
IFERROR(VLOOKUP(A98,'Centre WR13'!$A$7:$N$160,14,FALSE),0)+
IFERROR(VLOOKUP(A98,'Centre WP13'!$A$7:$N$160,14,FALSE),0)</f>
        <v>0</v>
      </c>
    </row>
    <row r="99" spans="1:14" hidden="1" outlineLevel="1" x14ac:dyDescent="0.2">
      <c r="A99" s="9" t="s">
        <v>194</v>
      </c>
      <c r="B99" s="1" t="s">
        <v>195</v>
      </c>
      <c r="C99" s="10">
        <f>IFERROR(VLOOKUP(A99,'Centre DW13'!$A$7:$N$160,3,FALSE),0)+
IFERROR(VLOOKUP(A99,'Centre WR13'!$A$7:$N$160,3,FALSE),0)+
IFERROR(VLOOKUP(A99,'Centre WP13'!$A$7:$N$160,3,FALSE),0)</f>
        <v>0.3</v>
      </c>
      <c r="D99" s="10">
        <f>IFERROR(VLOOKUP(A99,'Centre DW13'!$A$7:$N$160,4,FALSE),0)+
IFERROR(VLOOKUP(A99,'Centre WR13'!$A$7:$N$160,4,FALSE),0)+
IFERROR(VLOOKUP(A99,'Centre WP13'!$A$7:$N$160,4,FALSE),0)</f>
        <v>0.3</v>
      </c>
      <c r="E99" s="10">
        <f>IFERROR(VLOOKUP(A99,'Centre DW13'!$A$7:$N$160,5,FALSE),0)+
IFERROR(VLOOKUP(A99,'Centre WR13'!$A$7:$N$160,5,FALSE),0)+
IFERROR(VLOOKUP(A99,'Centre WP13'!$A$7:$N$160,5,FALSE),0)</f>
        <v>0.3</v>
      </c>
      <c r="F99" s="10">
        <f>IFERROR(VLOOKUP(A99,'Centre DW13'!$A$7:$N$160,6,FALSE),0)+
IFERROR(VLOOKUP(A99,'Centre WR13'!$A$7:$N$160,6,FALSE),0)+
IFERROR(VLOOKUP(A99,'Centre WP13'!$A$7:$N$160,6,FALSE),0)</f>
        <v>0.3</v>
      </c>
      <c r="G99" s="10">
        <f>IFERROR(VLOOKUP(A99,'Centre DW13'!$A$7:$N$160,7,FALSE),0)+
IFERROR(VLOOKUP(A99,'Centre WR13'!$A$7:$N$160,7,FALSE),0)+
IFERROR(VLOOKUP(A99,'Centre WP13'!$A$7:$N$160,7,FALSE),0)</f>
        <v>0.3</v>
      </c>
      <c r="H99" s="10">
        <f>IFERROR(VLOOKUP(A99,'Centre DW13'!$A$7:$N$160,8,FALSE),0)+
IFERROR(VLOOKUP(A99,'Centre WR13'!$A$7:$N$160,8,FALSE),0)+
IFERROR(VLOOKUP(A99,'Centre WP13'!$A$7:$N$160,8,FALSE),0)</f>
        <v>0.3</v>
      </c>
      <c r="I99" s="10">
        <f>IFERROR(VLOOKUP(A99,'Centre DW13'!$A$7:$N$160,9,FALSE),0)+
IFERROR(VLOOKUP(A99,'Centre WR13'!$A$7:$N$160,9,FALSE),0)+
IFERROR(VLOOKUP(A99,'Centre WP13'!$A$7:$N$160,9,FALSE),0)</f>
        <v>0.3</v>
      </c>
      <c r="J99" s="24">
        <f>IFERROR(VLOOKUP(A99,'Centre DW13'!$A$7:$N$160,10,FALSE),0)+
IFERROR(VLOOKUP(A99,'Centre WR13'!$A$7:$N$160,10,FALSE),0)+
IFERROR(VLOOKUP(A99,'Centre WP13'!$A$7:$N$160,10,FALSE),0)</f>
        <v>0.3</v>
      </c>
      <c r="K99" s="24">
        <f>IFERROR(VLOOKUP(A99,'Centre DW13'!$A$7:$N$160,11,FALSE),0)+
IFERROR(VLOOKUP(A99,'Centre WR13'!$A$7:$N$160,11,FALSE),0)+
IFERROR(VLOOKUP(A99,'Centre WP13'!$A$7:$N$160,11,FALSE),0)</f>
        <v>0.3</v>
      </c>
      <c r="L99" s="24">
        <f>IFERROR(VLOOKUP(A99,'Centre DW13'!$A$7:$N$160,12,FALSE),0)+
IFERROR(VLOOKUP(A99,'Centre WR13'!$A$7:$N$160,12,FALSE),0)+
IFERROR(VLOOKUP(A99,'Centre WP13'!$A$7:$N$160,12,FALSE),0)</f>
        <v>0.3</v>
      </c>
      <c r="M99" s="24">
        <f>IFERROR(VLOOKUP(A99,'Centre DW13'!$A$7:$N$160,13,FALSE),0)+
IFERROR(VLOOKUP(A99,'Centre WR13'!$A$7:$N$160,13,FALSE),0)+
IFERROR(VLOOKUP(A99,'Centre WP13'!$A$7:$N$160,13,FALSE),0)</f>
        <v>0.3</v>
      </c>
      <c r="N99" s="24">
        <f>IFERROR(VLOOKUP(A99,'Centre DW13'!$A$7:$N$160,14,FALSE),0)+
IFERROR(VLOOKUP(A99,'Centre WR13'!$A$7:$N$160,14,FALSE),0)+
IFERROR(VLOOKUP(A99,'Centre WP13'!$A$7:$N$160,14,FALSE),0)</f>
        <v>0.3</v>
      </c>
    </row>
    <row r="100" spans="1:14" hidden="1" outlineLevel="1" x14ac:dyDescent="0.2">
      <c r="A100" s="9" t="s">
        <v>196</v>
      </c>
      <c r="B100" s="1" t="s">
        <v>197</v>
      </c>
      <c r="C100" s="10">
        <f>IFERROR(VLOOKUP(A100,'Centre DW13'!$A$7:$N$160,3,FALSE),0)+
IFERROR(VLOOKUP(A100,'Centre WR13'!$A$7:$N$160,3,FALSE),0)+
IFERROR(VLOOKUP(A100,'Centre WP13'!$A$7:$N$160,3,FALSE),0)</f>
        <v>0</v>
      </c>
      <c r="D100" s="10">
        <f>IFERROR(VLOOKUP(A100,'Centre DW13'!$A$7:$N$160,4,FALSE),0)+
IFERROR(VLOOKUP(A100,'Centre WR13'!$A$7:$N$160,4,FALSE),0)+
IFERROR(VLOOKUP(A100,'Centre WP13'!$A$7:$N$160,4,FALSE),0)</f>
        <v>0</v>
      </c>
      <c r="E100" s="10">
        <f>IFERROR(VLOOKUP(A100,'Centre DW13'!$A$7:$N$160,5,FALSE),0)+
IFERROR(VLOOKUP(A100,'Centre WR13'!$A$7:$N$160,5,FALSE),0)+
IFERROR(VLOOKUP(A100,'Centre WP13'!$A$7:$N$160,5,FALSE),0)</f>
        <v>0</v>
      </c>
      <c r="F100" s="10">
        <f>IFERROR(VLOOKUP(A100,'Centre DW13'!$A$7:$N$160,6,FALSE),0)+
IFERROR(VLOOKUP(A100,'Centre WR13'!$A$7:$N$160,6,FALSE),0)+
IFERROR(VLOOKUP(A100,'Centre WP13'!$A$7:$N$160,6,FALSE),0)</f>
        <v>0</v>
      </c>
      <c r="G100" s="10">
        <f>IFERROR(VLOOKUP(A100,'Centre DW13'!$A$7:$N$160,7,FALSE),0)+
IFERROR(VLOOKUP(A100,'Centre WR13'!$A$7:$N$160,7,FALSE),0)+
IFERROR(VLOOKUP(A100,'Centre WP13'!$A$7:$N$160,7,FALSE),0)</f>
        <v>0</v>
      </c>
      <c r="H100" s="10">
        <f>IFERROR(VLOOKUP(A100,'Centre DW13'!$A$7:$N$160,8,FALSE),0)+
IFERROR(VLOOKUP(A100,'Centre WR13'!$A$7:$N$160,8,FALSE),0)+
IFERROR(VLOOKUP(A100,'Centre WP13'!$A$7:$N$160,8,FALSE),0)</f>
        <v>0</v>
      </c>
      <c r="I100" s="10">
        <f>IFERROR(VLOOKUP(A100,'Centre DW13'!$A$7:$N$160,9,FALSE),0)+
IFERROR(VLOOKUP(A100,'Centre WR13'!$A$7:$N$160,9,FALSE),0)+
IFERROR(VLOOKUP(A100,'Centre WP13'!$A$7:$N$160,9,FALSE),0)</f>
        <v>0</v>
      </c>
      <c r="J100" s="24">
        <f>IFERROR(VLOOKUP(A100,'Centre DW13'!$A$7:$N$160,10,FALSE),0)+
IFERROR(VLOOKUP(A100,'Centre WR13'!$A$7:$N$160,10,FALSE),0)+
IFERROR(VLOOKUP(A100,'Centre WP13'!$A$7:$N$160,10,FALSE),0)</f>
        <v>0</v>
      </c>
      <c r="K100" s="24">
        <f>IFERROR(VLOOKUP(A100,'Centre DW13'!$A$7:$N$160,11,FALSE),0)+
IFERROR(VLOOKUP(A100,'Centre WR13'!$A$7:$N$160,11,FALSE),0)+
IFERROR(VLOOKUP(A100,'Centre WP13'!$A$7:$N$160,11,FALSE),0)</f>
        <v>0</v>
      </c>
      <c r="L100" s="24">
        <f>IFERROR(VLOOKUP(A100,'Centre DW13'!$A$7:$N$160,12,FALSE),0)+
IFERROR(VLOOKUP(A100,'Centre WR13'!$A$7:$N$160,12,FALSE),0)+
IFERROR(VLOOKUP(A100,'Centre WP13'!$A$7:$N$160,12,FALSE),0)</f>
        <v>0</v>
      </c>
      <c r="M100" s="24">
        <f>IFERROR(VLOOKUP(A100,'Centre DW13'!$A$7:$N$160,13,FALSE),0)+
IFERROR(VLOOKUP(A100,'Centre WR13'!$A$7:$N$160,13,FALSE),0)+
IFERROR(VLOOKUP(A100,'Centre WP13'!$A$7:$N$160,13,FALSE),0)</f>
        <v>0</v>
      </c>
      <c r="N100" s="24">
        <f>IFERROR(VLOOKUP(A100,'Centre DW13'!$A$7:$N$160,14,FALSE),0)+
IFERROR(VLOOKUP(A100,'Centre WR13'!$A$7:$N$160,14,FALSE),0)+
IFERROR(VLOOKUP(A100,'Centre WP13'!$A$7:$N$160,14,FALSE),0)</f>
        <v>0</v>
      </c>
    </row>
    <row r="101" spans="1:14" hidden="1" outlineLevel="1" x14ac:dyDescent="0.2">
      <c r="A101" s="9" t="s">
        <v>198</v>
      </c>
      <c r="B101" s="1" t="s">
        <v>199</v>
      </c>
      <c r="C101" s="10">
        <f>IFERROR(VLOOKUP(A101,'Centre DW13'!$A$7:$N$160,3,FALSE),0)+
IFERROR(VLOOKUP(A101,'Centre WR13'!$A$7:$N$160,3,FALSE),0)+
IFERROR(VLOOKUP(A101,'Centre WP13'!$A$7:$N$160,3,FALSE),0)</f>
        <v>0.1</v>
      </c>
      <c r="D101" s="10">
        <f>IFERROR(VLOOKUP(A101,'Centre DW13'!$A$7:$N$160,4,FALSE),0)+
IFERROR(VLOOKUP(A101,'Centre WR13'!$A$7:$N$160,4,FALSE),0)+
IFERROR(VLOOKUP(A101,'Centre WP13'!$A$7:$N$160,4,FALSE),0)</f>
        <v>0.1</v>
      </c>
      <c r="E101" s="10">
        <f>IFERROR(VLOOKUP(A101,'Centre DW13'!$A$7:$N$160,5,FALSE),0)+
IFERROR(VLOOKUP(A101,'Centre WR13'!$A$7:$N$160,5,FALSE),0)+
IFERROR(VLOOKUP(A101,'Centre WP13'!$A$7:$N$160,5,FALSE),0)</f>
        <v>0.1</v>
      </c>
      <c r="F101" s="10">
        <f>IFERROR(VLOOKUP(A101,'Centre DW13'!$A$7:$N$160,6,FALSE),0)+
IFERROR(VLOOKUP(A101,'Centre WR13'!$A$7:$N$160,6,FALSE),0)+
IFERROR(VLOOKUP(A101,'Centre WP13'!$A$7:$N$160,6,FALSE),0)</f>
        <v>0.1</v>
      </c>
      <c r="G101" s="10">
        <f>IFERROR(VLOOKUP(A101,'Centre DW13'!$A$7:$N$160,7,FALSE),0)+
IFERROR(VLOOKUP(A101,'Centre WR13'!$A$7:$N$160,7,FALSE),0)+
IFERROR(VLOOKUP(A101,'Centre WP13'!$A$7:$N$160,7,FALSE),0)</f>
        <v>0.1</v>
      </c>
      <c r="H101" s="10">
        <f>IFERROR(VLOOKUP(A101,'Centre DW13'!$A$7:$N$160,8,FALSE),0)+
IFERROR(VLOOKUP(A101,'Centre WR13'!$A$7:$N$160,8,FALSE),0)+
IFERROR(VLOOKUP(A101,'Centre WP13'!$A$7:$N$160,8,FALSE),0)</f>
        <v>0.1</v>
      </c>
      <c r="I101" s="10">
        <f>IFERROR(VLOOKUP(A101,'Centre DW13'!$A$7:$N$160,9,FALSE),0)+
IFERROR(VLOOKUP(A101,'Centre WR13'!$A$7:$N$160,9,FALSE),0)+
IFERROR(VLOOKUP(A101,'Centre WP13'!$A$7:$N$160,9,FALSE),0)</f>
        <v>0.1</v>
      </c>
      <c r="J101" s="24">
        <f>IFERROR(VLOOKUP(A101,'Centre DW13'!$A$7:$N$160,10,FALSE),0)+
IFERROR(VLOOKUP(A101,'Centre WR13'!$A$7:$N$160,10,FALSE),0)+
IFERROR(VLOOKUP(A101,'Centre WP13'!$A$7:$N$160,10,FALSE),0)</f>
        <v>0.1</v>
      </c>
      <c r="K101" s="24">
        <f>IFERROR(VLOOKUP(A101,'Centre DW13'!$A$7:$N$160,11,FALSE),0)+
IFERROR(VLOOKUP(A101,'Centre WR13'!$A$7:$N$160,11,FALSE),0)+
IFERROR(VLOOKUP(A101,'Centre WP13'!$A$7:$N$160,11,FALSE),0)</f>
        <v>0.1</v>
      </c>
      <c r="L101" s="24">
        <f>IFERROR(VLOOKUP(A101,'Centre DW13'!$A$7:$N$160,12,FALSE),0)+
IFERROR(VLOOKUP(A101,'Centre WR13'!$A$7:$N$160,12,FALSE),0)+
IFERROR(VLOOKUP(A101,'Centre WP13'!$A$7:$N$160,12,FALSE),0)</f>
        <v>0.1</v>
      </c>
      <c r="M101" s="24">
        <f>IFERROR(VLOOKUP(A101,'Centre DW13'!$A$7:$N$160,13,FALSE),0)+
IFERROR(VLOOKUP(A101,'Centre WR13'!$A$7:$N$160,13,FALSE),0)+
IFERROR(VLOOKUP(A101,'Centre WP13'!$A$7:$N$160,13,FALSE),0)</f>
        <v>0.1</v>
      </c>
      <c r="N101" s="24">
        <f>IFERROR(VLOOKUP(A101,'Centre DW13'!$A$7:$N$160,14,FALSE),0)+
IFERROR(VLOOKUP(A101,'Centre WR13'!$A$7:$N$160,14,FALSE),0)+
IFERROR(VLOOKUP(A101,'Centre WP13'!$A$7:$N$160,14,FALSE),0)</f>
        <v>0.1</v>
      </c>
    </row>
    <row r="102" spans="1:14" collapsed="1" x14ac:dyDescent="0.2">
      <c r="A102" s="48" t="s">
        <v>200</v>
      </c>
      <c r="B102" s="49" t="s">
        <v>201</v>
      </c>
      <c r="C102" s="50">
        <f>SUM(C103:C114)</f>
        <v>0.91</v>
      </c>
      <c r="D102" s="50">
        <f t="shared" ref="D102:N102" si="21">SUM(D103:D114)</f>
        <v>0.91</v>
      </c>
      <c r="E102" s="50">
        <f t="shared" si="21"/>
        <v>0.91</v>
      </c>
      <c r="F102" s="50">
        <f t="shared" si="21"/>
        <v>1.01</v>
      </c>
      <c r="G102" s="50">
        <f t="shared" si="21"/>
        <v>0.91</v>
      </c>
      <c r="H102" s="50">
        <f t="shared" si="21"/>
        <v>1.61</v>
      </c>
      <c r="I102" s="50">
        <f t="shared" si="21"/>
        <v>0.91</v>
      </c>
      <c r="J102" s="50">
        <f t="shared" si="21"/>
        <v>1.01</v>
      </c>
      <c r="K102" s="50">
        <f t="shared" si="21"/>
        <v>1.51</v>
      </c>
      <c r="L102" s="50">
        <f t="shared" si="21"/>
        <v>1.01</v>
      </c>
      <c r="M102" s="50">
        <f t="shared" si="21"/>
        <v>1.61</v>
      </c>
      <c r="N102" s="50">
        <f t="shared" si="21"/>
        <v>0.91</v>
      </c>
    </row>
    <row r="103" spans="1:14" hidden="1" outlineLevel="1" x14ac:dyDescent="0.2">
      <c r="A103" s="9" t="s">
        <v>202</v>
      </c>
      <c r="B103" s="1" t="s">
        <v>203</v>
      </c>
      <c r="C103" s="10">
        <f>IFERROR(VLOOKUP(A103,'Centre DW13'!$A$7:$N$160,3,FALSE),0)+
IFERROR(VLOOKUP(A103,'Centre WR13'!$A$7:$N$160,3,FALSE),0)+
IFERROR(VLOOKUP(A103,'Centre WP13'!$A$7:$N$160,3,FALSE),0)</f>
        <v>0</v>
      </c>
      <c r="D103" s="10">
        <f>IFERROR(VLOOKUP(A103,'Centre DW13'!$A$7:$N$160,4,FALSE),0)+
IFERROR(VLOOKUP(A103,'Centre WR13'!$A$7:$N$160,4,FALSE),0)+
IFERROR(VLOOKUP(A103,'Centre WP13'!$A$7:$N$160,4,FALSE),0)</f>
        <v>0</v>
      </c>
      <c r="E103" s="10">
        <f>IFERROR(VLOOKUP(A103,'Centre DW13'!$A$7:$N$160,5,FALSE),0)+
IFERROR(VLOOKUP(A103,'Centre WR13'!$A$7:$N$160,5,FALSE),0)+
IFERROR(VLOOKUP(A103,'Centre WP13'!$A$7:$N$160,5,FALSE),0)</f>
        <v>0</v>
      </c>
      <c r="F103" s="10">
        <f>IFERROR(VLOOKUP(A103,'Centre DW13'!$A$7:$N$160,6,FALSE),0)+
IFERROR(VLOOKUP(A103,'Centre WR13'!$A$7:$N$160,6,FALSE),0)+
IFERROR(VLOOKUP(A103,'Centre WP13'!$A$7:$N$160,6,FALSE),0)</f>
        <v>0</v>
      </c>
      <c r="G103" s="10">
        <f>IFERROR(VLOOKUP(A103,'Centre DW13'!$A$7:$N$160,7,FALSE),0)+
IFERROR(VLOOKUP(A103,'Centre WR13'!$A$7:$N$160,7,FALSE),0)+
IFERROR(VLOOKUP(A103,'Centre WP13'!$A$7:$N$160,7,FALSE),0)</f>
        <v>0</v>
      </c>
      <c r="H103" s="10">
        <f>IFERROR(VLOOKUP(A103,'Centre DW13'!$A$7:$N$160,8,FALSE),0)+
IFERROR(VLOOKUP(A103,'Centre WR13'!$A$7:$N$160,8,FALSE),0)+
IFERROR(VLOOKUP(A103,'Centre WP13'!$A$7:$N$160,8,FALSE),0)</f>
        <v>0</v>
      </c>
      <c r="I103" s="10">
        <f>IFERROR(VLOOKUP(A103,'Centre DW13'!$A$7:$N$160,9,FALSE),0)+
IFERROR(VLOOKUP(A103,'Centre WR13'!$A$7:$N$160,9,FALSE),0)+
IFERROR(VLOOKUP(A103,'Centre WP13'!$A$7:$N$160,9,FALSE),0)</f>
        <v>0</v>
      </c>
      <c r="J103" s="24">
        <f>IFERROR(VLOOKUP(A103,'Centre DW13'!$A$7:$N$160,10,FALSE),0)+
IFERROR(VLOOKUP(A103,'Centre WR13'!$A$7:$N$160,10,FALSE),0)+
IFERROR(VLOOKUP(A103,'Centre WP13'!$A$7:$N$160,10,FALSE),0)</f>
        <v>0</v>
      </c>
      <c r="K103" s="24">
        <f>IFERROR(VLOOKUP(A103,'Centre DW13'!$A$7:$N$160,11,FALSE),0)+
IFERROR(VLOOKUP(A103,'Centre WR13'!$A$7:$N$160,11,FALSE),0)+
IFERROR(VLOOKUP(A103,'Centre WP13'!$A$7:$N$160,11,FALSE),0)</f>
        <v>0</v>
      </c>
      <c r="L103" s="24">
        <f>IFERROR(VLOOKUP(A103,'Centre DW13'!$A$7:$N$160,12,FALSE),0)+
IFERROR(VLOOKUP(A103,'Centre WR13'!$A$7:$N$160,12,FALSE),0)+
IFERROR(VLOOKUP(A103,'Centre WP13'!$A$7:$N$160,12,FALSE),0)</f>
        <v>0</v>
      </c>
      <c r="M103" s="24">
        <f>IFERROR(VLOOKUP(A103,'Centre DW13'!$A$7:$N$160,13,FALSE),0)+
IFERROR(VLOOKUP(A103,'Centre WR13'!$A$7:$N$160,13,FALSE),0)+
IFERROR(VLOOKUP(A103,'Centre WP13'!$A$7:$N$160,13,FALSE),0)</f>
        <v>0</v>
      </c>
      <c r="N103" s="24">
        <f>IFERROR(VLOOKUP(A103,'Centre DW13'!$A$7:$N$160,14,FALSE),0)+
IFERROR(VLOOKUP(A103,'Centre WR13'!$A$7:$N$160,14,FALSE),0)+
IFERROR(VLOOKUP(A103,'Centre WP13'!$A$7:$N$160,14,FALSE),0)</f>
        <v>0</v>
      </c>
    </row>
    <row r="104" spans="1:14" hidden="1" outlineLevel="1" x14ac:dyDescent="0.2">
      <c r="A104" s="9" t="s">
        <v>204</v>
      </c>
      <c r="B104" s="1" t="s">
        <v>205</v>
      </c>
      <c r="C104" s="10">
        <f>IFERROR(VLOOKUP(A104,'Centre DW13'!$A$7:$N$160,3,FALSE),0)+
IFERROR(VLOOKUP(A104,'Centre WR13'!$A$7:$N$160,3,FALSE),0)+
IFERROR(VLOOKUP(A104,'Centre WP13'!$A$7:$N$160,3,FALSE),0)</f>
        <v>0</v>
      </c>
      <c r="D104" s="10">
        <f>IFERROR(VLOOKUP(A104,'Centre DW13'!$A$7:$N$160,4,FALSE),0)+
IFERROR(VLOOKUP(A104,'Centre WR13'!$A$7:$N$160,4,FALSE),0)+
IFERROR(VLOOKUP(A104,'Centre WP13'!$A$7:$N$160,4,FALSE),0)</f>
        <v>0</v>
      </c>
      <c r="E104" s="10">
        <f>IFERROR(VLOOKUP(A104,'Centre DW13'!$A$7:$N$160,5,FALSE),0)+
IFERROR(VLOOKUP(A104,'Centre WR13'!$A$7:$N$160,5,FALSE),0)+
IFERROR(VLOOKUP(A104,'Centre WP13'!$A$7:$N$160,5,FALSE),0)</f>
        <v>0</v>
      </c>
      <c r="F104" s="10">
        <f>IFERROR(VLOOKUP(A104,'Centre DW13'!$A$7:$N$160,6,FALSE),0)+
IFERROR(VLOOKUP(A104,'Centre WR13'!$A$7:$N$160,6,FALSE),0)+
IFERROR(VLOOKUP(A104,'Centre WP13'!$A$7:$N$160,6,FALSE),0)</f>
        <v>0</v>
      </c>
      <c r="G104" s="10">
        <f>IFERROR(VLOOKUP(A104,'Centre DW13'!$A$7:$N$160,7,FALSE),0)+
IFERROR(VLOOKUP(A104,'Centre WR13'!$A$7:$N$160,7,FALSE),0)+
IFERROR(VLOOKUP(A104,'Centre WP13'!$A$7:$N$160,7,FALSE),0)</f>
        <v>0</v>
      </c>
      <c r="H104" s="10">
        <f>IFERROR(VLOOKUP(A104,'Centre DW13'!$A$7:$N$160,8,FALSE),0)+
IFERROR(VLOOKUP(A104,'Centre WR13'!$A$7:$N$160,8,FALSE),0)+
IFERROR(VLOOKUP(A104,'Centre WP13'!$A$7:$N$160,8,FALSE),0)</f>
        <v>0</v>
      </c>
      <c r="I104" s="10">
        <f>IFERROR(VLOOKUP(A104,'Centre DW13'!$A$7:$N$160,9,FALSE),0)+
IFERROR(VLOOKUP(A104,'Centre WR13'!$A$7:$N$160,9,FALSE),0)+
IFERROR(VLOOKUP(A104,'Centre WP13'!$A$7:$N$160,9,FALSE),0)</f>
        <v>0</v>
      </c>
      <c r="J104" s="24">
        <f>IFERROR(VLOOKUP(A104,'Centre DW13'!$A$7:$N$160,10,FALSE),0)+
IFERROR(VLOOKUP(A104,'Centre WR13'!$A$7:$N$160,10,FALSE),0)+
IFERROR(VLOOKUP(A104,'Centre WP13'!$A$7:$N$160,10,FALSE),0)</f>
        <v>0</v>
      </c>
      <c r="K104" s="24">
        <f>IFERROR(VLOOKUP(A104,'Centre DW13'!$A$7:$N$160,11,FALSE),0)+
IFERROR(VLOOKUP(A104,'Centre WR13'!$A$7:$N$160,11,FALSE),0)+
IFERROR(VLOOKUP(A104,'Centre WP13'!$A$7:$N$160,11,FALSE),0)</f>
        <v>0</v>
      </c>
      <c r="L104" s="24">
        <f>IFERROR(VLOOKUP(A104,'Centre DW13'!$A$7:$N$160,12,FALSE),0)+
IFERROR(VLOOKUP(A104,'Centre WR13'!$A$7:$N$160,12,FALSE),0)+
IFERROR(VLOOKUP(A104,'Centre WP13'!$A$7:$N$160,12,FALSE),0)</f>
        <v>0</v>
      </c>
      <c r="M104" s="24">
        <f>IFERROR(VLOOKUP(A104,'Centre DW13'!$A$7:$N$160,13,FALSE),0)+
IFERROR(VLOOKUP(A104,'Centre WR13'!$A$7:$N$160,13,FALSE),0)+
IFERROR(VLOOKUP(A104,'Centre WP13'!$A$7:$N$160,13,FALSE),0)</f>
        <v>0</v>
      </c>
      <c r="N104" s="24">
        <f>IFERROR(VLOOKUP(A104,'Centre DW13'!$A$7:$N$160,14,FALSE),0)+
IFERROR(VLOOKUP(A104,'Centre WR13'!$A$7:$N$160,14,FALSE),0)+
IFERROR(VLOOKUP(A104,'Centre WP13'!$A$7:$N$160,14,FALSE),0)</f>
        <v>0</v>
      </c>
    </row>
    <row r="105" spans="1:14" hidden="1" outlineLevel="1" x14ac:dyDescent="0.2">
      <c r="A105" s="9" t="s">
        <v>206</v>
      </c>
      <c r="B105" s="1" t="s">
        <v>207</v>
      </c>
      <c r="C105" s="10">
        <f>IFERROR(VLOOKUP(A105,'Centre DW13'!$A$7:$N$160,3,FALSE),0)+
IFERROR(VLOOKUP(A105,'Centre WR13'!$A$7:$N$160,3,FALSE),0)+
IFERROR(VLOOKUP(A105,'Centre WP13'!$A$7:$N$160,3,FALSE),0)</f>
        <v>0</v>
      </c>
      <c r="D105" s="10">
        <f>IFERROR(VLOOKUP(A105,'Centre DW13'!$A$7:$N$160,4,FALSE),0)+
IFERROR(VLOOKUP(A105,'Centre WR13'!$A$7:$N$160,4,FALSE),0)+
IFERROR(VLOOKUP(A105,'Centre WP13'!$A$7:$N$160,4,FALSE),0)</f>
        <v>0</v>
      </c>
      <c r="E105" s="10">
        <f>IFERROR(VLOOKUP(A105,'Centre DW13'!$A$7:$N$160,5,FALSE),0)+
IFERROR(VLOOKUP(A105,'Centre WR13'!$A$7:$N$160,5,FALSE),0)+
IFERROR(VLOOKUP(A105,'Centre WP13'!$A$7:$N$160,5,FALSE),0)</f>
        <v>0</v>
      </c>
      <c r="F105" s="10">
        <f>IFERROR(VLOOKUP(A105,'Centre DW13'!$A$7:$N$160,6,FALSE),0)+
IFERROR(VLOOKUP(A105,'Centre WR13'!$A$7:$N$160,6,FALSE),0)+
IFERROR(VLOOKUP(A105,'Centre WP13'!$A$7:$N$160,6,FALSE),0)</f>
        <v>0</v>
      </c>
      <c r="G105" s="10">
        <f>IFERROR(VLOOKUP(A105,'Centre DW13'!$A$7:$N$160,7,FALSE),0)+
IFERROR(VLOOKUP(A105,'Centre WR13'!$A$7:$N$160,7,FALSE),0)+
IFERROR(VLOOKUP(A105,'Centre WP13'!$A$7:$N$160,7,FALSE),0)</f>
        <v>0</v>
      </c>
      <c r="H105" s="10">
        <f>IFERROR(VLOOKUP(A105,'Centre DW13'!$A$7:$N$160,8,FALSE),0)+
IFERROR(VLOOKUP(A105,'Centre WR13'!$A$7:$N$160,8,FALSE),0)+
IFERROR(VLOOKUP(A105,'Centre WP13'!$A$7:$N$160,8,FALSE),0)</f>
        <v>0</v>
      </c>
      <c r="I105" s="10">
        <f>IFERROR(VLOOKUP(A105,'Centre DW13'!$A$7:$N$160,9,FALSE),0)+
IFERROR(VLOOKUP(A105,'Centre WR13'!$A$7:$N$160,9,FALSE),0)+
IFERROR(VLOOKUP(A105,'Centre WP13'!$A$7:$N$160,9,FALSE),0)</f>
        <v>0</v>
      </c>
      <c r="J105" s="24">
        <f>IFERROR(VLOOKUP(A105,'Centre DW13'!$A$7:$N$160,10,FALSE),0)+
IFERROR(VLOOKUP(A105,'Centre WR13'!$A$7:$N$160,10,FALSE),0)+
IFERROR(VLOOKUP(A105,'Centre WP13'!$A$7:$N$160,10,FALSE),0)</f>
        <v>0</v>
      </c>
      <c r="K105" s="24">
        <f>IFERROR(VLOOKUP(A105,'Centre DW13'!$A$7:$N$160,11,FALSE),0)+
IFERROR(VLOOKUP(A105,'Centre WR13'!$A$7:$N$160,11,FALSE),0)+
IFERROR(VLOOKUP(A105,'Centre WP13'!$A$7:$N$160,11,FALSE),0)</f>
        <v>0</v>
      </c>
      <c r="L105" s="24">
        <f>IFERROR(VLOOKUP(A105,'Centre DW13'!$A$7:$N$160,12,FALSE),0)+
IFERROR(VLOOKUP(A105,'Centre WR13'!$A$7:$N$160,12,FALSE),0)+
IFERROR(VLOOKUP(A105,'Centre WP13'!$A$7:$N$160,12,FALSE),0)</f>
        <v>0</v>
      </c>
      <c r="M105" s="24">
        <f>IFERROR(VLOOKUP(A105,'Centre DW13'!$A$7:$N$160,13,FALSE),0)+
IFERROR(VLOOKUP(A105,'Centre WR13'!$A$7:$N$160,13,FALSE),0)+
IFERROR(VLOOKUP(A105,'Centre WP13'!$A$7:$N$160,13,FALSE),0)</f>
        <v>0</v>
      </c>
      <c r="N105" s="24">
        <f>IFERROR(VLOOKUP(A105,'Centre DW13'!$A$7:$N$160,14,FALSE),0)+
IFERROR(VLOOKUP(A105,'Centre WR13'!$A$7:$N$160,14,FALSE),0)+
IFERROR(VLOOKUP(A105,'Centre WP13'!$A$7:$N$160,14,FALSE),0)</f>
        <v>0</v>
      </c>
    </row>
    <row r="106" spans="1:14" hidden="1" outlineLevel="1" x14ac:dyDescent="0.2">
      <c r="A106" s="9" t="s">
        <v>208</v>
      </c>
      <c r="B106" s="1" t="s">
        <v>209</v>
      </c>
      <c r="C106" s="10">
        <f>IFERROR(VLOOKUP(A106,'Centre DW13'!$A$7:$N$160,3,FALSE),0)+
IFERROR(VLOOKUP(A106,'Centre WR13'!$A$7:$N$160,3,FALSE),0)+
IFERROR(VLOOKUP(A106,'Centre WP13'!$A$7:$N$160,3,FALSE),0)</f>
        <v>0</v>
      </c>
      <c r="D106" s="10">
        <f>IFERROR(VLOOKUP(A106,'Centre DW13'!$A$7:$N$160,4,FALSE),0)+
IFERROR(VLOOKUP(A106,'Centre WR13'!$A$7:$N$160,4,FALSE),0)+
IFERROR(VLOOKUP(A106,'Centre WP13'!$A$7:$N$160,4,FALSE),0)</f>
        <v>0</v>
      </c>
      <c r="E106" s="10">
        <f>IFERROR(VLOOKUP(A106,'Centre DW13'!$A$7:$N$160,5,FALSE),0)+
IFERROR(VLOOKUP(A106,'Centre WR13'!$A$7:$N$160,5,FALSE),0)+
IFERROR(VLOOKUP(A106,'Centre WP13'!$A$7:$N$160,5,FALSE),0)</f>
        <v>0</v>
      </c>
      <c r="F106" s="10">
        <f>IFERROR(VLOOKUP(A106,'Centre DW13'!$A$7:$N$160,6,FALSE),0)+
IFERROR(VLOOKUP(A106,'Centre WR13'!$A$7:$N$160,6,FALSE),0)+
IFERROR(VLOOKUP(A106,'Centre WP13'!$A$7:$N$160,6,FALSE),0)</f>
        <v>0</v>
      </c>
      <c r="G106" s="10">
        <f>IFERROR(VLOOKUP(A106,'Centre DW13'!$A$7:$N$160,7,FALSE),0)+
IFERROR(VLOOKUP(A106,'Centre WR13'!$A$7:$N$160,7,FALSE),0)+
IFERROR(VLOOKUP(A106,'Centre WP13'!$A$7:$N$160,7,FALSE),0)</f>
        <v>0</v>
      </c>
      <c r="H106" s="10">
        <f>IFERROR(VLOOKUP(A106,'Centre DW13'!$A$7:$N$160,8,FALSE),0)+
IFERROR(VLOOKUP(A106,'Centre WR13'!$A$7:$N$160,8,FALSE),0)+
IFERROR(VLOOKUP(A106,'Centre WP13'!$A$7:$N$160,8,FALSE),0)</f>
        <v>0</v>
      </c>
      <c r="I106" s="10">
        <f>IFERROR(VLOOKUP(A106,'Centre DW13'!$A$7:$N$160,9,FALSE),0)+
IFERROR(VLOOKUP(A106,'Centre WR13'!$A$7:$N$160,9,FALSE),0)+
IFERROR(VLOOKUP(A106,'Centre WP13'!$A$7:$N$160,9,FALSE),0)</f>
        <v>0</v>
      </c>
      <c r="J106" s="24">
        <f>IFERROR(VLOOKUP(A106,'Centre DW13'!$A$7:$N$160,10,FALSE),0)+
IFERROR(VLOOKUP(A106,'Centre WR13'!$A$7:$N$160,10,FALSE),0)+
IFERROR(VLOOKUP(A106,'Centre WP13'!$A$7:$N$160,10,FALSE),0)</f>
        <v>0</v>
      </c>
      <c r="K106" s="24">
        <f>IFERROR(VLOOKUP(A106,'Centre DW13'!$A$7:$N$160,11,FALSE),0)+
IFERROR(VLOOKUP(A106,'Centre WR13'!$A$7:$N$160,11,FALSE),0)+
IFERROR(VLOOKUP(A106,'Centre WP13'!$A$7:$N$160,11,FALSE),0)</f>
        <v>0</v>
      </c>
      <c r="L106" s="24">
        <f>IFERROR(VLOOKUP(A106,'Centre DW13'!$A$7:$N$160,12,FALSE),0)+
IFERROR(VLOOKUP(A106,'Centre WR13'!$A$7:$N$160,12,FALSE),0)+
IFERROR(VLOOKUP(A106,'Centre WP13'!$A$7:$N$160,12,FALSE),0)</f>
        <v>0</v>
      </c>
      <c r="M106" s="24">
        <f>IFERROR(VLOOKUP(A106,'Centre DW13'!$A$7:$N$160,13,FALSE),0)+
IFERROR(VLOOKUP(A106,'Centre WR13'!$A$7:$N$160,13,FALSE),0)+
IFERROR(VLOOKUP(A106,'Centre WP13'!$A$7:$N$160,13,FALSE),0)</f>
        <v>0</v>
      </c>
      <c r="N106" s="24">
        <f>IFERROR(VLOOKUP(A106,'Centre DW13'!$A$7:$N$160,14,FALSE),0)+
IFERROR(VLOOKUP(A106,'Centre WR13'!$A$7:$N$160,14,FALSE),0)+
IFERROR(VLOOKUP(A106,'Centre WP13'!$A$7:$N$160,14,FALSE),0)</f>
        <v>0</v>
      </c>
    </row>
    <row r="107" spans="1:14" hidden="1" outlineLevel="1" x14ac:dyDescent="0.2">
      <c r="A107" s="9" t="s">
        <v>210</v>
      </c>
      <c r="B107" s="1" t="s">
        <v>211</v>
      </c>
      <c r="C107" s="10">
        <f>IFERROR(VLOOKUP(A107,'Centre DW13'!$A$7:$N$160,3,FALSE),0)+
IFERROR(VLOOKUP(A107,'Centre WR13'!$A$7:$N$160,3,FALSE),0)+
IFERROR(VLOOKUP(A107,'Centre WP13'!$A$7:$N$160,3,FALSE),0)</f>
        <v>0.21</v>
      </c>
      <c r="D107" s="10">
        <f>IFERROR(VLOOKUP(A107,'Centre DW13'!$A$7:$N$160,4,FALSE),0)+
IFERROR(VLOOKUP(A107,'Centre WR13'!$A$7:$N$160,4,FALSE),0)+
IFERROR(VLOOKUP(A107,'Centre WP13'!$A$7:$N$160,4,FALSE),0)</f>
        <v>0.21</v>
      </c>
      <c r="E107" s="10">
        <f>IFERROR(VLOOKUP(A107,'Centre DW13'!$A$7:$N$160,5,FALSE),0)+
IFERROR(VLOOKUP(A107,'Centre WR13'!$A$7:$N$160,5,FALSE),0)+
IFERROR(VLOOKUP(A107,'Centre WP13'!$A$7:$N$160,5,FALSE),0)</f>
        <v>0.21</v>
      </c>
      <c r="F107" s="10">
        <f>IFERROR(VLOOKUP(A107,'Centre DW13'!$A$7:$N$160,6,FALSE),0)+
IFERROR(VLOOKUP(A107,'Centre WR13'!$A$7:$N$160,6,FALSE),0)+
IFERROR(VLOOKUP(A107,'Centre WP13'!$A$7:$N$160,6,FALSE),0)</f>
        <v>0.21</v>
      </c>
      <c r="G107" s="10">
        <f>IFERROR(VLOOKUP(A107,'Centre DW13'!$A$7:$N$160,7,FALSE),0)+
IFERROR(VLOOKUP(A107,'Centre WR13'!$A$7:$N$160,7,FALSE),0)+
IFERROR(VLOOKUP(A107,'Centre WP13'!$A$7:$N$160,7,FALSE),0)</f>
        <v>0.21</v>
      </c>
      <c r="H107" s="10">
        <f>IFERROR(VLOOKUP(A107,'Centre DW13'!$A$7:$N$160,8,FALSE),0)+
IFERROR(VLOOKUP(A107,'Centre WR13'!$A$7:$N$160,8,FALSE),0)+
IFERROR(VLOOKUP(A107,'Centre WP13'!$A$7:$N$160,8,FALSE),0)</f>
        <v>0.21</v>
      </c>
      <c r="I107" s="10">
        <f>IFERROR(VLOOKUP(A107,'Centre DW13'!$A$7:$N$160,9,FALSE),0)+
IFERROR(VLOOKUP(A107,'Centre WR13'!$A$7:$N$160,9,FALSE),0)+
IFERROR(VLOOKUP(A107,'Centre WP13'!$A$7:$N$160,9,FALSE),0)</f>
        <v>0.21</v>
      </c>
      <c r="J107" s="24">
        <f>IFERROR(VLOOKUP(A107,'Centre DW13'!$A$7:$N$160,10,FALSE),0)+
IFERROR(VLOOKUP(A107,'Centre WR13'!$A$7:$N$160,10,FALSE),0)+
IFERROR(VLOOKUP(A107,'Centre WP13'!$A$7:$N$160,10,FALSE),0)</f>
        <v>0.21</v>
      </c>
      <c r="K107" s="24">
        <f>IFERROR(VLOOKUP(A107,'Centre DW13'!$A$7:$N$160,11,FALSE),0)+
IFERROR(VLOOKUP(A107,'Centre WR13'!$A$7:$N$160,11,FALSE),0)+
IFERROR(VLOOKUP(A107,'Centre WP13'!$A$7:$N$160,11,FALSE),0)</f>
        <v>0.21</v>
      </c>
      <c r="L107" s="24">
        <f>IFERROR(VLOOKUP(A107,'Centre DW13'!$A$7:$N$160,12,FALSE),0)+
IFERROR(VLOOKUP(A107,'Centre WR13'!$A$7:$N$160,12,FALSE),0)+
IFERROR(VLOOKUP(A107,'Centre WP13'!$A$7:$N$160,12,FALSE),0)</f>
        <v>0.21</v>
      </c>
      <c r="M107" s="24">
        <f>IFERROR(VLOOKUP(A107,'Centre DW13'!$A$7:$N$160,13,FALSE),0)+
IFERROR(VLOOKUP(A107,'Centre WR13'!$A$7:$N$160,13,FALSE),0)+
IFERROR(VLOOKUP(A107,'Centre WP13'!$A$7:$N$160,13,FALSE),0)</f>
        <v>0.21</v>
      </c>
      <c r="N107" s="24">
        <f>IFERROR(VLOOKUP(A107,'Centre DW13'!$A$7:$N$160,14,FALSE),0)+
IFERROR(VLOOKUP(A107,'Centre WR13'!$A$7:$N$160,14,FALSE),0)+
IFERROR(VLOOKUP(A107,'Centre WP13'!$A$7:$N$160,14,FALSE),0)</f>
        <v>0.21</v>
      </c>
    </row>
    <row r="108" spans="1:14" hidden="1" outlineLevel="1" x14ac:dyDescent="0.2">
      <c r="A108" s="9" t="s">
        <v>212</v>
      </c>
      <c r="B108" s="1" t="s">
        <v>213</v>
      </c>
      <c r="C108" s="10">
        <f>IFERROR(VLOOKUP(A108,'Centre DW13'!$A$7:$N$160,3,FALSE),0)+
IFERROR(VLOOKUP(A108,'Centre WR13'!$A$7:$N$160,3,FALSE),0)+
IFERROR(VLOOKUP(A108,'Centre WP13'!$A$7:$N$160,3,FALSE),0)</f>
        <v>0</v>
      </c>
      <c r="D108" s="10">
        <f>IFERROR(VLOOKUP(A108,'Centre DW13'!$A$7:$N$160,4,FALSE),0)+
IFERROR(VLOOKUP(A108,'Centre WR13'!$A$7:$N$160,4,FALSE),0)+
IFERROR(VLOOKUP(A108,'Centre WP13'!$A$7:$N$160,4,FALSE),0)</f>
        <v>0</v>
      </c>
      <c r="E108" s="10">
        <f>IFERROR(VLOOKUP(A108,'Centre DW13'!$A$7:$N$160,5,FALSE),0)+
IFERROR(VLOOKUP(A108,'Centre WR13'!$A$7:$N$160,5,FALSE),0)+
IFERROR(VLOOKUP(A108,'Centre WP13'!$A$7:$N$160,5,FALSE),0)</f>
        <v>0</v>
      </c>
      <c r="F108" s="10">
        <f>IFERROR(VLOOKUP(A108,'Centre DW13'!$A$7:$N$160,6,FALSE),0)+
IFERROR(VLOOKUP(A108,'Centre WR13'!$A$7:$N$160,6,FALSE),0)+
IFERROR(VLOOKUP(A108,'Centre WP13'!$A$7:$N$160,6,FALSE),0)</f>
        <v>0</v>
      </c>
      <c r="G108" s="10">
        <f>IFERROR(VLOOKUP(A108,'Centre DW13'!$A$7:$N$160,7,FALSE),0)+
IFERROR(VLOOKUP(A108,'Centre WR13'!$A$7:$N$160,7,FALSE),0)+
IFERROR(VLOOKUP(A108,'Centre WP13'!$A$7:$N$160,7,FALSE),0)</f>
        <v>0</v>
      </c>
      <c r="H108" s="10">
        <f>IFERROR(VLOOKUP(A108,'Centre DW13'!$A$7:$N$160,8,FALSE),0)+
IFERROR(VLOOKUP(A108,'Centre WR13'!$A$7:$N$160,8,FALSE),0)+
IFERROR(VLOOKUP(A108,'Centre WP13'!$A$7:$N$160,8,FALSE),0)</f>
        <v>0</v>
      </c>
      <c r="I108" s="10">
        <f>IFERROR(VLOOKUP(A108,'Centre DW13'!$A$7:$N$160,9,FALSE),0)+
IFERROR(VLOOKUP(A108,'Centre WR13'!$A$7:$N$160,9,FALSE),0)+
IFERROR(VLOOKUP(A108,'Centre WP13'!$A$7:$N$160,9,FALSE),0)</f>
        <v>0</v>
      </c>
      <c r="J108" s="24">
        <f>IFERROR(VLOOKUP(A108,'Centre DW13'!$A$7:$N$160,10,FALSE),0)+
IFERROR(VLOOKUP(A108,'Centre WR13'!$A$7:$N$160,10,FALSE),0)+
IFERROR(VLOOKUP(A108,'Centre WP13'!$A$7:$N$160,10,FALSE),0)</f>
        <v>0</v>
      </c>
      <c r="K108" s="24">
        <f>IFERROR(VLOOKUP(A108,'Centre DW13'!$A$7:$N$160,11,FALSE),0)+
IFERROR(VLOOKUP(A108,'Centre WR13'!$A$7:$N$160,11,FALSE),0)+
IFERROR(VLOOKUP(A108,'Centre WP13'!$A$7:$N$160,11,FALSE),0)</f>
        <v>0</v>
      </c>
      <c r="L108" s="24">
        <f>IFERROR(VLOOKUP(A108,'Centre DW13'!$A$7:$N$160,12,FALSE),0)+
IFERROR(VLOOKUP(A108,'Centre WR13'!$A$7:$N$160,12,FALSE),0)+
IFERROR(VLOOKUP(A108,'Centre WP13'!$A$7:$N$160,12,FALSE),0)</f>
        <v>0</v>
      </c>
      <c r="M108" s="24">
        <f>IFERROR(VLOOKUP(A108,'Centre DW13'!$A$7:$N$160,13,FALSE),0)+
IFERROR(VLOOKUP(A108,'Centre WR13'!$A$7:$N$160,13,FALSE),0)+
IFERROR(VLOOKUP(A108,'Centre WP13'!$A$7:$N$160,13,FALSE),0)</f>
        <v>0</v>
      </c>
      <c r="N108" s="24">
        <f>IFERROR(VLOOKUP(A108,'Centre DW13'!$A$7:$N$160,14,FALSE),0)+
IFERROR(VLOOKUP(A108,'Centre WR13'!$A$7:$N$160,14,FALSE),0)+
IFERROR(VLOOKUP(A108,'Centre WP13'!$A$7:$N$160,14,FALSE),0)</f>
        <v>0</v>
      </c>
    </row>
    <row r="109" spans="1:14" hidden="1" outlineLevel="1" x14ac:dyDescent="0.2">
      <c r="A109" s="9" t="s">
        <v>214</v>
      </c>
      <c r="B109" s="1" t="s">
        <v>215</v>
      </c>
      <c r="C109" s="10">
        <f>IFERROR(VLOOKUP(A109,'Centre DW13'!$A$7:$N$160,3,FALSE),0)+
IFERROR(VLOOKUP(A109,'Centre WR13'!$A$7:$N$160,3,FALSE),0)+
IFERROR(VLOOKUP(A109,'Centre WP13'!$A$7:$N$160,3,FALSE),0)</f>
        <v>0</v>
      </c>
      <c r="D109" s="10">
        <f>IFERROR(VLOOKUP(A109,'Centre DW13'!$A$7:$N$160,4,FALSE),0)+
IFERROR(VLOOKUP(A109,'Centre WR13'!$A$7:$N$160,4,FALSE),0)+
IFERROR(VLOOKUP(A109,'Centre WP13'!$A$7:$N$160,4,FALSE),0)</f>
        <v>0</v>
      </c>
      <c r="E109" s="10">
        <f>IFERROR(VLOOKUP(A109,'Centre DW13'!$A$7:$N$160,5,FALSE),0)+
IFERROR(VLOOKUP(A109,'Centre WR13'!$A$7:$N$160,5,FALSE),0)+
IFERROR(VLOOKUP(A109,'Centre WP13'!$A$7:$N$160,5,FALSE),0)</f>
        <v>0</v>
      </c>
      <c r="F109" s="10">
        <f>IFERROR(VLOOKUP(A109,'Centre DW13'!$A$7:$N$160,6,FALSE),0)+
IFERROR(VLOOKUP(A109,'Centre WR13'!$A$7:$N$160,6,FALSE),0)+
IFERROR(VLOOKUP(A109,'Centre WP13'!$A$7:$N$160,6,FALSE),0)</f>
        <v>0</v>
      </c>
      <c r="G109" s="10">
        <f>IFERROR(VLOOKUP(A109,'Centre DW13'!$A$7:$N$160,7,FALSE),0)+
IFERROR(VLOOKUP(A109,'Centre WR13'!$A$7:$N$160,7,FALSE),0)+
IFERROR(VLOOKUP(A109,'Centre WP13'!$A$7:$N$160,7,FALSE),0)</f>
        <v>0</v>
      </c>
      <c r="H109" s="10">
        <f>IFERROR(VLOOKUP(A109,'Centre DW13'!$A$7:$N$160,8,FALSE),0)+
IFERROR(VLOOKUP(A109,'Centre WR13'!$A$7:$N$160,8,FALSE),0)+
IFERROR(VLOOKUP(A109,'Centre WP13'!$A$7:$N$160,8,FALSE),0)</f>
        <v>0</v>
      </c>
      <c r="I109" s="10">
        <f>IFERROR(VLOOKUP(A109,'Centre DW13'!$A$7:$N$160,9,FALSE),0)+
IFERROR(VLOOKUP(A109,'Centre WR13'!$A$7:$N$160,9,FALSE),0)+
IFERROR(VLOOKUP(A109,'Centre WP13'!$A$7:$N$160,9,FALSE),0)</f>
        <v>0</v>
      </c>
      <c r="J109" s="24">
        <f>IFERROR(VLOOKUP(A109,'Centre DW13'!$A$7:$N$160,10,FALSE),0)+
IFERROR(VLOOKUP(A109,'Centre WR13'!$A$7:$N$160,10,FALSE),0)+
IFERROR(VLOOKUP(A109,'Centre WP13'!$A$7:$N$160,10,FALSE),0)</f>
        <v>0</v>
      </c>
      <c r="K109" s="24">
        <f>IFERROR(VLOOKUP(A109,'Centre DW13'!$A$7:$N$160,11,FALSE),0)+
IFERROR(VLOOKUP(A109,'Centre WR13'!$A$7:$N$160,11,FALSE),0)+
IFERROR(VLOOKUP(A109,'Centre WP13'!$A$7:$N$160,11,FALSE),0)</f>
        <v>0</v>
      </c>
      <c r="L109" s="24">
        <f>IFERROR(VLOOKUP(A109,'Centre DW13'!$A$7:$N$160,12,FALSE),0)+
IFERROR(VLOOKUP(A109,'Centre WR13'!$A$7:$N$160,12,FALSE),0)+
IFERROR(VLOOKUP(A109,'Centre WP13'!$A$7:$N$160,12,FALSE),0)</f>
        <v>0</v>
      </c>
      <c r="M109" s="24">
        <f>IFERROR(VLOOKUP(A109,'Centre DW13'!$A$7:$N$160,13,FALSE),0)+
IFERROR(VLOOKUP(A109,'Centre WR13'!$A$7:$N$160,13,FALSE),0)+
IFERROR(VLOOKUP(A109,'Centre WP13'!$A$7:$N$160,13,FALSE),0)</f>
        <v>0</v>
      </c>
      <c r="N109" s="24">
        <f>IFERROR(VLOOKUP(A109,'Centre DW13'!$A$7:$N$160,14,FALSE),0)+
IFERROR(VLOOKUP(A109,'Centre WR13'!$A$7:$N$160,14,FALSE),0)+
IFERROR(VLOOKUP(A109,'Centre WP13'!$A$7:$N$160,14,FALSE),0)</f>
        <v>0</v>
      </c>
    </row>
    <row r="110" spans="1:14" hidden="1" outlineLevel="1" x14ac:dyDescent="0.2">
      <c r="A110" s="9" t="s">
        <v>216</v>
      </c>
      <c r="B110" s="1" t="s">
        <v>217</v>
      </c>
      <c r="C110" s="10">
        <f>IFERROR(VLOOKUP(A110,'Centre DW13'!$A$7:$N$160,3,FALSE),0)+
IFERROR(VLOOKUP(A110,'Centre WR13'!$A$7:$N$160,3,FALSE),0)+
IFERROR(VLOOKUP(A110,'Centre WP13'!$A$7:$N$160,3,FALSE),0)</f>
        <v>0.3</v>
      </c>
      <c r="D110" s="10">
        <f>IFERROR(VLOOKUP(A110,'Centre DW13'!$A$7:$N$160,4,FALSE),0)+
IFERROR(VLOOKUP(A110,'Centre WR13'!$A$7:$N$160,4,FALSE),0)+
IFERROR(VLOOKUP(A110,'Centre WP13'!$A$7:$N$160,4,FALSE),0)</f>
        <v>0.3</v>
      </c>
      <c r="E110" s="10">
        <f>IFERROR(VLOOKUP(A110,'Centre DW13'!$A$7:$N$160,5,FALSE),0)+
IFERROR(VLOOKUP(A110,'Centre WR13'!$A$7:$N$160,5,FALSE),0)+
IFERROR(VLOOKUP(A110,'Centre WP13'!$A$7:$N$160,5,FALSE),0)</f>
        <v>0.3</v>
      </c>
      <c r="F110" s="10">
        <f>IFERROR(VLOOKUP(A110,'Centre DW13'!$A$7:$N$160,6,FALSE),0)+
IFERROR(VLOOKUP(A110,'Centre WR13'!$A$7:$N$160,6,FALSE),0)+
IFERROR(VLOOKUP(A110,'Centre WP13'!$A$7:$N$160,6,FALSE),0)</f>
        <v>0.3</v>
      </c>
      <c r="G110" s="10">
        <f>IFERROR(VLOOKUP(A110,'Centre DW13'!$A$7:$N$160,7,FALSE),0)+
IFERROR(VLOOKUP(A110,'Centre WR13'!$A$7:$N$160,7,FALSE),0)+
IFERROR(VLOOKUP(A110,'Centre WP13'!$A$7:$N$160,7,FALSE),0)</f>
        <v>0.3</v>
      </c>
      <c r="H110" s="10">
        <f>IFERROR(VLOOKUP(A110,'Centre DW13'!$A$7:$N$160,8,FALSE),0)+
IFERROR(VLOOKUP(A110,'Centre WR13'!$A$7:$N$160,8,FALSE),0)+
IFERROR(VLOOKUP(A110,'Centre WP13'!$A$7:$N$160,8,FALSE),0)</f>
        <v>0.3</v>
      </c>
      <c r="I110" s="10">
        <f>IFERROR(VLOOKUP(A110,'Centre DW13'!$A$7:$N$160,9,FALSE),0)+
IFERROR(VLOOKUP(A110,'Centre WR13'!$A$7:$N$160,9,FALSE),0)+
IFERROR(VLOOKUP(A110,'Centre WP13'!$A$7:$N$160,9,FALSE),0)</f>
        <v>0.3</v>
      </c>
      <c r="J110" s="24">
        <f>IFERROR(VLOOKUP(A110,'Centre DW13'!$A$7:$N$160,10,FALSE),0)+
IFERROR(VLOOKUP(A110,'Centre WR13'!$A$7:$N$160,10,FALSE),0)+
IFERROR(VLOOKUP(A110,'Centre WP13'!$A$7:$N$160,10,FALSE),0)</f>
        <v>0.3</v>
      </c>
      <c r="K110" s="24">
        <f>IFERROR(VLOOKUP(A110,'Centre DW13'!$A$7:$N$160,11,FALSE),0)+
IFERROR(VLOOKUP(A110,'Centre WR13'!$A$7:$N$160,11,FALSE),0)+
IFERROR(VLOOKUP(A110,'Centre WP13'!$A$7:$N$160,11,FALSE),0)</f>
        <v>0.3</v>
      </c>
      <c r="L110" s="24">
        <f>IFERROR(VLOOKUP(A110,'Centre DW13'!$A$7:$N$160,12,FALSE),0)+
IFERROR(VLOOKUP(A110,'Centre WR13'!$A$7:$N$160,12,FALSE),0)+
IFERROR(VLOOKUP(A110,'Centre WP13'!$A$7:$N$160,12,FALSE),0)</f>
        <v>0.3</v>
      </c>
      <c r="M110" s="24">
        <f>IFERROR(VLOOKUP(A110,'Centre DW13'!$A$7:$N$160,13,FALSE),0)+
IFERROR(VLOOKUP(A110,'Centre WR13'!$A$7:$N$160,13,FALSE),0)+
IFERROR(VLOOKUP(A110,'Centre WP13'!$A$7:$N$160,13,FALSE),0)</f>
        <v>0.3</v>
      </c>
      <c r="N110" s="24">
        <f>IFERROR(VLOOKUP(A110,'Centre DW13'!$A$7:$N$160,14,FALSE),0)+
IFERROR(VLOOKUP(A110,'Centre WR13'!$A$7:$N$160,14,FALSE),0)+
IFERROR(VLOOKUP(A110,'Centre WP13'!$A$7:$N$160,14,FALSE),0)</f>
        <v>0.3</v>
      </c>
    </row>
    <row r="111" spans="1:14" hidden="1" outlineLevel="1" x14ac:dyDescent="0.2">
      <c r="A111" s="9" t="s">
        <v>218</v>
      </c>
      <c r="B111" s="1" t="s">
        <v>219</v>
      </c>
      <c r="C111" s="10">
        <f>IFERROR(VLOOKUP(A111,'Centre DW13'!$A$7:$N$160,3,FALSE),0)+
IFERROR(VLOOKUP(A111,'Centre WR13'!$A$7:$N$160,3,FALSE),0)+
IFERROR(VLOOKUP(A111,'Centre WP13'!$A$7:$N$160,3,FALSE),0)</f>
        <v>0.4</v>
      </c>
      <c r="D111" s="10">
        <f>IFERROR(VLOOKUP(A111,'Centre DW13'!$A$7:$N$160,4,FALSE),0)+
IFERROR(VLOOKUP(A111,'Centre WR13'!$A$7:$N$160,4,FALSE),0)+
IFERROR(VLOOKUP(A111,'Centre WP13'!$A$7:$N$160,4,FALSE),0)</f>
        <v>0.4</v>
      </c>
      <c r="E111" s="10">
        <f>IFERROR(VLOOKUP(A111,'Centre DW13'!$A$7:$N$160,5,FALSE),0)+
IFERROR(VLOOKUP(A111,'Centre WR13'!$A$7:$N$160,5,FALSE),0)+
IFERROR(VLOOKUP(A111,'Centre WP13'!$A$7:$N$160,5,FALSE),0)</f>
        <v>0.4</v>
      </c>
      <c r="F111" s="10">
        <f>IFERROR(VLOOKUP(A111,'Centre DW13'!$A$7:$N$160,6,FALSE),0)+
IFERROR(VLOOKUP(A111,'Centre WR13'!$A$7:$N$160,6,FALSE),0)+
IFERROR(VLOOKUP(A111,'Centre WP13'!$A$7:$N$160,6,FALSE),0)</f>
        <v>0.4</v>
      </c>
      <c r="G111" s="10">
        <f>IFERROR(VLOOKUP(A111,'Centre DW13'!$A$7:$N$160,7,FALSE),0)+
IFERROR(VLOOKUP(A111,'Centre WR13'!$A$7:$N$160,7,FALSE),0)+
IFERROR(VLOOKUP(A111,'Centre WP13'!$A$7:$N$160,7,FALSE),0)</f>
        <v>0.4</v>
      </c>
      <c r="H111" s="10">
        <f>IFERROR(VLOOKUP(A111,'Centre DW13'!$A$7:$N$160,8,FALSE),0)+
IFERROR(VLOOKUP(A111,'Centre WR13'!$A$7:$N$160,8,FALSE),0)+
IFERROR(VLOOKUP(A111,'Centre WP13'!$A$7:$N$160,8,FALSE),0)</f>
        <v>1.1000000000000001</v>
      </c>
      <c r="I111" s="10">
        <f>IFERROR(VLOOKUP(A111,'Centre DW13'!$A$7:$N$160,9,FALSE),0)+
IFERROR(VLOOKUP(A111,'Centre WR13'!$A$7:$N$160,9,FALSE),0)+
IFERROR(VLOOKUP(A111,'Centre WP13'!$A$7:$N$160,9,FALSE),0)</f>
        <v>0.4</v>
      </c>
      <c r="J111" s="24">
        <f>IFERROR(VLOOKUP(A111,'Centre DW13'!$A$7:$N$160,10,FALSE),0)+
IFERROR(VLOOKUP(A111,'Centre WR13'!$A$7:$N$160,10,FALSE),0)+
IFERROR(VLOOKUP(A111,'Centre WP13'!$A$7:$N$160,10,FALSE),0)</f>
        <v>0.4</v>
      </c>
      <c r="K111" s="24">
        <f>IFERROR(VLOOKUP(A111,'Centre DW13'!$A$7:$N$160,11,FALSE),0)+
IFERROR(VLOOKUP(A111,'Centre WR13'!$A$7:$N$160,11,FALSE),0)+
IFERROR(VLOOKUP(A111,'Centre WP13'!$A$7:$N$160,11,FALSE),0)</f>
        <v>1</v>
      </c>
      <c r="L111" s="24">
        <f>IFERROR(VLOOKUP(A111,'Centre DW13'!$A$7:$N$160,12,FALSE),0)+
IFERROR(VLOOKUP(A111,'Centre WR13'!$A$7:$N$160,12,FALSE),0)+
IFERROR(VLOOKUP(A111,'Centre WP13'!$A$7:$N$160,12,FALSE),0)</f>
        <v>0.4</v>
      </c>
      <c r="M111" s="24">
        <f>IFERROR(VLOOKUP(A111,'Centre DW13'!$A$7:$N$160,13,FALSE),0)+
IFERROR(VLOOKUP(A111,'Centre WR13'!$A$7:$N$160,13,FALSE),0)+
IFERROR(VLOOKUP(A111,'Centre WP13'!$A$7:$N$160,13,FALSE),0)</f>
        <v>1.1000000000000001</v>
      </c>
      <c r="N111" s="24">
        <f>IFERROR(VLOOKUP(A111,'Centre DW13'!$A$7:$N$160,14,FALSE),0)+
IFERROR(VLOOKUP(A111,'Centre WR13'!$A$7:$N$160,14,FALSE),0)+
IFERROR(VLOOKUP(A111,'Centre WP13'!$A$7:$N$160,14,FALSE),0)</f>
        <v>0.4</v>
      </c>
    </row>
    <row r="112" spans="1:14" hidden="1" outlineLevel="1" x14ac:dyDescent="0.2">
      <c r="A112" s="9" t="s">
        <v>220</v>
      </c>
      <c r="B112" s="1" t="s">
        <v>221</v>
      </c>
      <c r="C112" s="10">
        <f>IFERROR(VLOOKUP(A112,'Centre DW13'!$A$7:$N$160,3,FALSE),0)+
IFERROR(VLOOKUP(A112,'Centre WR13'!$A$7:$N$160,3,FALSE),0)+
IFERROR(VLOOKUP(A112,'Centre WP13'!$A$7:$N$160,3,FALSE),0)</f>
        <v>0</v>
      </c>
      <c r="D112" s="10">
        <f>IFERROR(VLOOKUP(A112,'Centre DW13'!$A$7:$N$160,4,FALSE),0)+
IFERROR(VLOOKUP(A112,'Centre WR13'!$A$7:$N$160,4,FALSE),0)+
IFERROR(VLOOKUP(A112,'Centre WP13'!$A$7:$N$160,4,FALSE),0)</f>
        <v>0</v>
      </c>
      <c r="E112" s="10">
        <f>IFERROR(VLOOKUP(A112,'Centre DW13'!$A$7:$N$160,5,FALSE),0)+
IFERROR(VLOOKUP(A112,'Centre WR13'!$A$7:$N$160,5,FALSE),0)+
IFERROR(VLOOKUP(A112,'Centre WP13'!$A$7:$N$160,5,FALSE),0)</f>
        <v>0</v>
      </c>
      <c r="F112" s="10">
        <f>IFERROR(VLOOKUP(A112,'Centre DW13'!$A$7:$N$160,6,FALSE),0)+
IFERROR(VLOOKUP(A112,'Centre WR13'!$A$7:$N$160,6,FALSE),0)+
IFERROR(VLOOKUP(A112,'Centre WP13'!$A$7:$N$160,6,FALSE),0)</f>
        <v>0</v>
      </c>
      <c r="G112" s="10">
        <f>IFERROR(VLOOKUP(A112,'Centre DW13'!$A$7:$N$160,7,FALSE),0)+
IFERROR(VLOOKUP(A112,'Centre WR13'!$A$7:$N$160,7,FALSE),0)+
IFERROR(VLOOKUP(A112,'Centre WP13'!$A$7:$N$160,7,FALSE),0)</f>
        <v>0</v>
      </c>
      <c r="H112" s="10">
        <f>IFERROR(VLOOKUP(A112,'Centre DW13'!$A$7:$N$160,8,FALSE),0)+
IFERROR(VLOOKUP(A112,'Centre WR13'!$A$7:$N$160,8,FALSE),0)+
IFERROR(VLOOKUP(A112,'Centre WP13'!$A$7:$N$160,8,FALSE),0)</f>
        <v>0</v>
      </c>
      <c r="I112" s="10">
        <f>IFERROR(VLOOKUP(A112,'Centre DW13'!$A$7:$N$160,9,FALSE),0)+
IFERROR(VLOOKUP(A112,'Centre WR13'!$A$7:$N$160,9,FALSE),0)+
IFERROR(VLOOKUP(A112,'Centre WP13'!$A$7:$N$160,9,FALSE),0)</f>
        <v>0</v>
      </c>
      <c r="J112" s="24">
        <f>IFERROR(VLOOKUP(A112,'Centre DW13'!$A$7:$N$160,10,FALSE),0)+
IFERROR(VLOOKUP(A112,'Centre WR13'!$A$7:$N$160,10,FALSE),0)+
IFERROR(VLOOKUP(A112,'Centre WP13'!$A$7:$N$160,10,FALSE),0)</f>
        <v>0.1</v>
      </c>
      <c r="K112" s="24">
        <f>IFERROR(VLOOKUP(A112,'Centre DW13'!$A$7:$N$160,11,FALSE),0)+
IFERROR(VLOOKUP(A112,'Centre WR13'!$A$7:$N$160,11,FALSE),0)+
IFERROR(VLOOKUP(A112,'Centre WP13'!$A$7:$N$160,11,FALSE),0)</f>
        <v>0</v>
      </c>
      <c r="L112" s="24">
        <f>IFERROR(VLOOKUP(A112,'Centre DW13'!$A$7:$N$160,12,FALSE),0)+
IFERROR(VLOOKUP(A112,'Centre WR13'!$A$7:$N$160,12,FALSE),0)+
IFERROR(VLOOKUP(A112,'Centre WP13'!$A$7:$N$160,12,FALSE),0)</f>
        <v>0</v>
      </c>
      <c r="M112" s="24">
        <f>IFERROR(VLOOKUP(A112,'Centre DW13'!$A$7:$N$160,13,FALSE),0)+
IFERROR(VLOOKUP(A112,'Centre WR13'!$A$7:$N$160,13,FALSE),0)+
IFERROR(VLOOKUP(A112,'Centre WP13'!$A$7:$N$160,13,FALSE),0)</f>
        <v>0</v>
      </c>
      <c r="N112" s="24">
        <f>IFERROR(VLOOKUP(A112,'Centre DW13'!$A$7:$N$160,14,FALSE),0)+
IFERROR(VLOOKUP(A112,'Centre WR13'!$A$7:$N$160,14,FALSE),0)+
IFERROR(VLOOKUP(A112,'Centre WP13'!$A$7:$N$160,14,FALSE),0)</f>
        <v>0</v>
      </c>
    </row>
    <row r="113" spans="1:14" hidden="1" outlineLevel="1" x14ac:dyDescent="0.2">
      <c r="A113" s="9" t="s">
        <v>222</v>
      </c>
      <c r="B113" s="1" t="s">
        <v>223</v>
      </c>
      <c r="C113" s="10">
        <f>IFERROR(VLOOKUP(A113,'Centre DW13'!$A$7:$N$160,3,FALSE),0)+
IFERROR(VLOOKUP(A113,'Centre WR13'!$A$7:$N$160,3,FALSE),0)+
IFERROR(VLOOKUP(A113,'Centre WP13'!$A$7:$N$160,3,FALSE),0)</f>
        <v>0</v>
      </c>
      <c r="D113" s="10">
        <f>IFERROR(VLOOKUP(A113,'Centre DW13'!$A$7:$N$160,4,FALSE),0)+
IFERROR(VLOOKUP(A113,'Centre WR13'!$A$7:$N$160,4,FALSE),0)+
IFERROR(VLOOKUP(A113,'Centre WP13'!$A$7:$N$160,4,FALSE),0)</f>
        <v>0</v>
      </c>
      <c r="E113" s="10">
        <f>IFERROR(VLOOKUP(A113,'Centre DW13'!$A$7:$N$160,5,FALSE),0)+
IFERROR(VLOOKUP(A113,'Centre WR13'!$A$7:$N$160,5,FALSE),0)+
IFERROR(VLOOKUP(A113,'Centre WP13'!$A$7:$N$160,5,FALSE),0)</f>
        <v>0</v>
      </c>
      <c r="F113" s="10">
        <f>IFERROR(VLOOKUP(A113,'Centre DW13'!$A$7:$N$160,6,FALSE),0)+
IFERROR(VLOOKUP(A113,'Centre WR13'!$A$7:$N$160,6,FALSE),0)+
IFERROR(VLOOKUP(A113,'Centre WP13'!$A$7:$N$160,6,FALSE),0)</f>
        <v>0</v>
      </c>
      <c r="G113" s="10">
        <f>IFERROR(VLOOKUP(A113,'Centre DW13'!$A$7:$N$160,7,FALSE),0)+
IFERROR(VLOOKUP(A113,'Centre WR13'!$A$7:$N$160,7,FALSE),0)+
IFERROR(VLOOKUP(A113,'Centre WP13'!$A$7:$N$160,7,FALSE),0)</f>
        <v>0</v>
      </c>
      <c r="H113" s="10">
        <f>IFERROR(VLOOKUP(A113,'Centre DW13'!$A$7:$N$160,8,FALSE),0)+
IFERROR(VLOOKUP(A113,'Centre WR13'!$A$7:$N$160,8,FALSE),0)+
IFERROR(VLOOKUP(A113,'Centre WP13'!$A$7:$N$160,8,FALSE),0)</f>
        <v>0</v>
      </c>
      <c r="I113" s="10">
        <f>IFERROR(VLOOKUP(A113,'Centre DW13'!$A$7:$N$160,9,FALSE),0)+
IFERROR(VLOOKUP(A113,'Centre WR13'!$A$7:$N$160,9,FALSE),0)+
IFERROR(VLOOKUP(A113,'Centre WP13'!$A$7:$N$160,9,FALSE),0)</f>
        <v>0</v>
      </c>
      <c r="J113" s="24">
        <f>IFERROR(VLOOKUP(A113,'Centre DW13'!$A$7:$N$160,10,FALSE),0)+
IFERROR(VLOOKUP(A113,'Centre WR13'!$A$7:$N$160,10,FALSE),0)+
IFERROR(VLOOKUP(A113,'Centre WP13'!$A$7:$N$160,10,FALSE),0)</f>
        <v>0</v>
      </c>
      <c r="K113" s="24">
        <f>IFERROR(VLOOKUP(A113,'Centre DW13'!$A$7:$N$160,11,FALSE),0)+
IFERROR(VLOOKUP(A113,'Centre WR13'!$A$7:$N$160,11,FALSE),0)+
IFERROR(VLOOKUP(A113,'Centre WP13'!$A$7:$N$160,11,FALSE),0)</f>
        <v>0</v>
      </c>
      <c r="L113" s="24">
        <f>IFERROR(VLOOKUP(A113,'Centre DW13'!$A$7:$N$160,12,FALSE),0)+
IFERROR(VLOOKUP(A113,'Centre WR13'!$A$7:$N$160,12,FALSE),0)+
IFERROR(VLOOKUP(A113,'Centre WP13'!$A$7:$N$160,12,FALSE),0)</f>
        <v>0</v>
      </c>
      <c r="M113" s="24">
        <f>IFERROR(VLOOKUP(A113,'Centre DW13'!$A$7:$N$160,13,FALSE),0)+
IFERROR(VLOOKUP(A113,'Centre WR13'!$A$7:$N$160,13,FALSE),0)+
IFERROR(VLOOKUP(A113,'Centre WP13'!$A$7:$N$160,13,FALSE),0)</f>
        <v>0</v>
      </c>
      <c r="N113" s="24">
        <f>IFERROR(VLOOKUP(A113,'Centre DW13'!$A$7:$N$160,14,FALSE),0)+
IFERROR(VLOOKUP(A113,'Centre WR13'!$A$7:$N$160,14,FALSE),0)+
IFERROR(VLOOKUP(A113,'Centre WP13'!$A$7:$N$160,14,FALSE),0)</f>
        <v>0</v>
      </c>
    </row>
    <row r="114" spans="1:14" hidden="1" outlineLevel="1" x14ac:dyDescent="0.2">
      <c r="A114" s="9" t="s">
        <v>224</v>
      </c>
      <c r="B114" s="1" t="s">
        <v>225</v>
      </c>
      <c r="C114" s="10">
        <f>IFERROR(VLOOKUP(A114,'Centre DW13'!$A$7:$N$160,3,FALSE),0)+
IFERROR(VLOOKUP(A114,'Centre WR13'!$A$7:$N$160,3,FALSE),0)+
IFERROR(VLOOKUP(A114,'Centre WP13'!$A$7:$N$160,3,FALSE),0)</f>
        <v>0</v>
      </c>
      <c r="D114" s="10">
        <f>IFERROR(VLOOKUP(A114,'Centre DW13'!$A$7:$N$160,4,FALSE),0)+
IFERROR(VLOOKUP(A114,'Centre WR13'!$A$7:$N$160,4,FALSE),0)+
IFERROR(VLOOKUP(A114,'Centre WP13'!$A$7:$N$160,4,FALSE),0)</f>
        <v>0</v>
      </c>
      <c r="E114" s="10">
        <f>IFERROR(VLOOKUP(A114,'Centre DW13'!$A$7:$N$160,5,FALSE),0)+
IFERROR(VLOOKUP(A114,'Centre WR13'!$A$7:$N$160,5,FALSE),0)+
IFERROR(VLOOKUP(A114,'Centre WP13'!$A$7:$N$160,5,FALSE),0)</f>
        <v>0</v>
      </c>
      <c r="F114" s="10">
        <f>IFERROR(VLOOKUP(A114,'Centre DW13'!$A$7:$N$160,6,FALSE),0)+
IFERROR(VLOOKUP(A114,'Centre WR13'!$A$7:$N$160,6,FALSE),0)+
IFERROR(VLOOKUP(A114,'Centre WP13'!$A$7:$N$160,6,FALSE),0)</f>
        <v>0.1</v>
      </c>
      <c r="G114" s="10">
        <f>IFERROR(VLOOKUP(A114,'Centre DW13'!$A$7:$N$160,7,FALSE),0)+
IFERROR(VLOOKUP(A114,'Centre WR13'!$A$7:$N$160,7,FALSE),0)+
IFERROR(VLOOKUP(A114,'Centre WP13'!$A$7:$N$160,7,FALSE),0)</f>
        <v>0</v>
      </c>
      <c r="H114" s="10">
        <f>IFERROR(VLOOKUP(A114,'Centre DW13'!$A$7:$N$160,8,FALSE),0)+
IFERROR(VLOOKUP(A114,'Centre WR13'!$A$7:$N$160,8,FALSE),0)+
IFERROR(VLOOKUP(A114,'Centre WP13'!$A$7:$N$160,8,FALSE),0)</f>
        <v>0</v>
      </c>
      <c r="I114" s="10">
        <f>IFERROR(VLOOKUP(A114,'Centre DW13'!$A$7:$N$160,9,FALSE),0)+
IFERROR(VLOOKUP(A114,'Centre WR13'!$A$7:$N$160,9,FALSE),0)+
IFERROR(VLOOKUP(A114,'Centre WP13'!$A$7:$N$160,9,FALSE),0)</f>
        <v>0</v>
      </c>
      <c r="J114" s="24">
        <f>IFERROR(VLOOKUP(A114,'Centre DW13'!$A$7:$N$160,10,FALSE),0)+
IFERROR(VLOOKUP(A114,'Centre WR13'!$A$7:$N$160,10,FALSE),0)+
IFERROR(VLOOKUP(A114,'Centre WP13'!$A$7:$N$160,10,FALSE),0)</f>
        <v>0</v>
      </c>
      <c r="K114" s="24">
        <f>IFERROR(VLOOKUP(A114,'Centre DW13'!$A$7:$N$160,11,FALSE),0)+
IFERROR(VLOOKUP(A114,'Centre WR13'!$A$7:$N$160,11,FALSE),0)+
IFERROR(VLOOKUP(A114,'Centre WP13'!$A$7:$N$160,11,FALSE),0)</f>
        <v>0</v>
      </c>
      <c r="L114" s="24">
        <f>IFERROR(VLOOKUP(A114,'Centre DW13'!$A$7:$N$160,12,FALSE),0)+
IFERROR(VLOOKUP(A114,'Centre WR13'!$A$7:$N$160,12,FALSE),0)+
IFERROR(VLOOKUP(A114,'Centre WP13'!$A$7:$N$160,12,FALSE),0)</f>
        <v>0.1</v>
      </c>
      <c r="M114" s="24">
        <f>IFERROR(VLOOKUP(A114,'Centre DW13'!$A$7:$N$160,13,FALSE),0)+
IFERROR(VLOOKUP(A114,'Centre WR13'!$A$7:$N$160,13,FALSE),0)+
IFERROR(VLOOKUP(A114,'Centre WP13'!$A$7:$N$160,13,FALSE),0)</f>
        <v>0</v>
      </c>
      <c r="N114" s="24">
        <f>IFERROR(VLOOKUP(A114,'Centre DW13'!$A$7:$N$160,14,FALSE),0)+
IFERROR(VLOOKUP(A114,'Centre WR13'!$A$7:$N$160,14,FALSE),0)+
IFERROR(VLOOKUP(A114,'Centre WP13'!$A$7:$N$160,14,FALSE),0)</f>
        <v>0</v>
      </c>
    </row>
    <row r="115" spans="1:14" collapsed="1" x14ac:dyDescent="0.2">
      <c r="A115" s="48" t="s">
        <v>226</v>
      </c>
      <c r="B115" s="49" t="s">
        <v>227</v>
      </c>
      <c r="C115" s="50">
        <f>IFERROR(VLOOKUP(A115,'Centre DW13'!$A$7:$N$160,3,FALSE),0)+
IFERROR(VLOOKUP(A115,'Centre WR13'!$A$7:$N$160,3,FALSE),0)+
IFERROR(VLOOKUP(A115,'Centre WP13'!$A$7:$N$160,3,FALSE),0)</f>
        <v>0</v>
      </c>
      <c r="D115" s="50">
        <f>IFERROR(VLOOKUP(A115,'Centre DW13'!$A$7:$N$160,4,FALSE),0)+
IFERROR(VLOOKUP(A115,'Centre WR13'!$A$7:$N$160,4,FALSE),0)+
IFERROR(VLOOKUP(A115,'Centre WP13'!$A$7:$N$160,4,FALSE),0)</f>
        <v>0</v>
      </c>
      <c r="E115" s="50">
        <f>IFERROR(VLOOKUP(A115,'Centre DW13'!$A$7:$N$160,5,FALSE),0)+
IFERROR(VLOOKUP(A115,'Centre WR13'!$A$7:$N$160,5,FALSE),0)+
IFERROR(VLOOKUP(A115,'Centre WP13'!$A$7:$N$160,5,FALSE),0)</f>
        <v>0</v>
      </c>
      <c r="F115" s="50">
        <f>IFERROR(VLOOKUP(A115,'Centre DW13'!$A$7:$N$160,6,FALSE),0)+
IFERROR(VLOOKUP(A115,'Centre WR13'!$A$7:$N$160,6,FALSE),0)+
IFERROR(VLOOKUP(A115,'Centre WP13'!$A$7:$N$160,6,FALSE),0)</f>
        <v>0</v>
      </c>
      <c r="G115" s="50">
        <f>IFERROR(VLOOKUP(A115,'Centre DW13'!$A$7:$N$160,7,FALSE),0)+
IFERROR(VLOOKUP(A115,'Centre WR13'!$A$7:$N$160,7,FALSE),0)+
IFERROR(VLOOKUP(A115,'Centre WP13'!$A$7:$N$160,7,FALSE),0)</f>
        <v>0</v>
      </c>
      <c r="H115" s="50">
        <f>IFERROR(VLOOKUP(A115,'Centre DW13'!$A$7:$N$160,8,FALSE),0)+
IFERROR(VLOOKUP(A115,'Centre WR13'!$A$7:$N$160,8,FALSE),0)+
IFERROR(VLOOKUP(A115,'Centre WP13'!$A$7:$N$160,8,FALSE),0)</f>
        <v>0</v>
      </c>
      <c r="I115" s="50">
        <f>IFERROR(VLOOKUP(A115,'Centre DW13'!$A$7:$N$160,9,FALSE),0)+
IFERROR(VLOOKUP(A115,'Centre WR13'!$A$7:$N$160,9,FALSE),0)+
IFERROR(VLOOKUP(A115,'Centre WP13'!$A$7:$N$160,9,FALSE),0)</f>
        <v>0</v>
      </c>
      <c r="J115" s="50">
        <f>IFERROR(VLOOKUP(A115,'Centre DW13'!$A$7:$N$160,10,FALSE),0)+
IFERROR(VLOOKUP(A115,'Centre WR13'!$A$7:$N$160,10,FALSE),0)+
IFERROR(VLOOKUP(A115,'Centre WP13'!$A$7:$N$160,10,FALSE),0)</f>
        <v>0</v>
      </c>
      <c r="K115" s="50">
        <f>IFERROR(VLOOKUP(A115,'Centre DW13'!$A$7:$N$160,11,FALSE),0)+
IFERROR(VLOOKUP(A115,'Centre WR13'!$A$7:$N$160,11,FALSE),0)+
IFERROR(VLOOKUP(A115,'Centre WP13'!$A$7:$N$160,11,FALSE),0)</f>
        <v>0</v>
      </c>
      <c r="L115" s="50">
        <f>IFERROR(VLOOKUP(A115,'Centre DW13'!$A$7:$N$160,12,FALSE),0)+
IFERROR(VLOOKUP(A115,'Centre WR13'!$A$7:$N$160,12,FALSE),0)+
IFERROR(VLOOKUP(A115,'Centre WP13'!$A$7:$N$160,12,FALSE),0)</f>
        <v>0</v>
      </c>
      <c r="M115" s="50">
        <f>IFERROR(VLOOKUP(A115,'Centre DW13'!$A$7:$N$160,13,FALSE),0)+
IFERROR(VLOOKUP(A115,'Centre WR13'!$A$7:$N$160,13,FALSE),0)+
IFERROR(VLOOKUP(A115,'Centre WP13'!$A$7:$N$160,13,FALSE),0)</f>
        <v>0</v>
      </c>
      <c r="N115" s="50">
        <f>IFERROR(VLOOKUP(A115,'Centre DW13'!$A$7:$N$160,14,FALSE),0)+
IFERROR(VLOOKUP(A115,'Centre WR13'!$A$7:$N$160,14,FALSE),0)+
IFERROR(VLOOKUP(A115,'Centre WP13'!$A$7:$N$160,14,FALSE),0)</f>
        <v>0</v>
      </c>
    </row>
    <row r="116" spans="1:14" x14ac:dyDescent="0.2">
      <c r="A116" s="48" t="s">
        <v>228</v>
      </c>
      <c r="B116" s="49" t="s">
        <v>229</v>
      </c>
      <c r="C116" s="50">
        <f>IFERROR(VLOOKUP(A116,'Centre DW13'!$A$7:$N$160,3,FALSE),0)+
IFERROR(VLOOKUP(A116,'Centre WR13'!$A$7:$N$160,3,FALSE),0)+
IFERROR(VLOOKUP(A116,'Centre WP13'!$A$7:$N$160,3,FALSE),0)</f>
        <v>0</v>
      </c>
      <c r="D116" s="50">
        <f>IFERROR(VLOOKUP(A116,'Centre DW13'!$A$7:$N$160,4,FALSE),0)+
IFERROR(VLOOKUP(A116,'Centre WR13'!$A$7:$N$160,4,FALSE),0)+
IFERROR(VLOOKUP(A116,'Centre WP13'!$A$7:$N$160,4,FALSE),0)</f>
        <v>0</v>
      </c>
      <c r="E116" s="50">
        <f>IFERROR(VLOOKUP(A116,'Centre DW13'!$A$7:$N$160,5,FALSE),0)+
IFERROR(VLOOKUP(A116,'Centre WR13'!$A$7:$N$160,5,FALSE),0)+
IFERROR(VLOOKUP(A116,'Centre WP13'!$A$7:$N$160,5,FALSE),0)</f>
        <v>0</v>
      </c>
      <c r="F116" s="50">
        <f>IFERROR(VLOOKUP(A116,'Centre DW13'!$A$7:$N$160,6,FALSE),0)+
IFERROR(VLOOKUP(A116,'Centre WR13'!$A$7:$N$160,6,FALSE),0)+
IFERROR(VLOOKUP(A116,'Centre WP13'!$A$7:$N$160,6,FALSE),0)</f>
        <v>0</v>
      </c>
      <c r="G116" s="50">
        <f>IFERROR(VLOOKUP(A116,'Centre DW13'!$A$7:$N$160,7,FALSE),0)+
IFERROR(VLOOKUP(A116,'Centre WR13'!$A$7:$N$160,7,FALSE),0)+
IFERROR(VLOOKUP(A116,'Centre WP13'!$A$7:$N$160,7,FALSE),0)</f>
        <v>0</v>
      </c>
      <c r="H116" s="50">
        <f>IFERROR(VLOOKUP(A116,'Centre DW13'!$A$7:$N$160,8,FALSE),0)+
IFERROR(VLOOKUP(A116,'Centre WR13'!$A$7:$N$160,8,FALSE),0)+
IFERROR(VLOOKUP(A116,'Centre WP13'!$A$7:$N$160,8,FALSE),0)</f>
        <v>0</v>
      </c>
      <c r="I116" s="50">
        <f>IFERROR(VLOOKUP(A116,'Centre DW13'!$A$7:$N$160,9,FALSE),0)+
IFERROR(VLOOKUP(A116,'Centre WR13'!$A$7:$N$160,9,FALSE),0)+
IFERROR(VLOOKUP(A116,'Centre WP13'!$A$7:$N$160,9,FALSE),0)</f>
        <v>0</v>
      </c>
      <c r="J116" s="50">
        <f>IFERROR(VLOOKUP(A116,'Centre DW13'!$A$7:$N$160,10,FALSE),0)+
IFERROR(VLOOKUP(A116,'Centre WR13'!$A$7:$N$160,10,FALSE),0)+
IFERROR(VLOOKUP(A116,'Centre WP13'!$A$7:$N$160,10,FALSE),0)</f>
        <v>0</v>
      </c>
      <c r="K116" s="50">
        <f>IFERROR(VLOOKUP(A116,'Centre DW13'!$A$7:$N$160,11,FALSE),0)+
IFERROR(VLOOKUP(A116,'Centre WR13'!$A$7:$N$160,11,FALSE),0)+
IFERROR(VLOOKUP(A116,'Centre WP13'!$A$7:$N$160,11,FALSE),0)</f>
        <v>0</v>
      </c>
      <c r="L116" s="50">
        <f>IFERROR(VLOOKUP(A116,'Centre DW13'!$A$7:$N$160,12,FALSE),0)+
IFERROR(VLOOKUP(A116,'Centre WR13'!$A$7:$N$160,12,FALSE),0)+
IFERROR(VLOOKUP(A116,'Centre WP13'!$A$7:$N$160,12,FALSE),0)</f>
        <v>0</v>
      </c>
      <c r="M116" s="50">
        <f>IFERROR(VLOOKUP(A116,'Centre DW13'!$A$7:$N$160,13,FALSE),0)+
IFERROR(VLOOKUP(A116,'Centre WR13'!$A$7:$N$160,13,FALSE),0)+
IFERROR(VLOOKUP(A116,'Centre WP13'!$A$7:$N$160,13,FALSE),0)</f>
        <v>0</v>
      </c>
      <c r="N116" s="50">
        <f>IFERROR(VLOOKUP(A116,'Centre DW13'!$A$7:$N$160,14,FALSE),0)+
IFERROR(VLOOKUP(A116,'Centre WR13'!$A$7:$N$160,14,FALSE),0)+
IFERROR(VLOOKUP(A116,'Centre WP13'!$A$7:$N$160,14,FALSE),0)</f>
        <v>0</v>
      </c>
    </row>
    <row r="117" spans="1:14" x14ac:dyDescent="0.2">
      <c r="A117" s="48" t="s">
        <v>230</v>
      </c>
      <c r="B117" s="49" t="s">
        <v>231</v>
      </c>
      <c r="C117" s="50">
        <f>SUM(C118:C119)</f>
        <v>6</v>
      </c>
      <c r="D117" s="50">
        <f t="shared" ref="D117:N117" si="22">SUM(D118:D119)</f>
        <v>6</v>
      </c>
      <c r="E117" s="50">
        <f t="shared" si="22"/>
        <v>6</v>
      </c>
      <c r="F117" s="50">
        <f t="shared" si="22"/>
        <v>6</v>
      </c>
      <c r="G117" s="50">
        <f t="shared" si="22"/>
        <v>6</v>
      </c>
      <c r="H117" s="50">
        <f t="shared" si="22"/>
        <v>6</v>
      </c>
      <c r="I117" s="50">
        <f t="shared" si="22"/>
        <v>6</v>
      </c>
      <c r="J117" s="50">
        <f t="shared" si="22"/>
        <v>6</v>
      </c>
      <c r="K117" s="50">
        <f t="shared" si="22"/>
        <v>6</v>
      </c>
      <c r="L117" s="50">
        <f t="shared" si="22"/>
        <v>6</v>
      </c>
      <c r="M117" s="50">
        <f t="shared" si="22"/>
        <v>6</v>
      </c>
      <c r="N117" s="50">
        <f t="shared" si="22"/>
        <v>6</v>
      </c>
    </row>
    <row r="118" spans="1:14" hidden="1" outlineLevel="1" x14ac:dyDescent="0.2">
      <c r="A118" s="9" t="s">
        <v>232</v>
      </c>
      <c r="B118" s="1" t="s">
        <v>233</v>
      </c>
      <c r="C118" s="10">
        <f>IFERROR(VLOOKUP(A118,'Centre DW13'!$A$7:$N$160,3,FALSE),0)+
IFERROR(VLOOKUP(A118,'Centre WR13'!$A$7:$N$160,3,FALSE),0)+
IFERROR(VLOOKUP(A118,'Centre WP13'!$A$7:$N$160,3,FALSE),0)</f>
        <v>5</v>
      </c>
      <c r="D118" s="10">
        <f>IFERROR(VLOOKUP(A118,'Centre DW13'!$A$7:$N$160,4,FALSE),0)+
IFERROR(VLOOKUP(A118,'Centre WR13'!$A$7:$N$160,4,FALSE),0)+
IFERROR(VLOOKUP(A118,'Centre WP13'!$A$7:$N$160,4,FALSE),0)</f>
        <v>5</v>
      </c>
      <c r="E118" s="10">
        <f>IFERROR(VLOOKUP(A118,'Centre DW13'!$A$7:$N$160,5,FALSE),0)+
IFERROR(VLOOKUP(A118,'Centre WR13'!$A$7:$N$160,5,FALSE),0)+
IFERROR(VLOOKUP(A118,'Centre WP13'!$A$7:$N$160,5,FALSE),0)</f>
        <v>5</v>
      </c>
      <c r="F118" s="10">
        <f>IFERROR(VLOOKUP(A118,'Centre DW13'!$A$7:$N$160,6,FALSE),0)+
IFERROR(VLOOKUP(A118,'Centre WR13'!$A$7:$N$160,6,FALSE),0)+
IFERROR(VLOOKUP(A118,'Centre WP13'!$A$7:$N$160,6,FALSE),0)</f>
        <v>5</v>
      </c>
      <c r="G118" s="10">
        <f>IFERROR(VLOOKUP(A118,'Centre DW13'!$A$7:$N$160,7,FALSE),0)+
IFERROR(VLOOKUP(A118,'Centre WR13'!$A$7:$N$160,7,FALSE),0)+
IFERROR(VLOOKUP(A118,'Centre WP13'!$A$7:$N$160,7,FALSE),0)</f>
        <v>5</v>
      </c>
      <c r="H118" s="10">
        <f>IFERROR(VLOOKUP(A118,'Centre DW13'!$A$7:$N$160,8,FALSE),0)+
IFERROR(VLOOKUP(A118,'Centre WR13'!$A$7:$N$160,8,FALSE),0)+
IFERROR(VLOOKUP(A118,'Centre WP13'!$A$7:$N$160,8,FALSE),0)</f>
        <v>5</v>
      </c>
      <c r="I118" s="10">
        <f>IFERROR(VLOOKUP(A118,'Centre DW13'!$A$7:$N$160,9,FALSE),0)+
IFERROR(VLOOKUP(A118,'Centre WR13'!$A$7:$N$160,9,FALSE),0)+
IFERROR(VLOOKUP(A118,'Centre WP13'!$A$7:$N$160,9,FALSE),0)</f>
        <v>5</v>
      </c>
      <c r="J118" s="24">
        <f>IFERROR(VLOOKUP(A118,'Centre DW13'!$A$7:$N$160,10,FALSE),0)+
IFERROR(VLOOKUP(A118,'Centre WR13'!$A$7:$N$160,10,FALSE),0)+
IFERROR(VLOOKUP(A118,'Centre WP13'!$A$7:$N$160,10,FALSE),0)</f>
        <v>5</v>
      </c>
      <c r="K118" s="24">
        <f>IFERROR(VLOOKUP(A118,'Centre DW13'!$A$7:$N$160,11,FALSE),0)+
IFERROR(VLOOKUP(A118,'Centre WR13'!$A$7:$N$160,11,FALSE),0)+
IFERROR(VLOOKUP(A118,'Centre WP13'!$A$7:$N$160,11,FALSE),0)</f>
        <v>5</v>
      </c>
      <c r="L118" s="24">
        <f>IFERROR(VLOOKUP(A118,'Centre DW13'!$A$7:$N$160,12,FALSE),0)+
IFERROR(VLOOKUP(A118,'Centre WR13'!$A$7:$N$160,12,FALSE),0)+
IFERROR(VLOOKUP(A118,'Centre WP13'!$A$7:$N$160,12,FALSE),0)</f>
        <v>5</v>
      </c>
      <c r="M118" s="24">
        <f>IFERROR(VLOOKUP(A118,'Centre DW13'!$A$7:$N$160,13,FALSE),0)+
IFERROR(VLOOKUP(A118,'Centre WR13'!$A$7:$N$160,13,FALSE),0)+
IFERROR(VLOOKUP(A118,'Centre WP13'!$A$7:$N$160,13,FALSE),0)</f>
        <v>5</v>
      </c>
      <c r="N118" s="24">
        <f>IFERROR(VLOOKUP(A118,'Centre DW13'!$A$7:$N$160,14,FALSE),0)+
IFERROR(VLOOKUP(A118,'Centre WR13'!$A$7:$N$160,14,FALSE),0)+
IFERROR(VLOOKUP(A118,'Centre WP13'!$A$7:$N$160,14,FALSE),0)</f>
        <v>5</v>
      </c>
    </row>
    <row r="119" spans="1:14" hidden="1" outlineLevel="1" x14ac:dyDescent="0.2">
      <c r="A119" s="9" t="s">
        <v>234</v>
      </c>
      <c r="B119" s="1" t="s">
        <v>235</v>
      </c>
      <c r="C119" s="10">
        <f>IFERROR(VLOOKUP(A119,'Centre DW13'!$A$7:$N$160,3,FALSE),0)+
IFERROR(VLOOKUP(A119,'Centre WR13'!$A$7:$N$160,3,FALSE),0)+
IFERROR(VLOOKUP(A119,'Centre WP13'!$A$7:$N$160,3,FALSE),0)</f>
        <v>1</v>
      </c>
      <c r="D119" s="10">
        <f>IFERROR(VLOOKUP(A119,'Centre DW13'!$A$7:$N$160,4,FALSE),0)+
IFERROR(VLOOKUP(A119,'Centre WR13'!$A$7:$N$160,4,FALSE),0)+
IFERROR(VLOOKUP(A119,'Centre WP13'!$A$7:$N$160,4,FALSE),0)</f>
        <v>1</v>
      </c>
      <c r="E119" s="10">
        <f>IFERROR(VLOOKUP(A119,'Centre DW13'!$A$7:$N$160,5,FALSE),0)+
IFERROR(VLOOKUP(A119,'Centre WR13'!$A$7:$N$160,5,FALSE),0)+
IFERROR(VLOOKUP(A119,'Centre WP13'!$A$7:$N$160,5,FALSE),0)</f>
        <v>1</v>
      </c>
      <c r="F119" s="10">
        <f>IFERROR(VLOOKUP(A119,'Centre DW13'!$A$7:$N$160,6,FALSE),0)+
IFERROR(VLOOKUP(A119,'Centre WR13'!$A$7:$N$160,6,FALSE),0)+
IFERROR(VLOOKUP(A119,'Centre WP13'!$A$7:$N$160,6,FALSE),0)</f>
        <v>1</v>
      </c>
      <c r="G119" s="10">
        <f>IFERROR(VLOOKUP(A119,'Centre DW13'!$A$7:$N$160,7,FALSE),0)+
IFERROR(VLOOKUP(A119,'Centre WR13'!$A$7:$N$160,7,FALSE),0)+
IFERROR(VLOOKUP(A119,'Centre WP13'!$A$7:$N$160,7,FALSE),0)</f>
        <v>1</v>
      </c>
      <c r="H119" s="10">
        <f>IFERROR(VLOOKUP(A119,'Centre DW13'!$A$7:$N$160,8,FALSE),0)+
IFERROR(VLOOKUP(A119,'Centre WR13'!$A$7:$N$160,8,FALSE),0)+
IFERROR(VLOOKUP(A119,'Centre WP13'!$A$7:$N$160,8,FALSE),0)</f>
        <v>1</v>
      </c>
      <c r="I119" s="10">
        <f>IFERROR(VLOOKUP(A119,'Centre DW13'!$A$7:$N$160,9,FALSE),0)+
IFERROR(VLOOKUP(A119,'Centre WR13'!$A$7:$N$160,9,FALSE),0)+
IFERROR(VLOOKUP(A119,'Centre WP13'!$A$7:$N$160,9,FALSE),0)</f>
        <v>1</v>
      </c>
      <c r="J119" s="24">
        <f>IFERROR(VLOOKUP(A119,'Centre DW13'!$A$7:$N$160,10,FALSE),0)+
IFERROR(VLOOKUP(A119,'Centre WR13'!$A$7:$N$160,10,FALSE),0)+
IFERROR(VLOOKUP(A119,'Centre WP13'!$A$7:$N$160,10,FALSE),0)</f>
        <v>1</v>
      </c>
      <c r="K119" s="24">
        <f>IFERROR(VLOOKUP(A119,'Centre DW13'!$A$7:$N$160,11,FALSE),0)+
IFERROR(VLOOKUP(A119,'Centre WR13'!$A$7:$N$160,11,FALSE),0)+
IFERROR(VLOOKUP(A119,'Centre WP13'!$A$7:$N$160,11,FALSE),0)</f>
        <v>1</v>
      </c>
      <c r="L119" s="24">
        <f>IFERROR(VLOOKUP(A119,'Centre DW13'!$A$7:$N$160,12,FALSE),0)+
IFERROR(VLOOKUP(A119,'Centre WR13'!$A$7:$N$160,12,FALSE),0)+
IFERROR(VLOOKUP(A119,'Centre WP13'!$A$7:$N$160,12,FALSE),0)</f>
        <v>1</v>
      </c>
      <c r="M119" s="24">
        <f>IFERROR(VLOOKUP(A119,'Centre DW13'!$A$7:$N$160,13,FALSE),0)+
IFERROR(VLOOKUP(A119,'Centre WR13'!$A$7:$N$160,13,FALSE),0)+
IFERROR(VLOOKUP(A119,'Centre WP13'!$A$7:$N$160,13,FALSE),0)</f>
        <v>1</v>
      </c>
      <c r="N119" s="24">
        <f>IFERROR(VLOOKUP(A119,'Centre DW13'!$A$7:$N$160,14,FALSE),0)+
IFERROR(VLOOKUP(A119,'Centre WR13'!$A$7:$N$160,14,FALSE),0)+
IFERROR(VLOOKUP(A119,'Centre WP13'!$A$7:$N$160,14,FALSE),0)</f>
        <v>1</v>
      </c>
    </row>
    <row r="120" spans="1:14" collapsed="1" x14ac:dyDescent="0.2">
      <c r="A120" s="52"/>
      <c r="B120" s="52" t="s">
        <v>236</v>
      </c>
      <c r="C120" s="53">
        <f t="shared" ref="C120:N120" si="23">+C85+C102+C115+C116+C117</f>
        <v>16.16</v>
      </c>
      <c r="D120" s="53">
        <f t="shared" si="23"/>
        <v>13.559999999999999</v>
      </c>
      <c r="E120" s="53">
        <f t="shared" si="23"/>
        <v>14.559999999999999</v>
      </c>
      <c r="F120" s="53">
        <f t="shared" si="23"/>
        <v>15.76</v>
      </c>
      <c r="G120" s="53">
        <f t="shared" si="23"/>
        <v>14.36</v>
      </c>
      <c r="H120" s="53">
        <f t="shared" si="23"/>
        <v>26.56</v>
      </c>
      <c r="I120" s="53">
        <f t="shared" si="23"/>
        <v>12.46</v>
      </c>
      <c r="J120" s="53">
        <f t="shared" si="23"/>
        <v>23.16</v>
      </c>
      <c r="K120" s="53">
        <f t="shared" si="23"/>
        <v>15.16</v>
      </c>
      <c r="L120" s="53">
        <f t="shared" si="23"/>
        <v>24.560000000000006</v>
      </c>
      <c r="M120" s="53">
        <f t="shared" si="23"/>
        <v>15.059999999999999</v>
      </c>
      <c r="N120" s="53">
        <f t="shared" si="23"/>
        <v>18.259999999999998</v>
      </c>
    </row>
    <row r="121" spans="1:14" x14ac:dyDescent="0.2">
      <c r="A121" s="51"/>
      <c r="B121" s="51" t="s">
        <v>237</v>
      </c>
      <c r="C121" s="19">
        <f t="shared" ref="C121:I121" si="24">+C84-C120</f>
        <v>125.73999999999998</v>
      </c>
      <c r="D121" s="19">
        <f t="shared" si="24"/>
        <v>159.33999999999997</v>
      </c>
      <c r="E121" s="19">
        <f t="shared" si="24"/>
        <v>132.83999999999997</v>
      </c>
      <c r="F121" s="19">
        <f t="shared" si="24"/>
        <v>147.23999999999998</v>
      </c>
      <c r="G121" s="19">
        <f t="shared" si="24"/>
        <v>108.63999999999997</v>
      </c>
      <c r="H121" s="19">
        <f t="shared" si="24"/>
        <v>59.939999999999969</v>
      </c>
      <c r="I121" s="19">
        <f t="shared" si="24"/>
        <v>150.83999999999995</v>
      </c>
      <c r="J121" s="19">
        <f>+J84-J120</f>
        <v>154.13999999999999</v>
      </c>
      <c r="K121" s="19">
        <f t="shared" ref="K121:N121" si="25">+K84-K120</f>
        <v>150.94</v>
      </c>
      <c r="L121" s="19">
        <f t="shared" si="25"/>
        <v>78.339999999999975</v>
      </c>
      <c r="M121" s="19">
        <f t="shared" si="25"/>
        <v>207.34</v>
      </c>
      <c r="N121" s="19">
        <f t="shared" si="25"/>
        <v>152.44</v>
      </c>
    </row>
    <row r="122" spans="1:14" x14ac:dyDescent="0.2">
      <c r="A122" s="48" t="s">
        <v>238</v>
      </c>
      <c r="B122" s="49" t="s">
        <v>239</v>
      </c>
      <c r="C122" s="50">
        <f>SUM(C123:C126)</f>
        <v>1.7999999999999998</v>
      </c>
      <c r="D122" s="50">
        <f t="shared" ref="D122:N122" si="26">SUM(D123:D126)</f>
        <v>1.7999999999999998</v>
      </c>
      <c r="E122" s="50">
        <f t="shared" si="26"/>
        <v>1.7999999999999998</v>
      </c>
      <c r="F122" s="50">
        <f t="shared" si="26"/>
        <v>1.7999999999999998</v>
      </c>
      <c r="G122" s="50">
        <f t="shared" si="26"/>
        <v>1.7999999999999998</v>
      </c>
      <c r="H122" s="50">
        <f t="shared" si="26"/>
        <v>1.7999999999999998</v>
      </c>
      <c r="I122" s="50">
        <f t="shared" si="26"/>
        <v>1.7999999999999998</v>
      </c>
      <c r="J122" s="50">
        <f t="shared" si="26"/>
        <v>1.7999999999999998</v>
      </c>
      <c r="K122" s="50">
        <f t="shared" si="26"/>
        <v>1.9999999999999998</v>
      </c>
      <c r="L122" s="50">
        <f t="shared" si="26"/>
        <v>1.7999999999999998</v>
      </c>
      <c r="M122" s="50">
        <f t="shared" si="26"/>
        <v>1.7999999999999998</v>
      </c>
      <c r="N122" s="50">
        <f t="shared" si="26"/>
        <v>1.7999999999999998</v>
      </c>
    </row>
    <row r="123" spans="1:14" hidden="1" outlineLevel="1" x14ac:dyDescent="0.2">
      <c r="A123" s="9" t="s">
        <v>240</v>
      </c>
      <c r="B123" s="1" t="s">
        <v>241</v>
      </c>
      <c r="C123" s="10">
        <f>IFERROR(VLOOKUP(A123,'Centre DW13'!$A$7:$N$160,3,FALSE),0)+
IFERROR(VLOOKUP(A123,'Centre WR13'!$A$7:$N$160,3,FALSE),0)+
IFERROR(VLOOKUP(A123,'Centre WP13'!$A$7:$N$160,3,FALSE),0)</f>
        <v>1.7999999999999998</v>
      </c>
      <c r="D123" s="10">
        <f>IFERROR(VLOOKUP(A123,'Centre DW13'!$A$7:$N$160,4,FALSE),0)+
IFERROR(VLOOKUP(A123,'Centre WR13'!$A$7:$N$160,4,FALSE),0)+
IFERROR(VLOOKUP(A123,'Centre WP13'!$A$7:$N$160,4,FALSE),0)</f>
        <v>1.7999999999999998</v>
      </c>
      <c r="E123" s="10">
        <f>IFERROR(VLOOKUP(A123,'Centre DW13'!$A$7:$N$160,5,FALSE),0)+
IFERROR(VLOOKUP(A123,'Centre WR13'!$A$7:$N$160,5,FALSE),0)+
IFERROR(VLOOKUP(A123,'Centre WP13'!$A$7:$N$160,5,FALSE),0)</f>
        <v>1.7999999999999998</v>
      </c>
      <c r="F123" s="10">
        <f>IFERROR(VLOOKUP(A123,'Centre DW13'!$A$7:$N$160,6,FALSE),0)+
IFERROR(VLOOKUP(A123,'Centre WR13'!$A$7:$N$160,6,FALSE),0)+
IFERROR(VLOOKUP(A123,'Centre WP13'!$A$7:$N$160,6,FALSE),0)</f>
        <v>1.7999999999999998</v>
      </c>
      <c r="G123" s="10">
        <f>IFERROR(VLOOKUP(A123,'Centre DW13'!$A$7:$N$160,7,FALSE),0)+
IFERROR(VLOOKUP(A123,'Centre WR13'!$A$7:$N$160,7,FALSE),0)+
IFERROR(VLOOKUP(A123,'Centre WP13'!$A$7:$N$160,7,FALSE),0)</f>
        <v>1.7999999999999998</v>
      </c>
      <c r="H123" s="10">
        <f>IFERROR(VLOOKUP(A123,'Centre DW13'!$A$7:$N$160,8,FALSE),0)+
IFERROR(VLOOKUP(A123,'Centre WR13'!$A$7:$N$160,8,FALSE),0)+
IFERROR(VLOOKUP(A123,'Centre WP13'!$A$7:$N$160,8,FALSE),0)</f>
        <v>1.7999999999999998</v>
      </c>
      <c r="I123" s="10">
        <f>IFERROR(VLOOKUP(A123,'Centre DW13'!$A$7:$N$160,9,FALSE),0)+
IFERROR(VLOOKUP(A123,'Centre WR13'!$A$7:$N$160,9,FALSE),0)+
IFERROR(VLOOKUP(A123,'Centre WP13'!$A$7:$N$160,9,FALSE),0)</f>
        <v>1.7999999999999998</v>
      </c>
      <c r="J123" s="24">
        <f>IFERROR(VLOOKUP(A123,'Centre DW13'!$A$7:$N$160,10,FALSE),0)+
IFERROR(VLOOKUP(A123,'Centre WR13'!$A$7:$N$160,10,FALSE),0)+
IFERROR(VLOOKUP(A123,'Centre WP13'!$A$7:$N$160,10,FALSE),0)</f>
        <v>1.7999999999999998</v>
      </c>
      <c r="K123" s="24">
        <f>IFERROR(VLOOKUP(A123,'Centre DW13'!$A$7:$N$160,11,FALSE),0)+
IFERROR(VLOOKUP(A123,'Centre WR13'!$A$7:$N$160,11,FALSE),0)+
IFERROR(VLOOKUP(A123,'Centre WP13'!$A$7:$N$160,11,FALSE),0)</f>
        <v>1.7999999999999998</v>
      </c>
      <c r="L123" s="24">
        <f>IFERROR(VLOOKUP(A123,'Centre DW13'!$A$7:$N$160,12,FALSE),0)+
IFERROR(VLOOKUP(A123,'Centre WR13'!$A$7:$N$160,12,FALSE),0)+
IFERROR(VLOOKUP(A123,'Centre WP13'!$A$7:$N$160,12,FALSE),0)</f>
        <v>1.7999999999999998</v>
      </c>
      <c r="M123" s="24">
        <f>IFERROR(VLOOKUP(A123,'Centre DW13'!$A$7:$N$160,13,FALSE),0)+
IFERROR(VLOOKUP(A123,'Centre WR13'!$A$7:$N$160,13,FALSE),0)+
IFERROR(VLOOKUP(A123,'Centre WP13'!$A$7:$N$160,13,FALSE),0)</f>
        <v>1.7999999999999998</v>
      </c>
      <c r="N123" s="24">
        <f>IFERROR(VLOOKUP(A123,'Centre DW13'!$A$7:$N$160,14,FALSE),0)+
IFERROR(VLOOKUP(A123,'Centre WR13'!$A$7:$N$160,14,FALSE),0)+
IFERROR(VLOOKUP(A123,'Centre WP13'!$A$7:$N$160,14,FALSE),0)</f>
        <v>1.7999999999999998</v>
      </c>
    </row>
    <row r="124" spans="1:14" hidden="1" outlineLevel="1" x14ac:dyDescent="0.2">
      <c r="A124" s="9" t="s">
        <v>242</v>
      </c>
      <c r="B124" s="1" t="s">
        <v>243</v>
      </c>
      <c r="C124" s="10">
        <f>IFERROR(VLOOKUP(A124,'Centre DW13'!$A$7:$N$160,3,FALSE),0)+
IFERROR(VLOOKUP(A124,'Centre WR13'!$A$7:$N$160,3,FALSE),0)+
IFERROR(VLOOKUP(A124,'Centre WP13'!$A$7:$N$160,3,FALSE),0)</f>
        <v>0</v>
      </c>
      <c r="D124" s="10">
        <f>IFERROR(VLOOKUP(A124,'Centre DW13'!$A$7:$N$160,4,FALSE),0)+
IFERROR(VLOOKUP(A124,'Centre WR13'!$A$7:$N$160,4,FALSE),0)+
IFERROR(VLOOKUP(A124,'Centre WP13'!$A$7:$N$160,4,FALSE),0)</f>
        <v>0</v>
      </c>
      <c r="E124" s="10">
        <f>IFERROR(VLOOKUP(A124,'Centre DW13'!$A$7:$N$160,5,FALSE),0)+
IFERROR(VLOOKUP(A124,'Centre WR13'!$A$7:$N$160,5,FALSE),0)+
IFERROR(VLOOKUP(A124,'Centre WP13'!$A$7:$N$160,5,FALSE),0)</f>
        <v>0</v>
      </c>
      <c r="F124" s="10">
        <f>IFERROR(VLOOKUP(A124,'Centre DW13'!$A$7:$N$160,6,FALSE),0)+
IFERROR(VLOOKUP(A124,'Centre WR13'!$A$7:$N$160,6,FALSE),0)+
IFERROR(VLOOKUP(A124,'Centre WP13'!$A$7:$N$160,6,FALSE),0)</f>
        <v>0</v>
      </c>
      <c r="G124" s="10">
        <f>IFERROR(VLOOKUP(A124,'Centre DW13'!$A$7:$N$160,7,FALSE),0)+
IFERROR(VLOOKUP(A124,'Centre WR13'!$A$7:$N$160,7,FALSE),0)+
IFERROR(VLOOKUP(A124,'Centre WP13'!$A$7:$N$160,7,FALSE),0)</f>
        <v>0</v>
      </c>
      <c r="H124" s="10">
        <f>IFERROR(VLOOKUP(A124,'Centre DW13'!$A$7:$N$160,8,FALSE),0)+
IFERROR(VLOOKUP(A124,'Centre WR13'!$A$7:$N$160,8,FALSE),0)+
IFERROR(VLOOKUP(A124,'Centre WP13'!$A$7:$N$160,8,FALSE),0)</f>
        <v>0</v>
      </c>
      <c r="I124" s="10">
        <f>IFERROR(VLOOKUP(A124,'Centre DW13'!$A$7:$N$160,9,FALSE),0)+
IFERROR(VLOOKUP(A124,'Centre WR13'!$A$7:$N$160,9,FALSE),0)+
IFERROR(VLOOKUP(A124,'Centre WP13'!$A$7:$N$160,9,FALSE),0)</f>
        <v>0</v>
      </c>
      <c r="J124" s="24">
        <f>IFERROR(VLOOKUP(A124,'Centre DW13'!$A$7:$N$160,10,FALSE),0)+
IFERROR(VLOOKUP(A124,'Centre WR13'!$A$7:$N$160,10,FALSE),0)+
IFERROR(VLOOKUP(A124,'Centre WP13'!$A$7:$N$160,10,FALSE),0)</f>
        <v>0</v>
      </c>
      <c r="K124" s="24">
        <f>IFERROR(VLOOKUP(A124,'Centre DW13'!$A$7:$N$160,11,FALSE),0)+
IFERROR(VLOOKUP(A124,'Centre WR13'!$A$7:$N$160,11,FALSE),0)+
IFERROR(VLOOKUP(A124,'Centre WP13'!$A$7:$N$160,11,FALSE),0)</f>
        <v>0.2</v>
      </c>
      <c r="L124" s="24">
        <f>IFERROR(VLOOKUP(A124,'Centre DW13'!$A$7:$N$160,12,FALSE),0)+
IFERROR(VLOOKUP(A124,'Centre WR13'!$A$7:$N$160,12,FALSE),0)+
IFERROR(VLOOKUP(A124,'Centre WP13'!$A$7:$N$160,12,FALSE),0)</f>
        <v>0</v>
      </c>
      <c r="M124" s="24">
        <f>IFERROR(VLOOKUP(A124,'Centre DW13'!$A$7:$N$160,13,FALSE),0)+
IFERROR(VLOOKUP(A124,'Centre WR13'!$A$7:$N$160,13,FALSE),0)+
IFERROR(VLOOKUP(A124,'Centre WP13'!$A$7:$N$160,13,FALSE),0)</f>
        <v>0</v>
      </c>
      <c r="N124" s="24">
        <f>IFERROR(VLOOKUP(A124,'Centre DW13'!$A$7:$N$160,14,FALSE),0)+
IFERROR(VLOOKUP(A124,'Centre WR13'!$A$7:$N$160,14,FALSE),0)+
IFERROR(VLOOKUP(A124,'Centre WP13'!$A$7:$N$160,14,FALSE),0)</f>
        <v>0</v>
      </c>
    </row>
    <row r="125" spans="1:14" hidden="1" outlineLevel="1" x14ac:dyDescent="0.2">
      <c r="A125" s="9" t="s">
        <v>359</v>
      </c>
      <c r="B125" s="1" t="s">
        <v>360</v>
      </c>
      <c r="C125" s="10">
        <f>IFERROR(VLOOKUP(A125,'Centre DW13'!$A$7:$N$160,3,FALSE),0)+
IFERROR(VLOOKUP(A125,'Centre WR13'!$A$7:$N$160,3,FALSE),0)+
IFERROR(VLOOKUP(A125,'Centre WP13'!$A$7:$N$160,3,FALSE),0)</f>
        <v>0</v>
      </c>
      <c r="D125" s="10">
        <f>IFERROR(VLOOKUP(A125,'Centre DW13'!$A$7:$N$160,4,FALSE),0)+
IFERROR(VLOOKUP(A125,'Centre WR13'!$A$7:$N$160,4,FALSE),0)+
IFERROR(VLOOKUP(A125,'Centre WP13'!$A$7:$N$160,4,FALSE),0)</f>
        <v>0</v>
      </c>
      <c r="E125" s="10">
        <f>IFERROR(VLOOKUP(A125,'Centre DW13'!$A$7:$N$160,5,FALSE),0)+
IFERROR(VLOOKUP(A125,'Centre WR13'!$A$7:$N$160,5,FALSE),0)+
IFERROR(VLOOKUP(A125,'Centre WP13'!$A$7:$N$160,5,FALSE),0)</f>
        <v>0</v>
      </c>
      <c r="F125" s="10">
        <f>IFERROR(VLOOKUP(A125,'Centre DW13'!$A$7:$N$160,6,FALSE),0)+
IFERROR(VLOOKUP(A125,'Centre WR13'!$A$7:$N$160,6,FALSE),0)+
IFERROR(VLOOKUP(A125,'Centre WP13'!$A$7:$N$160,6,FALSE),0)</f>
        <v>0</v>
      </c>
      <c r="G125" s="10">
        <f>IFERROR(VLOOKUP(A125,'Centre DW13'!$A$7:$N$160,7,FALSE),0)+
IFERROR(VLOOKUP(A125,'Centre WR13'!$A$7:$N$160,7,FALSE),0)+
IFERROR(VLOOKUP(A125,'Centre WP13'!$A$7:$N$160,7,FALSE),0)</f>
        <v>0</v>
      </c>
      <c r="H125" s="10">
        <f>IFERROR(VLOOKUP(A125,'Centre DW13'!$A$7:$N$160,8,FALSE),0)+
IFERROR(VLOOKUP(A125,'Centre WR13'!$A$7:$N$160,8,FALSE),0)+
IFERROR(VLOOKUP(A125,'Centre WP13'!$A$7:$N$160,8,FALSE),0)</f>
        <v>0</v>
      </c>
      <c r="I125" s="10">
        <f>IFERROR(VLOOKUP(A125,'Centre DW13'!$A$7:$N$160,9,FALSE),0)+
IFERROR(VLOOKUP(A125,'Centre WR13'!$A$7:$N$160,9,FALSE),0)+
IFERROR(VLOOKUP(A125,'Centre WP13'!$A$7:$N$160,9,FALSE),0)</f>
        <v>0</v>
      </c>
      <c r="J125" s="24">
        <f>IFERROR(VLOOKUP(A125,'Centre DW13'!$A$7:$N$160,10,FALSE),0)+
IFERROR(VLOOKUP(A125,'Centre WR13'!$A$7:$N$160,10,FALSE),0)+
IFERROR(VLOOKUP(A125,'Centre WP13'!$A$7:$N$160,10,FALSE),0)</f>
        <v>0</v>
      </c>
      <c r="K125" s="24">
        <f>IFERROR(VLOOKUP(A125,'Centre DW13'!$A$7:$N$160,11,FALSE),0)+
IFERROR(VLOOKUP(A125,'Centre WR13'!$A$7:$N$160,11,FALSE),0)+
IFERROR(VLOOKUP(A125,'Centre WP13'!$A$7:$N$160,11,FALSE),0)</f>
        <v>0</v>
      </c>
      <c r="L125" s="24">
        <f>IFERROR(VLOOKUP(A125,'Centre DW13'!$A$7:$N$160,12,FALSE),0)+
IFERROR(VLOOKUP(A125,'Centre WR13'!$A$7:$N$160,12,FALSE),0)+
IFERROR(VLOOKUP(A125,'Centre WP13'!$A$7:$N$160,12,FALSE),0)</f>
        <v>0</v>
      </c>
      <c r="M125" s="24">
        <f>IFERROR(VLOOKUP(A125,'Centre DW13'!$A$7:$N$160,13,FALSE),0)+
IFERROR(VLOOKUP(A125,'Centre WR13'!$A$7:$N$160,13,FALSE),0)+
IFERROR(VLOOKUP(A125,'Centre WP13'!$A$7:$N$160,13,FALSE),0)</f>
        <v>0</v>
      </c>
      <c r="N125" s="24">
        <f>IFERROR(VLOOKUP(A125,'Centre DW13'!$A$7:$N$160,14,FALSE),0)+
IFERROR(VLOOKUP(A125,'Centre WR13'!$A$7:$N$160,14,FALSE),0)+
IFERROR(VLOOKUP(A125,'Centre WP13'!$A$7:$N$160,14,FALSE),0)</f>
        <v>0</v>
      </c>
    </row>
    <row r="126" spans="1:14" hidden="1" outlineLevel="1" x14ac:dyDescent="0.2">
      <c r="A126" s="9" t="s">
        <v>361</v>
      </c>
      <c r="B126" s="1" t="s">
        <v>362</v>
      </c>
      <c r="C126" s="10">
        <f>IFERROR(VLOOKUP(A126,'Centre DW13'!$A$7:$N$160,3,FALSE),0)+
IFERROR(VLOOKUP(A126,'Centre WR13'!$A$7:$N$160,3,FALSE),0)+
IFERROR(VLOOKUP(A126,'Centre WP13'!$A$7:$N$160,3,FALSE),0)</f>
        <v>0</v>
      </c>
      <c r="D126" s="10">
        <f>IFERROR(VLOOKUP(A126,'Centre DW13'!$A$7:$N$160,4,FALSE),0)+
IFERROR(VLOOKUP(A126,'Centre WR13'!$A$7:$N$160,4,FALSE),0)+
IFERROR(VLOOKUP(A126,'Centre WP13'!$A$7:$N$160,4,FALSE),0)</f>
        <v>0</v>
      </c>
      <c r="E126" s="10">
        <f>IFERROR(VLOOKUP(A126,'Centre DW13'!$A$7:$N$160,5,FALSE),0)+
IFERROR(VLOOKUP(A126,'Centre WR13'!$A$7:$N$160,5,FALSE),0)+
IFERROR(VLOOKUP(A126,'Centre WP13'!$A$7:$N$160,5,FALSE),0)</f>
        <v>0</v>
      </c>
      <c r="F126" s="10">
        <f>IFERROR(VLOOKUP(A126,'Centre DW13'!$A$7:$N$160,6,FALSE),0)+
IFERROR(VLOOKUP(A126,'Centre WR13'!$A$7:$N$160,6,FALSE),0)+
IFERROR(VLOOKUP(A126,'Centre WP13'!$A$7:$N$160,6,FALSE),0)</f>
        <v>0</v>
      </c>
      <c r="G126" s="10">
        <f>IFERROR(VLOOKUP(A126,'Centre DW13'!$A$7:$N$160,7,FALSE),0)+
IFERROR(VLOOKUP(A126,'Centre WR13'!$A$7:$N$160,7,FALSE),0)+
IFERROR(VLOOKUP(A126,'Centre WP13'!$A$7:$N$160,7,FALSE),0)</f>
        <v>0</v>
      </c>
      <c r="H126" s="10">
        <f>IFERROR(VLOOKUP(A126,'Centre DW13'!$A$7:$N$160,8,FALSE),0)+
IFERROR(VLOOKUP(A126,'Centre WR13'!$A$7:$N$160,8,FALSE),0)+
IFERROR(VLOOKUP(A126,'Centre WP13'!$A$7:$N$160,8,FALSE),0)</f>
        <v>0</v>
      </c>
      <c r="I126" s="10">
        <f>IFERROR(VLOOKUP(A126,'Centre DW13'!$A$7:$N$160,9,FALSE),0)+
IFERROR(VLOOKUP(A126,'Centre WR13'!$A$7:$N$160,9,FALSE),0)+
IFERROR(VLOOKUP(A126,'Centre WP13'!$A$7:$N$160,9,FALSE),0)</f>
        <v>0</v>
      </c>
      <c r="J126" s="24">
        <f>IFERROR(VLOOKUP(A126,'Centre DW13'!$A$7:$N$160,10,FALSE),0)+
IFERROR(VLOOKUP(A126,'Centre WR13'!$A$7:$N$160,10,FALSE),0)+
IFERROR(VLOOKUP(A126,'Centre WP13'!$A$7:$N$160,10,FALSE),0)</f>
        <v>0</v>
      </c>
      <c r="K126" s="24">
        <f>IFERROR(VLOOKUP(A126,'Centre DW13'!$A$7:$N$160,11,FALSE),0)+
IFERROR(VLOOKUP(A126,'Centre WR13'!$A$7:$N$160,11,FALSE),0)+
IFERROR(VLOOKUP(A126,'Centre WP13'!$A$7:$N$160,11,FALSE),0)</f>
        <v>0</v>
      </c>
      <c r="L126" s="24">
        <f>IFERROR(VLOOKUP(A126,'Centre DW13'!$A$7:$N$160,12,FALSE),0)+
IFERROR(VLOOKUP(A126,'Centre WR13'!$A$7:$N$160,12,FALSE),0)+
IFERROR(VLOOKUP(A126,'Centre WP13'!$A$7:$N$160,12,FALSE),0)</f>
        <v>0</v>
      </c>
      <c r="M126" s="24">
        <f>IFERROR(VLOOKUP(A126,'Centre DW13'!$A$7:$N$160,13,FALSE),0)+
IFERROR(VLOOKUP(A126,'Centre WR13'!$A$7:$N$160,13,FALSE),0)+
IFERROR(VLOOKUP(A126,'Centre WP13'!$A$7:$N$160,13,FALSE),0)</f>
        <v>0</v>
      </c>
      <c r="N126" s="24">
        <f>IFERROR(VLOOKUP(A126,'Centre DW13'!$A$7:$N$160,14,FALSE),0)+
IFERROR(VLOOKUP(A126,'Centre WR13'!$A$7:$N$160,14,FALSE),0)+
IFERROR(VLOOKUP(A126,'Centre WP13'!$A$7:$N$160,14,FALSE),0)</f>
        <v>0</v>
      </c>
    </row>
    <row r="127" spans="1:14" collapsed="1" x14ac:dyDescent="0.2">
      <c r="A127" s="48" t="s">
        <v>244</v>
      </c>
      <c r="B127" s="49" t="s">
        <v>245</v>
      </c>
      <c r="C127" s="50">
        <f>IFERROR(VLOOKUP(A127,'Centre DW13'!$A$7:$N$160,3,FALSE),0)+
IFERROR(VLOOKUP(A127,'Centre WR13'!$A$7:$N$160,3,FALSE),0)+
IFERROR(VLOOKUP(A127,'Centre WP13'!$A$7:$N$160,3,FALSE),0)</f>
        <v>0</v>
      </c>
      <c r="D127" s="50">
        <f>IFERROR(VLOOKUP(A127,'Centre DW13'!$A$7:$N$160,4,FALSE),0)+
IFERROR(VLOOKUP(A127,'Centre WR13'!$A$7:$N$160,4,FALSE),0)+
IFERROR(VLOOKUP(A127,'Centre WP13'!$A$7:$N$160,4,FALSE),0)</f>
        <v>0</v>
      </c>
      <c r="E127" s="50">
        <f>IFERROR(VLOOKUP(A127,'Centre DW13'!$A$7:$N$160,5,FALSE),0)+
IFERROR(VLOOKUP(A127,'Centre WR13'!$A$7:$N$160,5,FALSE),0)+
IFERROR(VLOOKUP(A127,'Centre WP13'!$A$7:$N$160,5,FALSE),0)</f>
        <v>0</v>
      </c>
      <c r="F127" s="50">
        <f>IFERROR(VLOOKUP(A127,'Centre DW13'!$A$7:$N$160,6,FALSE),0)+
IFERROR(VLOOKUP(A127,'Centre WR13'!$A$7:$N$160,6,FALSE),0)+
IFERROR(VLOOKUP(A127,'Centre WP13'!$A$7:$N$160,6,FALSE),0)</f>
        <v>0</v>
      </c>
      <c r="G127" s="50">
        <f>IFERROR(VLOOKUP(A127,'Centre DW13'!$A$7:$N$160,7,FALSE),0)+
IFERROR(VLOOKUP(A127,'Centre WR13'!$A$7:$N$160,7,FALSE),0)+
IFERROR(VLOOKUP(A127,'Centre WP13'!$A$7:$N$160,7,FALSE),0)</f>
        <v>0</v>
      </c>
      <c r="H127" s="50">
        <f>IFERROR(VLOOKUP(A127,'Centre DW13'!$A$7:$N$160,8,FALSE),0)+
IFERROR(VLOOKUP(A127,'Centre WR13'!$A$7:$N$160,8,FALSE),0)+
IFERROR(VLOOKUP(A127,'Centre WP13'!$A$7:$N$160,8,FALSE),0)</f>
        <v>0</v>
      </c>
      <c r="I127" s="50">
        <f>IFERROR(VLOOKUP(A127,'Centre DW13'!$A$7:$N$160,9,FALSE),0)+
IFERROR(VLOOKUP(A127,'Centre WR13'!$A$7:$N$160,9,FALSE),0)+
IFERROR(VLOOKUP(A127,'Centre WP13'!$A$7:$N$160,9,FALSE),0)</f>
        <v>0</v>
      </c>
      <c r="J127" s="50">
        <f>IFERROR(VLOOKUP(A127,'Centre DW13'!$A$7:$N$160,10,FALSE),0)+
IFERROR(VLOOKUP(A127,'Centre WR13'!$A$7:$N$160,10,FALSE),0)+
IFERROR(VLOOKUP(A127,'Centre WP13'!$A$7:$N$160,10,FALSE),0)</f>
        <v>0</v>
      </c>
      <c r="K127" s="50">
        <f>IFERROR(VLOOKUP(A127,'Centre DW13'!$A$7:$N$160,11,FALSE),0)+
IFERROR(VLOOKUP(A127,'Centre WR13'!$A$7:$N$160,11,FALSE),0)+
IFERROR(VLOOKUP(A127,'Centre WP13'!$A$7:$N$160,11,FALSE),0)</f>
        <v>0</v>
      </c>
      <c r="L127" s="50">
        <f>IFERROR(VLOOKUP(A127,'Centre DW13'!$A$7:$N$160,12,FALSE),0)+
IFERROR(VLOOKUP(A127,'Centre WR13'!$A$7:$N$160,12,FALSE),0)+
IFERROR(VLOOKUP(A127,'Centre WP13'!$A$7:$N$160,12,FALSE),0)</f>
        <v>0</v>
      </c>
      <c r="M127" s="50">
        <f>IFERROR(VLOOKUP(A127,'Centre DW13'!$A$7:$N$160,13,FALSE),0)+
IFERROR(VLOOKUP(A127,'Centre WR13'!$A$7:$N$160,13,FALSE),0)+
IFERROR(VLOOKUP(A127,'Centre WP13'!$A$7:$N$160,13,FALSE),0)</f>
        <v>0</v>
      </c>
      <c r="N127" s="50">
        <f>IFERROR(VLOOKUP(A127,'Centre DW13'!$A$7:$N$160,14,FALSE),0)+
IFERROR(VLOOKUP(A127,'Centre WR13'!$A$7:$N$160,14,FALSE),0)+
IFERROR(VLOOKUP(A127,'Centre WP13'!$A$7:$N$160,14,FALSE),0)</f>
        <v>0</v>
      </c>
    </row>
    <row r="128" spans="1:14" x14ac:dyDescent="0.2">
      <c r="A128" s="51"/>
      <c r="B128" s="51" t="s">
        <v>246</v>
      </c>
      <c r="C128" s="50">
        <f>+C121-(C122+C127)</f>
        <v>123.93999999999998</v>
      </c>
      <c r="D128" s="50">
        <f t="shared" ref="D128:N128" si="27">+D121-(D122+D127)</f>
        <v>157.53999999999996</v>
      </c>
      <c r="E128" s="50">
        <f t="shared" si="27"/>
        <v>131.03999999999996</v>
      </c>
      <c r="F128" s="50">
        <f t="shared" si="27"/>
        <v>145.43999999999997</v>
      </c>
      <c r="G128" s="50">
        <f t="shared" si="27"/>
        <v>106.83999999999997</v>
      </c>
      <c r="H128" s="50">
        <f t="shared" si="27"/>
        <v>58.139999999999972</v>
      </c>
      <c r="I128" s="50">
        <f t="shared" si="27"/>
        <v>149.03999999999994</v>
      </c>
      <c r="J128" s="50">
        <f t="shared" si="27"/>
        <v>152.33999999999997</v>
      </c>
      <c r="K128" s="50">
        <f t="shared" si="27"/>
        <v>148.94</v>
      </c>
      <c r="L128" s="50">
        <f t="shared" si="27"/>
        <v>76.539999999999978</v>
      </c>
      <c r="M128" s="50">
        <f t="shared" si="27"/>
        <v>205.54</v>
      </c>
      <c r="N128" s="50">
        <f t="shared" si="27"/>
        <v>150.63999999999999</v>
      </c>
    </row>
    <row r="129" spans="1:14" x14ac:dyDescent="0.2">
      <c r="A129" s="9" t="s">
        <v>74</v>
      </c>
      <c r="B129" s="1" t="s">
        <v>74</v>
      </c>
      <c r="C129" s="13" t="s">
        <v>74</v>
      </c>
      <c r="D129" s="13" t="s">
        <v>74</v>
      </c>
      <c r="E129" s="13" t="s">
        <v>74</v>
      </c>
      <c r="F129" s="13" t="s">
        <v>74</v>
      </c>
      <c r="G129" s="13" t="s">
        <v>74</v>
      </c>
      <c r="H129" s="13" t="s">
        <v>74</v>
      </c>
      <c r="I129" s="13" t="s">
        <v>74</v>
      </c>
      <c r="J129" s="13" t="s">
        <v>74</v>
      </c>
      <c r="K129" s="13" t="s">
        <v>74</v>
      </c>
      <c r="L129" s="13" t="s">
        <v>74</v>
      </c>
      <c r="M129" s="13" t="s">
        <v>74</v>
      </c>
      <c r="N129" s="13" t="s">
        <v>74</v>
      </c>
    </row>
    <row r="130" spans="1:14" x14ac:dyDescent="0.2">
      <c r="A130" s="12"/>
      <c r="B130" s="12" t="s">
        <v>247</v>
      </c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</row>
    <row r="131" spans="1:14" x14ac:dyDescent="0.2">
      <c r="A131" s="9" t="s">
        <v>248</v>
      </c>
      <c r="B131" s="1" t="s">
        <v>249</v>
      </c>
      <c r="C131" s="13">
        <v>3</v>
      </c>
      <c r="D131" s="13">
        <v>3</v>
      </c>
      <c r="E131" s="13">
        <v>3</v>
      </c>
      <c r="F131" s="13">
        <v>4</v>
      </c>
      <c r="G131" s="13">
        <v>4</v>
      </c>
      <c r="H131" s="13">
        <v>5</v>
      </c>
      <c r="I131" s="13">
        <v>4</v>
      </c>
      <c r="J131" s="13">
        <v>3</v>
      </c>
      <c r="K131" s="13">
        <v>4</v>
      </c>
      <c r="L131" s="13">
        <v>4</v>
      </c>
      <c r="M131" s="13">
        <v>5</v>
      </c>
      <c r="N131" s="13">
        <v>4</v>
      </c>
    </row>
    <row r="132" spans="1:14" hidden="1" outlineLevel="1" x14ac:dyDescent="0.2">
      <c r="A132" s="9" t="s">
        <v>250</v>
      </c>
      <c r="B132" s="1" t="s">
        <v>251</v>
      </c>
      <c r="C132" s="13">
        <v>3</v>
      </c>
      <c r="D132" s="13">
        <v>3</v>
      </c>
      <c r="E132" s="13">
        <v>3</v>
      </c>
      <c r="F132" s="13">
        <v>4</v>
      </c>
      <c r="G132" s="13">
        <v>4</v>
      </c>
      <c r="H132" s="13">
        <v>5</v>
      </c>
      <c r="I132" s="13">
        <v>4</v>
      </c>
      <c r="J132" s="13">
        <v>3</v>
      </c>
      <c r="K132" s="13">
        <v>4</v>
      </c>
      <c r="L132" s="13">
        <v>4</v>
      </c>
      <c r="M132" s="13">
        <v>5</v>
      </c>
      <c r="N132" s="13">
        <v>4</v>
      </c>
    </row>
    <row r="133" spans="1:14" collapsed="1" x14ac:dyDescent="0.2">
      <c r="A133" s="9" t="s">
        <v>252</v>
      </c>
      <c r="B133" s="1" t="s">
        <v>253</v>
      </c>
      <c r="C133" s="13">
        <v>7.2</v>
      </c>
      <c r="D133" s="13">
        <v>6.4</v>
      </c>
      <c r="E133" s="13">
        <v>6.2</v>
      </c>
      <c r="F133" s="13">
        <v>7.2</v>
      </c>
      <c r="G133" s="13">
        <v>7</v>
      </c>
      <c r="H133" s="13">
        <v>8.3000000000000007</v>
      </c>
      <c r="I133" s="13">
        <v>8</v>
      </c>
      <c r="J133" s="13">
        <v>6.2</v>
      </c>
      <c r="K133" s="13">
        <v>7.2</v>
      </c>
      <c r="L133" s="13">
        <v>7</v>
      </c>
      <c r="M133" s="13">
        <v>8.3000000000000007</v>
      </c>
      <c r="N133" s="13">
        <v>8</v>
      </c>
    </row>
    <row r="134" spans="1:14" hidden="1" outlineLevel="1" x14ac:dyDescent="0.2">
      <c r="A134" s="9" t="s">
        <v>254</v>
      </c>
      <c r="B134" s="1" t="s">
        <v>255</v>
      </c>
      <c r="C134" s="13">
        <v>7.2</v>
      </c>
      <c r="D134" s="13">
        <v>6.4</v>
      </c>
      <c r="E134" s="13">
        <v>6.2</v>
      </c>
      <c r="F134" s="13">
        <v>7.2</v>
      </c>
      <c r="G134" s="13">
        <v>7</v>
      </c>
      <c r="H134" s="13">
        <v>8.3000000000000007</v>
      </c>
      <c r="I134" s="13">
        <v>8</v>
      </c>
      <c r="J134" s="13">
        <v>6.2</v>
      </c>
      <c r="K134" s="13">
        <v>7.2</v>
      </c>
      <c r="L134" s="13">
        <v>7</v>
      </c>
      <c r="M134" s="13">
        <v>8.3000000000000007</v>
      </c>
      <c r="N134" s="13">
        <v>8</v>
      </c>
    </row>
    <row r="135" spans="1:14" collapsed="1" x14ac:dyDescent="0.2">
      <c r="A135" s="9" t="s">
        <v>256</v>
      </c>
      <c r="B135" s="1" t="s">
        <v>257</v>
      </c>
      <c r="C135" s="13">
        <v>0.2</v>
      </c>
      <c r="D135" s="13">
        <v>0.2</v>
      </c>
      <c r="E135" s="13">
        <v>0.2</v>
      </c>
      <c r="F135" s="13">
        <v>0.2</v>
      </c>
      <c r="G135" s="13">
        <v>0</v>
      </c>
      <c r="H135" s="13">
        <v>0.3</v>
      </c>
      <c r="I135" s="13">
        <v>0</v>
      </c>
      <c r="J135" s="13">
        <v>0.2</v>
      </c>
      <c r="K135" s="13">
        <v>0.2</v>
      </c>
      <c r="L135" s="13">
        <v>0</v>
      </c>
      <c r="M135" s="13">
        <v>0.3</v>
      </c>
      <c r="N135" s="13">
        <v>0</v>
      </c>
    </row>
    <row r="136" spans="1:14" hidden="1" outlineLevel="1" x14ac:dyDescent="0.2">
      <c r="A136" s="9" t="s">
        <v>258</v>
      </c>
      <c r="B136" s="1" t="s">
        <v>259</v>
      </c>
      <c r="C136" s="13">
        <v>0.2</v>
      </c>
      <c r="D136" s="13">
        <v>0.2</v>
      </c>
      <c r="E136" s="13">
        <v>0.2</v>
      </c>
      <c r="F136" s="13">
        <v>0.2</v>
      </c>
      <c r="G136" s="13">
        <v>0</v>
      </c>
      <c r="H136" s="13">
        <v>0.3</v>
      </c>
      <c r="I136" s="13">
        <v>0</v>
      </c>
      <c r="J136" s="13">
        <v>0.2</v>
      </c>
      <c r="K136" s="13">
        <v>0.2</v>
      </c>
      <c r="L136" s="13">
        <v>0</v>
      </c>
      <c r="M136" s="13">
        <v>0.3</v>
      </c>
      <c r="N136" s="13">
        <v>0</v>
      </c>
    </row>
    <row r="137" spans="1:14" collapsed="1" x14ac:dyDescent="0.2">
      <c r="A137" s="9" t="s">
        <v>260</v>
      </c>
      <c r="B137" s="1" t="s">
        <v>261</v>
      </c>
      <c r="C137" s="13">
        <v>3.2</v>
      </c>
      <c r="D137" s="13">
        <v>3.2</v>
      </c>
      <c r="E137" s="13">
        <v>3</v>
      </c>
      <c r="F137" s="13">
        <v>4</v>
      </c>
      <c r="G137" s="13">
        <v>4</v>
      </c>
      <c r="H137" s="13">
        <v>4</v>
      </c>
      <c r="I137" s="13">
        <v>4</v>
      </c>
      <c r="J137" s="13">
        <v>3</v>
      </c>
      <c r="K137" s="13">
        <v>4</v>
      </c>
      <c r="L137" s="13">
        <v>4</v>
      </c>
      <c r="M137" s="13">
        <v>4</v>
      </c>
      <c r="N137" s="13">
        <v>4</v>
      </c>
    </row>
    <row r="138" spans="1:14" hidden="1" outlineLevel="1" x14ac:dyDescent="0.2">
      <c r="A138" s="9" t="s">
        <v>262</v>
      </c>
      <c r="B138" s="1" t="s">
        <v>263</v>
      </c>
      <c r="C138" s="13">
        <v>3.2</v>
      </c>
      <c r="D138" s="13">
        <v>3.2</v>
      </c>
      <c r="E138" s="13">
        <v>3</v>
      </c>
      <c r="F138" s="13">
        <v>4</v>
      </c>
      <c r="G138" s="13">
        <v>4</v>
      </c>
      <c r="H138" s="13">
        <v>4</v>
      </c>
      <c r="I138" s="13">
        <v>4</v>
      </c>
      <c r="J138" s="13">
        <v>3</v>
      </c>
      <c r="K138" s="13">
        <v>4</v>
      </c>
      <c r="L138" s="13">
        <v>4</v>
      </c>
      <c r="M138" s="13">
        <v>4</v>
      </c>
      <c r="N138" s="13">
        <v>4</v>
      </c>
    </row>
    <row r="139" spans="1:14" collapsed="1" x14ac:dyDescent="0.2">
      <c r="A139" s="9" t="s">
        <v>264</v>
      </c>
      <c r="B139" s="1" t="s">
        <v>265</v>
      </c>
      <c r="C139" s="13">
        <v>3.8</v>
      </c>
      <c r="D139" s="13">
        <v>3</v>
      </c>
      <c r="E139" s="13">
        <v>3</v>
      </c>
      <c r="F139" s="13">
        <v>3</v>
      </c>
      <c r="G139" s="13">
        <v>3</v>
      </c>
      <c r="H139" s="13">
        <v>4</v>
      </c>
      <c r="I139" s="13">
        <v>4</v>
      </c>
      <c r="J139" s="13">
        <v>3</v>
      </c>
      <c r="K139" s="13">
        <v>3</v>
      </c>
      <c r="L139" s="13">
        <v>3</v>
      </c>
      <c r="M139" s="13">
        <v>4</v>
      </c>
      <c r="N139" s="13">
        <v>4</v>
      </c>
    </row>
    <row r="140" spans="1:14" hidden="1" outlineLevel="1" x14ac:dyDescent="0.2">
      <c r="A140" s="9" t="s">
        <v>266</v>
      </c>
      <c r="B140" s="1" t="s">
        <v>267</v>
      </c>
      <c r="C140" s="13">
        <v>3.8</v>
      </c>
      <c r="D140" s="13">
        <v>3</v>
      </c>
      <c r="E140" s="13">
        <v>3</v>
      </c>
      <c r="F140" s="13">
        <v>3</v>
      </c>
      <c r="G140" s="13">
        <v>3</v>
      </c>
      <c r="H140" s="13">
        <v>4</v>
      </c>
      <c r="I140" s="13">
        <v>4</v>
      </c>
      <c r="J140" s="13">
        <v>3</v>
      </c>
      <c r="K140" s="13">
        <v>3</v>
      </c>
      <c r="L140" s="13">
        <v>3</v>
      </c>
      <c r="M140" s="13">
        <v>4</v>
      </c>
      <c r="N140" s="13">
        <v>4</v>
      </c>
    </row>
    <row r="141" spans="1:14" collapsed="1" x14ac:dyDescent="0.2">
      <c r="A141" s="9" t="s">
        <v>268</v>
      </c>
      <c r="B141" s="1" t="s">
        <v>269</v>
      </c>
      <c r="C141" s="13">
        <v>0</v>
      </c>
      <c r="D141" s="13">
        <v>0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2">
      <c r="A142" s="9" t="s">
        <v>270</v>
      </c>
      <c r="B142" s="1" t="s">
        <v>271</v>
      </c>
      <c r="C142" s="13">
        <v>0</v>
      </c>
      <c r="D142" s="13">
        <v>0</v>
      </c>
      <c r="E142" s="13">
        <v>0</v>
      </c>
      <c r="F142" s="13">
        <v>0</v>
      </c>
      <c r="G142" s="13">
        <v>0</v>
      </c>
      <c r="H142" s="13">
        <v>0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2">
      <c r="A143" s="9" t="s">
        <v>272</v>
      </c>
      <c r="B143" s="1" t="s">
        <v>273</v>
      </c>
      <c r="C143" s="13">
        <v>0</v>
      </c>
      <c r="D143" s="13">
        <v>0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2">
      <c r="A144" s="9" t="s">
        <v>274</v>
      </c>
      <c r="B144" s="1" t="s">
        <v>275</v>
      </c>
      <c r="C144" s="13">
        <v>0</v>
      </c>
      <c r="D144" s="13">
        <v>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2">
      <c r="A145" s="9" t="s">
        <v>276</v>
      </c>
      <c r="B145" s="1" t="s">
        <v>277</v>
      </c>
      <c r="C145" s="13">
        <v>292</v>
      </c>
      <c r="D145" s="13">
        <v>292</v>
      </c>
      <c r="E145" s="13">
        <v>350</v>
      </c>
      <c r="F145" s="13">
        <v>610</v>
      </c>
      <c r="G145" s="13">
        <v>610</v>
      </c>
      <c r="H145" s="13">
        <v>610</v>
      </c>
      <c r="I145" s="13">
        <v>610</v>
      </c>
      <c r="J145" s="13">
        <v>350</v>
      </c>
      <c r="K145" s="13">
        <v>610</v>
      </c>
      <c r="L145" s="13">
        <v>610</v>
      </c>
      <c r="M145" s="13">
        <v>610</v>
      </c>
      <c r="N145" s="13">
        <v>610</v>
      </c>
    </row>
    <row r="146" spans="1:14" hidden="1" outlineLevel="1" x14ac:dyDescent="0.2">
      <c r="A146" s="9" t="s">
        <v>278</v>
      </c>
      <c r="B146" s="1" t="s">
        <v>279</v>
      </c>
      <c r="C146" s="13">
        <v>292</v>
      </c>
      <c r="D146" s="13">
        <v>292</v>
      </c>
      <c r="E146" s="13">
        <v>350</v>
      </c>
      <c r="F146" s="13">
        <v>610</v>
      </c>
      <c r="G146" s="13">
        <v>610</v>
      </c>
      <c r="H146" s="13">
        <v>610</v>
      </c>
      <c r="I146" s="13">
        <v>610</v>
      </c>
      <c r="J146" s="13">
        <v>350</v>
      </c>
      <c r="K146" s="13">
        <v>610</v>
      </c>
      <c r="L146" s="13">
        <v>610</v>
      </c>
      <c r="M146" s="13">
        <v>610</v>
      </c>
      <c r="N146" s="13">
        <v>610</v>
      </c>
    </row>
    <row r="147" spans="1:14" collapsed="1" x14ac:dyDescent="0.2">
      <c r="A147" s="9" t="s">
        <v>280</v>
      </c>
      <c r="B147" s="1" t="s">
        <v>281</v>
      </c>
      <c r="C147" s="13">
        <v>292</v>
      </c>
      <c r="D147" s="13">
        <v>292</v>
      </c>
      <c r="E147" s="13">
        <v>350</v>
      </c>
      <c r="F147" s="13">
        <v>610</v>
      </c>
      <c r="G147" s="13">
        <v>610</v>
      </c>
      <c r="H147" s="13">
        <v>610</v>
      </c>
      <c r="I147" s="13">
        <v>610</v>
      </c>
      <c r="J147" s="13">
        <v>350</v>
      </c>
      <c r="K147" s="13">
        <v>610</v>
      </c>
      <c r="L147" s="13">
        <v>610</v>
      </c>
      <c r="M147" s="13">
        <v>610</v>
      </c>
      <c r="N147" s="13">
        <v>610</v>
      </c>
    </row>
    <row r="148" spans="1:14" hidden="1" outlineLevel="1" x14ac:dyDescent="0.2">
      <c r="A148" s="9" t="s">
        <v>282</v>
      </c>
      <c r="B148" s="1" t="s">
        <v>283</v>
      </c>
      <c r="C148" s="13">
        <v>292</v>
      </c>
      <c r="D148" s="13">
        <v>292</v>
      </c>
      <c r="E148" s="13">
        <v>350</v>
      </c>
      <c r="F148" s="13">
        <v>610</v>
      </c>
      <c r="G148" s="13">
        <v>610</v>
      </c>
      <c r="H148" s="13">
        <v>610</v>
      </c>
      <c r="I148" s="13">
        <v>610</v>
      </c>
      <c r="J148" s="13">
        <v>350</v>
      </c>
      <c r="K148" s="13">
        <v>610</v>
      </c>
      <c r="L148" s="13">
        <v>610</v>
      </c>
      <c r="M148" s="13">
        <v>610</v>
      </c>
      <c r="N148" s="13">
        <v>610</v>
      </c>
    </row>
    <row r="149" spans="1:14" collapsed="1" x14ac:dyDescent="0.2">
      <c r="A149" s="9" t="s">
        <v>284</v>
      </c>
      <c r="B149" s="1" t="s">
        <v>285</v>
      </c>
      <c r="C149" s="13">
        <v>0</v>
      </c>
      <c r="D149" s="13">
        <v>0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2">
      <c r="A150" s="9" t="s">
        <v>288</v>
      </c>
      <c r="B150" s="1" t="s">
        <v>289</v>
      </c>
      <c r="C150" s="13">
        <v>0</v>
      </c>
      <c r="D150" s="13">
        <v>0</v>
      </c>
      <c r="E150" s="13">
        <v>0</v>
      </c>
      <c r="F150" s="13">
        <v>0</v>
      </c>
      <c r="G150" s="13">
        <v>0</v>
      </c>
      <c r="H150" s="13">
        <v>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2">
      <c r="A151" s="3"/>
      <c r="B151" s="3" t="s">
        <v>290</v>
      </c>
      <c r="C151" s="15">
        <v>10.5</v>
      </c>
      <c r="D151" s="15">
        <v>7.8</v>
      </c>
      <c r="E151" s="15">
        <v>15.7</v>
      </c>
      <c r="F151" s="15">
        <v>20.399999999999999</v>
      </c>
      <c r="G151" s="15">
        <v>20.5</v>
      </c>
      <c r="H151" s="15">
        <v>17.5</v>
      </c>
      <c r="I151" s="15">
        <v>15.4</v>
      </c>
      <c r="J151" s="15">
        <v>15.7</v>
      </c>
      <c r="K151" s="15">
        <v>20.399999999999999</v>
      </c>
      <c r="L151" s="15">
        <v>20.5</v>
      </c>
      <c r="M151" s="15">
        <v>17.5</v>
      </c>
      <c r="N151" s="15">
        <v>15.4</v>
      </c>
    </row>
    <row r="152" spans="1:14" x14ac:dyDescent="0.2">
      <c r="A152" s="3"/>
      <c r="B152" s="3" t="s">
        <v>291</v>
      </c>
      <c r="C152" s="15" t="s">
        <v>292</v>
      </c>
      <c r="D152" s="15" t="s">
        <v>292</v>
      </c>
      <c r="E152" s="15" t="s">
        <v>292</v>
      </c>
      <c r="F152" s="15" t="s">
        <v>292</v>
      </c>
      <c r="G152" s="15" t="s">
        <v>292</v>
      </c>
      <c r="H152" s="15" t="s">
        <v>292</v>
      </c>
      <c r="I152" s="15" t="s">
        <v>292</v>
      </c>
      <c r="J152" s="15" t="s">
        <v>292</v>
      </c>
      <c r="K152" s="15" t="s">
        <v>292</v>
      </c>
      <c r="L152" s="15" t="s">
        <v>292</v>
      </c>
      <c r="M152" s="15" t="s">
        <v>292</v>
      </c>
      <c r="N152" s="15" t="s">
        <v>292</v>
      </c>
    </row>
    <row r="153" spans="1:14" x14ac:dyDescent="0.2">
      <c r="A153" s="3"/>
      <c r="B153" s="3" t="s">
        <v>293</v>
      </c>
      <c r="C153" s="15" t="s">
        <v>292</v>
      </c>
      <c r="D153" s="15" t="s">
        <v>292</v>
      </c>
      <c r="E153" s="15" t="s">
        <v>292</v>
      </c>
      <c r="F153" s="15" t="s">
        <v>292</v>
      </c>
      <c r="G153" s="15" t="s">
        <v>292</v>
      </c>
      <c r="H153" s="15" t="s">
        <v>292</v>
      </c>
      <c r="I153" s="15" t="s">
        <v>292</v>
      </c>
      <c r="J153" s="15" t="s">
        <v>292</v>
      </c>
      <c r="K153" s="15" t="s">
        <v>292</v>
      </c>
      <c r="L153" s="15" t="s">
        <v>292</v>
      </c>
      <c r="M153" s="15" t="s">
        <v>292</v>
      </c>
      <c r="N153" s="15" t="s">
        <v>292</v>
      </c>
    </row>
    <row r="154" spans="1:14" x14ac:dyDescent="0.2">
      <c r="A154" s="3"/>
      <c r="B154" s="3" t="s">
        <v>294</v>
      </c>
      <c r="C154" s="15">
        <v>0</v>
      </c>
      <c r="D154" s="15">
        <v>0</v>
      </c>
      <c r="E154" s="15">
        <v>0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</row>
    <row r="155" spans="1:14" x14ac:dyDescent="0.2">
      <c r="A155" s="12"/>
      <c r="B155" s="12" t="s">
        <v>295</v>
      </c>
      <c r="C155" s="14" t="s">
        <v>292</v>
      </c>
      <c r="D155" s="14" t="s">
        <v>292</v>
      </c>
      <c r="E155" s="14" t="s">
        <v>292</v>
      </c>
      <c r="F155" s="14" t="s">
        <v>292</v>
      </c>
      <c r="G155" s="14" t="s">
        <v>292</v>
      </c>
      <c r="H155" s="14" t="s">
        <v>292</v>
      </c>
      <c r="I155" s="14" t="s">
        <v>292</v>
      </c>
      <c r="J155" s="14" t="s">
        <v>292</v>
      </c>
      <c r="K155" s="14" t="s">
        <v>292</v>
      </c>
      <c r="L155" s="14" t="s">
        <v>292</v>
      </c>
      <c r="M155" s="14" t="s">
        <v>292</v>
      </c>
      <c r="N155" s="14" t="s">
        <v>292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BA82-A6EC-413F-A754-7FD8C1AA16B5}">
  <sheetPr codeName="Hoja62">
    <tabColor rgb="FF7030A0"/>
  </sheetPr>
  <dimension ref="A1:N125"/>
  <sheetViews>
    <sheetView zoomScaleNormal="100" workbookViewId="0">
      <pane ySplit="6" topLeftCell="A7" activePane="bottomLeft" state="frozen"/>
      <selection activeCell="F65" sqref="F65"/>
      <selection pane="bottomLeft" activeCell="D3" sqref="D3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386</v>
      </c>
      <c r="C3" s="1">
        <f>((1500*12)/3.75)+95000</f>
        <v>99800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 t="shared" ref="C7:N7" si="0">SUM(C8:C11)</f>
        <v>34</v>
      </c>
      <c r="D7" s="50">
        <f t="shared" si="0"/>
        <v>50</v>
      </c>
      <c r="E7" s="50">
        <f t="shared" si="0"/>
        <v>27</v>
      </c>
      <c r="F7" s="50">
        <f t="shared" si="0"/>
        <v>32</v>
      </c>
      <c r="G7" s="50">
        <f t="shared" si="0"/>
        <v>31</v>
      </c>
      <c r="H7" s="50">
        <f t="shared" si="0"/>
        <v>29</v>
      </c>
      <c r="I7" s="50">
        <f t="shared" si="0"/>
        <v>42</v>
      </c>
      <c r="J7" s="50">
        <f t="shared" si="0"/>
        <v>45</v>
      </c>
      <c r="K7" s="50">
        <f t="shared" si="0"/>
        <v>45</v>
      </c>
      <c r="L7" s="50">
        <f t="shared" si="0"/>
        <v>33</v>
      </c>
      <c r="M7" s="50">
        <f t="shared" si="0"/>
        <v>39</v>
      </c>
      <c r="N7" s="50">
        <f t="shared" si="0"/>
        <v>38</v>
      </c>
    </row>
    <row r="8" spans="1:14" hidden="1" outlineLevel="1" x14ac:dyDescent="0.2">
      <c r="A8" s="9" t="s">
        <v>27</v>
      </c>
      <c r="B8" s="1" t="s">
        <v>28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29</v>
      </c>
      <c r="I9" s="10">
        <v>42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10">
        <v>34</v>
      </c>
      <c r="D10" s="10">
        <v>50</v>
      </c>
      <c r="E10" s="10">
        <v>27</v>
      </c>
      <c r="F10" s="10">
        <v>32</v>
      </c>
      <c r="G10" s="10">
        <v>31</v>
      </c>
      <c r="H10" s="10">
        <v>0</v>
      </c>
      <c r="I10" s="10">
        <v>0</v>
      </c>
      <c r="J10" s="10">
        <v>45</v>
      </c>
      <c r="K10" s="10">
        <v>45</v>
      </c>
      <c r="L10" s="10">
        <v>33</v>
      </c>
      <c r="M10" s="10">
        <v>39</v>
      </c>
      <c r="N10" s="10">
        <v>38</v>
      </c>
    </row>
    <row r="11" spans="1:14" hidden="1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collapsed="1" x14ac:dyDescent="0.2">
      <c r="A12" s="48" t="s">
        <v>37</v>
      </c>
      <c r="B12" s="49" t="s">
        <v>38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39</v>
      </c>
      <c r="B13" s="49" t="s">
        <v>40</v>
      </c>
      <c r="C13" s="50">
        <v>0</v>
      </c>
      <c r="D13" s="50">
        <v>0</v>
      </c>
      <c r="E13" s="50">
        <v>0</v>
      </c>
      <c r="F13" s="50">
        <v>0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</row>
    <row r="14" spans="1:14" x14ac:dyDescent="0.2">
      <c r="A14" s="48" t="s">
        <v>41</v>
      </c>
      <c r="B14" s="49" t="s">
        <v>42</v>
      </c>
      <c r="C14" s="50">
        <f t="shared" ref="C14:N14" si="1">+C15</f>
        <v>0.2</v>
      </c>
      <c r="D14" s="50">
        <f t="shared" si="1"/>
        <v>0.2</v>
      </c>
      <c r="E14" s="50">
        <f t="shared" si="1"/>
        <v>0.2</v>
      </c>
      <c r="F14" s="50">
        <f t="shared" si="1"/>
        <v>0.2</v>
      </c>
      <c r="G14" s="50">
        <f t="shared" si="1"/>
        <v>0.2</v>
      </c>
      <c r="H14" s="50">
        <f t="shared" si="1"/>
        <v>0.2</v>
      </c>
      <c r="I14" s="50">
        <f t="shared" si="1"/>
        <v>0.2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</row>
    <row r="15" spans="1:14" hidden="1" outlineLevel="1" x14ac:dyDescent="0.2">
      <c r="A15" s="9" t="s">
        <v>43</v>
      </c>
      <c r="B15" s="1" t="s">
        <v>44</v>
      </c>
      <c r="C15" s="10">
        <v>0.2</v>
      </c>
      <c r="D15" s="10">
        <v>0.2</v>
      </c>
      <c r="E15" s="10">
        <v>0.2</v>
      </c>
      <c r="F15" s="10">
        <v>0.2</v>
      </c>
      <c r="G15" s="10">
        <v>0.2</v>
      </c>
      <c r="H15" s="10">
        <v>0.2</v>
      </c>
      <c r="I15" s="10">
        <v>0.2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collapsed="1" x14ac:dyDescent="0.2">
      <c r="A16" s="48" t="s">
        <v>45</v>
      </c>
      <c r="B16" s="49" t="s">
        <v>46</v>
      </c>
      <c r="C16" s="50">
        <v>0.2</v>
      </c>
      <c r="D16" s="50">
        <v>0.2</v>
      </c>
      <c r="E16" s="50">
        <v>0.2</v>
      </c>
      <c r="F16" s="50">
        <v>0.2</v>
      </c>
      <c r="G16" s="50">
        <v>0.2</v>
      </c>
      <c r="H16" s="50">
        <v>0.2</v>
      </c>
      <c r="I16" s="50">
        <v>0.2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51"/>
      <c r="B17" s="51" t="s">
        <v>47</v>
      </c>
      <c r="C17" s="19">
        <f t="shared" ref="C17:N17" si="2">+C7+C12+C13+C14+C16</f>
        <v>34.400000000000006</v>
      </c>
      <c r="D17" s="19">
        <f t="shared" si="2"/>
        <v>50.400000000000006</v>
      </c>
      <c r="E17" s="19">
        <f t="shared" si="2"/>
        <v>27.4</v>
      </c>
      <c r="F17" s="19">
        <f t="shared" si="2"/>
        <v>32.400000000000006</v>
      </c>
      <c r="G17" s="19">
        <f t="shared" si="2"/>
        <v>31.4</v>
      </c>
      <c r="H17" s="19">
        <f t="shared" si="2"/>
        <v>29.4</v>
      </c>
      <c r="I17" s="19">
        <f t="shared" si="2"/>
        <v>42.400000000000006</v>
      </c>
      <c r="J17" s="19">
        <f t="shared" si="2"/>
        <v>45</v>
      </c>
      <c r="K17" s="19">
        <f t="shared" si="2"/>
        <v>45</v>
      </c>
      <c r="L17" s="19">
        <f t="shared" si="2"/>
        <v>33</v>
      </c>
      <c r="M17" s="19">
        <f t="shared" si="2"/>
        <v>39</v>
      </c>
      <c r="N17" s="19">
        <f t="shared" si="2"/>
        <v>38</v>
      </c>
    </row>
    <row r="18" spans="1:14" x14ac:dyDescent="0.2">
      <c r="A18" s="48" t="s">
        <v>48</v>
      </c>
      <c r="B18" s="49" t="s">
        <v>49</v>
      </c>
      <c r="C18" s="50">
        <f t="shared" ref="C18:N18" si="3">SUM(C19:C22)</f>
        <v>12.3</v>
      </c>
      <c r="D18" s="50">
        <f t="shared" si="3"/>
        <v>28</v>
      </c>
      <c r="E18" s="50">
        <f t="shared" si="3"/>
        <v>33</v>
      </c>
      <c r="F18" s="50">
        <f t="shared" si="3"/>
        <v>18</v>
      </c>
      <c r="G18" s="50">
        <f t="shared" si="3"/>
        <v>31</v>
      </c>
      <c r="H18" s="50">
        <f t="shared" si="3"/>
        <v>49.9</v>
      </c>
      <c r="I18" s="50">
        <f t="shared" si="3"/>
        <v>26.8</v>
      </c>
      <c r="J18" s="50">
        <f t="shared" si="3"/>
        <v>23</v>
      </c>
      <c r="K18" s="50">
        <f t="shared" si="3"/>
        <v>43.9</v>
      </c>
      <c r="L18" s="50">
        <f t="shared" si="3"/>
        <v>32.799999999999997</v>
      </c>
      <c r="M18" s="50">
        <f t="shared" si="3"/>
        <v>12</v>
      </c>
      <c r="N18" s="50">
        <f t="shared" si="3"/>
        <v>32</v>
      </c>
    </row>
    <row r="19" spans="1:14" hidden="1" outlineLevel="1" x14ac:dyDescent="0.2">
      <c r="A19" s="9" t="s">
        <v>54</v>
      </c>
      <c r="B19" s="1" t="s">
        <v>55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14.9</v>
      </c>
      <c r="I19" s="10">
        <v>9.8000000000000007</v>
      </c>
      <c r="J19" s="10">
        <v>0</v>
      </c>
      <c r="K19" s="10">
        <v>14.9</v>
      </c>
      <c r="L19" s="10">
        <v>9.8000000000000007</v>
      </c>
      <c r="M19" s="10">
        <v>0</v>
      </c>
      <c r="N19" s="10">
        <v>0</v>
      </c>
    </row>
    <row r="20" spans="1:14" hidden="1" outlineLevel="1" x14ac:dyDescent="0.2">
      <c r="A20" s="9" t="s">
        <v>56</v>
      </c>
      <c r="B20" s="1" t="s">
        <v>51</v>
      </c>
      <c r="C20" s="28">
        <v>14</v>
      </c>
      <c r="D20" s="28">
        <v>28</v>
      </c>
      <c r="E20" s="28">
        <v>33</v>
      </c>
      <c r="F20" s="28">
        <v>18</v>
      </c>
      <c r="G20" s="28">
        <v>31</v>
      </c>
      <c r="H20" s="28">
        <v>35</v>
      </c>
      <c r="I20" s="28">
        <v>17</v>
      </c>
      <c r="J20" s="28">
        <v>23</v>
      </c>
      <c r="K20" s="28">
        <v>29</v>
      </c>
      <c r="L20" s="28">
        <v>23</v>
      </c>
      <c r="M20" s="28">
        <v>12</v>
      </c>
      <c r="N20" s="28">
        <v>32</v>
      </c>
    </row>
    <row r="21" spans="1:14" hidden="1" outlineLevel="1" x14ac:dyDescent="0.2">
      <c r="A21" s="9" t="s">
        <v>57</v>
      </c>
      <c r="B21" s="1" t="s">
        <v>58</v>
      </c>
      <c r="C21" s="10">
        <v>-1.7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hidden="1" outlineLevel="1" x14ac:dyDescent="0.2">
      <c r="A22" s="9" t="s">
        <v>59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collapsed="1" x14ac:dyDescent="0.2">
      <c r="A23" s="48" t="s">
        <v>60</v>
      </c>
      <c r="B23" s="49" t="s">
        <v>61</v>
      </c>
      <c r="C23" s="50">
        <v>0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2">
      <c r="A24" s="48" t="s">
        <v>62</v>
      </c>
      <c r="B24" s="49" t="s">
        <v>63</v>
      </c>
      <c r="C24" s="50">
        <v>0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2">
      <c r="A25" s="48" t="s">
        <v>64</v>
      </c>
      <c r="B25" s="49" t="s">
        <v>65</v>
      </c>
      <c r="C25" s="50">
        <f t="shared" ref="C25:N25" si="4">+C26</f>
        <v>-1</v>
      </c>
      <c r="D25" s="50">
        <f t="shared" si="4"/>
        <v>2</v>
      </c>
      <c r="E25" s="50">
        <f t="shared" si="4"/>
        <v>1</v>
      </c>
      <c r="F25" s="50">
        <f t="shared" si="4"/>
        <v>-1</v>
      </c>
      <c r="G25" s="50">
        <f t="shared" si="4"/>
        <v>0</v>
      </c>
      <c r="H25" s="50">
        <f t="shared" si="4"/>
        <v>2</v>
      </c>
      <c r="I25" s="50">
        <f t="shared" si="4"/>
        <v>-1</v>
      </c>
      <c r="J25" s="50">
        <f t="shared" si="4"/>
        <v>-2</v>
      </c>
      <c r="K25" s="50">
        <f t="shared" si="4"/>
        <v>1</v>
      </c>
      <c r="L25" s="50">
        <f t="shared" si="4"/>
        <v>2</v>
      </c>
      <c r="M25" s="50">
        <f t="shared" si="4"/>
        <v>-2</v>
      </c>
      <c r="N25" s="50">
        <f t="shared" si="4"/>
        <v>0</v>
      </c>
    </row>
    <row r="26" spans="1:14" hidden="1" outlineLevel="1" x14ac:dyDescent="0.2">
      <c r="A26" s="9" t="s">
        <v>66</v>
      </c>
      <c r="B26" s="1" t="s">
        <v>67</v>
      </c>
      <c r="C26" s="28">
        <v>-1</v>
      </c>
      <c r="D26" s="28">
        <v>2</v>
      </c>
      <c r="E26" s="28">
        <v>1</v>
      </c>
      <c r="F26" s="28">
        <v>-1</v>
      </c>
      <c r="G26" s="28">
        <v>0</v>
      </c>
      <c r="H26" s="28">
        <v>2</v>
      </c>
      <c r="I26" s="28">
        <v>-1</v>
      </c>
      <c r="J26" s="28">
        <v>-2</v>
      </c>
      <c r="K26" s="28">
        <v>1</v>
      </c>
      <c r="L26" s="28">
        <v>2</v>
      </c>
      <c r="M26" s="28">
        <v>-2</v>
      </c>
      <c r="N26" s="28">
        <v>0</v>
      </c>
    </row>
    <row r="27" spans="1:14" collapsed="1" x14ac:dyDescent="0.2">
      <c r="A27" s="48" t="s">
        <v>68</v>
      </c>
      <c r="B27" s="49" t="s">
        <v>69</v>
      </c>
      <c r="C27" s="50">
        <f t="shared" ref="C27:N27" si="5">+C28</f>
        <v>0</v>
      </c>
      <c r="D27" s="50">
        <f t="shared" si="5"/>
        <v>0</v>
      </c>
      <c r="E27" s="50">
        <f t="shared" si="5"/>
        <v>0</v>
      </c>
      <c r="F27" s="50">
        <f t="shared" si="5"/>
        <v>0</v>
      </c>
      <c r="G27" s="50">
        <f t="shared" si="5"/>
        <v>0</v>
      </c>
      <c r="H27" s="50">
        <f t="shared" si="5"/>
        <v>0</v>
      </c>
      <c r="I27" s="50">
        <f t="shared" si="5"/>
        <v>0</v>
      </c>
      <c r="J27" s="50">
        <f t="shared" si="5"/>
        <v>0</v>
      </c>
      <c r="K27" s="50">
        <f t="shared" si="5"/>
        <v>0</v>
      </c>
      <c r="L27" s="50">
        <f t="shared" si="5"/>
        <v>0</v>
      </c>
      <c r="M27" s="50">
        <f t="shared" si="5"/>
        <v>0</v>
      </c>
      <c r="N27" s="50">
        <f t="shared" si="5"/>
        <v>0</v>
      </c>
    </row>
    <row r="28" spans="1:14" hidden="1" outlineLevel="1" x14ac:dyDescent="0.2">
      <c r="A28" s="9" t="s">
        <v>70</v>
      </c>
      <c r="B28" s="1" t="s">
        <v>71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52"/>
      <c r="B29" s="52" t="s">
        <v>72</v>
      </c>
      <c r="C29" s="53">
        <f t="shared" ref="C29:N29" si="6">+C18+C23+C24+C25+C27</f>
        <v>11.3</v>
      </c>
      <c r="D29" s="53">
        <f t="shared" si="6"/>
        <v>30</v>
      </c>
      <c r="E29" s="53">
        <f t="shared" si="6"/>
        <v>34</v>
      </c>
      <c r="F29" s="53">
        <f t="shared" si="6"/>
        <v>17</v>
      </c>
      <c r="G29" s="53">
        <f t="shared" si="6"/>
        <v>31</v>
      </c>
      <c r="H29" s="53">
        <f t="shared" si="6"/>
        <v>51.9</v>
      </c>
      <c r="I29" s="53">
        <f t="shared" si="6"/>
        <v>25.8</v>
      </c>
      <c r="J29" s="53">
        <f t="shared" si="6"/>
        <v>21</v>
      </c>
      <c r="K29" s="53">
        <f t="shared" si="6"/>
        <v>44.9</v>
      </c>
      <c r="L29" s="53">
        <f t="shared" si="6"/>
        <v>34.799999999999997</v>
      </c>
      <c r="M29" s="53">
        <f t="shared" si="6"/>
        <v>10</v>
      </c>
      <c r="N29" s="53">
        <f t="shared" si="6"/>
        <v>32</v>
      </c>
    </row>
    <row r="30" spans="1:14" x14ac:dyDescent="0.2">
      <c r="A30" s="51"/>
      <c r="B30" s="51" t="s">
        <v>73</v>
      </c>
      <c r="C30" s="19">
        <f t="shared" ref="C30:N30" si="7">+C17-C29</f>
        <v>23.100000000000005</v>
      </c>
      <c r="D30" s="19">
        <f t="shared" si="7"/>
        <v>20.400000000000006</v>
      </c>
      <c r="E30" s="19">
        <f t="shared" si="7"/>
        <v>-6.6000000000000014</v>
      </c>
      <c r="F30" s="19">
        <f t="shared" si="7"/>
        <v>15.400000000000006</v>
      </c>
      <c r="G30" s="19">
        <f t="shared" si="7"/>
        <v>0.39999999999999858</v>
      </c>
      <c r="H30" s="19">
        <f t="shared" si="7"/>
        <v>-22.5</v>
      </c>
      <c r="I30" s="19">
        <f t="shared" si="7"/>
        <v>16.600000000000005</v>
      </c>
      <c r="J30" s="19">
        <f t="shared" si="7"/>
        <v>24</v>
      </c>
      <c r="K30" s="19">
        <f t="shared" si="7"/>
        <v>0.10000000000000142</v>
      </c>
      <c r="L30" s="19">
        <f t="shared" si="7"/>
        <v>-1.7999999999999972</v>
      </c>
      <c r="M30" s="19">
        <f t="shared" si="7"/>
        <v>29</v>
      </c>
      <c r="N30" s="19">
        <f t="shared" si="7"/>
        <v>6</v>
      </c>
    </row>
    <row r="31" spans="1:14" x14ac:dyDescent="0.2">
      <c r="A31" s="9" t="s">
        <v>74</v>
      </c>
      <c r="B31" s="1" t="s">
        <v>74</v>
      </c>
      <c r="C31" s="10" t="s">
        <v>74</v>
      </c>
      <c r="D31" s="10" t="s">
        <v>74</v>
      </c>
      <c r="E31" s="10" t="s">
        <v>74</v>
      </c>
      <c r="F31" s="10" t="s">
        <v>74</v>
      </c>
      <c r="G31" s="10" t="s">
        <v>74</v>
      </c>
      <c r="H31" s="10" t="s">
        <v>74</v>
      </c>
      <c r="I31" s="10" t="s">
        <v>74</v>
      </c>
      <c r="J31" s="10" t="s">
        <v>74</v>
      </c>
      <c r="K31" s="10" t="s">
        <v>74</v>
      </c>
      <c r="L31" s="10" t="s">
        <v>74</v>
      </c>
      <c r="M31" s="10" t="s">
        <v>74</v>
      </c>
      <c r="N31" s="10" t="s">
        <v>74</v>
      </c>
    </row>
    <row r="32" spans="1:14" x14ac:dyDescent="0.2">
      <c r="A32" s="48" t="s">
        <v>75</v>
      </c>
      <c r="B32" s="49" t="s">
        <v>76</v>
      </c>
      <c r="C32" s="50">
        <f t="shared" ref="C32:N32" si="8">SUM(C33:C45)</f>
        <v>3.4000000000000008</v>
      </c>
      <c r="D32" s="50">
        <f t="shared" si="8"/>
        <v>2.4000000000000004</v>
      </c>
      <c r="E32" s="50">
        <f t="shared" si="8"/>
        <v>3.2000000000000006</v>
      </c>
      <c r="F32" s="50">
        <f t="shared" si="8"/>
        <v>9.1</v>
      </c>
      <c r="G32" s="50">
        <f t="shared" si="8"/>
        <v>2</v>
      </c>
      <c r="H32" s="50">
        <f t="shared" si="8"/>
        <v>3.0000000000000004</v>
      </c>
      <c r="I32" s="50">
        <f t="shared" si="8"/>
        <v>3.1000000000000005</v>
      </c>
      <c r="J32" s="50">
        <f t="shared" si="8"/>
        <v>2.4000000000000004</v>
      </c>
      <c r="K32" s="50">
        <f t="shared" si="8"/>
        <v>2.4000000000000004</v>
      </c>
      <c r="L32" s="50">
        <f t="shared" si="8"/>
        <v>3.2000000000000006</v>
      </c>
      <c r="M32" s="50">
        <f t="shared" si="8"/>
        <v>10.1</v>
      </c>
      <c r="N32" s="50">
        <f t="shared" si="8"/>
        <v>2</v>
      </c>
    </row>
    <row r="33" spans="1:14" hidden="1" outlineLevel="1" x14ac:dyDescent="0.2">
      <c r="A33" s="9" t="s">
        <v>77</v>
      </c>
      <c r="B33" s="1" t="s">
        <v>78</v>
      </c>
      <c r="C33" s="28">
        <v>2</v>
      </c>
      <c r="D33" s="28">
        <v>1</v>
      </c>
      <c r="E33" s="28">
        <v>2</v>
      </c>
      <c r="F33" s="28">
        <v>1</v>
      </c>
      <c r="G33" s="28">
        <v>1</v>
      </c>
      <c r="H33" s="28">
        <v>2</v>
      </c>
      <c r="I33" s="28">
        <v>2</v>
      </c>
      <c r="J33" s="28">
        <v>1</v>
      </c>
      <c r="K33" s="28">
        <v>1</v>
      </c>
      <c r="L33" s="28">
        <v>2</v>
      </c>
      <c r="M33" s="28">
        <v>2</v>
      </c>
      <c r="N33" s="28">
        <v>1</v>
      </c>
    </row>
    <row r="34" spans="1:14" hidden="1" outlineLevel="1" x14ac:dyDescent="0.2">
      <c r="A34" s="9" t="s">
        <v>79</v>
      </c>
      <c r="B34" s="1" t="s">
        <v>80</v>
      </c>
      <c r="C34" s="28">
        <v>0.2</v>
      </c>
      <c r="D34" s="28">
        <v>0.2</v>
      </c>
      <c r="E34" s="28">
        <v>0.2</v>
      </c>
      <c r="F34" s="28">
        <v>0.2</v>
      </c>
      <c r="G34" s="28">
        <v>0.2</v>
      </c>
      <c r="H34" s="28">
        <v>0.2</v>
      </c>
      <c r="I34" s="28">
        <v>0.2</v>
      </c>
      <c r="J34" s="28">
        <v>0.2</v>
      </c>
      <c r="K34" s="28">
        <v>0.2</v>
      </c>
      <c r="L34" s="28">
        <v>0.2</v>
      </c>
      <c r="M34" s="28">
        <v>0.2</v>
      </c>
      <c r="N34" s="28">
        <v>0.2</v>
      </c>
    </row>
    <row r="35" spans="1:14" hidden="1" outlineLevel="1" x14ac:dyDescent="0.2">
      <c r="A35" s="9" t="s">
        <v>81</v>
      </c>
      <c r="B35" s="1" t="s">
        <v>82</v>
      </c>
      <c r="C35" s="28">
        <v>0.5</v>
      </c>
      <c r="D35" s="28">
        <v>0.5</v>
      </c>
      <c r="E35" s="28">
        <v>0.5</v>
      </c>
      <c r="F35" s="28">
        <v>0.5</v>
      </c>
      <c r="G35" s="28">
        <v>0.5</v>
      </c>
      <c r="H35" s="28">
        <v>0.5</v>
      </c>
      <c r="I35" s="28">
        <v>0.5</v>
      </c>
      <c r="J35" s="28">
        <v>0.5</v>
      </c>
      <c r="K35" s="28">
        <v>0.5</v>
      </c>
      <c r="L35" s="28">
        <v>0.5</v>
      </c>
      <c r="M35" s="28">
        <v>0.5</v>
      </c>
      <c r="N35" s="28">
        <v>0.5</v>
      </c>
    </row>
    <row r="36" spans="1:14" hidden="1" outlineLevel="1" x14ac:dyDescent="0.2">
      <c r="A36" s="9" t="s">
        <v>83</v>
      </c>
      <c r="B36" s="1" t="s">
        <v>84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hidden="1" outlineLevel="1" x14ac:dyDescent="0.2">
      <c r="A37" s="9" t="s">
        <v>87</v>
      </c>
      <c r="B37" s="1" t="s">
        <v>88</v>
      </c>
      <c r="C37" s="10">
        <v>0.2</v>
      </c>
      <c r="D37" s="10">
        <v>0.2</v>
      </c>
      <c r="E37" s="10">
        <v>0.1</v>
      </c>
      <c r="F37" s="10">
        <v>0.1</v>
      </c>
      <c r="G37" s="10">
        <v>0.1</v>
      </c>
      <c r="H37" s="10">
        <v>0.1</v>
      </c>
      <c r="I37" s="10">
        <v>0.1</v>
      </c>
      <c r="J37" s="10">
        <v>0.2</v>
      </c>
      <c r="K37" s="10">
        <v>0.2</v>
      </c>
      <c r="L37" s="10">
        <v>0.1</v>
      </c>
      <c r="M37" s="10">
        <v>0.1</v>
      </c>
      <c r="N37" s="10">
        <v>0.1</v>
      </c>
    </row>
    <row r="38" spans="1:14" hidden="1" outlineLevel="1" x14ac:dyDescent="0.2">
      <c r="A38" s="9" t="s">
        <v>89</v>
      </c>
      <c r="B38" s="1" t="s">
        <v>90</v>
      </c>
      <c r="C38" s="10">
        <v>0.2</v>
      </c>
      <c r="D38" s="10">
        <v>0.2</v>
      </c>
      <c r="E38" s="10">
        <v>0.1</v>
      </c>
      <c r="F38" s="10">
        <v>0.3</v>
      </c>
      <c r="G38" s="10">
        <v>0.1</v>
      </c>
      <c r="H38" s="10">
        <v>0.1</v>
      </c>
      <c r="I38" s="10">
        <v>0.1</v>
      </c>
      <c r="J38" s="10">
        <v>0.2</v>
      </c>
      <c r="K38" s="10">
        <v>0.2</v>
      </c>
      <c r="L38" s="10">
        <v>0.1</v>
      </c>
      <c r="M38" s="10">
        <v>0.3</v>
      </c>
      <c r="N38" s="10">
        <v>0.1</v>
      </c>
    </row>
    <row r="39" spans="1:14" hidden="1" outlineLevel="1" x14ac:dyDescent="0.2">
      <c r="A39" s="9" t="s">
        <v>91</v>
      </c>
      <c r="B39" s="1" t="s">
        <v>92</v>
      </c>
      <c r="C39" s="10">
        <v>0</v>
      </c>
      <c r="D39" s="10">
        <v>0</v>
      </c>
      <c r="E39" s="10">
        <v>0</v>
      </c>
      <c r="F39" s="10">
        <v>5.9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</v>
      </c>
      <c r="M39" s="10">
        <v>5.9</v>
      </c>
      <c r="N39" s="10">
        <v>0</v>
      </c>
    </row>
    <row r="40" spans="1:14" hidden="1" outlineLevel="1" x14ac:dyDescent="0.2">
      <c r="A40" s="9" t="s">
        <v>93</v>
      </c>
      <c r="B40" s="1" t="s">
        <v>94</v>
      </c>
      <c r="C40" s="10">
        <v>0.2</v>
      </c>
      <c r="D40" s="10">
        <v>0.2</v>
      </c>
      <c r="E40" s="10">
        <v>0.2</v>
      </c>
      <c r="F40" s="10">
        <v>1</v>
      </c>
      <c r="G40" s="10">
        <v>0.1</v>
      </c>
      <c r="H40" s="10">
        <v>0.1</v>
      </c>
      <c r="I40" s="10">
        <v>0.1</v>
      </c>
      <c r="J40" s="10">
        <v>0.2</v>
      </c>
      <c r="K40" s="10">
        <v>0.2</v>
      </c>
      <c r="L40" s="10">
        <v>0.2</v>
      </c>
      <c r="M40" s="10">
        <v>1</v>
      </c>
      <c r="N40" s="10">
        <v>0.1</v>
      </c>
    </row>
    <row r="41" spans="1:14" hidden="1" outlineLevel="1" x14ac:dyDescent="0.2">
      <c r="A41" s="9" t="s">
        <v>95</v>
      </c>
      <c r="B41" s="1" t="s">
        <v>96</v>
      </c>
      <c r="C41" s="10">
        <v>0.1</v>
      </c>
      <c r="D41" s="10">
        <v>0.1</v>
      </c>
      <c r="E41" s="10">
        <v>0.1</v>
      </c>
      <c r="F41" s="10">
        <v>0.1</v>
      </c>
      <c r="G41" s="10">
        <v>0</v>
      </c>
      <c r="H41" s="10">
        <v>0</v>
      </c>
      <c r="I41" s="10">
        <v>0</v>
      </c>
      <c r="J41" s="10">
        <v>0.1</v>
      </c>
      <c r="K41" s="10">
        <v>0.1</v>
      </c>
      <c r="L41" s="10">
        <v>0.1</v>
      </c>
      <c r="M41" s="10">
        <v>0.1</v>
      </c>
      <c r="N41" s="10">
        <v>0</v>
      </c>
    </row>
    <row r="42" spans="1:14" hidden="1" outlineLevel="1" x14ac:dyDescent="0.2">
      <c r="A42" s="9" t="s">
        <v>97</v>
      </c>
      <c r="B42" s="1" t="s">
        <v>98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0.1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hidden="1" outlineLevel="1" x14ac:dyDescent="0.2">
      <c r="A43" s="9" t="s">
        <v>99</v>
      </c>
      <c r="B43" s="1" t="s">
        <v>100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hidden="1" outlineLevel="1" x14ac:dyDescent="0.2">
      <c r="A44" s="9" t="s">
        <v>101</v>
      </c>
      <c r="B44" s="1" t="s">
        <v>102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hidden="1" outlineLevel="1" x14ac:dyDescent="0.2">
      <c r="A45" s="9" t="s">
        <v>103</v>
      </c>
      <c r="B45" s="1" t="s">
        <v>104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collapsed="1" x14ac:dyDescent="0.2">
      <c r="A46" s="48" t="s">
        <v>111</v>
      </c>
      <c r="B46" s="49" t="s">
        <v>112</v>
      </c>
      <c r="C46" s="50">
        <v>0</v>
      </c>
      <c r="D46" s="50">
        <v>0</v>
      </c>
      <c r="E46" s="50">
        <v>0</v>
      </c>
      <c r="F46" s="50">
        <v>0</v>
      </c>
      <c r="G46" s="50">
        <v>0</v>
      </c>
      <c r="H46" s="50">
        <v>0</v>
      </c>
      <c r="I46" s="50">
        <v>0</v>
      </c>
      <c r="J46" s="50">
        <v>0</v>
      </c>
      <c r="K46" s="50">
        <v>0</v>
      </c>
      <c r="L46" s="50">
        <v>0</v>
      </c>
      <c r="M46" s="50">
        <v>0</v>
      </c>
      <c r="N46" s="50">
        <v>0</v>
      </c>
    </row>
    <row r="47" spans="1:14" x14ac:dyDescent="0.2">
      <c r="A47" s="48" t="s">
        <v>119</v>
      </c>
      <c r="B47" s="49" t="s">
        <v>120</v>
      </c>
      <c r="C47" s="50">
        <v>0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50">
        <v>0</v>
      </c>
      <c r="L47" s="50">
        <v>0</v>
      </c>
      <c r="M47" s="50">
        <v>0</v>
      </c>
      <c r="N47" s="50">
        <v>0</v>
      </c>
    </row>
    <row r="48" spans="1:14" x14ac:dyDescent="0.2">
      <c r="A48" s="48" t="s">
        <v>127</v>
      </c>
      <c r="B48" s="49" t="s">
        <v>128</v>
      </c>
      <c r="C48" s="50">
        <f>SUM(C49:C50)</f>
        <v>0.1</v>
      </c>
      <c r="D48" s="50">
        <f t="shared" ref="D48:N48" si="9">SUM(D49:D50)</f>
        <v>0.1</v>
      </c>
      <c r="E48" s="50">
        <f t="shared" si="9"/>
        <v>0.1</v>
      </c>
      <c r="F48" s="50">
        <f t="shared" si="9"/>
        <v>0.1</v>
      </c>
      <c r="G48" s="50">
        <f t="shared" si="9"/>
        <v>0.1</v>
      </c>
      <c r="H48" s="50">
        <f t="shared" si="9"/>
        <v>0.1</v>
      </c>
      <c r="I48" s="50">
        <f t="shared" si="9"/>
        <v>0.1</v>
      </c>
      <c r="J48" s="50">
        <f t="shared" si="9"/>
        <v>0.1</v>
      </c>
      <c r="K48" s="50">
        <f t="shared" si="9"/>
        <v>0.1</v>
      </c>
      <c r="L48" s="50">
        <f t="shared" si="9"/>
        <v>0.1</v>
      </c>
      <c r="M48" s="50">
        <f t="shared" si="9"/>
        <v>0.1</v>
      </c>
      <c r="N48" s="50">
        <f t="shared" si="9"/>
        <v>0.1</v>
      </c>
    </row>
    <row r="49" spans="1:14" hidden="1" outlineLevel="1" x14ac:dyDescent="0.2">
      <c r="A49" s="9" t="s">
        <v>129</v>
      </c>
      <c r="B49" s="1" t="s">
        <v>130</v>
      </c>
      <c r="C49" s="28">
        <v>0.1</v>
      </c>
      <c r="D49" s="28">
        <v>0.1</v>
      </c>
      <c r="E49" s="28">
        <v>0.1</v>
      </c>
      <c r="F49" s="28">
        <v>0.1</v>
      </c>
      <c r="G49" s="28">
        <v>0.1</v>
      </c>
      <c r="H49" s="28">
        <v>0.1</v>
      </c>
      <c r="I49" s="28">
        <v>0.1</v>
      </c>
      <c r="J49" s="28">
        <v>0.1</v>
      </c>
      <c r="K49" s="28">
        <v>0.1</v>
      </c>
      <c r="L49" s="28">
        <v>0.1</v>
      </c>
      <c r="M49" s="28">
        <v>0.1</v>
      </c>
      <c r="N49" s="28">
        <v>0.1</v>
      </c>
    </row>
    <row r="50" spans="1:14" hidden="1" outlineLevel="1" x14ac:dyDescent="0.2">
      <c r="A50" s="9" t="s">
        <v>131</v>
      </c>
      <c r="B50" s="1" t="s">
        <v>132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collapsed="1" x14ac:dyDescent="0.2">
      <c r="A51" s="48" t="s">
        <v>133</v>
      </c>
      <c r="B51" s="49" t="s">
        <v>134</v>
      </c>
      <c r="C51" s="50">
        <f>+C52</f>
        <v>0</v>
      </c>
      <c r="D51" s="50">
        <f t="shared" ref="D51:N51" si="10">+D52</f>
        <v>0</v>
      </c>
      <c r="E51" s="50">
        <f t="shared" si="10"/>
        <v>0</v>
      </c>
      <c r="F51" s="50">
        <f t="shared" si="10"/>
        <v>0</v>
      </c>
      <c r="G51" s="50">
        <f t="shared" si="10"/>
        <v>0</v>
      </c>
      <c r="H51" s="50">
        <f t="shared" si="10"/>
        <v>0</v>
      </c>
      <c r="I51" s="50">
        <f t="shared" si="10"/>
        <v>0</v>
      </c>
      <c r="J51" s="50">
        <f t="shared" si="10"/>
        <v>0</v>
      </c>
      <c r="K51" s="50">
        <f t="shared" si="10"/>
        <v>0</v>
      </c>
      <c r="L51" s="50">
        <f t="shared" si="10"/>
        <v>0</v>
      </c>
      <c r="M51" s="50">
        <f t="shared" si="10"/>
        <v>0</v>
      </c>
      <c r="N51" s="50">
        <f t="shared" si="10"/>
        <v>0</v>
      </c>
    </row>
    <row r="52" spans="1:14" hidden="1" outlineLevel="1" x14ac:dyDescent="0.2">
      <c r="A52" s="9" t="s">
        <v>135</v>
      </c>
      <c r="B52" s="1" t="s">
        <v>136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collapsed="1" x14ac:dyDescent="0.2">
      <c r="A53" s="48" t="s">
        <v>137</v>
      </c>
      <c r="B53" s="49" t="s">
        <v>138</v>
      </c>
      <c r="C53" s="50">
        <v>0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50">
        <v>0</v>
      </c>
      <c r="L53" s="50">
        <v>0</v>
      </c>
      <c r="M53" s="50">
        <v>0</v>
      </c>
      <c r="N53" s="50">
        <v>0</v>
      </c>
    </row>
    <row r="54" spans="1:14" x14ac:dyDescent="0.2">
      <c r="A54" s="48" t="s">
        <v>139</v>
      </c>
      <c r="B54" s="49" t="s">
        <v>140</v>
      </c>
      <c r="C54" s="50">
        <v>0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50">
        <v>0</v>
      </c>
      <c r="L54" s="50">
        <v>0</v>
      </c>
      <c r="M54" s="50">
        <v>0</v>
      </c>
      <c r="N54" s="50">
        <v>0</v>
      </c>
    </row>
    <row r="55" spans="1:14" x14ac:dyDescent="0.2">
      <c r="A55" s="48" t="s">
        <v>141</v>
      </c>
      <c r="B55" s="49" t="s">
        <v>142</v>
      </c>
      <c r="C55" s="50">
        <v>0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50">
        <v>0</v>
      </c>
      <c r="L55" s="50">
        <v>0</v>
      </c>
      <c r="M55" s="50">
        <v>0</v>
      </c>
      <c r="N55" s="50">
        <v>0</v>
      </c>
    </row>
    <row r="56" spans="1:14" x14ac:dyDescent="0.2">
      <c r="A56" s="48" t="s">
        <v>143</v>
      </c>
      <c r="B56" s="49" t="s">
        <v>144</v>
      </c>
      <c r="C56" s="50">
        <f t="shared" ref="C56:N56" si="11">+C57</f>
        <v>0.5</v>
      </c>
      <c r="D56" s="50">
        <f t="shared" si="11"/>
        <v>0.5</v>
      </c>
      <c r="E56" s="50">
        <f t="shared" si="11"/>
        <v>0.5</v>
      </c>
      <c r="F56" s="50">
        <f t="shared" si="11"/>
        <v>0.5</v>
      </c>
      <c r="G56" s="50">
        <f t="shared" si="11"/>
        <v>0.5</v>
      </c>
      <c r="H56" s="50">
        <f t="shared" si="11"/>
        <v>0.5</v>
      </c>
      <c r="I56" s="50">
        <f t="shared" si="11"/>
        <v>0.5</v>
      </c>
      <c r="J56" s="50">
        <f t="shared" si="11"/>
        <v>0.5</v>
      </c>
      <c r="K56" s="50">
        <f t="shared" si="11"/>
        <v>0.5</v>
      </c>
      <c r="L56" s="50">
        <f t="shared" si="11"/>
        <v>0.5</v>
      </c>
      <c r="M56" s="50">
        <f t="shared" si="11"/>
        <v>0.5</v>
      </c>
      <c r="N56" s="50">
        <f t="shared" si="11"/>
        <v>0.5</v>
      </c>
    </row>
    <row r="57" spans="1:14" hidden="1" outlineLevel="1" x14ac:dyDescent="0.2">
      <c r="A57" s="9" t="s">
        <v>145</v>
      </c>
      <c r="B57" s="1" t="s">
        <v>146</v>
      </c>
      <c r="C57" s="10">
        <v>0.5</v>
      </c>
      <c r="D57" s="10">
        <v>0.5</v>
      </c>
      <c r="E57" s="10">
        <v>0.5</v>
      </c>
      <c r="F57" s="10">
        <v>0.5</v>
      </c>
      <c r="G57" s="10">
        <v>0.5</v>
      </c>
      <c r="H57" s="10">
        <v>0.5</v>
      </c>
      <c r="I57" s="10">
        <v>0.5</v>
      </c>
      <c r="J57" s="10">
        <v>0.5</v>
      </c>
      <c r="K57" s="10">
        <v>0.5</v>
      </c>
      <c r="L57" s="10">
        <v>0.5</v>
      </c>
      <c r="M57" s="10">
        <v>0.5</v>
      </c>
      <c r="N57" s="10">
        <v>0.5</v>
      </c>
    </row>
    <row r="58" spans="1:14" collapsed="1" x14ac:dyDescent="0.2">
      <c r="A58" s="48" t="s">
        <v>157</v>
      </c>
      <c r="B58" s="49" t="s">
        <v>158</v>
      </c>
      <c r="C58" s="50">
        <f>+C59</f>
        <v>0.1</v>
      </c>
      <c r="D58" s="50">
        <f t="shared" ref="D58:N58" si="12">+D59</f>
        <v>0.1</v>
      </c>
      <c r="E58" s="50">
        <f t="shared" si="12"/>
        <v>0.1</v>
      </c>
      <c r="F58" s="50">
        <f t="shared" si="12"/>
        <v>0.1</v>
      </c>
      <c r="G58" s="50">
        <f t="shared" si="12"/>
        <v>0.1</v>
      </c>
      <c r="H58" s="50">
        <f t="shared" si="12"/>
        <v>0.1</v>
      </c>
      <c r="I58" s="50">
        <f t="shared" si="12"/>
        <v>0.1</v>
      </c>
      <c r="J58" s="50">
        <f t="shared" si="12"/>
        <v>0.1</v>
      </c>
      <c r="K58" s="50">
        <f t="shared" si="12"/>
        <v>0.1</v>
      </c>
      <c r="L58" s="50">
        <f t="shared" si="12"/>
        <v>0.1</v>
      </c>
      <c r="M58" s="50">
        <f t="shared" si="12"/>
        <v>0.1</v>
      </c>
      <c r="N58" s="50">
        <f t="shared" si="12"/>
        <v>0.1</v>
      </c>
    </row>
    <row r="59" spans="1:14" hidden="1" outlineLevel="1" x14ac:dyDescent="0.2">
      <c r="A59" s="9" t="s">
        <v>159</v>
      </c>
      <c r="B59" s="1" t="s">
        <v>160</v>
      </c>
      <c r="C59" s="28">
        <v>0.1</v>
      </c>
      <c r="D59" s="28">
        <v>0.1</v>
      </c>
      <c r="E59" s="28">
        <v>0.1</v>
      </c>
      <c r="F59" s="28">
        <v>0.1</v>
      </c>
      <c r="G59" s="28">
        <v>0.1</v>
      </c>
      <c r="H59" s="28">
        <v>0.1</v>
      </c>
      <c r="I59" s="28">
        <v>0.1</v>
      </c>
      <c r="J59" s="28">
        <v>0.1</v>
      </c>
      <c r="K59" s="28">
        <v>0.1</v>
      </c>
      <c r="L59" s="28">
        <v>0.1</v>
      </c>
      <c r="M59" s="28">
        <v>0.1</v>
      </c>
      <c r="N59" s="28">
        <v>0.1</v>
      </c>
    </row>
    <row r="60" spans="1:14" collapsed="1" x14ac:dyDescent="0.2">
      <c r="A60" s="52"/>
      <c r="B60" s="52" t="s">
        <v>165</v>
      </c>
      <c r="C60" s="53">
        <f t="shared" ref="C60:N60" si="13">+C32+C46+C47+C48+C51+C53+C54+C55+C56+C58</f>
        <v>4.1000000000000005</v>
      </c>
      <c r="D60" s="53">
        <f t="shared" si="13"/>
        <v>3.1000000000000005</v>
      </c>
      <c r="E60" s="53">
        <f t="shared" si="13"/>
        <v>3.9000000000000008</v>
      </c>
      <c r="F60" s="53">
        <f t="shared" si="13"/>
        <v>9.7999999999999989</v>
      </c>
      <c r="G60" s="53">
        <f t="shared" si="13"/>
        <v>2.7</v>
      </c>
      <c r="H60" s="53">
        <f t="shared" si="13"/>
        <v>3.7000000000000006</v>
      </c>
      <c r="I60" s="53">
        <f t="shared" si="13"/>
        <v>3.8000000000000007</v>
      </c>
      <c r="J60" s="53">
        <f t="shared" si="13"/>
        <v>3.1000000000000005</v>
      </c>
      <c r="K60" s="53">
        <f t="shared" si="13"/>
        <v>3.1000000000000005</v>
      </c>
      <c r="L60" s="53">
        <f t="shared" si="13"/>
        <v>3.9000000000000008</v>
      </c>
      <c r="M60" s="53">
        <f t="shared" si="13"/>
        <v>10.799999999999999</v>
      </c>
      <c r="N60" s="53">
        <f t="shared" si="13"/>
        <v>2.7</v>
      </c>
    </row>
    <row r="61" spans="1:14" x14ac:dyDescent="0.2">
      <c r="A61" s="51"/>
      <c r="B61" s="51" t="s">
        <v>166</v>
      </c>
      <c r="C61" s="19">
        <f t="shared" ref="C61:N61" si="14">+C30-C60</f>
        <v>19.000000000000004</v>
      </c>
      <c r="D61" s="19">
        <f t="shared" si="14"/>
        <v>17.300000000000004</v>
      </c>
      <c r="E61" s="19">
        <f t="shared" si="14"/>
        <v>-10.500000000000002</v>
      </c>
      <c r="F61" s="19">
        <f t="shared" si="14"/>
        <v>5.6000000000000068</v>
      </c>
      <c r="G61" s="19">
        <f t="shared" si="14"/>
        <v>-2.3000000000000016</v>
      </c>
      <c r="H61" s="19">
        <f t="shared" si="14"/>
        <v>-26.2</v>
      </c>
      <c r="I61" s="19">
        <f t="shared" si="14"/>
        <v>12.800000000000004</v>
      </c>
      <c r="J61" s="19">
        <f t="shared" si="14"/>
        <v>20.9</v>
      </c>
      <c r="K61" s="19">
        <f t="shared" si="14"/>
        <v>-2.9999999999999991</v>
      </c>
      <c r="L61" s="19">
        <f t="shared" si="14"/>
        <v>-5.6999999999999975</v>
      </c>
      <c r="M61" s="19">
        <f t="shared" si="14"/>
        <v>18.200000000000003</v>
      </c>
      <c r="N61" s="19">
        <f t="shared" si="14"/>
        <v>3.3</v>
      </c>
    </row>
    <row r="62" spans="1:14" x14ac:dyDescent="0.2">
      <c r="A62" s="48" t="s">
        <v>167</v>
      </c>
      <c r="B62" s="49" t="s">
        <v>168</v>
      </c>
      <c r="C62" s="50">
        <f t="shared" ref="C62:N62" si="15">SUM(C63:C77)</f>
        <v>9.25</v>
      </c>
      <c r="D62" s="50">
        <f t="shared" si="15"/>
        <v>6.6499999999999986</v>
      </c>
      <c r="E62" s="50">
        <f t="shared" si="15"/>
        <v>7.6499999999999995</v>
      </c>
      <c r="F62" s="50">
        <f t="shared" si="15"/>
        <v>8.75</v>
      </c>
      <c r="G62" s="50">
        <f t="shared" si="15"/>
        <v>7.4499999999999993</v>
      </c>
      <c r="H62" s="50">
        <f t="shared" si="15"/>
        <v>9.4499999999999993</v>
      </c>
      <c r="I62" s="50">
        <f t="shared" si="15"/>
        <v>5.55</v>
      </c>
      <c r="J62" s="50">
        <f t="shared" si="15"/>
        <v>6.6499999999999986</v>
      </c>
      <c r="K62" s="50">
        <f t="shared" si="15"/>
        <v>7.6499999999999995</v>
      </c>
      <c r="L62" s="50">
        <f t="shared" si="15"/>
        <v>8.75</v>
      </c>
      <c r="M62" s="50">
        <f t="shared" si="15"/>
        <v>7.4499999999999993</v>
      </c>
      <c r="N62" s="50">
        <f t="shared" si="15"/>
        <v>9.4499999999999993</v>
      </c>
    </row>
    <row r="63" spans="1:14" hidden="1" outlineLevel="1" x14ac:dyDescent="0.2">
      <c r="A63" s="9" t="s">
        <v>171</v>
      </c>
      <c r="B63" s="1" t="s">
        <v>172</v>
      </c>
      <c r="C63" s="28">
        <v>1.5</v>
      </c>
      <c r="D63" s="28">
        <v>1.5</v>
      </c>
      <c r="E63" s="28">
        <v>1.5</v>
      </c>
      <c r="F63" s="28">
        <v>1.5</v>
      </c>
      <c r="G63" s="28">
        <v>1.5</v>
      </c>
      <c r="H63" s="28">
        <v>1.5</v>
      </c>
      <c r="I63" s="28">
        <v>1.5</v>
      </c>
      <c r="J63" s="28">
        <v>1.5</v>
      </c>
      <c r="K63" s="28">
        <v>1.5</v>
      </c>
      <c r="L63" s="28">
        <v>1.5</v>
      </c>
      <c r="M63" s="28">
        <v>1.5</v>
      </c>
      <c r="N63" s="28">
        <v>1.5</v>
      </c>
    </row>
    <row r="64" spans="1:14" hidden="1" outlineLevel="1" x14ac:dyDescent="0.2">
      <c r="A64" s="9" t="s">
        <v>173</v>
      </c>
      <c r="B64" s="1" t="s">
        <v>174</v>
      </c>
      <c r="C64" s="10">
        <v>2.9</v>
      </c>
      <c r="D64" s="10">
        <v>0.1</v>
      </c>
      <c r="E64" s="10">
        <v>0.9</v>
      </c>
      <c r="F64" s="10">
        <v>1.7</v>
      </c>
      <c r="G64" s="10">
        <v>0.5</v>
      </c>
      <c r="H64" s="10">
        <v>2.9</v>
      </c>
      <c r="I64" s="10">
        <v>-0.8</v>
      </c>
      <c r="J64" s="10">
        <v>0.1</v>
      </c>
      <c r="K64" s="10">
        <v>0.9</v>
      </c>
      <c r="L64" s="10">
        <v>1.7</v>
      </c>
      <c r="M64" s="10">
        <v>0.5</v>
      </c>
      <c r="N64" s="10">
        <v>2.9</v>
      </c>
    </row>
    <row r="65" spans="1:14" hidden="1" outlineLevel="1" x14ac:dyDescent="0.2">
      <c r="A65" s="9" t="s">
        <v>175</v>
      </c>
      <c r="B65" s="1" t="s">
        <v>176</v>
      </c>
      <c r="C65" s="28">
        <v>2.5</v>
      </c>
      <c r="D65" s="28">
        <v>2.5</v>
      </c>
      <c r="E65" s="28">
        <v>2.5</v>
      </c>
      <c r="F65" s="28">
        <v>2.5</v>
      </c>
      <c r="G65" s="28">
        <v>2.5</v>
      </c>
      <c r="H65" s="28">
        <v>2.5</v>
      </c>
      <c r="I65" s="28">
        <v>2.5</v>
      </c>
      <c r="J65" s="28">
        <v>2.5</v>
      </c>
      <c r="K65" s="28">
        <v>2.5</v>
      </c>
      <c r="L65" s="28">
        <v>2.5</v>
      </c>
      <c r="M65" s="28">
        <v>2.5</v>
      </c>
      <c r="N65" s="28">
        <v>2.5</v>
      </c>
    </row>
    <row r="66" spans="1:14" hidden="1" outlineLevel="1" x14ac:dyDescent="0.2">
      <c r="A66" s="9" t="s">
        <v>177</v>
      </c>
      <c r="B66" s="1" t="s">
        <v>178</v>
      </c>
      <c r="C66" s="10">
        <v>0.2</v>
      </c>
      <c r="D66" s="10">
        <v>0.3</v>
      </c>
      <c r="E66" s="10">
        <v>0.3</v>
      </c>
      <c r="F66" s="10">
        <v>0.3</v>
      </c>
      <c r="G66" s="10">
        <v>0</v>
      </c>
      <c r="H66" s="10">
        <v>0</v>
      </c>
      <c r="I66" s="10">
        <v>0</v>
      </c>
      <c r="J66" s="10">
        <v>0.3</v>
      </c>
      <c r="K66" s="10">
        <v>0.3</v>
      </c>
      <c r="L66" s="10">
        <v>0.3</v>
      </c>
      <c r="M66" s="10">
        <v>0</v>
      </c>
      <c r="N66" s="10">
        <v>0</v>
      </c>
    </row>
    <row r="67" spans="1:14" hidden="1" outlineLevel="1" x14ac:dyDescent="0.2">
      <c r="A67" s="9" t="s">
        <v>179</v>
      </c>
      <c r="B67" s="1" t="s">
        <v>180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</row>
    <row r="68" spans="1:14" hidden="1" outlineLevel="1" x14ac:dyDescent="0.2">
      <c r="A68" s="9" t="s">
        <v>181</v>
      </c>
      <c r="B68" s="1" t="s">
        <v>182</v>
      </c>
      <c r="C68" s="28">
        <v>1.2</v>
      </c>
      <c r="D68" s="28">
        <v>1.2</v>
      </c>
      <c r="E68" s="28">
        <v>1.2</v>
      </c>
      <c r="F68" s="28">
        <v>1.2</v>
      </c>
      <c r="G68" s="28">
        <v>1.2</v>
      </c>
      <c r="H68" s="28">
        <v>1.2</v>
      </c>
      <c r="I68" s="28">
        <v>1.2</v>
      </c>
      <c r="J68" s="28">
        <v>1.2</v>
      </c>
      <c r="K68" s="28">
        <v>1.2</v>
      </c>
      <c r="L68" s="28">
        <v>1.2</v>
      </c>
      <c r="M68" s="28">
        <v>1.2</v>
      </c>
      <c r="N68" s="28">
        <v>1.2</v>
      </c>
    </row>
    <row r="69" spans="1:14" hidden="1" outlineLevel="1" x14ac:dyDescent="0.2">
      <c r="A69" s="9" t="s">
        <v>183</v>
      </c>
      <c r="B69" s="1" t="s">
        <v>184</v>
      </c>
      <c r="C69" s="10">
        <v>0</v>
      </c>
      <c r="D69" s="10">
        <v>0.1</v>
      </c>
      <c r="E69" s="10">
        <v>0.3</v>
      </c>
      <c r="F69" s="10">
        <v>0.6</v>
      </c>
      <c r="G69" s="10">
        <v>0.8</v>
      </c>
      <c r="H69" s="10">
        <v>0.4</v>
      </c>
      <c r="I69" s="10">
        <v>0.2</v>
      </c>
      <c r="J69" s="10">
        <v>0.1</v>
      </c>
      <c r="K69" s="10">
        <v>0.3</v>
      </c>
      <c r="L69" s="10">
        <v>0.6</v>
      </c>
      <c r="M69" s="10">
        <v>0.8</v>
      </c>
      <c r="N69" s="10">
        <v>0.4</v>
      </c>
    </row>
    <row r="70" spans="1:14" hidden="1" outlineLevel="1" x14ac:dyDescent="0.2">
      <c r="A70" s="9" t="s">
        <v>185</v>
      </c>
      <c r="B70" s="1" t="s">
        <v>186</v>
      </c>
      <c r="C70" s="28">
        <v>0.25</v>
      </c>
      <c r="D70" s="28">
        <v>0.25</v>
      </c>
      <c r="E70" s="28">
        <v>0.25</v>
      </c>
      <c r="F70" s="28">
        <v>0.25</v>
      </c>
      <c r="G70" s="28">
        <v>0.25</v>
      </c>
      <c r="H70" s="28">
        <v>0.25</v>
      </c>
      <c r="I70" s="28">
        <v>0.25</v>
      </c>
      <c r="J70" s="28">
        <v>0.25</v>
      </c>
      <c r="K70" s="28">
        <v>0.25</v>
      </c>
      <c r="L70" s="28">
        <v>0.25</v>
      </c>
      <c r="M70" s="28">
        <v>0.25</v>
      </c>
      <c r="N70" s="28">
        <v>0.25</v>
      </c>
    </row>
    <row r="71" spans="1:14" hidden="1" outlineLevel="1" x14ac:dyDescent="0.2">
      <c r="A71" s="9" t="s">
        <v>187</v>
      </c>
      <c r="B71" s="1" t="s">
        <v>184</v>
      </c>
      <c r="C71" s="10">
        <v>0</v>
      </c>
      <c r="D71" s="10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0</v>
      </c>
      <c r="L71" s="10">
        <v>0</v>
      </c>
      <c r="M71" s="10">
        <v>0</v>
      </c>
      <c r="N71" s="10">
        <v>0</v>
      </c>
    </row>
    <row r="72" spans="1:14" hidden="1" outlineLevel="1" x14ac:dyDescent="0.2">
      <c r="A72" s="9" t="s">
        <v>188</v>
      </c>
      <c r="B72" s="1" t="s">
        <v>189</v>
      </c>
      <c r="C72" s="28">
        <v>0.2</v>
      </c>
      <c r="D72" s="28">
        <v>0.2</v>
      </c>
      <c r="E72" s="28">
        <v>0.2</v>
      </c>
      <c r="F72" s="28">
        <v>0.2</v>
      </c>
      <c r="G72" s="28">
        <v>0.2</v>
      </c>
      <c r="H72" s="28">
        <v>0.2</v>
      </c>
      <c r="I72" s="28">
        <v>0.2</v>
      </c>
      <c r="J72" s="28">
        <v>0.2</v>
      </c>
      <c r="K72" s="28">
        <v>0.2</v>
      </c>
      <c r="L72" s="28">
        <v>0.2</v>
      </c>
      <c r="M72" s="28">
        <v>0.2</v>
      </c>
      <c r="N72" s="28">
        <v>0.2</v>
      </c>
    </row>
    <row r="73" spans="1:14" hidden="1" outlineLevel="1" x14ac:dyDescent="0.2">
      <c r="A73" s="9" t="s">
        <v>190</v>
      </c>
      <c r="B73" s="1" t="s">
        <v>191</v>
      </c>
      <c r="C73" s="28">
        <v>0.1</v>
      </c>
      <c r="D73" s="28">
        <v>0.1</v>
      </c>
      <c r="E73" s="28">
        <v>0.1</v>
      </c>
      <c r="F73" s="28">
        <v>0.1</v>
      </c>
      <c r="G73" s="28">
        <v>0.1</v>
      </c>
      <c r="H73" s="28">
        <v>0.1</v>
      </c>
      <c r="I73" s="28">
        <v>0.1</v>
      </c>
      <c r="J73" s="28">
        <v>0.1</v>
      </c>
      <c r="K73" s="28">
        <v>0.1</v>
      </c>
      <c r="L73" s="28">
        <v>0.1</v>
      </c>
      <c r="M73" s="28">
        <v>0.1</v>
      </c>
      <c r="N73" s="28">
        <v>0.1</v>
      </c>
    </row>
    <row r="74" spans="1:14" hidden="1" outlineLevel="1" x14ac:dyDescent="0.2">
      <c r="A74" s="9" t="s">
        <v>192</v>
      </c>
      <c r="B74" s="1" t="s">
        <v>193</v>
      </c>
      <c r="C74" s="10">
        <v>0</v>
      </c>
      <c r="D74" s="10">
        <v>0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</row>
    <row r="75" spans="1:14" hidden="1" outlineLevel="1" x14ac:dyDescent="0.2">
      <c r="A75" s="9" t="s">
        <v>194</v>
      </c>
      <c r="B75" s="1" t="s">
        <v>195</v>
      </c>
      <c r="C75" s="28">
        <v>0.3</v>
      </c>
      <c r="D75" s="28">
        <v>0.3</v>
      </c>
      <c r="E75" s="28">
        <v>0.3</v>
      </c>
      <c r="F75" s="28">
        <v>0.3</v>
      </c>
      <c r="G75" s="28">
        <v>0.3</v>
      </c>
      <c r="H75" s="28">
        <v>0.3</v>
      </c>
      <c r="I75" s="28">
        <v>0.3</v>
      </c>
      <c r="J75" s="28">
        <v>0.3</v>
      </c>
      <c r="K75" s="28">
        <v>0.3</v>
      </c>
      <c r="L75" s="28">
        <v>0.3</v>
      </c>
      <c r="M75" s="28">
        <v>0.3</v>
      </c>
      <c r="N75" s="28">
        <v>0.3</v>
      </c>
    </row>
    <row r="76" spans="1:14" hidden="1" outlineLevel="1" x14ac:dyDescent="0.2">
      <c r="A76" s="9" t="s">
        <v>196</v>
      </c>
      <c r="B76" s="1" t="s">
        <v>197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</row>
    <row r="77" spans="1:14" hidden="1" outlineLevel="1" x14ac:dyDescent="0.2">
      <c r="A77" s="9" t="s">
        <v>198</v>
      </c>
      <c r="B77" s="1" t="s">
        <v>199</v>
      </c>
      <c r="C77" s="28">
        <v>0.1</v>
      </c>
      <c r="D77" s="28">
        <v>0.1</v>
      </c>
      <c r="E77" s="28">
        <v>0.1</v>
      </c>
      <c r="F77" s="28">
        <v>0.1</v>
      </c>
      <c r="G77" s="28">
        <v>0.1</v>
      </c>
      <c r="H77" s="28">
        <v>0.1</v>
      </c>
      <c r="I77" s="28">
        <v>0.1</v>
      </c>
      <c r="J77" s="28">
        <v>0.1</v>
      </c>
      <c r="K77" s="28">
        <v>0.1</v>
      </c>
      <c r="L77" s="28">
        <v>0.1</v>
      </c>
      <c r="M77" s="28">
        <v>0.1</v>
      </c>
      <c r="N77" s="28">
        <v>0.1</v>
      </c>
    </row>
    <row r="78" spans="1:14" collapsed="1" x14ac:dyDescent="0.2">
      <c r="A78" s="48" t="s">
        <v>200</v>
      </c>
      <c r="B78" s="49" t="s">
        <v>201</v>
      </c>
      <c r="C78" s="50">
        <f>SUM(C79:C89)</f>
        <v>0.91</v>
      </c>
      <c r="D78" s="50">
        <f t="shared" ref="D78:N78" si="16">SUM(D79:D89)</f>
        <v>0.91</v>
      </c>
      <c r="E78" s="50">
        <f t="shared" si="16"/>
        <v>0.91</v>
      </c>
      <c r="F78" s="50">
        <f t="shared" si="16"/>
        <v>1.01</v>
      </c>
      <c r="G78" s="50">
        <f t="shared" si="16"/>
        <v>0.91</v>
      </c>
      <c r="H78" s="50">
        <f t="shared" si="16"/>
        <v>0.91</v>
      </c>
      <c r="I78" s="50">
        <f t="shared" si="16"/>
        <v>0.91</v>
      </c>
      <c r="J78" s="50">
        <f t="shared" si="16"/>
        <v>0.91</v>
      </c>
      <c r="K78" s="50">
        <f t="shared" si="16"/>
        <v>0.91</v>
      </c>
      <c r="L78" s="50">
        <f t="shared" si="16"/>
        <v>1.01</v>
      </c>
      <c r="M78" s="50">
        <f t="shared" si="16"/>
        <v>0.91</v>
      </c>
      <c r="N78" s="50">
        <f t="shared" si="16"/>
        <v>0.91</v>
      </c>
    </row>
    <row r="79" spans="1:14" hidden="1" outlineLevel="1" x14ac:dyDescent="0.2">
      <c r="A79" s="9" t="s">
        <v>202</v>
      </c>
      <c r="B79" s="1" t="s">
        <v>203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</row>
    <row r="80" spans="1:14" hidden="1" outlineLevel="1" x14ac:dyDescent="0.2">
      <c r="A80" s="9" t="s">
        <v>204</v>
      </c>
      <c r="B80" s="1" t="s">
        <v>205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hidden="1" outlineLevel="1" x14ac:dyDescent="0.2">
      <c r="A81" s="9" t="s">
        <v>206</v>
      </c>
      <c r="B81" s="1" t="s">
        <v>207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hidden="1" outlineLevel="1" x14ac:dyDescent="0.2">
      <c r="A82" s="9" t="s">
        <v>208</v>
      </c>
      <c r="B82" s="1" t="s">
        <v>209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</row>
    <row r="83" spans="1:14" hidden="1" outlineLevel="1" x14ac:dyDescent="0.2">
      <c r="A83" s="9" t="s">
        <v>210</v>
      </c>
      <c r="B83" s="1" t="s">
        <v>211</v>
      </c>
      <c r="C83" s="28">
        <v>0.21</v>
      </c>
      <c r="D83" s="28">
        <v>0.21</v>
      </c>
      <c r="E83" s="28">
        <v>0.21</v>
      </c>
      <c r="F83" s="28">
        <v>0.21</v>
      </c>
      <c r="G83" s="28">
        <v>0.21</v>
      </c>
      <c r="H83" s="28">
        <v>0.21</v>
      </c>
      <c r="I83" s="28">
        <v>0.21</v>
      </c>
      <c r="J83" s="28">
        <v>0.21</v>
      </c>
      <c r="K83" s="28">
        <v>0.21</v>
      </c>
      <c r="L83" s="28">
        <v>0.21</v>
      </c>
      <c r="M83" s="28">
        <v>0.21</v>
      </c>
      <c r="N83" s="28">
        <v>0.21</v>
      </c>
    </row>
    <row r="84" spans="1:14" hidden="1" outlineLevel="1" x14ac:dyDescent="0.2">
      <c r="A84" s="9" t="s">
        <v>212</v>
      </c>
      <c r="B84" s="1" t="s">
        <v>213</v>
      </c>
      <c r="C84" s="10">
        <v>0</v>
      </c>
      <c r="D84" s="10">
        <v>0</v>
      </c>
      <c r="E84" s="10">
        <v>0</v>
      </c>
      <c r="F84" s="10">
        <v>0</v>
      </c>
      <c r="G84" s="10">
        <v>0</v>
      </c>
      <c r="H84" s="10">
        <v>0</v>
      </c>
      <c r="I84" s="10">
        <v>0</v>
      </c>
      <c r="J84" s="10">
        <v>0</v>
      </c>
      <c r="K84" s="10">
        <v>0</v>
      </c>
      <c r="L84" s="10">
        <v>0</v>
      </c>
      <c r="M84" s="10">
        <v>0</v>
      </c>
      <c r="N84" s="10">
        <v>0</v>
      </c>
    </row>
    <row r="85" spans="1:14" hidden="1" outlineLevel="1" x14ac:dyDescent="0.2">
      <c r="A85" s="9" t="s">
        <v>214</v>
      </c>
      <c r="B85" s="1" t="s">
        <v>215</v>
      </c>
      <c r="C85" s="10">
        <v>0</v>
      </c>
      <c r="D85" s="10">
        <v>0</v>
      </c>
      <c r="E85" s="10">
        <v>0</v>
      </c>
      <c r="F85" s="10">
        <v>0</v>
      </c>
      <c r="G85" s="10">
        <v>0</v>
      </c>
      <c r="H85" s="10">
        <v>0</v>
      </c>
      <c r="I85" s="10">
        <v>0</v>
      </c>
      <c r="J85" s="10">
        <v>0</v>
      </c>
      <c r="K85" s="10">
        <v>0</v>
      </c>
      <c r="L85" s="10">
        <v>0</v>
      </c>
      <c r="M85" s="10">
        <v>0</v>
      </c>
      <c r="N85" s="10">
        <v>0</v>
      </c>
    </row>
    <row r="86" spans="1:14" hidden="1" outlineLevel="1" x14ac:dyDescent="0.2">
      <c r="A86" s="9" t="s">
        <v>216</v>
      </c>
      <c r="B86" s="1" t="s">
        <v>217</v>
      </c>
      <c r="C86" s="28">
        <v>0.3</v>
      </c>
      <c r="D86" s="28">
        <v>0.3</v>
      </c>
      <c r="E86" s="28">
        <v>0.3</v>
      </c>
      <c r="F86" s="28">
        <v>0.3</v>
      </c>
      <c r="G86" s="28">
        <v>0.3</v>
      </c>
      <c r="H86" s="28">
        <v>0.3</v>
      </c>
      <c r="I86" s="28">
        <v>0.3</v>
      </c>
      <c r="J86" s="28">
        <v>0.3</v>
      </c>
      <c r="K86" s="28">
        <v>0.3</v>
      </c>
      <c r="L86" s="28">
        <v>0.3</v>
      </c>
      <c r="M86" s="28">
        <v>0.3</v>
      </c>
      <c r="N86" s="28">
        <v>0.3</v>
      </c>
    </row>
    <row r="87" spans="1:14" hidden="1" outlineLevel="1" x14ac:dyDescent="0.2">
      <c r="A87" s="9" t="s">
        <v>218</v>
      </c>
      <c r="B87" s="1" t="s">
        <v>219</v>
      </c>
      <c r="C87" s="28">
        <v>0.4</v>
      </c>
      <c r="D87" s="28">
        <v>0.4</v>
      </c>
      <c r="E87" s="28">
        <v>0.4</v>
      </c>
      <c r="F87" s="28">
        <v>0.4</v>
      </c>
      <c r="G87" s="28">
        <v>0.4</v>
      </c>
      <c r="H87" s="28">
        <v>0.4</v>
      </c>
      <c r="I87" s="28">
        <v>0.4</v>
      </c>
      <c r="J87" s="28">
        <v>0.4</v>
      </c>
      <c r="K87" s="28">
        <v>0.4</v>
      </c>
      <c r="L87" s="28">
        <v>0.4</v>
      </c>
      <c r="M87" s="28">
        <v>0.4</v>
      </c>
      <c r="N87" s="28">
        <v>0.4</v>
      </c>
    </row>
    <row r="88" spans="1:14" hidden="1" outlineLevel="1" x14ac:dyDescent="0.2">
      <c r="A88" s="9" t="s">
        <v>220</v>
      </c>
      <c r="B88" s="1" t="s">
        <v>221</v>
      </c>
      <c r="C88" s="10">
        <v>0</v>
      </c>
      <c r="D88" s="10">
        <v>0</v>
      </c>
      <c r="E88" s="10">
        <v>0</v>
      </c>
      <c r="F88" s="10">
        <v>0</v>
      </c>
      <c r="G88" s="10">
        <v>0</v>
      </c>
      <c r="H88" s="10">
        <v>0</v>
      </c>
      <c r="I88" s="10">
        <v>0</v>
      </c>
      <c r="J88" s="10">
        <v>0</v>
      </c>
      <c r="K88" s="10">
        <v>0</v>
      </c>
      <c r="L88" s="10">
        <v>0</v>
      </c>
      <c r="M88" s="10">
        <v>0</v>
      </c>
      <c r="N88" s="10">
        <v>0</v>
      </c>
    </row>
    <row r="89" spans="1:14" hidden="1" outlineLevel="1" x14ac:dyDescent="0.2">
      <c r="A89" s="9" t="s">
        <v>224</v>
      </c>
      <c r="B89" s="1" t="s">
        <v>225</v>
      </c>
      <c r="C89" s="10">
        <v>0</v>
      </c>
      <c r="D89" s="10">
        <v>0</v>
      </c>
      <c r="E89" s="10">
        <v>0</v>
      </c>
      <c r="F89" s="10">
        <v>0.1</v>
      </c>
      <c r="G89" s="10">
        <v>0</v>
      </c>
      <c r="H89" s="10">
        <v>0</v>
      </c>
      <c r="I89" s="10">
        <v>0</v>
      </c>
      <c r="J89" s="10">
        <v>0</v>
      </c>
      <c r="K89" s="10">
        <v>0</v>
      </c>
      <c r="L89" s="10">
        <v>0.1</v>
      </c>
      <c r="M89" s="10">
        <v>0</v>
      </c>
      <c r="N89" s="10">
        <v>0</v>
      </c>
    </row>
    <row r="90" spans="1:14" collapsed="1" x14ac:dyDescent="0.2">
      <c r="A90" s="48" t="s">
        <v>226</v>
      </c>
      <c r="B90" s="49" t="s">
        <v>227</v>
      </c>
      <c r="C90" s="50">
        <v>0</v>
      </c>
      <c r="D90" s="50">
        <v>0</v>
      </c>
      <c r="E90" s="50">
        <v>0</v>
      </c>
      <c r="F90" s="50">
        <v>0</v>
      </c>
      <c r="G90" s="50">
        <v>0</v>
      </c>
      <c r="H90" s="50">
        <v>0</v>
      </c>
      <c r="I90" s="50">
        <v>0</v>
      </c>
      <c r="J90" s="50">
        <v>0</v>
      </c>
      <c r="K90" s="50">
        <v>0</v>
      </c>
      <c r="L90" s="50">
        <v>0</v>
      </c>
      <c r="M90" s="50">
        <v>0</v>
      </c>
      <c r="N90" s="50">
        <v>0</v>
      </c>
    </row>
    <row r="91" spans="1:14" x14ac:dyDescent="0.2">
      <c r="A91" s="48" t="s">
        <v>228</v>
      </c>
      <c r="B91" s="49" t="s">
        <v>229</v>
      </c>
      <c r="C91" s="50">
        <v>0</v>
      </c>
      <c r="D91" s="50">
        <v>0</v>
      </c>
      <c r="E91" s="50">
        <v>0</v>
      </c>
      <c r="F91" s="50">
        <v>0</v>
      </c>
      <c r="G91" s="50">
        <v>0</v>
      </c>
      <c r="H91" s="50">
        <v>0</v>
      </c>
      <c r="I91" s="50">
        <v>0</v>
      </c>
      <c r="J91" s="50">
        <v>0</v>
      </c>
      <c r="K91" s="50">
        <v>0</v>
      </c>
      <c r="L91" s="50">
        <v>0</v>
      </c>
      <c r="M91" s="50">
        <v>0</v>
      </c>
      <c r="N91" s="50">
        <v>0</v>
      </c>
    </row>
    <row r="92" spans="1:14" x14ac:dyDescent="0.2">
      <c r="A92" s="48" t="s">
        <v>230</v>
      </c>
      <c r="B92" s="49" t="s">
        <v>231</v>
      </c>
      <c r="C92" s="50">
        <f>SUM(C93:C94)</f>
        <v>1.8</v>
      </c>
      <c r="D92" s="50">
        <f t="shared" ref="D92:N92" si="17">SUM(D93:D94)</f>
        <v>1.8</v>
      </c>
      <c r="E92" s="50">
        <f t="shared" si="17"/>
        <v>1.8</v>
      </c>
      <c r="F92" s="50">
        <f t="shared" si="17"/>
        <v>1.8</v>
      </c>
      <c r="G92" s="50">
        <f t="shared" si="17"/>
        <v>1.8</v>
      </c>
      <c r="H92" s="50">
        <f t="shared" si="17"/>
        <v>1.8</v>
      </c>
      <c r="I92" s="50">
        <f t="shared" si="17"/>
        <v>1.8</v>
      </c>
      <c r="J92" s="50">
        <f t="shared" si="17"/>
        <v>1.8</v>
      </c>
      <c r="K92" s="50">
        <f t="shared" si="17"/>
        <v>1.8</v>
      </c>
      <c r="L92" s="50">
        <f t="shared" si="17"/>
        <v>1.8</v>
      </c>
      <c r="M92" s="50">
        <f t="shared" si="17"/>
        <v>1.8</v>
      </c>
      <c r="N92" s="50">
        <f t="shared" si="17"/>
        <v>1.8</v>
      </c>
    </row>
    <row r="93" spans="1:14" hidden="1" outlineLevel="1" x14ac:dyDescent="0.2">
      <c r="A93" s="9" t="s">
        <v>232</v>
      </c>
      <c r="B93" s="1" t="s">
        <v>233</v>
      </c>
      <c r="C93" s="28">
        <v>1.8</v>
      </c>
      <c r="D93" s="28">
        <v>1.8</v>
      </c>
      <c r="E93" s="28">
        <v>1.8</v>
      </c>
      <c r="F93" s="28">
        <v>1.8</v>
      </c>
      <c r="G93" s="28">
        <v>1.8</v>
      </c>
      <c r="H93" s="28">
        <v>1.8</v>
      </c>
      <c r="I93" s="28">
        <v>1.8</v>
      </c>
      <c r="J93" s="28">
        <v>1.8</v>
      </c>
      <c r="K93" s="28">
        <v>1.8</v>
      </c>
      <c r="L93" s="28">
        <v>1.8</v>
      </c>
      <c r="M93" s="28">
        <v>1.8</v>
      </c>
      <c r="N93" s="28">
        <v>1.8</v>
      </c>
    </row>
    <row r="94" spans="1:14" hidden="1" outlineLevel="1" x14ac:dyDescent="0.2">
      <c r="A94" s="9" t="s">
        <v>234</v>
      </c>
      <c r="B94" s="1" t="s">
        <v>235</v>
      </c>
      <c r="C94" s="10">
        <v>0</v>
      </c>
      <c r="D94" s="10">
        <v>0</v>
      </c>
      <c r="E94" s="10">
        <v>0</v>
      </c>
      <c r="F94" s="10">
        <v>0</v>
      </c>
      <c r="G94" s="10">
        <v>0</v>
      </c>
      <c r="H94" s="10">
        <v>0</v>
      </c>
      <c r="I94" s="10">
        <v>0</v>
      </c>
      <c r="J94" s="10">
        <v>0</v>
      </c>
      <c r="K94" s="10">
        <v>0</v>
      </c>
      <c r="L94" s="10">
        <v>0</v>
      </c>
      <c r="M94" s="10">
        <v>0</v>
      </c>
      <c r="N94" s="10">
        <v>0</v>
      </c>
    </row>
    <row r="95" spans="1:14" collapsed="1" x14ac:dyDescent="0.2">
      <c r="A95" s="52"/>
      <c r="B95" s="52" t="s">
        <v>236</v>
      </c>
      <c r="C95" s="53">
        <f>+C62+C78+C90+C91+C92</f>
        <v>11.96</v>
      </c>
      <c r="D95" s="53">
        <f t="shared" ref="D95:N95" si="18">+D62+D78+D90+D91+D92</f>
        <v>9.36</v>
      </c>
      <c r="E95" s="53">
        <f t="shared" si="18"/>
        <v>10.36</v>
      </c>
      <c r="F95" s="53">
        <f t="shared" si="18"/>
        <v>11.56</v>
      </c>
      <c r="G95" s="53">
        <f t="shared" si="18"/>
        <v>10.16</v>
      </c>
      <c r="H95" s="53">
        <f t="shared" si="18"/>
        <v>12.16</v>
      </c>
      <c r="I95" s="53">
        <f t="shared" si="18"/>
        <v>8.26</v>
      </c>
      <c r="J95" s="53">
        <f t="shared" si="18"/>
        <v>9.36</v>
      </c>
      <c r="K95" s="53">
        <f t="shared" si="18"/>
        <v>10.36</v>
      </c>
      <c r="L95" s="53">
        <f t="shared" si="18"/>
        <v>11.56</v>
      </c>
      <c r="M95" s="53">
        <f t="shared" si="18"/>
        <v>10.16</v>
      </c>
      <c r="N95" s="53">
        <f t="shared" si="18"/>
        <v>12.16</v>
      </c>
    </row>
    <row r="96" spans="1:14" x14ac:dyDescent="0.2">
      <c r="A96" s="51"/>
      <c r="B96" s="51" t="s">
        <v>237</v>
      </c>
      <c r="C96" s="19">
        <f>+C61-C95</f>
        <v>7.0400000000000027</v>
      </c>
      <c r="D96" s="19">
        <f t="shared" ref="D96:N96" si="19">+D61-D95</f>
        <v>7.9400000000000048</v>
      </c>
      <c r="E96" s="19">
        <f t="shared" si="19"/>
        <v>-20.86</v>
      </c>
      <c r="F96" s="19">
        <f t="shared" si="19"/>
        <v>-5.9599999999999937</v>
      </c>
      <c r="G96" s="19">
        <f t="shared" si="19"/>
        <v>-12.46</v>
      </c>
      <c r="H96" s="19">
        <f t="shared" si="19"/>
        <v>-38.36</v>
      </c>
      <c r="I96" s="19">
        <f t="shared" si="19"/>
        <v>4.5400000000000045</v>
      </c>
      <c r="J96" s="19">
        <f t="shared" si="19"/>
        <v>11.54</v>
      </c>
      <c r="K96" s="19">
        <f t="shared" si="19"/>
        <v>-13.36</v>
      </c>
      <c r="L96" s="19">
        <f t="shared" si="19"/>
        <v>-17.259999999999998</v>
      </c>
      <c r="M96" s="19">
        <f t="shared" si="19"/>
        <v>8.0400000000000027</v>
      </c>
      <c r="N96" s="19">
        <f t="shared" si="19"/>
        <v>-8.86</v>
      </c>
    </row>
    <row r="97" spans="1:14" x14ac:dyDescent="0.2">
      <c r="A97" s="48" t="s">
        <v>238</v>
      </c>
      <c r="B97" s="49" t="s">
        <v>239</v>
      </c>
      <c r="C97" s="50">
        <f>+C98</f>
        <v>0.2</v>
      </c>
      <c r="D97" s="50">
        <f t="shared" ref="D97:N97" si="20">+D98</f>
        <v>0.2</v>
      </c>
      <c r="E97" s="50">
        <f t="shared" si="20"/>
        <v>0.2</v>
      </c>
      <c r="F97" s="50">
        <f t="shared" si="20"/>
        <v>0.2</v>
      </c>
      <c r="G97" s="50">
        <f t="shared" si="20"/>
        <v>0.2</v>
      </c>
      <c r="H97" s="50">
        <f t="shared" si="20"/>
        <v>0.2</v>
      </c>
      <c r="I97" s="50">
        <f t="shared" si="20"/>
        <v>0.2</v>
      </c>
      <c r="J97" s="50">
        <f t="shared" si="20"/>
        <v>0.2</v>
      </c>
      <c r="K97" s="50">
        <f t="shared" si="20"/>
        <v>0.2</v>
      </c>
      <c r="L97" s="50">
        <f t="shared" si="20"/>
        <v>0.2</v>
      </c>
      <c r="M97" s="50">
        <f t="shared" si="20"/>
        <v>0.2</v>
      </c>
      <c r="N97" s="50">
        <f t="shared" si="20"/>
        <v>0.2</v>
      </c>
    </row>
    <row r="98" spans="1:14" hidden="1" outlineLevel="1" x14ac:dyDescent="0.2">
      <c r="A98" s="9" t="s">
        <v>240</v>
      </c>
      <c r="B98" s="1" t="s">
        <v>241</v>
      </c>
      <c r="C98" s="28">
        <v>0.2</v>
      </c>
      <c r="D98" s="28">
        <v>0.2</v>
      </c>
      <c r="E98" s="28">
        <v>0.2</v>
      </c>
      <c r="F98" s="28">
        <v>0.2</v>
      </c>
      <c r="G98" s="28">
        <v>0.2</v>
      </c>
      <c r="H98" s="28">
        <v>0.2</v>
      </c>
      <c r="I98" s="28">
        <v>0.2</v>
      </c>
      <c r="J98" s="28">
        <v>0.2</v>
      </c>
      <c r="K98" s="28">
        <v>0.2</v>
      </c>
      <c r="L98" s="28">
        <v>0.2</v>
      </c>
      <c r="M98" s="28">
        <v>0.2</v>
      </c>
      <c r="N98" s="28">
        <v>0.2</v>
      </c>
    </row>
    <row r="99" spans="1:14" collapsed="1" x14ac:dyDescent="0.2">
      <c r="A99" s="48" t="s">
        <v>244</v>
      </c>
      <c r="B99" s="49" t="s">
        <v>245</v>
      </c>
      <c r="C99" s="50">
        <v>0</v>
      </c>
      <c r="D99" s="50">
        <v>0</v>
      </c>
      <c r="E99" s="50">
        <v>0</v>
      </c>
      <c r="F99" s="50">
        <v>0</v>
      </c>
      <c r="G99" s="50">
        <v>0</v>
      </c>
      <c r="H99" s="50">
        <v>0</v>
      </c>
      <c r="I99" s="50">
        <v>0</v>
      </c>
      <c r="J99" s="50">
        <v>0</v>
      </c>
      <c r="K99" s="50">
        <v>0</v>
      </c>
      <c r="L99" s="50">
        <v>0</v>
      </c>
      <c r="M99" s="50">
        <v>0</v>
      </c>
      <c r="N99" s="50">
        <v>0</v>
      </c>
    </row>
    <row r="100" spans="1:14" x14ac:dyDescent="0.2">
      <c r="A100" s="51"/>
      <c r="B100" s="51" t="s">
        <v>246</v>
      </c>
      <c r="C100" s="19">
        <f>+C96-(C97+C99)</f>
        <v>6.8400000000000025</v>
      </c>
      <c r="D100" s="19">
        <f t="shared" ref="D100:N100" si="21">+D96-(D97+D99)</f>
        <v>7.7400000000000047</v>
      </c>
      <c r="E100" s="19">
        <f t="shared" si="21"/>
        <v>-21.06</v>
      </c>
      <c r="F100" s="19">
        <f t="shared" si="21"/>
        <v>-6.1599999999999939</v>
      </c>
      <c r="G100" s="19">
        <f t="shared" si="21"/>
        <v>-12.66</v>
      </c>
      <c r="H100" s="19">
        <f t="shared" si="21"/>
        <v>-38.56</v>
      </c>
      <c r="I100" s="19">
        <f t="shared" si="21"/>
        <v>4.3400000000000043</v>
      </c>
      <c r="J100" s="19">
        <f t="shared" si="21"/>
        <v>11.34</v>
      </c>
      <c r="K100" s="19">
        <f t="shared" si="21"/>
        <v>-13.559999999999999</v>
      </c>
      <c r="L100" s="19">
        <f t="shared" si="21"/>
        <v>-17.459999999999997</v>
      </c>
      <c r="M100" s="19">
        <f t="shared" si="21"/>
        <v>7.8400000000000025</v>
      </c>
      <c r="N100" s="19">
        <f t="shared" si="21"/>
        <v>-9.0599999999999987</v>
      </c>
    </row>
    <row r="101" spans="1:14" x14ac:dyDescent="0.2">
      <c r="A101" s="9" t="s">
        <v>74</v>
      </c>
      <c r="B101" s="1" t="s">
        <v>74</v>
      </c>
      <c r="C101" s="13" t="s">
        <v>74</v>
      </c>
      <c r="D101" s="13" t="s">
        <v>74</v>
      </c>
      <c r="E101" s="13" t="s">
        <v>74</v>
      </c>
      <c r="F101" s="13" t="s">
        <v>74</v>
      </c>
      <c r="G101" s="13" t="s">
        <v>74</v>
      </c>
      <c r="H101" s="13" t="s">
        <v>74</v>
      </c>
      <c r="I101" s="13" t="s">
        <v>74</v>
      </c>
      <c r="J101" s="13" t="s">
        <v>74</v>
      </c>
      <c r="K101" s="13" t="s">
        <v>74</v>
      </c>
      <c r="L101" s="13" t="s">
        <v>74</v>
      </c>
      <c r="M101" s="13" t="s">
        <v>74</v>
      </c>
      <c r="N101" s="13" t="s">
        <v>74</v>
      </c>
    </row>
    <row r="102" spans="1:14" x14ac:dyDescent="0.2">
      <c r="A102" s="12"/>
      <c r="B102" s="12" t="s">
        <v>247</v>
      </c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</row>
    <row r="103" spans="1:14" x14ac:dyDescent="0.2">
      <c r="A103" s="9" t="s">
        <v>248</v>
      </c>
      <c r="B103" s="1" t="s">
        <v>249</v>
      </c>
      <c r="C103" s="13">
        <v>0</v>
      </c>
      <c r="D103" s="13">
        <v>0</v>
      </c>
      <c r="E103" s="13">
        <v>0</v>
      </c>
      <c r="F103" s="13">
        <v>0</v>
      </c>
      <c r="G103" s="13">
        <v>1</v>
      </c>
      <c r="H103" s="13">
        <v>1</v>
      </c>
      <c r="I103" s="13">
        <v>1</v>
      </c>
      <c r="J103" s="13">
        <v>1</v>
      </c>
      <c r="K103" s="13">
        <v>1</v>
      </c>
      <c r="L103" s="13">
        <v>1</v>
      </c>
      <c r="M103" s="13">
        <v>1</v>
      </c>
      <c r="N103" s="13">
        <v>1</v>
      </c>
    </row>
    <row r="104" spans="1:14" hidden="1" outlineLevel="1" x14ac:dyDescent="0.2">
      <c r="A104" s="9" t="s">
        <v>250</v>
      </c>
      <c r="B104" s="1" t="s">
        <v>251</v>
      </c>
      <c r="C104" s="13">
        <v>0</v>
      </c>
      <c r="D104" s="13">
        <v>0</v>
      </c>
      <c r="E104" s="13">
        <v>0</v>
      </c>
      <c r="F104" s="13">
        <v>0</v>
      </c>
      <c r="G104" s="13">
        <v>1</v>
      </c>
      <c r="H104" s="13">
        <v>1</v>
      </c>
      <c r="I104" s="13">
        <v>1</v>
      </c>
      <c r="J104" s="13">
        <v>1</v>
      </c>
      <c r="K104" s="13">
        <v>1</v>
      </c>
      <c r="L104" s="13">
        <v>1</v>
      </c>
      <c r="M104" s="13">
        <v>1</v>
      </c>
      <c r="N104" s="13">
        <v>1</v>
      </c>
    </row>
    <row r="105" spans="1:14" collapsed="1" x14ac:dyDescent="0.2">
      <c r="A105" s="9" t="s">
        <v>252</v>
      </c>
      <c r="B105" s="1" t="s">
        <v>253</v>
      </c>
      <c r="C105" s="13">
        <v>1.2</v>
      </c>
      <c r="D105" s="13">
        <v>0.4</v>
      </c>
      <c r="E105" s="13">
        <v>0.2</v>
      </c>
      <c r="F105" s="13">
        <v>0.2</v>
      </c>
      <c r="G105" s="13">
        <v>1</v>
      </c>
      <c r="H105" s="13">
        <v>1</v>
      </c>
      <c r="I105" s="13">
        <v>1</v>
      </c>
      <c r="J105" s="13">
        <v>1</v>
      </c>
      <c r="K105" s="13">
        <v>1</v>
      </c>
      <c r="L105" s="13">
        <v>1</v>
      </c>
      <c r="M105" s="13">
        <v>1</v>
      </c>
      <c r="N105" s="13">
        <v>1</v>
      </c>
    </row>
    <row r="106" spans="1:14" hidden="1" outlineLevel="1" x14ac:dyDescent="0.2">
      <c r="A106" s="9" t="s">
        <v>254</v>
      </c>
      <c r="B106" s="1" t="s">
        <v>255</v>
      </c>
      <c r="C106" s="13">
        <v>1.2</v>
      </c>
      <c r="D106" s="13">
        <v>0.4</v>
      </c>
      <c r="E106" s="13">
        <v>0.2</v>
      </c>
      <c r="F106" s="13">
        <v>0.2</v>
      </c>
      <c r="G106" s="13">
        <v>1</v>
      </c>
      <c r="H106" s="13">
        <v>1</v>
      </c>
      <c r="I106" s="13">
        <v>1</v>
      </c>
      <c r="J106" s="13">
        <v>1</v>
      </c>
      <c r="K106" s="13">
        <v>1</v>
      </c>
      <c r="L106" s="13">
        <v>1</v>
      </c>
      <c r="M106" s="13">
        <v>1</v>
      </c>
      <c r="N106" s="13">
        <v>1</v>
      </c>
    </row>
    <row r="107" spans="1:14" collapsed="1" x14ac:dyDescent="0.2">
      <c r="A107" s="9" t="s">
        <v>256</v>
      </c>
      <c r="B107" s="1" t="s">
        <v>257</v>
      </c>
      <c r="C107" s="13">
        <v>0.2</v>
      </c>
      <c r="D107" s="13">
        <v>0.2</v>
      </c>
      <c r="E107" s="13">
        <v>0.2</v>
      </c>
      <c r="F107" s="13">
        <v>0.2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hidden="1" outlineLevel="1" x14ac:dyDescent="0.2">
      <c r="A108" s="9" t="s">
        <v>258</v>
      </c>
      <c r="B108" s="1" t="s">
        <v>259</v>
      </c>
      <c r="C108" s="13">
        <v>0.2</v>
      </c>
      <c r="D108" s="13">
        <v>0.2</v>
      </c>
      <c r="E108" s="13">
        <v>0.2</v>
      </c>
      <c r="F108" s="13">
        <v>0.2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collapsed="1" x14ac:dyDescent="0.2">
      <c r="A109" s="9" t="s">
        <v>260</v>
      </c>
      <c r="B109" s="1" t="s">
        <v>261</v>
      </c>
      <c r="C109" s="13">
        <v>0.2</v>
      </c>
      <c r="D109" s="13">
        <v>0.2</v>
      </c>
      <c r="E109" s="13">
        <v>0</v>
      </c>
      <c r="F109" s="13">
        <v>0</v>
      </c>
      <c r="G109" s="13">
        <v>1</v>
      </c>
      <c r="H109" s="13">
        <v>1</v>
      </c>
      <c r="I109" s="13">
        <v>1</v>
      </c>
      <c r="J109" s="13">
        <v>1</v>
      </c>
      <c r="K109" s="13">
        <v>1</v>
      </c>
      <c r="L109" s="13">
        <v>1</v>
      </c>
      <c r="M109" s="13">
        <v>1</v>
      </c>
      <c r="N109" s="13">
        <v>1</v>
      </c>
    </row>
    <row r="110" spans="1:14" hidden="1" outlineLevel="1" x14ac:dyDescent="0.2">
      <c r="A110" s="9" t="s">
        <v>262</v>
      </c>
      <c r="B110" s="1" t="s">
        <v>263</v>
      </c>
      <c r="C110" s="13">
        <v>0.2</v>
      </c>
      <c r="D110" s="13">
        <v>0.2</v>
      </c>
      <c r="E110" s="13">
        <v>0</v>
      </c>
      <c r="F110" s="13">
        <v>0</v>
      </c>
      <c r="G110" s="13">
        <v>1</v>
      </c>
      <c r="H110" s="13">
        <v>1</v>
      </c>
      <c r="I110" s="13">
        <v>1</v>
      </c>
      <c r="J110" s="13">
        <v>1</v>
      </c>
      <c r="K110" s="13">
        <v>1</v>
      </c>
      <c r="L110" s="13">
        <v>1</v>
      </c>
      <c r="M110" s="13">
        <v>1</v>
      </c>
      <c r="N110" s="13">
        <v>1</v>
      </c>
    </row>
    <row r="111" spans="1:14" collapsed="1" x14ac:dyDescent="0.2">
      <c r="A111" s="9" t="s">
        <v>264</v>
      </c>
      <c r="B111" s="1" t="s">
        <v>265</v>
      </c>
      <c r="C111" s="13">
        <v>0.8</v>
      </c>
      <c r="D111" s="13">
        <v>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hidden="1" outlineLevel="1" x14ac:dyDescent="0.2">
      <c r="A112" s="9" t="s">
        <v>266</v>
      </c>
      <c r="B112" s="1" t="s">
        <v>267</v>
      </c>
      <c r="C112" s="13">
        <v>0.8</v>
      </c>
      <c r="D112" s="13">
        <v>0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collapsed="1" x14ac:dyDescent="0.2">
      <c r="A113" s="9" t="s">
        <v>268</v>
      </c>
      <c r="B113" s="1" t="s">
        <v>269</v>
      </c>
      <c r="C113" s="13">
        <v>0</v>
      </c>
      <c r="D113" s="13">
        <v>0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2">
      <c r="A114" s="9" t="s">
        <v>270</v>
      </c>
      <c r="B114" s="1" t="s">
        <v>271</v>
      </c>
      <c r="C114" s="13">
        <v>0</v>
      </c>
      <c r="D114" s="13">
        <v>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2">
      <c r="A115" s="9" t="s">
        <v>272</v>
      </c>
      <c r="B115" s="1" t="s">
        <v>273</v>
      </c>
      <c r="C115" s="13">
        <v>0</v>
      </c>
      <c r="D115" s="13">
        <v>0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2">
      <c r="A116" s="9" t="s">
        <v>274</v>
      </c>
      <c r="B116" s="1" t="s">
        <v>275</v>
      </c>
      <c r="C116" s="13">
        <v>0</v>
      </c>
      <c r="D116" s="13">
        <v>0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2">
      <c r="A117" s="9" t="s">
        <v>276</v>
      </c>
      <c r="B117" s="1" t="s">
        <v>277</v>
      </c>
      <c r="C117" s="13">
        <v>0</v>
      </c>
      <c r="D117" s="13">
        <v>0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2">
      <c r="A118" s="9" t="s">
        <v>280</v>
      </c>
      <c r="B118" s="1" t="s">
        <v>281</v>
      </c>
      <c r="C118" s="13">
        <v>0</v>
      </c>
      <c r="D118" s="13">
        <v>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2">
      <c r="A119" s="9" t="s">
        <v>284</v>
      </c>
      <c r="B119" s="1" t="s">
        <v>285</v>
      </c>
      <c r="C119" s="13">
        <v>0</v>
      </c>
      <c r="D119" s="13">
        <v>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2">
      <c r="A120" s="9" t="s">
        <v>288</v>
      </c>
      <c r="B120" s="1" t="s">
        <v>289</v>
      </c>
      <c r="C120" s="13">
        <v>0</v>
      </c>
      <c r="D120" s="13">
        <v>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2">
      <c r="A121" s="3"/>
      <c r="B121" s="3" t="s">
        <v>290</v>
      </c>
      <c r="C121" s="15">
        <v>2.2000000000000002</v>
      </c>
      <c r="D121" s="15">
        <v>9.9</v>
      </c>
      <c r="E121" s="15">
        <v>27.7</v>
      </c>
      <c r="F121" s="15">
        <v>53.1</v>
      </c>
      <c r="G121" s="15">
        <v>19.600000000000001</v>
      </c>
      <c r="H121" s="15">
        <v>19.600000000000001</v>
      </c>
      <c r="I121" s="15">
        <v>19.600000000000001</v>
      </c>
      <c r="J121" s="15">
        <v>19.600000000000001</v>
      </c>
      <c r="K121" s="15">
        <v>19.600000000000001</v>
      </c>
      <c r="L121" s="15">
        <v>19.600000000000001</v>
      </c>
      <c r="M121" s="15">
        <v>19.600000000000001</v>
      </c>
      <c r="N121" s="15">
        <v>19.600000000000001</v>
      </c>
    </row>
    <row r="122" spans="1:14" x14ac:dyDescent="0.2">
      <c r="A122" s="3"/>
      <c r="B122" s="3" t="s">
        <v>291</v>
      </c>
      <c r="C122" s="15" t="s">
        <v>292</v>
      </c>
      <c r="D122" s="15" t="s">
        <v>292</v>
      </c>
      <c r="E122" s="15" t="s">
        <v>292</v>
      </c>
      <c r="F122" s="15" t="s">
        <v>292</v>
      </c>
      <c r="G122" s="15" t="s">
        <v>292</v>
      </c>
      <c r="H122" s="15" t="s">
        <v>292</v>
      </c>
      <c r="I122" s="15" t="s">
        <v>292</v>
      </c>
      <c r="J122" s="15" t="s">
        <v>292</v>
      </c>
      <c r="K122" s="15" t="s">
        <v>292</v>
      </c>
      <c r="L122" s="15" t="s">
        <v>292</v>
      </c>
      <c r="M122" s="15" t="s">
        <v>292</v>
      </c>
      <c r="N122" s="15" t="s">
        <v>292</v>
      </c>
    </row>
    <row r="123" spans="1:14" x14ac:dyDescent="0.2">
      <c r="A123" s="3"/>
      <c r="B123" s="3" t="s">
        <v>293</v>
      </c>
      <c r="C123" s="15" t="s">
        <v>292</v>
      </c>
      <c r="D123" s="15" t="s">
        <v>292</v>
      </c>
      <c r="E123" s="15" t="s">
        <v>292</v>
      </c>
      <c r="F123" s="15" t="s">
        <v>292</v>
      </c>
      <c r="G123" s="15" t="s">
        <v>292</v>
      </c>
      <c r="H123" s="15" t="s">
        <v>292</v>
      </c>
      <c r="I123" s="15" t="s">
        <v>292</v>
      </c>
      <c r="J123" s="15" t="s">
        <v>292</v>
      </c>
      <c r="K123" s="15" t="s">
        <v>292</v>
      </c>
      <c r="L123" s="15" t="s">
        <v>292</v>
      </c>
      <c r="M123" s="15" t="s">
        <v>292</v>
      </c>
      <c r="N123" s="15" t="s">
        <v>292</v>
      </c>
    </row>
    <row r="124" spans="1:14" x14ac:dyDescent="0.2">
      <c r="A124" s="3"/>
      <c r="B124" s="3" t="s">
        <v>294</v>
      </c>
      <c r="C124" s="15">
        <v>0</v>
      </c>
      <c r="D124" s="15">
        <v>0</v>
      </c>
      <c r="E124" s="15">
        <v>0</v>
      </c>
      <c r="F124" s="15">
        <v>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</row>
    <row r="125" spans="1:14" x14ac:dyDescent="0.2">
      <c r="A125" s="12"/>
      <c r="B125" s="12" t="s">
        <v>295</v>
      </c>
      <c r="C125" s="14" t="s">
        <v>292</v>
      </c>
      <c r="D125" s="14" t="s">
        <v>292</v>
      </c>
      <c r="E125" s="14" t="s">
        <v>292</v>
      </c>
      <c r="F125" s="14" t="s">
        <v>292</v>
      </c>
      <c r="G125" s="14" t="s">
        <v>292</v>
      </c>
      <c r="H125" s="14" t="s">
        <v>292</v>
      </c>
      <c r="I125" s="14" t="s">
        <v>292</v>
      </c>
      <c r="J125" s="14" t="s">
        <v>292</v>
      </c>
      <c r="K125" s="14" t="s">
        <v>292</v>
      </c>
      <c r="L125" s="14" t="s">
        <v>292</v>
      </c>
      <c r="M125" s="14" t="s">
        <v>292</v>
      </c>
      <c r="N125" s="14" t="s">
        <v>292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EB646-5067-4906-8E16-62F43A2F220E}">
  <sheetPr codeName="Hoja63">
    <tabColor rgb="FF7030A0"/>
  </sheetPr>
  <dimension ref="A1:N122"/>
  <sheetViews>
    <sheetView zoomScale="70" zoomScaleNormal="70" workbookViewId="0">
      <pane ySplit="6" topLeftCell="A73" activePane="bottomLeft" state="frozen"/>
      <selection activeCell="F65" sqref="F65"/>
      <selection pane="bottomLeft" activeCell="N52" sqref="C52:N52"/>
    </sheetView>
  </sheetViews>
  <sheetFormatPr baseColWidth="10" defaultRowHeight="12" outlineLevelRow="1" x14ac:dyDescent="0.2"/>
  <cols>
    <col min="1" max="1" width="11.7109375" style="1" customWidth="1"/>
    <col min="2" max="2" width="32.28515625" style="1" customWidth="1"/>
    <col min="3" max="14" width="13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387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SUM(C8:C11)</f>
        <v>90</v>
      </c>
      <c r="D7" s="50">
        <f t="shared" ref="D7:N7" si="0">SUM(D8:D11)</f>
        <v>118</v>
      </c>
      <c r="E7" s="50">
        <f t="shared" si="0"/>
        <v>86</v>
      </c>
      <c r="F7" s="50">
        <f t="shared" si="0"/>
        <v>106</v>
      </c>
      <c r="G7" s="50">
        <f t="shared" si="0"/>
        <v>70</v>
      </c>
      <c r="H7" s="50">
        <f t="shared" si="0"/>
        <v>89</v>
      </c>
      <c r="I7" s="50">
        <f t="shared" si="0"/>
        <v>116</v>
      </c>
      <c r="J7" s="50">
        <f t="shared" si="0"/>
        <v>118</v>
      </c>
      <c r="K7" s="50">
        <f t="shared" si="0"/>
        <v>103</v>
      </c>
      <c r="L7" s="50">
        <f t="shared" si="0"/>
        <v>80</v>
      </c>
      <c r="M7" s="50">
        <f t="shared" si="0"/>
        <v>133</v>
      </c>
      <c r="N7" s="50">
        <f t="shared" si="0"/>
        <v>88</v>
      </c>
    </row>
    <row r="8" spans="1:14" outlineLevel="1" x14ac:dyDescent="0.2">
      <c r="A8" s="9" t="s">
        <v>29</v>
      </c>
      <c r="B8" s="1" t="s">
        <v>30</v>
      </c>
      <c r="C8" s="10">
        <v>10</v>
      </c>
      <c r="D8" s="10">
        <v>10</v>
      </c>
      <c r="E8" s="10">
        <v>10</v>
      </c>
      <c r="F8" s="10">
        <v>10</v>
      </c>
      <c r="G8" s="10">
        <v>10</v>
      </c>
      <c r="H8" s="10">
        <v>10</v>
      </c>
      <c r="I8" s="10">
        <v>10</v>
      </c>
      <c r="J8" s="10">
        <v>10</v>
      </c>
      <c r="K8" s="10">
        <v>10</v>
      </c>
      <c r="L8" s="10">
        <v>10</v>
      </c>
      <c r="M8" s="10">
        <v>10</v>
      </c>
      <c r="N8" s="10">
        <v>20</v>
      </c>
    </row>
    <row r="9" spans="1:14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outlineLevel="1" x14ac:dyDescent="0.2">
      <c r="A10" s="9" t="s">
        <v>33</v>
      </c>
      <c r="B10" s="1" t="s">
        <v>34</v>
      </c>
      <c r="C10" s="28">
        <v>80</v>
      </c>
      <c r="D10" s="28">
        <v>108</v>
      </c>
      <c r="E10" s="28">
        <v>76</v>
      </c>
      <c r="F10" s="28">
        <v>96</v>
      </c>
      <c r="G10" s="28">
        <v>60</v>
      </c>
      <c r="H10" s="28">
        <v>79</v>
      </c>
      <c r="I10" s="28">
        <v>106</v>
      </c>
      <c r="J10" s="28">
        <v>108</v>
      </c>
      <c r="K10" s="28">
        <v>93</v>
      </c>
      <c r="L10" s="28">
        <v>70</v>
      </c>
      <c r="M10" s="28">
        <v>123</v>
      </c>
      <c r="N10" s="28">
        <v>68</v>
      </c>
    </row>
    <row r="11" spans="1:14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48" t="s">
        <v>37</v>
      </c>
      <c r="B12" s="49" t="s">
        <v>38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39</v>
      </c>
      <c r="B13" s="49" t="s">
        <v>40</v>
      </c>
      <c r="C13" s="50">
        <v>0</v>
      </c>
      <c r="D13" s="50">
        <v>0</v>
      </c>
      <c r="E13" s="50">
        <v>0</v>
      </c>
      <c r="F13" s="50">
        <v>0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</row>
    <row r="14" spans="1:14" x14ac:dyDescent="0.2">
      <c r="A14" s="48" t="s">
        <v>41</v>
      </c>
      <c r="B14" s="49" t="s">
        <v>42</v>
      </c>
      <c r="C14" s="50">
        <f t="shared" ref="C14:N14" si="1">+C15</f>
        <v>0</v>
      </c>
      <c r="D14" s="50">
        <f t="shared" si="1"/>
        <v>0</v>
      </c>
      <c r="E14" s="50">
        <f t="shared" si="1"/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</row>
    <row r="15" spans="1:14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48" t="s">
        <v>45</v>
      </c>
      <c r="B16" s="49" t="s">
        <v>46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51"/>
      <c r="B17" s="51" t="s">
        <v>47</v>
      </c>
      <c r="C17" s="19">
        <f t="shared" ref="C17:N17" si="2">+C7+C12+C13+C14+C16</f>
        <v>90</v>
      </c>
      <c r="D17" s="19">
        <f t="shared" si="2"/>
        <v>118</v>
      </c>
      <c r="E17" s="19">
        <f t="shared" si="2"/>
        <v>86</v>
      </c>
      <c r="F17" s="19">
        <f t="shared" si="2"/>
        <v>106</v>
      </c>
      <c r="G17" s="19">
        <f t="shared" si="2"/>
        <v>70</v>
      </c>
      <c r="H17" s="19">
        <f t="shared" si="2"/>
        <v>89</v>
      </c>
      <c r="I17" s="19">
        <f t="shared" si="2"/>
        <v>116</v>
      </c>
      <c r="J17" s="19">
        <f t="shared" si="2"/>
        <v>118</v>
      </c>
      <c r="K17" s="19">
        <f t="shared" si="2"/>
        <v>103</v>
      </c>
      <c r="L17" s="19">
        <f t="shared" si="2"/>
        <v>80</v>
      </c>
      <c r="M17" s="19">
        <f t="shared" si="2"/>
        <v>133</v>
      </c>
      <c r="N17" s="19">
        <f t="shared" si="2"/>
        <v>88</v>
      </c>
    </row>
    <row r="18" spans="1:14" x14ac:dyDescent="0.2">
      <c r="A18" s="48" t="s">
        <v>48</v>
      </c>
      <c r="B18" s="49" t="s">
        <v>49</v>
      </c>
      <c r="C18" s="50">
        <f t="shared" ref="C18:N18" si="3">SUM(C19:C22)</f>
        <v>21</v>
      </c>
      <c r="D18" s="50">
        <f t="shared" si="3"/>
        <v>21</v>
      </c>
      <c r="E18" s="50">
        <f t="shared" si="3"/>
        <v>20</v>
      </c>
      <c r="F18" s="50">
        <f t="shared" si="3"/>
        <v>20</v>
      </c>
      <c r="G18" s="50">
        <f t="shared" si="3"/>
        <v>24</v>
      </c>
      <c r="H18" s="50">
        <f t="shared" si="3"/>
        <v>20</v>
      </c>
      <c r="I18" s="50">
        <f t="shared" si="3"/>
        <v>23</v>
      </c>
      <c r="J18" s="50">
        <f t="shared" si="3"/>
        <v>23</v>
      </c>
      <c r="K18" s="50">
        <f t="shared" si="3"/>
        <v>22</v>
      </c>
      <c r="L18" s="50">
        <f t="shared" si="3"/>
        <v>20</v>
      </c>
      <c r="M18" s="50">
        <f t="shared" si="3"/>
        <v>25</v>
      </c>
      <c r="N18" s="50">
        <f t="shared" si="3"/>
        <v>24</v>
      </c>
    </row>
    <row r="19" spans="1:14" outlineLevel="1" x14ac:dyDescent="0.2">
      <c r="A19" s="9" t="s">
        <v>54</v>
      </c>
      <c r="B19" s="1" t="s">
        <v>55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outlineLevel="1" x14ac:dyDescent="0.2">
      <c r="A20" s="9" t="s">
        <v>56</v>
      </c>
      <c r="B20" s="1" t="s">
        <v>51</v>
      </c>
      <c r="C20" s="28">
        <v>21</v>
      </c>
      <c r="D20" s="28">
        <v>21</v>
      </c>
      <c r="E20" s="28">
        <v>20</v>
      </c>
      <c r="F20" s="28">
        <v>20</v>
      </c>
      <c r="G20" s="28">
        <v>24</v>
      </c>
      <c r="H20" s="28">
        <v>20</v>
      </c>
      <c r="I20" s="28">
        <v>23</v>
      </c>
      <c r="J20" s="28">
        <v>23</v>
      </c>
      <c r="K20" s="28">
        <v>22</v>
      </c>
      <c r="L20" s="28">
        <v>20</v>
      </c>
      <c r="M20" s="28">
        <v>25</v>
      </c>
      <c r="N20" s="28">
        <v>24</v>
      </c>
    </row>
    <row r="21" spans="1:14" outlineLevel="1" x14ac:dyDescent="0.2">
      <c r="A21" s="9" t="s">
        <v>57</v>
      </c>
      <c r="B21" s="1" t="s">
        <v>58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</row>
    <row r="22" spans="1:14" outlineLevel="1" x14ac:dyDescent="0.2">
      <c r="A22" s="9" t="s">
        <v>59</v>
      </c>
      <c r="B22" s="1" t="s">
        <v>53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</row>
    <row r="23" spans="1:14" x14ac:dyDescent="0.2">
      <c r="A23" s="48" t="s">
        <v>60</v>
      </c>
      <c r="B23" s="49" t="s">
        <v>61</v>
      </c>
      <c r="C23" s="50">
        <v>0</v>
      </c>
      <c r="D23" s="50">
        <v>0</v>
      </c>
      <c r="E23" s="50">
        <v>0</v>
      </c>
      <c r="F23" s="50">
        <v>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</row>
    <row r="24" spans="1:14" x14ac:dyDescent="0.2">
      <c r="A24" s="48" t="s">
        <v>62</v>
      </c>
      <c r="B24" s="49" t="s">
        <v>63</v>
      </c>
      <c r="C24" s="50">
        <v>0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2">
      <c r="A25" s="48" t="s">
        <v>64</v>
      </c>
      <c r="B25" s="49" t="s">
        <v>65</v>
      </c>
      <c r="C25" s="50">
        <f>+C26</f>
        <v>3.5</v>
      </c>
      <c r="D25" s="50">
        <f t="shared" ref="D25:N25" si="4">+D26</f>
        <v>4</v>
      </c>
      <c r="E25" s="50">
        <f t="shared" si="4"/>
        <v>5</v>
      </c>
      <c r="F25" s="50">
        <f t="shared" si="4"/>
        <v>7.8</v>
      </c>
      <c r="G25" s="50">
        <f t="shared" si="4"/>
        <v>7</v>
      </c>
      <c r="H25" s="50">
        <f t="shared" si="4"/>
        <v>7</v>
      </c>
      <c r="I25" s="50">
        <f t="shared" si="4"/>
        <v>7</v>
      </c>
      <c r="J25" s="50">
        <f t="shared" si="4"/>
        <v>7.8</v>
      </c>
      <c r="K25" s="50">
        <f t="shared" si="4"/>
        <v>5.5</v>
      </c>
      <c r="L25" s="50">
        <f t="shared" si="4"/>
        <v>0</v>
      </c>
      <c r="M25" s="50">
        <f t="shared" si="4"/>
        <v>-5</v>
      </c>
      <c r="N25" s="50">
        <f t="shared" si="4"/>
        <v>-17</v>
      </c>
    </row>
    <row r="26" spans="1:14" outlineLevel="1" x14ac:dyDescent="0.2">
      <c r="A26" s="9" t="s">
        <v>66</v>
      </c>
      <c r="B26" s="1" t="s">
        <v>67</v>
      </c>
      <c r="C26" s="10">
        <v>3.5</v>
      </c>
      <c r="D26" s="10">
        <v>4</v>
      </c>
      <c r="E26" s="10">
        <v>5</v>
      </c>
      <c r="F26" s="10">
        <v>7.8</v>
      </c>
      <c r="G26" s="10">
        <v>7</v>
      </c>
      <c r="H26" s="10">
        <v>7</v>
      </c>
      <c r="I26" s="10">
        <v>7</v>
      </c>
      <c r="J26" s="10">
        <v>7.8</v>
      </c>
      <c r="K26" s="10">
        <v>5.5</v>
      </c>
      <c r="L26" s="10">
        <v>0</v>
      </c>
      <c r="M26" s="10">
        <v>-5</v>
      </c>
      <c r="N26" s="10">
        <v>-17</v>
      </c>
    </row>
    <row r="27" spans="1:14" x14ac:dyDescent="0.2">
      <c r="A27" s="48" t="s">
        <v>68</v>
      </c>
      <c r="B27" s="49" t="s">
        <v>69</v>
      </c>
      <c r="C27" s="50">
        <f t="shared" ref="C27:N27" si="5">+C28</f>
        <v>0</v>
      </c>
      <c r="D27" s="50">
        <f t="shared" si="5"/>
        <v>0</v>
      </c>
      <c r="E27" s="50">
        <f t="shared" si="5"/>
        <v>0</v>
      </c>
      <c r="F27" s="50">
        <f t="shared" si="5"/>
        <v>0</v>
      </c>
      <c r="G27" s="50">
        <f t="shared" si="5"/>
        <v>0</v>
      </c>
      <c r="H27" s="50">
        <f t="shared" si="5"/>
        <v>0</v>
      </c>
      <c r="I27" s="50">
        <f t="shared" si="5"/>
        <v>0</v>
      </c>
      <c r="J27" s="50">
        <f t="shared" si="5"/>
        <v>0</v>
      </c>
      <c r="K27" s="50">
        <f t="shared" si="5"/>
        <v>0</v>
      </c>
      <c r="L27" s="50">
        <f t="shared" si="5"/>
        <v>0</v>
      </c>
      <c r="M27" s="50">
        <f t="shared" si="5"/>
        <v>0</v>
      </c>
      <c r="N27" s="50">
        <f t="shared" si="5"/>
        <v>0</v>
      </c>
    </row>
    <row r="28" spans="1:14" outlineLevel="1" x14ac:dyDescent="0.2">
      <c r="A28" s="9" t="s">
        <v>70</v>
      </c>
      <c r="B28" s="1" t="s">
        <v>71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x14ac:dyDescent="0.2">
      <c r="A29" s="52"/>
      <c r="B29" s="52" t="s">
        <v>72</v>
      </c>
      <c r="C29" s="53">
        <f t="shared" ref="C29:N29" si="6">+C18+C23+C24+C25+C27</f>
        <v>24.5</v>
      </c>
      <c r="D29" s="53">
        <f t="shared" si="6"/>
        <v>25</v>
      </c>
      <c r="E29" s="53">
        <f t="shared" si="6"/>
        <v>25</v>
      </c>
      <c r="F29" s="53">
        <f t="shared" si="6"/>
        <v>27.8</v>
      </c>
      <c r="G29" s="53">
        <f t="shared" si="6"/>
        <v>31</v>
      </c>
      <c r="H29" s="53">
        <f t="shared" si="6"/>
        <v>27</v>
      </c>
      <c r="I29" s="53">
        <f t="shared" si="6"/>
        <v>30</v>
      </c>
      <c r="J29" s="53">
        <f t="shared" si="6"/>
        <v>30.8</v>
      </c>
      <c r="K29" s="53">
        <f t="shared" si="6"/>
        <v>27.5</v>
      </c>
      <c r="L29" s="53">
        <f t="shared" si="6"/>
        <v>20</v>
      </c>
      <c r="M29" s="53">
        <f t="shared" si="6"/>
        <v>20</v>
      </c>
      <c r="N29" s="53">
        <f t="shared" si="6"/>
        <v>7</v>
      </c>
    </row>
    <row r="30" spans="1:14" x14ac:dyDescent="0.2">
      <c r="A30" s="51"/>
      <c r="B30" s="51" t="s">
        <v>73</v>
      </c>
      <c r="C30" s="19">
        <f t="shared" ref="C30:N30" si="7">+C17-C29</f>
        <v>65.5</v>
      </c>
      <c r="D30" s="19">
        <f t="shared" si="7"/>
        <v>93</v>
      </c>
      <c r="E30" s="19">
        <f t="shared" si="7"/>
        <v>61</v>
      </c>
      <c r="F30" s="19">
        <f t="shared" si="7"/>
        <v>78.2</v>
      </c>
      <c r="G30" s="19">
        <f t="shared" si="7"/>
        <v>39</v>
      </c>
      <c r="H30" s="19">
        <f t="shared" si="7"/>
        <v>62</v>
      </c>
      <c r="I30" s="19">
        <f t="shared" si="7"/>
        <v>86</v>
      </c>
      <c r="J30" s="19">
        <f t="shared" si="7"/>
        <v>87.2</v>
      </c>
      <c r="K30" s="19">
        <f t="shared" si="7"/>
        <v>75.5</v>
      </c>
      <c r="L30" s="19">
        <f t="shared" si="7"/>
        <v>60</v>
      </c>
      <c r="M30" s="19">
        <f t="shared" si="7"/>
        <v>113</v>
      </c>
      <c r="N30" s="19">
        <f t="shared" si="7"/>
        <v>81</v>
      </c>
    </row>
    <row r="31" spans="1:14" x14ac:dyDescent="0.2">
      <c r="A31" s="9" t="s">
        <v>74</v>
      </c>
      <c r="B31" s="1" t="s">
        <v>74</v>
      </c>
      <c r="C31" s="10" t="s">
        <v>74</v>
      </c>
      <c r="D31" s="10" t="s">
        <v>74</v>
      </c>
      <c r="E31" s="10" t="s">
        <v>74</v>
      </c>
      <c r="F31" s="10" t="s">
        <v>74</v>
      </c>
      <c r="G31" s="10" t="s">
        <v>74</v>
      </c>
      <c r="H31" s="10" t="s">
        <v>74</v>
      </c>
      <c r="I31" s="10" t="s">
        <v>74</v>
      </c>
      <c r="J31" s="10" t="s">
        <v>74</v>
      </c>
      <c r="K31" s="10" t="s">
        <v>74</v>
      </c>
      <c r="L31" s="10" t="s">
        <v>74</v>
      </c>
      <c r="M31" s="10" t="s">
        <v>74</v>
      </c>
      <c r="N31" s="10" t="s">
        <v>74</v>
      </c>
    </row>
    <row r="32" spans="1:14" x14ac:dyDescent="0.2">
      <c r="A32" s="48" t="s">
        <v>75</v>
      </c>
      <c r="B32" s="49" t="s">
        <v>76</v>
      </c>
      <c r="C32" s="50">
        <f t="shared" ref="C32:N32" si="8">SUM(C33:C51)</f>
        <v>21.3</v>
      </c>
      <c r="D32" s="50">
        <f t="shared" si="8"/>
        <v>19.200000000000003</v>
      </c>
      <c r="E32" s="50">
        <f t="shared" si="8"/>
        <v>19.399999999999999</v>
      </c>
      <c r="F32" s="50">
        <f t="shared" si="8"/>
        <v>16.099999999999998</v>
      </c>
      <c r="G32" s="50">
        <f t="shared" si="8"/>
        <v>20.799999999999997</v>
      </c>
      <c r="H32" s="50">
        <f t="shared" si="8"/>
        <v>23.400000000000002</v>
      </c>
      <c r="I32" s="50">
        <f t="shared" si="8"/>
        <v>25.799999999999997</v>
      </c>
      <c r="J32" s="50">
        <f t="shared" si="8"/>
        <v>19.400000000000002</v>
      </c>
      <c r="K32" s="50">
        <f t="shared" si="8"/>
        <v>14.099999999999998</v>
      </c>
      <c r="L32" s="50">
        <f t="shared" si="8"/>
        <v>23.8</v>
      </c>
      <c r="M32" s="50">
        <f t="shared" si="8"/>
        <v>19.700000000000003</v>
      </c>
      <c r="N32" s="50">
        <f t="shared" si="8"/>
        <v>18.200000000000003</v>
      </c>
    </row>
    <row r="33" spans="1:14" outlineLevel="1" x14ac:dyDescent="0.2">
      <c r="A33" s="9" t="s">
        <v>77</v>
      </c>
      <c r="B33" s="1" t="s">
        <v>78</v>
      </c>
      <c r="C33" s="28">
        <v>9</v>
      </c>
      <c r="D33" s="28">
        <v>9</v>
      </c>
      <c r="E33" s="28">
        <v>7</v>
      </c>
      <c r="F33" s="28">
        <v>6</v>
      </c>
      <c r="G33" s="28">
        <v>6</v>
      </c>
      <c r="H33" s="28">
        <v>5</v>
      </c>
      <c r="I33" s="28">
        <v>8</v>
      </c>
      <c r="J33" s="28">
        <v>10</v>
      </c>
      <c r="K33" s="28">
        <v>7</v>
      </c>
      <c r="L33" s="28">
        <v>8</v>
      </c>
      <c r="M33" s="28">
        <v>9</v>
      </c>
      <c r="N33" s="28">
        <v>6</v>
      </c>
    </row>
    <row r="34" spans="1:14" outlineLevel="1" x14ac:dyDescent="0.2">
      <c r="A34" s="9" t="s">
        <v>79</v>
      </c>
      <c r="B34" s="1" t="s">
        <v>80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0.5</v>
      </c>
      <c r="I34" s="10">
        <v>0</v>
      </c>
      <c r="J34" s="10">
        <v>0</v>
      </c>
      <c r="K34" s="10">
        <v>0</v>
      </c>
      <c r="L34" s="10">
        <v>0</v>
      </c>
      <c r="M34" s="10">
        <v>0.5</v>
      </c>
      <c r="N34" s="10">
        <v>0</v>
      </c>
    </row>
    <row r="35" spans="1:14" outlineLevel="1" x14ac:dyDescent="0.2">
      <c r="A35" s="9" t="s">
        <v>81</v>
      </c>
      <c r="B35" s="1" t="s">
        <v>82</v>
      </c>
      <c r="C35" s="28">
        <v>0.8</v>
      </c>
      <c r="D35" s="28">
        <v>0.8</v>
      </c>
      <c r="E35" s="28">
        <v>0.8</v>
      </c>
      <c r="F35" s="28">
        <v>0.8</v>
      </c>
      <c r="G35" s="28">
        <v>0.8</v>
      </c>
      <c r="H35" s="28">
        <v>0.8</v>
      </c>
      <c r="I35" s="28">
        <v>0.8</v>
      </c>
      <c r="J35" s="28">
        <v>0.8</v>
      </c>
      <c r="K35" s="28">
        <v>0.8</v>
      </c>
      <c r="L35" s="28">
        <v>0.8</v>
      </c>
      <c r="M35" s="28">
        <v>0.8</v>
      </c>
      <c r="N35" s="28">
        <v>0.8</v>
      </c>
    </row>
    <row r="36" spans="1:14" outlineLevel="1" x14ac:dyDescent="0.2">
      <c r="A36" s="9" t="s">
        <v>83</v>
      </c>
      <c r="B36" s="1" t="s">
        <v>84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outlineLevel="1" x14ac:dyDescent="0.2">
      <c r="A37" s="9" t="s">
        <v>85</v>
      </c>
      <c r="B37" s="1" t="s">
        <v>86</v>
      </c>
      <c r="C37" s="28">
        <v>0.1</v>
      </c>
      <c r="D37" s="28">
        <v>0.1</v>
      </c>
      <c r="E37" s="28">
        <v>0.1</v>
      </c>
      <c r="F37" s="28">
        <v>0.1</v>
      </c>
      <c r="G37" s="28">
        <v>0.1</v>
      </c>
      <c r="H37" s="28">
        <v>0.1</v>
      </c>
      <c r="I37" s="28">
        <v>0.1</v>
      </c>
      <c r="J37" s="28">
        <v>0.1</v>
      </c>
      <c r="K37" s="28">
        <v>0.1</v>
      </c>
      <c r="L37" s="28">
        <v>0.1</v>
      </c>
      <c r="M37" s="28">
        <v>0.1</v>
      </c>
      <c r="N37" s="28">
        <v>0.1</v>
      </c>
    </row>
    <row r="38" spans="1:14" outlineLevel="1" x14ac:dyDescent="0.2">
      <c r="A38" s="9" t="s">
        <v>87</v>
      </c>
      <c r="B38" s="1" t="s">
        <v>88</v>
      </c>
      <c r="C38" s="28">
        <v>0.5</v>
      </c>
      <c r="D38" s="28">
        <v>0.5</v>
      </c>
      <c r="E38" s="28">
        <v>0.5</v>
      </c>
      <c r="F38" s="28">
        <v>0.5</v>
      </c>
      <c r="G38" s="28">
        <v>0.5</v>
      </c>
      <c r="H38" s="28">
        <v>0.5</v>
      </c>
      <c r="I38" s="28">
        <v>0.8</v>
      </c>
      <c r="J38" s="28">
        <v>0.5</v>
      </c>
      <c r="K38" s="28">
        <v>0.5</v>
      </c>
      <c r="L38" s="28">
        <v>0.5</v>
      </c>
      <c r="M38" s="28">
        <v>0.8</v>
      </c>
      <c r="N38" s="28">
        <v>0.5</v>
      </c>
    </row>
    <row r="39" spans="1:14" outlineLevel="1" x14ac:dyDescent="0.2">
      <c r="A39" s="9" t="s">
        <v>89</v>
      </c>
      <c r="B39" s="1" t="s">
        <v>90</v>
      </c>
      <c r="C39" s="10">
        <v>0.5</v>
      </c>
      <c r="D39" s="10">
        <v>0.4</v>
      </c>
      <c r="E39" s="10">
        <v>0.4</v>
      </c>
      <c r="F39" s="10">
        <v>0.5</v>
      </c>
      <c r="G39" s="10">
        <v>0.5</v>
      </c>
      <c r="H39" s="10">
        <v>0.9</v>
      </c>
      <c r="I39" s="10">
        <v>0.5</v>
      </c>
      <c r="J39" s="10">
        <v>0.4</v>
      </c>
      <c r="K39" s="10">
        <v>0.5</v>
      </c>
      <c r="L39" s="10">
        <v>0.5</v>
      </c>
      <c r="M39" s="10">
        <v>0.9</v>
      </c>
      <c r="N39" s="10">
        <v>0.4</v>
      </c>
    </row>
    <row r="40" spans="1:14" outlineLevel="1" x14ac:dyDescent="0.2">
      <c r="A40" s="9" t="s">
        <v>93</v>
      </c>
      <c r="B40" s="1" t="s">
        <v>94</v>
      </c>
      <c r="C40" s="10">
        <v>0.6</v>
      </c>
      <c r="D40" s="10">
        <v>0.5</v>
      </c>
      <c r="E40" s="10">
        <v>0.5</v>
      </c>
      <c r="F40" s="10">
        <v>0.7</v>
      </c>
      <c r="G40" s="10">
        <v>0.4</v>
      </c>
      <c r="H40" s="10">
        <v>0.9</v>
      </c>
      <c r="I40" s="10">
        <v>0.6</v>
      </c>
      <c r="J40" s="10">
        <v>0.5</v>
      </c>
      <c r="K40" s="10">
        <v>0.7</v>
      </c>
      <c r="L40" s="10">
        <v>0.4</v>
      </c>
      <c r="M40" s="10">
        <v>0.9</v>
      </c>
      <c r="N40" s="10">
        <v>0.5</v>
      </c>
    </row>
    <row r="41" spans="1:14" outlineLevel="1" x14ac:dyDescent="0.2">
      <c r="A41" s="9" t="s">
        <v>95</v>
      </c>
      <c r="B41" s="1" t="s">
        <v>96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0.3</v>
      </c>
      <c r="I41" s="10">
        <v>0</v>
      </c>
      <c r="J41" s="10">
        <v>0</v>
      </c>
      <c r="K41" s="10">
        <v>0</v>
      </c>
      <c r="L41" s="10">
        <v>0</v>
      </c>
      <c r="M41" s="10">
        <v>0.3</v>
      </c>
      <c r="N41" s="10">
        <v>0</v>
      </c>
    </row>
    <row r="42" spans="1:14" outlineLevel="1" x14ac:dyDescent="0.2">
      <c r="A42" s="9" t="s">
        <v>97</v>
      </c>
      <c r="B42" s="1" t="s">
        <v>98</v>
      </c>
      <c r="C42" s="10">
        <v>0.4</v>
      </c>
      <c r="D42" s="10">
        <v>0.3</v>
      </c>
      <c r="E42" s="10">
        <v>0.9</v>
      </c>
      <c r="F42" s="10">
        <v>0.7</v>
      </c>
      <c r="G42" s="10">
        <v>0.4</v>
      </c>
      <c r="H42" s="10">
        <v>1.8</v>
      </c>
      <c r="I42" s="10">
        <v>1.5</v>
      </c>
      <c r="J42" s="10">
        <v>0.9</v>
      </c>
      <c r="K42" s="10">
        <v>0.7</v>
      </c>
      <c r="L42" s="10">
        <v>0.4</v>
      </c>
      <c r="M42" s="10">
        <v>1.8</v>
      </c>
      <c r="N42" s="10">
        <v>0.3</v>
      </c>
    </row>
    <row r="43" spans="1:14" outlineLevel="1" x14ac:dyDescent="0.2">
      <c r="A43" s="9" t="s">
        <v>303</v>
      </c>
      <c r="B43" s="1" t="s">
        <v>304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0.1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</row>
    <row r="44" spans="1:14" outlineLevel="1" x14ac:dyDescent="0.2">
      <c r="A44" s="9" t="s">
        <v>99</v>
      </c>
      <c r="B44" s="1" t="s">
        <v>100</v>
      </c>
      <c r="C44" s="10">
        <v>0</v>
      </c>
      <c r="D44" s="10">
        <v>0</v>
      </c>
      <c r="E44" s="10">
        <v>0</v>
      </c>
      <c r="F44" s="10">
        <v>0</v>
      </c>
      <c r="G44" s="10">
        <v>0</v>
      </c>
      <c r="H44" s="10">
        <v>0</v>
      </c>
      <c r="I44" s="10">
        <v>0</v>
      </c>
      <c r="J44" s="10">
        <v>0</v>
      </c>
      <c r="K44" s="10">
        <v>0</v>
      </c>
      <c r="L44" s="10">
        <v>0</v>
      </c>
      <c r="M44" s="10">
        <v>0</v>
      </c>
      <c r="N44" s="10">
        <v>0</v>
      </c>
    </row>
    <row r="45" spans="1:14" outlineLevel="1" x14ac:dyDescent="0.2">
      <c r="A45" s="9" t="s">
        <v>101</v>
      </c>
      <c r="B45" s="1" t="s">
        <v>102</v>
      </c>
      <c r="C45" s="10">
        <v>0</v>
      </c>
      <c r="D45" s="10">
        <v>0.1</v>
      </c>
      <c r="E45" s="10">
        <v>0</v>
      </c>
      <c r="F45" s="10">
        <v>0</v>
      </c>
      <c r="G45" s="10">
        <v>0.1</v>
      </c>
      <c r="H45" s="10">
        <v>0</v>
      </c>
      <c r="I45" s="10">
        <v>0</v>
      </c>
      <c r="J45" s="10">
        <v>0</v>
      </c>
      <c r="K45" s="10">
        <v>0</v>
      </c>
      <c r="L45" s="10">
        <v>0.1</v>
      </c>
      <c r="M45" s="10">
        <v>0</v>
      </c>
      <c r="N45" s="10">
        <v>0.1</v>
      </c>
    </row>
    <row r="46" spans="1:14" outlineLevel="1" x14ac:dyDescent="0.2">
      <c r="A46" s="9" t="s">
        <v>103</v>
      </c>
      <c r="B46" s="1" t="s">
        <v>104</v>
      </c>
      <c r="C46" s="28">
        <v>0.5</v>
      </c>
      <c r="D46" s="28">
        <v>0.5</v>
      </c>
      <c r="E46" s="28">
        <v>0.5</v>
      </c>
      <c r="F46" s="28">
        <v>0.5</v>
      </c>
      <c r="G46" s="28">
        <v>0.5</v>
      </c>
      <c r="H46" s="28">
        <v>0.5</v>
      </c>
      <c r="I46" s="28">
        <v>0.5</v>
      </c>
      <c r="J46" s="28">
        <v>0.5</v>
      </c>
      <c r="K46" s="28">
        <v>0.5</v>
      </c>
      <c r="L46" s="28">
        <v>0.5</v>
      </c>
      <c r="M46" s="28">
        <v>0.5</v>
      </c>
      <c r="N46" s="28">
        <v>0.5</v>
      </c>
    </row>
    <row r="47" spans="1:14" outlineLevel="1" x14ac:dyDescent="0.2">
      <c r="A47" s="9" t="s">
        <v>305</v>
      </c>
      <c r="B47" s="1" t="s">
        <v>306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outlineLevel="1" x14ac:dyDescent="0.2">
      <c r="A48" s="9" t="s">
        <v>105</v>
      </c>
      <c r="B48" s="1" t="s">
        <v>106</v>
      </c>
      <c r="C48" s="28">
        <v>9</v>
      </c>
      <c r="D48" s="28">
        <v>7</v>
      </c>
      <c r="E48" s="28">
        <v>9</v>
      </c>
      <c r="F48" s="28">
        <v>7</v>
      </c>
      <c r="G48" s="28">
        <v>11</v>
      </c>
      <c r="H48" s="28">
        <v>12</v>
      </c>
      <c r="I48" s="28">
        <v>12</v>
      </c>
      <c r="J48" s="28">
        <v>6</v>
      </c>
      <c r="K48" s="28">
        <v>4</v>
      </c>
      <c r="L48" s="28">
        <v>12</v>
      </c>
      <c r="M48" s="28">
        <v>4</v>
      </c>
      <c r="N48" s="28">
        <v>9</v>
      </c>
    </row>
    <row r="49" spans="1:14" outlineLevel="1" x14ac:dyDescent="0.2">
      <c r="A49" s="9" t="s">
        <v>107</v>
      </c>
      <c r="B49" s="1" t="s">
        <v>108</v>
      </c>
      <c r="C49" s="10">
        <v>0.1</v>
      </c>
      <c r="D49" s="10">
        <v>0</v>
      </c>
      <c r="E49" s="10">
        <v>0</v>
      </c>
      <c r="F49" s="10">
        <v>0</v>
      </c>
      <c r="G49" s="10">
        <v>0</v>
      </c>
      <c r="H49" s="10">
        <v>0.1</v>
      </c>
      <c r="I49" s="10">
        <v>0.2</v>
      </c>
      <c r="J49" s="10">
        <v>0</v>
      </c>
      <c r="K49" s="10">
        <v>0</v>
      </c>
      <c r="L49" s="10">
        <v>0</v>
      </c>
      <c r="M49" s="10">
        <v>0.1</v>
      </c>
      <c r="N49" s="10">
        <v>0</v>
      </c>
    </row>
    <row r="50" spans="1:14" outlineLevel="1" x14ac:dyDescent="0.2">
      <c r="A50" s="9" t="s">
        <v>109</v>
      </c>
      <c r="B50" s="1" t="s">
        <v>110</v>
      </c>
      <c r="C50" s="10">
        <v>0</v>
      </c>
      <c r="D50" s="10">
        <v>0</v>
      </c>
      <c r="E50" s="10">
        <v>0</v>
      </c>
      <c r="F50" s="10">
        <v>0</v>
      </c>
      <c r="G50" s="10">
        <v>0.2</v>
      </c>
      <c r="H50" s="10">
        <v>0</v>
      </c>
      <c r="I50" s="10">
        <v>0.7</v>
      </c>
      <c r="J50" s="10">
        <v>0</v>
      </c>
      <c r="K50" s="10">
        <v>0</v>
      </c>
      <c r="L50" s="10">
        <v>0.2</v>
      </c>
      <c r="M50" s="10">
        <v>0</v>
      </c>
      <c r="N50" s="10">
        <v>0</v>
      </c>
    </row>
    <row r="51" spans="1:14" outlineLevel="1" x14ac:dyDescent="0.2">
      <c r="A51" s="9" t="s">
        <v>307</v>
      </c>
      <c r="B51" s="1" t="s">
        <v>308</v>
      </c>
      <c r="C51" s="10">
        <v>-0.2</v>
      </c>
      <c r="D51" s="10">
        <v>0</v>
      </c>
      <c r="E51" s="10">
        <v>-0.3</v>
      </c>
      <c r="F51" s="10">
        <v>-0.7</v>
      </c>
      <c r="G51" s="10">
        <v>0.3</v>
      </c>
      <c r="H51" s="10">
        <v>0</v>
      </c>
      <c r="I51" s="10">
        <v>0</v>
      </c>
      <c r="J51" s="10">
        <v>-0.3</v>
      </c>
      <c r="K51" s="10">
        <v>-0.7</v>
      </c>
      <c r="L51" s="10">
        <v>0.3</v>
      </c>
      <c r="M51" s="10">
        <v>0</v>
      </c>
      <c r="N51" s="10">
        <v>0</v>
      </c>
    </row>
    <row r="52" spans="1:14" x14ac:dyDescent="0.2">
      <c r="A52" s="48" t="s">
        <v>111</v>
      </c>
      <c r="B52" s="49" t="s">
        <v>112</v>
      </c>
      <c r="C52" s="50">
        <f t="shared" ref="C52:N52" si="9">SUM(C53:C56)</f>
        <v>0.5</v>
      </c>
      <c r="D52" s="50">
        <f t="shared" si="9"/>
        <v>0</v>
      </c>
      <c r="E52" s="50">
        <f t="shared" si="9"/>
        <v>0</v>
      </c>
      <c r="F52" s="50">
        <f t="shared" si="9"/>
        <v>0</v>
      </c>
      <c r="G52" s="50">
        <f t="shared" si="9"/>
        <v>0</v>
      </c>
      <c r="H52" s="50">
        <f t="shared" si="9"/>
        <v>0</v>
      </c>
      <c r="I52" s="50">
        <f t="shared" si="9"/>
        <v>0.3</v>
      </c>
      <c r="J52" s="50">
        <f t="shared" si="9"/>
        <v>0</v>
      </c>
      <c r="K52" s="50">
        <f t="shared" si="9"/>
        <v>0</v>
      </c>
      <c r="L52" s="50">
        <f t="shared" si="9"/>
        <v>0</v>
      </c>
      <c r="M52" s="50">
        <f t="shared" si="9"/>
        <v>0.3</v>
      </c>
      <c r="N52" s="50">
        <f t="shared" si="9"/>
        <v>0.3</v>
      </c>
    </row>
    <row r="53" spans="1:14" outlineLevel="1" x14ac:dyDescent="0.2">
      <c r="A53" s="9" t="s">
        <v>113</v>
      </c>
      <c r="B53" s="1" t="s">
        <v>114</v>
      </c>
      <c r="C53" s="10">
        <v>0.5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outlineLevel="1" x14ac:dyDescent="0.2">
      <c r="A54" s="9" t="s">
        <v>388</v>
      </c>
      <c r="B54" s="1" t="s">
        <v>389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outlineLevel="1" x14ac:dyDescent="0.2">
      <c r="A55" s="9" t="s">
        <v>311</v>
      </c>
      <c r="B55" s="1" t="s">
        <v>312</v>
      </c>
      <c r="C55" s="10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0.3</v>
      </c>
      <c r="J55" s="10">
        <v>0</v>
      </c>
      <c r="K55" s="10">
        <v>0</v>
      </c>
      <c r="L55" s="10">
        <v>0</v>
      </c>
      <c r="M55" s="10">
        <v>0.3</v>
      </c>
      <c r="N55" s="10">
        <v>0.3</v>
      </c>
    </row>
    <row r="56" spans="1:14" outlineLevel="1" x14ac:dyDescent="0.2">
      <c r="A56" s="9" t="s">
        <v>117</v>
      </c>
      <c r="B56" s="1" t="s">
        <v>118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x14ac:dyDescent="0.2">
      <c r="A57" s="48" t="s">
        <v>119</v>
      </c>
      <c r="B57" s="49" t="s">
        <v>120</v>
      </c>
      <c r="C57" s="50">
        <f t="shared" ref="C57:N57" si="10">SUM(C58:C59)</f>
        <v>0.1</v>
      </c>
      <c r="D57" s="50">
        <f t="shared" si="10"/>
        <v>0.1</v>
      </c>
      <c r="E57" s="50">
        <f t="shared" si="10"/>
        <v>0.1</v>
      </c>
      <c r="F57" s="50">
        <f t="shared" si="10"/>
        <v>0.1</v>
      </c>
      <c r="G57" s="50">
        <f t="shared" si="10"/>
        <v>0.1</v>
      </c>
      <c r="H57" s="50">
        <f t="shared" si="10"/>
        <v>0.1</v>
      </c>
      <c r="I57" s="50">
        <f t="shared" si="10"/>
        <v>0.1</v>
      </c>
      <c r="J57" s="50">
        <f t="shared" si="10"/>
        <v>0.1</v>
      </c>
      <c r="K57" s="50">
        <f t="shared" si="10"/>
        <v>0.1</v>
      </c>
      <c r="L57" s="50">
        <f t="shared" si="10"/>
        <v>0.1</v>
      </c>
      <c r="M57" s="50">
        <f t="shared" si="10"/>
        <v>0.1</v>
      </c>
      <c r="N57" s="50">
        <f t="shared" si="10"/>
        <v>0.1</v>
      </c>
    </row>
    <row r="58" spans="1:14" outlineLevel="1" x14ac:dyDescent="0.2">
      <c r="A58" s="9" t="s">
        <v>123</v>
      </c>
      <c r="B58" s="1" t="s">
        <v>124</v>
      </c>
      <c r="C58" s="10">
        <v>0.1</v>
      </c>
      <c r="D58" s="10">
        <v>0.1</v>
      </c>
      <c r="E58" s="10">
        <v>0.1</v>
      </c>
      <c r="F58" s="10">
        <v>0.1</v>
      </c>
      <c r="G58" s="10">
        <v>0.1</v>
      </c>
      <c r="H58" s="10">
        <v>0.1</v>
      </c>
      <c r="I58" s="10">
        <v>0.1</v>
      </c>
      <c r="J58" s="10">
        <v>0.1</v>
      </c>
      <c r="K58" s="10">
        <v>0.1</v>
      </c>
      <c r="L58" s="10">
        <v>0.1</v>
      </c>
      <c r="M58" s="10">
        <v>0.1</v>
      </c>
      <c r="N58" s="10">
        <v>0.1</v>
      </c>
    </row>
    <row r="59" spans="1:14" outlineLevel="1" x14ac:dyDescent="0.2">
      <c r="A59" s="9" t="s">
        <v>125</v>
      </c>
      <c r="B59" s="1" t="s">
        <v>126</v>
      </c>
      <c r="C59" s="10">
        <v>0</v>
      </c>
      <c r="D59" s="10">
        <v>0</v>
      </c>
      <c r="E59" s="10">
        <v>0</v>
      </c>
      <c r="F59" s="10">
        <v>0</v>
      </c>
      <c r="G59" s="10">
        <v>0</v>
      </c>
      <c r="H59" s="10">
        <v>0</v>
      </c>
      <c r="I59" s="10">
        <v>0</v>
      </c>
      <c r="J59" s="10">
        <v>0</v>
      </c>
      <c r="K59" s="10">
        <v>0</v>
      </c>
      <c r="L59" s="10">
        <v>0</v>
      </c>
      <c r="M59" s="10">
        <v>0</v>
      </c>
      <c r="N59" s="10">
        <v>0</v>
      </c>
    </row>
    <row r="60" spans="1:14" x14ac:dyDescent="0.2">
      <c r="A60" s="48" t="s">
        <v>127</v>
      </c>
      <c r="B60" s="49" t="s">
        <v>128</v>
      </c>
      <c r="C60" s="50">
        <f t="shared" ref="C60:N60" si="11">SUM(C61:C62)</f>
        <v>0.7</v>
      </c>
      <c r="D60" s="50">
        <f t="shared" si="11"/>
        <v>0.3</v>
      </c>
      <c r="E60" s="50">
        <f t="shared" si="11"/>
        <v>0.2</v>
      </c>
      <c r="F60" s="50">
        <f t="shared" si="11"/>
        <v>-0.2</v>
      </c>
      <c r="G60" s="50">
        <f t="shared" si="11"/>
        <v>0.5</v>
      </c>
      <c r="H60" s="50">
        <f t="shared" si="11"/>
        <v>0.8</v>
      </c>
      <c r="I60" s="50">
        <f t="shared" si="11"/>
        <v>0.4</v>
      </c>
      <c r="J60" s="50">
        <f t="shared" si="11"/>
        <v>0.5</v>
      </c>
      <c r="K60" s="50">
        <f t="shared" si="11"/>
        <v>0.8</v>
      </c>
      <c r="L60" s="50">
        <f t="shared" si="11"/>
        <v>0.5</v>
      </c>
      <c r="M60" s="50">
        <f t="shared" si="11"/>
        <v>0.8</v>
      </c>
      <c r="N60" s="50">
        <f t="shared" si="11"/>
        <v>0.4</v>
      </c>
    </row>
    <row r="61" spans="1:14" outlineLevel="1" x14ac:dyDescent="0.2">
      <c r="A61" s="9" t="s">
        <v>129</v>
      </c>
      <c r="B61" s="1" t="s">
        <v>130</v>
      </c>
      <c r="C61" s="10">
        <v>0.7</v>
      </c>
      <c r="D61" s="10">
        <v>0.3</v>
      </c>
      <c r="E61" s="10">
        <v>0.2</v>
      </c>
      <c r="F61" s="10">
        <v>-0.2</v>
      </c>
      <c r="G61" s="10">
        <v>0.5</v>
      </c>
      <c r="H61" s="10">
        <v>0.8</v>
      </c>
      <c r="I61" s="10">
        <v>0.4</v>
      </c>
      <c r="J61" s="10">
        <v>0.5</v>
      </c>
      <c r="K61" s="10">
        <v>0.8</v>
      </c>
      <c r="L61" s="10">
        <v>0.5</v>
      </c>
      <c r="M61" s="10">
        <v>0.8</v>
      </c>
      <c r="N61" s="10">
        <v>0.4</v>
      </c>
    </row>
    <row r="62" spans="1:14" outlineLevel="1" x14ac:dyDescent="0.2">
      <c r="A62" s="9" t="s">
        <v>131</v>
      </c>
      <c r="B62" s="1" t="s">
        <v>132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</row>
    <row r="63" spans="1:14" x14ac:dyDescent="0.2">
      <c r="A63" s="48" t="s">
        <v>133</v>
      </c>
      <c r="B63" s="49" t="s">
        <v>134</v>
      </c>
      <c r="C63" s="50">
        <f t="shared" ref="C63:N63" si="12">+C64</f>
        <v>0.1</v>
      </c>
      <c r="D63" s="50">
        <f t="shared" si="12"/>
        <v>-3.1</v>
      </c>
      <c r="E63" s="50">
        <f t="shared" si="12"/>
        <v>0.3</v>
      </c>
      <c r="F63" s="50">
        <f t="shared" si="12"/>
        <v>5.9</v>
      </c>
      <c r="G63" s="50">
        <f t="shared" si="12"/>
        <v>-0.5</v>
      </c>
      <c r="H63" s="50">
        <f t="shared" si="12"/>
        <v>8.1</v>
      </c>
      <c r="I63" s="50">
        <f t="shared" si="12"/>
        <v>0</v>
      </c>
      <c r="J63" s="50">
        <f t="shared" si="12"/>
        <v>5.9</v>
      </c>
      <c r="K63" s="50">
        <f t="shared" si="12"/>
        <v>-0.5</v>
      </c>
      <c r="L63" s="50">
        <f t="shared" si="12"/>
        <v>8.1</v>
      </c>
      <c r="M63" s="50">
        <f t="shared" si="12"/>
        <v>7</v>
      </c>
      <c r="N63" s="50">
        <f t="shared" si="12"/>
        <v>-0.3</v>
      </c>
    </row>
    <row r="64" spans="1:14" outlineLevel="1" x14ac:dyDescent="0.2">
      <c r="A64" s="9" t="s">
        <v>335</v>
      </c>
      <c r="B64" s="1" t="s">
        <v>336</v>
      </c>
      <c r="C64" s="10">
        <v>0.1</v>
      </c>
      <c r="D64" s="10">
        <v>-3.1</v>
      </c>
      <c r="E64" s="10">
        <v>0.3</v>
      </c>
      <c r="F64" s="10">
        <v>5.9</v>
      </c>
      <c r="G64" s="10">
        <v>-0.5</v>
      </c>
      <c r="H64" s="10">
        <v>8.1</v>
      </c>
      <c r="I64" s="10">
        <v>0</v>
      </c>
      <c r="J64" s="10">
        <v>5.9</v>
      </c>
      <c r="K64" s="10">
        <v>-0.5</v>
      </c>
      <c r="L64" s="10">
        <v>8.1</v>
      </c>
      <c r="M64" s="10">
        <v>7</v>
      </c>
      <c r="N64" s="10">
        <v>-0.3</v>
      </c>
    </row>
    <row r="65" spans="1:14" x14ac:dyDescent="0.2">
      <c r="A65" s="48" t="s">
        <v>137</v>
      </c>
      <c r="B65" s="49" t="s">
        <v>138</v>
      </c>
      <c r="C65" s="50">
        <f t="shared" ref="C65:N65" si="13">+C66</f>
        <v>0</v>
      </c>
      <c r="D65" s="50">
        <f t="shared" si="13"/>
        <v>0</v>
      </c>
      <c r="E65" s="50">
        <f t="shared" si="13"/>
        <v>0</v>
      </c>
      <c r="F65" s="50">
        <f t="shared" si="13"/>
        <v>0</v>
      </c>
      <c r="G65" s="50">
        <f t="shared" si="13"/>
        <v>0</v>
      </c>
      <c r="H65" s="50">
        <f t="shared" si="13"/>
        <v>0</v>
      </c>
      <c r="I65" s="50">
        <f t="shared" si="13"/>
        <v>0</v>
      </c>
      <c r="J65" s="50">
        <f t="shared" si="13"/>
        <v>0</v>
      </c>
      <c r="K65" s="50">
        <f t="shared" si="13"/>
        <v>0</v>
      </c>
      <c r="L65" s="50">
        <f t="shared" si="13"/>
        <v>0</v>
      </c>
      <c r="M65" s="50">
        <f t="shared" si="13"/>
        <v>0</v>
      </c>
      <c r="N65" s="50">
        <f t="shared" si="13"/>
        <v>0</v>
      </c>
    </row>
    <row r="66" spans="1:14" outlineLevel="1" x14ac:dyDescent="0.2">
      <c r="A66" s="9" t="s">
        <v>351</v>
      </c>
      <c r="B66" s="1" t="s">
        <v>352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</row>
    <row r="67" spans="1:14" x14ac:dyDescent="0.2">
      <c r="A67" s="48" t="s">
        <v>139</v>
      </c>
      <c r="B67" s="49" t="s">
        <v>140</v>
      </c>
      <c r="C67" s="50">
        <v>0</v>
      </c>
      <c r="D67" s="50">
        <v>0</v>
      </c>
      <c r="E67" s="50">
        <v>0</v>
      </c>
      <c r="F67" s="50">
        <v>0</v>
      </c>
      <c r="G67" s="50">
        <v>0</v>
      </c>
      <c r="H67" s="50">
        <v>0</v>
      </c>
      <c r="I67" s="50">
        <v>0</v>
      </c>
      <c r="J67" s="50">
        <v>0</v>
      </c>
      <c r="K67" s="50">
        <v>0</v>
      </c>
      <c r="L67" s="50">
        <v>0</v>
      </c>
      <c r="M67" s="50">
        <v>0</v>
      </c>
      <c r="N67" s="50">
        <v>0</v>
      </c>
    </row>
    <row r="68" spans="1:14" x14ac:dyDescent="0.2">
      <c r="A68" s="48" t="s">
        <v>141</v>
      </c>
      <c r="B68" s="49" t="s">
        <v>142</v>
      </c>
      <c r="C68" s="50">
        <v>0</v>
      </c>
      <c r="D68" s="50">
        <v>0</v>
      </c>
      <c r="E68" s="50">
        <v>0</v>
      </c>
      <c r="F68" s="50">
        <v>0</v>
      </c>
      <c r="G68" s="50">
        <v>0</v>
      </c>
      <c r="H68" s="50">
        <v>0</v>
      </c>
      <c r="I68" s="50">
        <v>0</v>
      </c>
      <c r="J68" s="50">
        <v>0</v>
      </c>
      <c r="K68" s="50">
        <v>0</v>
      </c>
      <c r="L68" s="50">
        <v>0</v>
      </c>
      <c r="M68" s="50">
        <v>0</v>
      </c>
      <c r="N68" s="50">
        <v>0</v>
      </c>
    </row>
    <row r="69" spans="1:14" x14ac:dyDescent="0.2">
      <c r="A69" s="48" t="s">
        <v>143</v>
      </c>
      <c r="B69" s="49" t="s">
        <v>144</v>
      </c>
      <c r="C69" s="50">
        <v>0</v>
      </c>
      <c r="D69" s="50">
        <v>0</v>
      </c>
      <c r="E69" s="50">
        <v>0</v>
      </c>
      <c r="F69" s="50">
        <v>0</v>
      </c>
      <c r="G69" s="50">
        <v>0</v>
      </c>
      <c r="H69" s="50">
        <v>0</v>
      </c>
      <c r="I69" s="50">
        <v>0</v>
      </c>
      <c r="J69" s="50">
        <v>0</v>
      </c>
      <c r="K69" s="50">
        <v>0</v>
      </c>
      <c r="L69" s="50">
        <v>0</v>
      </c>
      <c r="M69" s="50">
        <v>0</v>
      </c>
      <c r="N69" s="50">
        <v>0</v>
      </c>
    </row>
    <row r="70" spans="1:14" x14ac:dyDescent="0.2">
      <c r="A70" s="48" t="s">
        <v>157</v>
      </c>
      <c r="B70" s="49" t="s">
        <v>158</v>
      </c>
      <c r="C70" s="50">
        <f t="shared" ref="C70:N70" si="14">+C71</f>
        <v>-0.2</v>
      </c>
      <c r="D70" s="50">
        <f t="shared" si="14"/>
        <v>-0.2</v>
      </c>
      <c r="E70" s="50">
        <f t="shared" si="14"/>
        <v>-0.2</v>
      </c>
      <c r="F70" s="50">
        <f t="shared" si="14"/>
        <v>-0.2</v>
      </c>
      <c r="G70" s="50">
        <f t="shared" si="14"/>
        <v>-0.2</v>
      </c>
      <c r="H70" s="50">
        <f t="shared" si="14"/>
        <v>-0.2</v>
      </c>
      <c r="I70" s="50">
        <f t="shared" si="14"/>
        <v>-0.2</v>
      </c>
      <c r="J70" s="50">
        <f t="shared" si="14"/>
        <v>-0.2</v>
      </c>
      <c r="K70" s="50">
        <f t="shared" si="14"/>
        <v>-0.2</v>
      </c>
      <c r="L70" s="50">
        <f t="shared" si="14"/>
        <v>-0.2</v>
      </c>
      <c r="M70" s="50">
        <f t="shared" si="14"/>
        <v>-0.2</v>
      </c>
      <c r="N70" s="50">
        <f t="shared" si="14"/>
        <v>-0.2</v>
      </c>
    </row>
    <row r="71" spans="1:14" outlineLevel="1" x14ac:dyDescent="0.2">
      <c r="A71" s="9" t="s">
        <v>159</v>
      </c>
      <c r="B71" s="1" t="s">
        <v>160</v>
      </c>
      <c r="C71" s="10">
        <v>-0.2</v>
      </c>
      <c r="D71" s="10">
        <v>-0.2</v>
      </c>
      <c r="E71" s="10">
        <v>-0.2</v>
      </c>
      <c r="F71" s="10">
        <v>-0.2</v>
      </c>
      <c r="G71" s="10">
        <v>-0.2</v>
      </c>
      <c r="H71" s="10">
        <v>-0.2</v>
      </c>
      <c r="I71" s="10">
        <v>-0.2</v>
      </c>
      <c r="J71" s="10">
        <v>-0.2</v>
      </c>
      <c r="K71" s="10">
        <v>-0.2</v>
      </c>
      <c r="L71" s="10">
        <v>-0.2</v>
      </c>
      <c r="M71" s="10">
        <v>-0.2</v>
      </c>
      <c r="N71" s="10">
        <v>-0.2</v>
      </c>
    </row>
    <row r="72" spans="1:14" x14ac:dyDescent="0.2">
      <c r="A72" s="52"/>
      <c r="B72" s="52" t="s">
        <v>165</v>
      </c>
      <c r="C72" s="53">
        <f t="shared" ref="C72:N72" si="15">+C32+C52+C57+C60+C63+C65+C67+C68+C69+C70</f>
        <v>22.500000000000004</v>
      </c>
      <c r="D72" s="53">
        <f t="shared" si="15"/>
        <v>16.300000000000004</v>
      </c>
      <c r="E72" s="53">
        <f t="shared" si="15"/>
        <v>19.8</v>
      </c>
      <c r="F72" s="53">
        <f t="shared" si="15"/>
        <v>21.7</v>
      </c>
      <c r="G72" s="53">
        <f t="shared" si="15"/>
        <v>20.7</v>
      </c>
      <c r="H72" s="53">
        <f t="shared" si="15"/>
        <v>32.200000000000003</v>
      </c>
      <c r="I72" s="53">
        <f t="shared" si="15"/>
        <v>26.4</v>
      </c>
      <c r="J72" s="53">
        <f t="shared" si="15"/>
        <v>25.700000000000006</v>
      </c>
      <c r="K72" s="53">
        <f t="shared" si="15"/>
        <v>14.299999999999999</v>
      </c>
      <c r="L72" s="53">
        <f t="shared" si="15"/>
        <v>32.299999999999997</v>
      </c>
      <c r="M72" s="53">
        <f t="shared" si="15"/>
        <v>27.700000000000006</v>
      </c>
      <c r="N72" s="53">
        <f t="shared" si="15"/>
        <v>18.500000000000004</v>
      </c>
    </row>
    <row r="73" spans="1:14" x14ac:dyDescent="0.2">
      <c r="A73" s="51"/>
      <c r="B73" s="51" t="s">
        <v>166</v>
      </c>
      <c r="C73" s="19">
        <f>+C30-C72</f>
        <v>43</v>
      </c>
      <c r="D73" s="19">
        <f t="shared" ref="D73:N73" si="16">+D30-D72</f>
        <v>76.699999999999989</v>
      </c>
      <c r="E73" s="19">
        <f t="shared" si="16"/>
        <v>41.2</v>
      </c>
      <c r="F73" s="19">
        <f t="shared" si="16"/>
        <v>56.5</v>
      </c>
      <c r="G73" s="19">
        <f t="shared" si="16"/>
        <v>18.3</v>
      </c>
      <c r="H73" s="19">
        <f t="shared" si="16"/>
        <v>29.799999999999997</v>
      </c>
      <c r="I73" s="19">
        <f t="shared" si="16"/>
        <v>59.6</v>
      </c>
      <c r="J73" s="19">
        <f t="shared" si="16"/>
        <v>61.5</v>
      </c>
      <c r="K73" s="19">
        <f t="shared" si="16"/>
        <v>61.2</v>
      </c>
      <c r="L73" s="19">
        <f t="shared" si="16"/>
        <v>27.700000000000003</v>
      </c>
      <c r="M73" s="19">
        <f t="shared" si="16"/>
        <v>85.3</v>
      </c>
      <c r="N73" s="19">
        <f t="shared" si="16"/>
        <v>62.5</v>
      </c>
    </row>
    <row r="74" spans="1:14" x14ac:dyDescent="0.2">
      <c r="A74" s="48" t="s">
        <v>167</v>
      </c>
      <c r="B74" s="49" t="s">
        <v>168</v>
      </c>
      <c r="C74" s="50">
        <f t="shared" ref="C74:N74" si="17">SUM(C75:C78)</f>
        <v>0</v>
      </c>
      <c r="D74" s="50">
        <f t="shared" si="17"/>
        <v>0</v>
      </c>
      <c r="E74" s="50">
        <f t="shared" si="17"/>
        <v>0</v>
      </c>
      <c r="F74" s="50">
        <f t="shared" si="17"/>
        <v>0</v>
      </c>
      <c r="G74" s="50">
        <f t="shared" si="17"/>
        <v>0</v>
      </c>
      <c r="H74" s="50">
        <f t="shared" si="17"/>
        <v>9.5</v>
      </c>
      <c r="I74" s="50">
        <f t="shared" si="17"/>
        <v>0</v>
      </c>
      <c r="J74" s="50">
        <f t="shared" si="17"/>
        <v>9.5</v>
      </c>
      <c r="K74" s="50">
        <f t="shared" si="17"/>
        <v>0</v>
      </c>
      <c r="L74" s="50">
        <f t="shared" si="17"/>
        <v>8.7999999999999989</v>
      </c>
      <c r="M74" s="50">
        <f t="shared" si="17"/>
        <v>0</v>
      </c>
      <c r="N74" s="50">
        <f t="shared" si="17"/>
        <v>1.9000000000000001</v>
      </c>
    </row>
    <row r="75" spans="1:14" outlineLevel="1" x14ac:dyDescent="0.2">
      <c r="A75" s="9" t="s">
        <v>169</v>
      </c>
      <c r="B75" s="1" t="s">
        <v>170</v>
      </c>
      <c r="C75" s="10">
        <v>0</v>
      </c>
      <c r="D75" s="10">
        <v>0</v>
      </c>
      <c r="E75" s="10">
        <v>0</v>
      </c>
      <c r="F75" s="10">
        <v>0</v>
      </c>
      <c r="G75" s="10">
        <v>0</v>
      </c>
      <c r="H75" s="10">
        <v>0.5</v>
      </c>
      <c r="I75" s="10">
        <v>0</v>
      </c>
      <c r="J75" s="10">
        <v>0.5</v>
      </c>
      <c r="K75" s="10">
        <v>0</v>
      </c>
      <c r="L75" s="10">
        <v>0.5</v>
      </c>
      <c r="M75" s="10">
        <v>0</v>
      </c>
      <c r="N75" s="10">
        <v>1</v>
      </c>
    </row>
    <row r="76" spans="1:14" outlineLevel="1" x14ac:dyDescent="0.2">
      <c r="A76" s="9" t="s">
        <v>171</v>
      </c>
      <c r="B76" s="1" t="s">
        <v>172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0.7</v>
      </c>
      <c r="I76" s="10">
        <v>0</v>
      </c>
      <c r="J76" s="10">
        <v>0.7</v>
      </c>
      <c r="K76" s="10">
        <v>0</v>
      </c>
      <c r="L76" s="10">
        <v>0.9</v>
      </c>
      <c r="M76" s="10">
        <v>0</v>
      </c>
      <c r="N76" s="10">
        <v>0.6</v>
      </c>
    </row>
    <row r="77" spans="1:14" outlineLevel="1" x14ac:dyDescent="0.2">
      <c r="A77" s="9" t="s">
        <v>175</v>
      </c>
      <c r="B77" s="1" t="s">
        <v>176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7.7</v>
      </c>
      <c r="I77" s="10">
        <v>0</v>
      </c>
      <c r="J77" s="10">
        <v>7.7</v>
      </c>
      <c r="K77" s="10">
        <v>0</v>
      </c>
      <c r="L77" s="10">
        <v>6.8</v>
      </c>
      <c r="M77" s="10">
        <v>0</v>
      </c>
      <c r="N77" s="10">
        <v>0.3</v>
      </c>
    </row>
    <row r="78" spans="1:14" outlineLevel="1" x14ac:dyDescent="0.2">
      <c r="A78" s="9" t="s">
        <v>177</v>
      </c>
      <c r="B78" s="1" t="s">
        <v>178</v>
      </c>
      <c r="C78" s="10">
        <v>0</v>
      </c>
      <c r="D78" s="10">
        <v>0</v>
      </c>
      <c r="E78" s="10">
        <v>0</v>
      </c>
      <c r="F78" s="10">
        <v>0</v>
      </c>
      <c r="G78" s="10">
        <v>0</v>
      </c>
      <c r="H78" s="10">
        <v>0.6</v>
      </c>
      <c r="I78" s="10">
        <v>0</v>
      </c>
      <c r="J78" s="10">
        <v>0.6</v>
      </c>
      <c r="K78" s="10">
        <v>0</v>
      </c>
      <c r="L78" s="10">
        <v>0.6</v>
      </c>
      <c r="M78" s="10">
        <v>0</v>
      </c>
      <c r="N78" s="10">
        <v>0</v>
      </c>
    </row>
    <row r="79" spans="1:14" x14ac:dyDescent="0.2">
      <c r="A79" s="48" t="s">
        <v>200</v>
      </c>
      <c r="B79" s="49" t="s">
        <v>201</v>
      </c>
      <c r="C79" s="50">
        <f t="shared" ref="C79:N79" si="18">SUM(C80:C83)</f>
        <v>0</v>
      </c>
      <c r="D79" s="50">
        <f t="shared" si="18"/>
        <v>0</v>
      </c>
      <c r="E79" s="50">
        <f t="shared" si="18"/>
        <v>0</v>
      </c>
      <c r="F79" s="50">
        <f t="shared" si="18"/>
        <v>0</v>
      </c>
      <c r="G79" s="50">
        <f t="shared" si="18"/>
        <v>0</v>
      </c>
      <c r="H79" s="50">
        <f t="shared" si="18"/>
        <v>0.7</v>
      </c>
      <c r="I79" s="50">
        <f t="shared" si="18"/>
        <v>0</v>
      </c>
      <c r="J79" s="50">
        <f t="shared" si="18"/>
        <v>0.1</v>
      </c>
      <c r="K79" s="50">
        <f t="shared" si="18"/>
        <v>0.6</v>
      </c>
      <c r="L79" s="50">
        <f t="shared" si="18"/>
        <v>0</v>
      </c>
      <c r="M79" s="50">
        <f t="shared" si="18"/>
        <v>0.7</v>
      </c>
      <c r="N79" s="50">
        <f t="shared" si="18"/>
        <v>0</v>
      </c>
    </row>
    <row r="80" spans="1:14" outlineLevel="1" x14ac:dyDescent="0.2">
      <c r="A80" s="9" t="s">
        <v>212</v>
      </c>
      <c r="B80" s="1" t="s">
        <v>213</v>
      </c>
      <c r="C80" s="10">
        <v>0</v>
      </c>
      <c r="D80" s="10">
        <v>0</v>
      </c>
      <c r="E80" s="10">
        <v>0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</v>
      </c>
      <c r="L80" s="10">
        <v>0</v>
      </c>
      <c r="M80" s="10">
        <v>0</v>
      </c>
      <c r="N80" s="10">
        <v>0</v>
      </c>
    </row>
    <row r="81" spans="1:14" outlineLevel="1" x14ac:dyDescent="0.2">
      <c r="A81" s="9" t="s">
        <v>214</v>
      </c>
      <c r="B81" s="1" t="s">
        <v>215</v>
      </c>
      <c r="C81" s="10">
        <v>0</v>
      </c>
      <c r="D81" s="10">
        <v>0</v>
      </c>
      <c r="E81" s="10">
        <v>0</v>
      </c>
      <c r="F81" s="10">
        <v>0</v>
      </c>
      <c r="G81" s="10">
        <v>0</v>
      </c>
      <c r="H81" s="10">
        <v>0</v>
      </c>
      <c r="I81" s="10">
        <v>0</v>
      </c>
      <c r="J81" s="10">
        <v>0</v>
      </c>
      <c r="K81" s="10">
        <v>0</v>
      </c>
      <c r="L81" s="10">
        <v>0</v>
      </c>
      <c r="M81" s="10">
        <v>0</v>
      </c>
      <c r="N81" s="10">
        <v>0</v>
      </c>
    </row>
    <row r="82" spans="1:14" outlineLevel="1" x14ac:dyDescent="0.2">
      <c r="A82" s="9" t="s">
        <v>218</v>
      </c>
      <c r="B82" s="1" t="s">
        <v>219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0.7</v>
      </c>
      <c r="I82" s="10">
        <v>0</v>
      </c>
      <c r="J82" s="10">
        <v>0</v>
      </c>
      <c r="K82" s="10">
        <v>0.6</v>
      </c>
      <c r="L82" s="10">
        <v>0</v>
      </c>
      <c r="M82" s="10">
        <v>0.7</v>
      </c>
      <c r="N82" s="10">
        <v>0</v>
      </c>
    </row>
    <row r="83" spans="1:14" outlineLevel="1" x14ac:dyDescent="0.2">
      <c r="A83" s="9" t="s">
        <v>220</v>
      </c>
      <c r="B83" s="1" t="s">
        <v>221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0.1</v>
      </c>
      <c r="K83" s="10">
        <v>0</v>
      </c>
      <c r="L83" s="10">
        <v>0</v>
      </c>
      <c r="M83" s="10">
        <v>0</v>
      </c>
      <c r="N83" s="10">
        <v>0</v>
      </c>
    </row>
    <row r="84" spans="1:14" x14ac:dyDescent="0.2">
      <c r="A84" s="48" t="s">
        <v>226</v>
      </c>
      <c r="B84" s="49" t="s">
        <v>227</v>
      </c>
      <c r="C84" s="50">
        <v>0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50">
        <v>0</v>
      </c>
      <c r="L84" s="50">
        <v>0</v>
      </c>
      <c r="M84" s="50">
        <v>0</v>
      </c>
      <c r="N84" s="50">
        <v>0</v>
      </c>
    </row>
    <row r="85" spans="1:14" x14ac:dyDescent="0.2">
      <c r="A85" s="48" t="s">
        <v>228</v>
      </c>
      <c r="B85" s="49" t="s">
        <v>229</v>
      </c>
      <c r="C85" s="50">
        <v>0</v>
      </c>
      <c r="D85" s="50">
        <v>0</v>
      </c>
      <c r="E85" s="50">
        <v>0</v>
      </c>
      <c r="F85" s="50">
        <v>0</v>
      </c>
      <c r="G85" s="50">
        <v>0</v>
      </c>
      <c r="H85" s="50">
        <v>0</v>
      </c>
      <c r="I85" s="50">
        <v>0</v>
      </c>
      <c r="J85" s="50">
        <v>0</v>
      </c>
      <c r="K85" s="50">
        <v>0</v>
      </c>
      <c r="L85" s="50">
        <v>0</v>
      </c>
      <c r="M85" s="50">
        <v>0</v>
      </c>
      <c r="N85" s="50">
        <v>0</v>
      </c>
    </row>
    <row r="86" spans="1:14" x14ac:dyDescent="0.2">
      <c r="A86" s="48" t="s">
        <v>230</v>
      </c>
      <c r="B86" s="49" t="s">
        <v>231</v>
      </c>
      <c r="C86" s="50">
        <f t="shared" ref="C86:N86" si="19">+C87+C88</f>
        <v>4.2</v>
      </c>
      <c r="D86" s="50">
        <f t="shared" si="19"/>
        <v>4.2</v>
      </c>
      <c r="E86" s="50">
        <f t="shared" si="19"/>
        <v>4.2</v>
      </c>
      <c r="F86" s="50">
        <f t="shared" si="19"/>
        <v>4.2</v>
      </c>
      <c r="G86" s="50">
        <f t="shared" si="19"/>
        <v>4.2</v>
      </c>
      <c r="H86" s="50">
        <f t="shared" si="19"/>
        <v>4.2</v>
      </c>
      <c r="I86" s="50">
        <f t="shared" si="19"/>
        <v>4.2</v>
      </c>
      <c r="J86" s="50">
        <f t="shared" si="19"/>
        <v>4.2</v>
      </c>
      <c r="K86" s="50">
        <f t="shared" si="19"/>
        <v>4.2</v>
      </c>
      <c r="L86" s="50">
        <f t="shared" si="19"/>
        <v>4.2</v>
      </c>
      <c r="M86" s="50">
        <f t="shared" si="19"/>
        <v>4.2</v>
      </c>
      <c r="N86" s="50">
        <f t="shared" si="19"/>
        <v>4.2</v>
      </c>
    </row>
    <row r="87" spans="1:14" outlineLevel="1" x14ac:dyDescent="0.2">
      <c r="A87" s="9" t="s">
        <v>232</v>
      </c>
      <c r="B87" s="1" t="s">
        <v>233</v>
      </c>
      <c r="C87" s="28">
        <v>3.2</v>
      </c>
      <c r="D87" s="28">
        <v>3.2</v>
      </c>
      <c r="E87" s="28">
        <v>3.2</v>
      </c>
      <c r="F87" s="28">
        <v>3.2</v>
      </c>
      <c r="G87" s="28">
        <v>3.2</v>
      </c>
      <c r="H87" s="28">
        <v>3.2</v>
      </c>
      <c r="I87" s="28">
        <v>3.2</v>
      </c>
      <c r="J87" s="28">
        <v>3.2</v>
      </c>
      <c r="K87" s="28">
        <v>3.2</v>
      </c>
      <c r="L87" s="28">
        <v>3.2</v>
      </c>
      <c r="M87" s="28">
        <v>3.2</v>
      </c>
      <c r="N87" s="28">
        <v>3.2</v>
      </c>
    </row>
    <row r="88" spans="1:14" outlineLevel="1" x14ac:dyDescent="0.2">
      <c r="A88" s="9" t="s">
        <v>234</v>
      </c>
      <c r="B88" s="1" t="s">
        <v>235</v>
      </c>
      <c r="C88" s="28">
        <v>1</v>
      </c>
      <c r="D88" s="28">
        <v>1</v>
      </c>
      <c r="E88" s="28">
        <v>1</v>
      </c>
      <c r="F88" s="28">
        <v>1</v>
      </c>
      <c r="G88" s="28">
        <v>1</v>
      </c>
      <c r="H88" s="28">
        <v>1</v>
      </c>
      <c r="I88" s="28">
        <v>1</v>
      </c>
      <c r="J88" s="28">
        <v>1</v>
      </c>
      <c r="K88" s="28">
        <v>1</v>
      </c>
      <c r="L88" s="28">
        <v>1</v>
      </c>
      <c r="M88" s="28">
        <v>1</v>
      </c>
      <c r="N88" s="28">
        <v>1</v>
      </c>
    </row>
    <row r="89" spans="1:14" x14ac:dyDescent="0.2">
      <c r="A89" s="52"/>
      <c r="B89" s="52" t="s">
        <v>236</v>
      </c>
      <c r="C89" s="53">
        <f t="shared" ref="C89:N89" si="20">+C74+C79+C84+C85+C86</f>
        <v>4.2</v>
      </c>
      <c r="D89" s="53">
        <f t="shared" si="20"/>
        <v>4.2</v>
      </c>
      <c r="E89" s="53">
        <f t="shared" si="20"/>
        <v>4.2</v>
      </c>
      <c r="F89" s="53">
        <f t="shared" si="20"/>
        <v>4.2</v>
      </c>
      <c r="G89" s="53">
        <f t="shared" si="20"/>
        <v>4.2</v>
      </c>
      <c r="H89" s="53">
        <f t="shared" si="20"/>
        <v>14.399999999999999</v>
      </c>
      <c r="I89" s="53">
        <f t="shared" si="20"/>
        <v>4.2</v>
      </c>
      <c r="J89" s="53">
        <f t="shared" si="20"/>
        <v>13.8</v>
      </c>
      <c r="K89" s="53">
        <f t="shared" si="20"/>
        <v>4.8</v>
      </c>
      <c r="L89" s="53">
        <f t="shared" si="20"/>
        <v>13</v>
      </c>
      <c r="M89" s="53">
        <f t="shared" si="20"/>
        <v>4.9000000000000004</v>
      </c>
      <c r="N89" s="53">
        <f t="shared" si="20"/>
        <v>6.1000000000000005</v>
      </c>
    </row>
    <row r="90" spans="1:14" x14ac:dyDescent="0.2">
      <c r="A90" s="51"/>
      <c r="B90" s="51" t="s">
        <v>237</v>
      </c>
      <c r="C90" s="19">
        <f t="shared" ref="C90:N90" si="21">+C73-C89</f>
        <v>38.799999999999997</v>
      </c>
      <c r="D90" s="19">
        <f t="shared" si="21"/>
        <v>72.499999999999986</v>
      </c>
      <c r="E90" s="19">
        <f t="shared" si="21"/>
        <v>37</v>
      </c>
      <c r="F90" s="19">
        <f t="shared" si="21"/>
        <v>52.3</v>
      </c>
      <c r="G90" s="19">
        <f t="shared" si="21"/>
        <v>14.100000000000001</v>
      </c>
      <c r="H90" s="19">
        <f t="shared" si="21"/>
        <v>15.399999999999999</v>
      </c>
      <c r="I90" s="19">
        <f t="shared" si="21"/>
        <v>55.4</v>
      </c>
      <c r="J90" s="19">
        <f t="shared" si="21"/>
        <v>47.7</v>
      </c>
      <c r="K90" s="19">
        <f t="shared" si="21"/>
        <v>56.400000000000006</v>
      </c>
      <c r="L90" s="19">
        <f t="shared" si="21"/>
        <v>14.700000000000003</v>
      </c>
      <c r="M90" s="19">
        <f t="shared" si="21"/>
        <v>80.399999999999991</v>
      </c>
      <c r="N90" s="19">
        <f t="shared" si="21"/>
        <v>56.4</v>
      </c>
    </row>
    <row r="91" spans="1:14" x14ac:dyDescent="0.2">
      <c r="A91" s="48" t="s">
        <v>238</v>
      </c>
      <c r="B91" s="49" t="s">
        <v>239</v>
      </c>
      <c r="C91" s="50">
        <f t="shared" ref="C91:N91" si="22">SUM(C92:C95)</f>
        <v>0.4</v>
      </c>
      <c r="D91" s="50">
        <f t="shared" si="22"/>
        <v>0.4</v>
      </c>
      <c r="E91" s="50">
        <f t="shared" si="22"/>
        <v>0.4</v>
      </c>
      <c r="F91" s="50">
        <f t="shared" si="22"/>
        <v>0.4</v>
      </c>
      <c r="G91" s="50">
        <f t="shared" si="22"/>
        <v>0.4</v>
      </c>
      <c r="H91" s="50">
        <f t="shared" si="22"/>
        <v>0.4</v>
      </c>
      <c r="I91" s="50">
        <f t="shared" si="22"/>
        <v>0.4</v>
      </c>
      <c r="J91" s="50">
        <f t="shared" si="22"/>
        <v>0.4</v>
      </c>
      <c r="K91" s="50">
        <f t="shared" si="22"/>
        <v>0.60000000000000009</v>
      </c>
      <c r="L91" s="50">
        <f t="shared" si="22"/>
        <v>0.4</v>
      </c>
      <c r="M91" s="50">
        <f t="shared" si="22"/>
        <v>0.4</v>
      </c>
      <c r="N91" s="50">
        <f t="shared" si="22"/>
        <v>0.4</v>
      </c>
    </row>
    <row r="92" spans="1:14" outlineLevel="1" x14ac:dyDescent="0.2">
      <c r="A92" s="9" t="s">
        <v>240</v>
      </c>
      <c r="B92" s="1" t="s">
        <v>241</v>
      </c>
      <c r="C92" s="10">
        <v>0.4</v>
      </c>
      <c r="D92" s="10">
        <v>0.4</v>
      </c>
      <c r="E92" s="10">
        <v>0.4</v>
      </c>
      <c r="F92" s="10">
        <v>0.4</v>
      </c>
      <c r="G92" s="10">
        <v>0.4</v>
      </c>
      <c r="H92" s="10">
        <v>0.4</v>
      </c>
      <c r="I92" s="10">
        <v>0.4</v>
      </c>
      <c r="J92" s="10">
        <v>0.4</v>
      </c>
      <c r="K92" s="10">
        <v>0.4</v>
      </c>
      <c r="L92" s="10">
        <v>0.4</v>
      </c>
      <c r="M92" s="10">
        <v>0.4</v>
      </c>
      <c r="N92" s="10">
        <v>0.4</v>
      </c>
    </row>
    <row r="93" spans="1:14" outlineLevel="1" x14ac:dyDescent="0.2">
      <c r="A93" s="9" t="s">
        <v>242</v>
      </c>
      <c r="B93" s="1" t="s">
        <v>243</v>
      </c>
      <c r="C93" s="10">
        <v>0</v>
      </c>
      <c r="D93" s="10">
        <v>0</v>
      </c>
      <c r="E93" s="10">
        <v>0</v>
      </c>
      <c r="F93" s="10">
        <v>0</v>
      </c>
      <c r="G93" s="10">
        <v>0</v>
      </c>
      <c r="H93" s="10">
        <v>0</v>
      </c>
      <c r="I93" s="10">
        <v>0</v>
      </c>
      <c r="J93" s="10">
        <v>0</v>
      </c>
      <c r="K93" s="10">
        <v>0.2</v>
      </c>
      <c r="L93" s="10">
        <v>0</v>
      </c>
      <c r="M93" s="10">
        <v>0</v>
      </c>
      <c r="N93" s="10">
        <v>0</v>
      </c>
    </row>
    <row r="94" spans="1:14" outlineLevel="1" x14ac:dyDescent="0.2">
      <c r="A94" s="9" t="s">
        <v>359</v>
      </c>
      <c r="B94" s="1" t="s">
        <v>360</v>
      </c>
      <c r="C94" s="10">
        <v>0</v>
      </c>
      <c r="D94" s="10">
        <v>0</v>
      </c>
      <c r="E94" s="10">
        <v>0</v>
      </c>
      <c r="F94" s="10">
        <v>0</v>
      </c>
      <c r="G94" s="10">
        <v>0</v>
      </c>
      <c r="H94" s="10">
        <v>0</v>
      </c>
      <c r="I94" s="10">
        <v>0</v>
      </c>
      <c r="J94" s="10">
        <v>0</v>
      </c>
      <c r="K94" s="10">
        <v>0</v>
      </c>
      <c r="L94" s="10">
        <v>0</v>
      </c>
      <c r="M94" s="10">
        <v>0</v>
      </c>
      <c r="N94" s="10">
        <v>0</v>
      </c>
    </row>
    <row r="95" spans="1:14" outlineLevel="1" x14ac:dyDescent="0.2">
      <c r="A95" s="9" t="s">
        <v>361</v>
      </c>
      <c r="B95" s="1" t="s">
        <v>362</v>
      </c>
      <c r="C95" s="10">
        <v>0</v>
      </c>
      <c r="D95" s="10">
        <v>0</v>
      </c>
      <c r="E95" s="10">
        <v>0</v>
      </c>
      <c r="F95" s="10">
        <v>0</v>
      </c>
      <c r="G95" s="10">
        <v>0</v>
      </c>
      <c r="H95" s="10">
        <v>0</v>
      </c>
      <c r="I95" s="10">
        <v>0</v>
      </c>
      <c r="J95" s="10">
        <v>0</v>
      </c>
      <c r="K95" s="10">
        <v>0</v>
      </c>
      <c r="L95" s="10">
        <v>0</v>
      </c>
      <c r="M95" s="10">
        <v>0</v>
      </c>
      <c r="N95" s="10">
        <v>0</v>
      </c>
    </row>
    <row r="96" spans="1:14" x14ac:dyDescent="0.2">
      <c r="A96" s="48" t="s">
        <v>244</v>
      </c>
      <c r="B96" s="49" t="s">
        <v>245</v>
      </c>
      <c r="C96" s="50">
        <v>0</v>
      </c>
      <c r="D96" s="50">
        <v>0</v>
      </c>
      <c r="E96" s="50">
        <v>0</v>
      </c>
      <c r="F96" s="50">
        <v>0</v>
      </c>
      <c r="G96" s="50">
        <v>0</v>
      </c>
      <c r="H96" s="50">
        <v>0</v>
      </c>
      <c r="I96" s="50">
        <v>0</v>
      </c>
      <c r="J96" s="50">
        <v>0</v>
      </c>
      <c r="K96" s="50">
        <v>0</v>
      </c>
      <c r="L96" s="50">
        <v>0</v>
      </c>
      <c r="M96" s="50">
        <v>0</v>
      </c>
      <c r="N96" s="50">
        <v>0</v>
      </c>
    </row>
    <row r="97" spans="1:14" x14ac:dyDescent="0.2">
      <c r="A97" s="51"/>
      <c r="B97" s="51" t="s">
        <v>246</v>
      </c>
      <c r="C97" s="19">
        <f t="shared" ref="C97:N97" si="23">+C90-(C91+C96)</f>
        <v>38.4</v>
      </c>
      <c r="D97" s="19">
        <f t="shared" si="23"/>
        <v>72.09999999999998</v>
      </c>
      <c r="E97" s="19">
        <f t="shared" si="23"/>
        <v>36.6</v>
      </c>
      <c r="F97" s="19">
        <f t="shared" si="23"/>
        <v>51.9</v>
      </c>
      <c r="G97" s="19">
        <f t="shared" si="23"/>
        <v>13.700000000000001</v>
      </c>
      <c r="H97" s="19">
        <f t="shared" si="23"/>
        <v>14.999999999999998</v>
      </c>
      <c r="I97" s="19">
        <f t="shared" si="23"/>
        <v>55</v>
      </c>
      <c r="J97" s="19">
        <f t="shared" si="23"/>
        <v>47.300000000000004</v>
      </c>
      <c r="K97" s="19">
        <f t="shared" si="23"/>
        <v>55.800000000000004</v>
      </c>
      <c r="L97" s="19">
        <f t="shared" si="23"/>
        <v>14.300000000000002</v>
      </c>
      <c r="M97" s="19">
        <f t="shared" si="23"/>
        <v>79.999999999999986</v>
      </c>
      <c r="N97" s="19">
        <f t="shared" si="23"/>
        <v>56</v>
      </c>
    </row>
    <row r="98" spans="1:14" x14ac:dyDescent="0.2">
      <c r="A98" s="9" t="s">
        <v>74</v>
      </c>
      <c r="B98" s="1" t="s">
        <v>74</v>
      </c>
      <c r="C98" s="13" t="s">
        <v>74</v>
      </c>
      <c r="D98" s="13" t="s">
        <v>74</v>
      </c>
      <c r="E98" s="13" t="s">
        <v>74</v>
      </c>
      <c r="F98" s="13" t="s">
        <v>74</v>
      </c>
      <c r="G98" s="13" t="s">
        <v>74</v>
      </c>
      <c r="H98" s="13" t="s">
        <v>74</v>
      </c>
      <c r="I98" s="13" t="s">
        <v>74</v>
      </c>
      <c r="J98" s="13" t="s">
        <v>74</v>
      </c>
      <c r="K98" s="13" t="s">
        <v>74</v>
      </c>
      <c r="L98" s="13" t="s">
        <v>74</v>
      </c>
      <c r="M98" s="13" t="s">
        <v>74</v>
      </c>
      <c r="N98" s="13" t="s">
        <v>74</v>
      </c>
    </row>
    <row r="99" spans="1:14" x14ac:dyDescent="0.2">
      <c r="A99" s="12"/>
      <c r="B99" s="12" t="s">
        <v>247</v>
      </c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</row>
    <row r="100" spans="1:14" x14ac:dyDescent="0.2">
      <c r="A100" s="9" t="s">
        <v>248</v>
      </c>
      <c r="B100" s="1" t="s">
        <v>249</v>
      </c>
      <c r="C100" s="13">
        <v>3</v>
      </c>
      <c r="D100" s="13">
        <v>3</v>
      </c>
      <c r="E100" s="13">
        <v>3</v>
      </c>
      <c r="F100" s="13">
        <v>4</v>
      </c>
      <c r="G100" s="13">
        <v>3</v>
      </c>
      <c r="H100" s="13">
        <v>4</v>
      </c>
      <c r="I100" s="13">
        <v>3</v>
      </c>
      <c r="J100" s="13">
        <v>3</v>
      </c>
      <c r="K100" s="13">
        <v>4</v>
      </c>
      <c r="L100" s="13">
        <v>3</v>
      </c>
      <c r="M100" s="13">
        <v>4</v>
      </c>
      <c r="N100" s="13">
        <v>3</v>
      </c>
    </row>
    <row r="101" spans="1:14" outlineLevel="1" x14ac:dyDescent="0.2">
      <c r="A101" s="9" t="s">
        <v>250</v>
      </c>
      <c r="B101" s="1" t="s">
        <v>251</v>
      </c>
      <c r="C101" s="13">
        <v>3</v>
      </c>
      <c r="D101" s="13">
        <v>3</v>
      </c>
      <c r="E101" s="13">
        <v>3</v>
      </c>
      <c r="F101" s="13">
        <v>4</v>
      </c>
      <c r="G101" s="13">
        <v>3</v>
      </c>
      <c r="H101" s="13">
        <v>4</v>
      </c>
      <c r="I101" s="13">
        <v>3</v>
      </c>
      <c r="J101" s="13">
        <v>3</v>
      </c>
      <c r="K101" s="13">
        <v>4</v>
      </c>
      <c r="L101" s="13">
        <v>3</v>
      </c>
      <c r="M101" s="13">
        <v>4</v>
      </c>
      <c r="N101" s="13">
        <v>3</v>
      </c>
    </row>
    <row r="102" spans="1:14" x14ac:dyDescent="0.2">
      <c r="A102" s="9" t="s">
        <v>252</v>
      </c>
      <c r="B102" s="1" t="s">
        <v>253</v>
      </c>
      <c r="C102" s="13">
        <v>6</v>
      </c>
      <c r="D102" s="13">
        <v>6</v>
      </c>
      <c r="E102" s="13">
        <v>6</v>
      </c>
      <c r="F102" s="13">
        <v>7</v>
      </c>
      <c r="G102" s="13">
        <v>6</v>
      </c>
      <c r="H102" s="13">
        <v>7.3</v>
      </c>
      <c r="I102" s="13">
        <v>7</v>
      </c>
      <c r="J102" s="13">
        <v>6</v>
      </c>
      <c r="K102" s="13">
        <v>7</v>
      </c>
      <c r="L102" s="13">
        <v>6</v>
      </c>
      <c r="M102" s="13">
        <v>7.3</v>
      </c>
      <c r="N102" s="13">
        <v>7</v>
      </c>
    </row>
    <row r="103" spans="1:14" outlineLevel="1" x14ac:dyDescent="0.2">
      <c r="A103" s="9" t="s">
        <v>254</v>
      </c>
      <c r="B103" s="1" t="s">
        <v>255</v>
      </c>
      <c r="C103" s="13">
        <v>6</v>
      </c>
      <c r="D103" s="13">
        <v>6</v>
      </c>
      <c r="E103" s="13">
        <v>6</v>
      </c>
      <c r="F103" s="13">
        <v>7</v>
      </c>
      <c r="G103" s="13">
        <v>6</v>
      </c>
      <c r="H103" s="13">
        <v>7.3</v>
      </c>
      <c r="I103" s="13">
        <v>7</v>
      </c>
      <c r="J103" s="13">
        <v>6</v>
      </c>
      <c r="K103" s="13">
        <v>7</v>
      </c>
      <c r="L103" s="13">
        <v>6</v>
      </c>
      <c r="M103" s="13">
        <v>7.3</v>
      </c>
      <c r="N103" s="13">
        <v>7</v>
      </c>
    </row>
    <row r="104" spans="1:14" x14ac:dyDescent="0.2">
      <c r="A104" s="9" t="s">
        <v>256</v>
      </c>
      <c r="B104" s="1" t="s">
        <v>257</v>
      </c>
      <c r="C104" s="13">
        <v>0</v>
      </c>
      <c r="D104" s="13">
        <v>0</v>
      </c>
      <c r="E104" s="13">
        <v>0</v>
      </c>
      <c r="F104" s="13">
        <v>0</v>
      </c>
      <c r="G104" s="13">
        <v>0</v>
      </c>
      <c r="H104" s="13">
        <v>0.3</v>
      </c>
      <c r="I104" s="13">
        <v>0</v>
      </c>
      <c r="J104" s="13">
        <v>0</v>
      </c>
      <c r="K104" s="13">
        <v>0</v>
      </c>
      <c r="L104" s="13">
        <v>0</v>
      </c>
      <c r="M104" s="13">
        <v>0.3</v>
      </c>
      <c r="N104" s="13">
        <v>0</v>
      </c>
    </row>
    <row r="105" spans="1:14" outlineLevel="1" x14ac:dyDescent="0.2">
      <c r="A105" s="9" t="s">
        <v>258</v>
      </c>
      <c r="B105" s="1" t="s">
        <v>259</v>
      </c>
      <c r="C105" s="13">
        <v>0</v>
      </c>
      <c r="D105" s="13">
        <v>0</v>
      </c>
      <c r="E105" s="13">
        <v>0</v>
      </c>
      <c r="F105" s="13">
        <v>0</v>
      </c>
      <c r="G105" s="13">
        <v>0</v>
      </c>
      <c r="H105" s="13">
        <v>0.3</v>
      </c>
      <c r="I105" s="13">
        <v>0</v>
      </c>
      <c r="J105" s="13">
        <v>0</v>
      </c>
      <c r="K105" s="13">
        <v>0</v>
      </c>
      <c r="L105" s="13">
        <v>0</v>
      </c>
      <c r="M105" s="13">
        <v>0.3</v>
      </c>
      <c r="N105" s="13">
        <v>0</v>
      </c>
    </row>
    <row r="106" spans="1:14" x14ac:dyDescent="0.2">
      <c r="A106" s="9" t="s">
        <v>260</v>
      </c>
      <c r="B106" s="1" t="s">
        <v>261</v>
      </c>
      <c r="C106" s="13">
        <v>3</v>
      </c>
      <c r="D106" s="13">
        <v>3</v>
      </c>
      <c r="E106" s="13">
        <v>3</v>
      </c>
      <c r="F106" s="13">
        <v>4</v>
      </c>
      <c r="G106" s="13">
        <v>3</v>
      </c>
      <c r="H106" s="13">
        <v>3</v>
      </c>
      <c r="I106" s="13">
        <v>3</v>
      </c>
      <c r="J106" s="13">
        <v>3</v>
      </c>
      <c r="K106" s="13">
        <v>4</v>
      </c>
      <c r="L106" s="13">
        <v>3</v>
      </c>
      <c r="M106" s="13">
        <v>3</v>
      </c>
      <c r="N106" s="13">
        <v>3</v>
      </c>
    </row>
    <row r="107" spans="1:14" outlineLevel="1" x14ac:dyDescent="0.2">
      <c r="A107" s="9" t="s">
        <v>262</v>
      </c>
      <c r="B107" s="1" t="s">
        <v>263</v>
      </c>
      <c r="C107" s="13">
        <v>3</v>
      </c>
      <c r="D107" s="13">
        <v>3</v>
      </c>
      <c r="E107" s="13">
        <v>3</v>
      </c>
      <c r="F107" s="13">
        <v>4</v>
      </c>
      <c r="G107" s="13">
        <v>3</v>
      </c>
      <c r="H107" s="13">
        <v>3</v>
      </c>
      <c r="I107" s="13">
        <v>3</v>
      </c>
      <c r="J107" s="13">
        <v>3</v>
      </c>
      <c r="K107" s="13">
        <v>4</v>
      </c>
      <c r="L107" s="13">
        <v>3</v>
      </c>
      <c r="M107" s="13">
        <v>3</v>
      </c>
      <c r="N107" s="13">
        <v>3</v>
      </c>
    </row>
    <row r="108" spans="1:14" x14ac:dyDescent="0.2">
      <c r="A108" s="9" t="s">
        <v>264</v>
      </c>
      <c r="B108" s="1" t="s">
        <v>265</v>
      </c>
      <c r="C108" s="13">
        <v>3</v>
      </c>
      <c r="D108" s="13">
        <v>3</v>
      </c>
      <c r="E108" s="13">
        <v>3</v>
      </c>
      <c r="F108" s="13">
        <v>3</v>
      </c>
      <c r="G108" s="13">
        <v>3</v>
      </c>
      <c r="H108" s="13">
        <v>4</v>
      </c>
      <c r="I108" s="13">
        <v>4</v>
      </c>
      <c r="J108" s="13">
        <v>3</v>
      </c>
      <c r="K108" s="13">
        <v>3</v>
      </c>
      <c r="L108" s="13">
        <v>3</v>
      </c>
      <c r="M108" s="13">
        <v>4</v>
      </c>
      <c r="N108" s="13">
        <v>4</v>
      </c>
    </row>
    <row r="109" spans="1:14" outlineLevel="1" x14ac:dyDescent="0.2">
      <c r="A109" s="9" t="s">
        <v>266</v>
      </c>
      <c r="B109" s="1" t="s">
        <v>267</v>
      </c>
      <c r="C109" s="13">
        <v>3</v>
      </c>
      <c r="D109" s="13">
        <v>3</v>
      </c>
      <c r="E109" s="13">
        <v>3</v>
      </c>
      <c r="F109" s="13">
        <v>3</v>
      </c>
      <c r="G109" s="13">
        <v>3</v>
      </c>
      <c r="H109" s="13">
        <v>4</v>
      </c>
      <c r="I109" s="13">
        <v>4</v>
      </c>
      <c r="J109" s="13">
        <v>3</v>
      </c>
      <c r="K109" s="13">
        <v>3</v>
      </c>
      <c r="L109" s="13">
        <v>3</v>
      </c>
      <c r="M109" s="13">
        <v>4</v>
      </c>
      <c r="N109" s="13">
        <v>4</v>
      </c>
    </row>
    <row r="110" spans="1:14" x14ac:dyDescent="0.2">
      <c r="A110" s="9" t="s">
        <v>268</v>
      </c>
      <c r="B110" s="1" t="s">
        <v>269</v>
      </c>
      <c r="C110" s="13">
        <v>0</v>
      </c>
      <c r="D110" s="13">
        <v>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2">
      <c r="A111" s="9" t="s">
        <v>270</v>
      </c>
      <c r="B111" s="1" t="s">
        <v>271</v>
      </c>
      <c r="C111" s="13">
        <v>0</v>
      </c>
      <c r="D111" s="13">
        <v>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2">
      <c r="A112" s="9" t="s">
        <v>272</v>
      </c>
      <c r="B112" s="1" t="s">
        <v>273</v>
      </c>
      <c r="C112" s="13">
        <v>0</v>
      </c>
      <c r="D112" s="13">
        <v>0</v>
      </c>
      <c r="E112" s="13">
        <v>0</v>
      </c>
      <c r="F112" s="13">
        <v>0</v>
      </c>
      <c r="G112" s="13">
        <v>0</v>
      </c>
      <c r="H112" s="13">
        <v>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2">
      <c r="A113" s="9" t="s">
        <v>274</v>
      </c>
      <c r="B113" s="1" t="s">
        <v>275</v>
      </c>
      <c r="C113" s="13">
        <v>0</v>
      </c>
      <c r="D113" s="13">
        <v>0</v>
      </c>
      <c r="E113" s="13">
        <v>0</v>
      </c>
      <c r="F113" s="13">
        <v>0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2">
      <c r="A114" s="9" t="s">
        <v>276</v>
      </c>
      <c r="B114" s="1" t="s">
        <v>277</v>
      </c>
      <c r="C114" s="13">
        <v>0</v>
      </c>
      <c r="D114" s="13">
        <v>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2">
      <c r="A115" s="9" t="s">
        <v>280</v>
      </c>
      <c r="B115" s="1" t="s">
        <v>281</v>
      </c>
      <c r="C115" s="13">
        <v>0</v>
      </c>
      <c r="D115" s="13">
        <v>0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2">
      <c r="A116" s="9" t="s">
        <v>284</v>
      </c>
      <c r="B116" s="1" t="s">
        <v>285</v>
      </c>
      <c r="C116" s="13">
        <v>0</v>
      </c>
      <c r="D116" s="13">
        <v>0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2">
      <c r="A117" s="9" t="s">
        <v>288</v>
      </c>
      <c r="B117" s="1" t="s">
        <v>289</v>
      </c>
      <c r="C117" s="13">
        <v>0</v>
      </c>
      <c r="D117" s="13">
        <v>0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2">
      <c r="A118" s="3"/>
      <c r="B118" s="3" t="s">
        <v>290</v>
      </c>
      <c r="C118" s="15">
        <v>9.6999999999999993</v>
      </c>
      <c r="D118" s="15">
        <v>5.0999999999999996</v>
      </c>
      <c r="E118" s="15">
        <v>0.3</v>
      </c>
      <c r="F118" s="15">
        <v>0.2</v>
      </c>
      <c r="G118" s="15">
        <v>0.3</v>
      </c>
      <c r="H118" s="15">
        <v>0.1</v>
      </c>
      <c r="I118" s="15">
        <v>15.6</v>
      </c>
      <c r="J118" s="15">
        <v>0.3</v>
      </c>
      <c r="K118" s="15">
        <v>0.2</v>
      </c>
      <c r="L118" s="15">
        <v>0.3</v>
      </c>
      <c r="M118" s="15">
        <v>0.1</v>
      </c>
      <c r="N118" s="15">
        <v>15.6</v>
      </c>
    </row>
    <row r="119" spans="1:14" x14ac:dyDescent="0.2">
      <c r="A119" s="3"/>
      <c r="B119" s="3" t="s">
        <v>291</v>
      </c>
      <c r="C119" s="15" t="s">
        <v>292</v>
      </c>
      <c r="D119" s="15" t="s">
        <v>292</v>
      </c>
      <c r="E119" s="15" t="s">
        <v>292</v>
      </c>
      <c r="F119" s="15" t="s">
        <v>292</v>
      </c>
      <c r="G119" s="15" t="s">
        <v>292</v>
      </c>
      <c r="H119" s="15" t="s">
        <v>292</v>
      </c>
      <c r="I119" s="15" t="s">
        <v>292</v>
      </c>
      <c r="J119" s="15" t="s">
        <v>292</v>
      </c>
      <c r="K119" s="15" t="s">
        <v>292</v>
      </c>
      <c r="L119" s="15" t="s">
        <v>292</v>
      </c>
      <c r="M119" s="15" t="s">
        <v>292</v>
      </c>
      <c r="N119" s="15" t="s">
        <v>292</v>
      </c>
    </row>
    <row r="120" spans="1:14" x14ac:dyDescent="0.2">
      <c r="A120" s="3"/>
      <c r="B120" s="3" t="s">
        <v>293</v>
      </c>
      <c r="C120" s="15" t="s">
        <v>292</v>
      </c>
      <c r="D120" s="15" t="s">
        <v>292</v>
      </c>
      <c r="E120" s="15" t="s">
        <v>292</v>
      </c>
      <c r="F120" s="15" t="s">
        <v>292</v>
      </c>
      <c r="G120" s="15" t="s">
        <v>292</v>
      </c>
      <c r="H120" s="15" t="s">
        <v>292</v>
      </c>
      <c r="I120" s="15" t="s">
        <v>292</v>
      </c>
      <c r="J120" s="15" t="s">
        <v>292</v>
      </c>
      <c r="K120" s="15" t="s">
        <v>292</v>
      </c>
      <c r="L120" s="15" t="s">
        <v>292</v>
      </c>
      <c r="M120" s="15" t="s">
        <v>292</v>
      </c>
      <c r="N120" s="15" t="s">
        <v>292</v>
      </c>
    </row>
    <row r="121" spans="1:14" x14ac:dyDescent="0.2">
      <c r="A121" s="3"/>
      <c r="B121" s="3" t="s">
        <v>294</v>
      </c>
      <c r="C121" s="15">
        <v>0</v>
      </c>
      <c r="D121" s="15">
        <v>0</v>
      </c>
      <c r="E121" s="15">
        <v>0</v>
      </c>
      <c r="F121" s="15">
        <v>0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0</v>
      </c>
      <c r="M121" s="15">
        <v>0</v>
      </c>
      <c r="N121" s="15">
        <v>0</v>
      </c>
    </row>
    <row r="122" spans="1:14" x14ac:dyDescent="0.2">
      <c r="A122" s="12"/>
      <c r="B122" s="12" t="s">
        <v>295</v>
      </c>
      <c r="C122" s="14" t="s">
        <v>292</v>
      </c>
      <c r="D122" s="14" t="s">
        <v>292</v>
      </c>
      <c r="E122" s="14" t="s">
        <v>292</v>
      </c>
      <c r="F122" s="14" t="s">
        <v>292</v>
      </c>
      <c r="G122" s="14" t="s">
        <v>292</v>
      </c>
      <c r="H122" s="14" t="s">
        <v>292</v>
      </c>
      <c r="I122" s="14" t="s">
        <v>292</v>
      </c>
      <c r="J122" s="14" t="s">
        <v>292</v>
      </c>
      <c r="K122" s="14" t="s">
        <v>292</v>
      </c>
      <c r="L122" s="14" t="s">
        <v>292</v>
      </c>
      <c r="M122" s="14" t="s">
        <v>292</v>
      </c>
      <c r="N122" s="14" t="s">
        <v>292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E51F-1ADE-48F1-949D-6354704F1739}">
  <sheetPr codeName="Hoja61">
    <tabColor rgb="FF7030A0"/>
  </sheetPr>
  <dimension ref="A1:N85"/>
  <sheetViews>
    <sheetView zoomScaleNormal="100" workbookViewId="0">
      <pane ySplit="6" topLeftCell="A31" activePane="bottomLeft" state="frozen"/>
      <selection activeCell="F65" sqref="F65"/>
      <selection pane="bottomLeft" activeCell="H55" sqref="H55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385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 t="shared" ref="C7:N7" si="0">SUM(C8:C11)</f>
        <v>96</v>
      </c>
      <c r="D7" s="50">
        <f t="shared" si="0"/>
        <v>94</v>
      </c>
      <c r="E7" s="50">
        <f t="shared" si="0"/>
        <v>131</v>
      </c>
      <c r="F7" s="50">
        <f t="shared" si="0"/>
        <v>118</v>
      </c>
      <c r="G7" s="50">
        <f t="shared" si="0"/>
        <v>122.1</v>
      </c>
      <c r="H7" s="50">
        <f t="shared" si="0"/>
        <v>99</v>
      </c>
      <c r="I7" s="50">
        <f t="shared" si="0"/>
        <v>106</v>
      </c>
      <c r="J7" s="50">
        <f t="shared" si="0"/>
        <v>111</v>
      </c>
      <c r="K7" s="50">
        <f t="shared" si="0"/>
        <v>125</v>
      </c>
      <c r="L7" s="50">
        <f t="shared" si="0"/>
        <v>98</v>
      </c>
      <c r="M7" s="50">
        <f t="shared" si="0"/>
        <v>133</v>
      </c>
      <c r="N7" s="50">
        <f t="shared" si="0"/>
        <v>121</v>
      </c>
    </row>
    <row r="8" spans="1:14" outlineLevel="1" x14ac:dyDescent="0.2">
      <c r="A8" s="9" t="s">
        <v>29</v>
      </c>
      <c r="B8" s="1" t="s">
        <v>30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outlineLevel="1" x14ac:dyDescent="0.2">
      <c r="A10" s="9" t="s">
        <v>33</v>
      </c>
      <c r="B10" s="1" t="s">
        <v>34</v>
      </c>
      <c r="C10" s="10">
        <v>96</v>
      </c>
      <c r="D10" s="10">
        <v>94</v>
      </c>
      <c r="E10" s="10">
        <v>131</v>
      </c>
      <c r="F10" s="10">
        <v>118</v>
      </c>
      <c r="G10" s="10">
        <v>122.1</v>
      </c>
      <c r="H10" s="10">
        <v>99</v>
      </c>
      <c r="I10" s="10">
        <v>106</v>
      </c>
      <c r="J10" s="10">
        <v>111</v>
      </c>
      <c r="K10" s="10">
        <v>125</v>
      </c>
      <c r="L10" s="10">
        <v>98</v>
      </c>
      <c r="M10" s="10">
        <v>133</v>
      </c>
      <c r="N10" s="10">
        <v>121</v>
      </c>
    </row>
    <row r="11" spans="1:14" outlineLevel="1" x14ac:dyDescent="0.2">
      <c r="A11" s="9" t="s">
        <v>35</v>
      </c>
      <c r="B11" s="1" t="s">
        <v>36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</row>
    <row r="12" spans="1:14" x14ac:dyDescent="0.2">
      <c r="A12" s="48" t="s">
        <v>37</v>
      </c>
      <c r="B12" s="49" t="s">
        <v>38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39</v>
      </c>
      <c r="B13" s="49" t="s">
        <v>40</v>
      </c>
      <c r="C13" s="50">
        <v>0</v>
      </c>
      <c r="D13" s="50">
        <v>0</v>
      </c>
      <c r="E13" s="50">
        <v>0</v>
      </c>
      <c r="F13" s="50">
        <v>0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</row>
    <row r="14" spans="1:14" x14ac:dyDescent="0.2">
      <c r="A14" s="48" t="s">
        <v>41</v>
      </c>
      <c r="B14" s="49" t="s">
        <v>42</v>
      </c>
      <c r="C14" s="50">
        <f>+C15</f>
        <v>0</v>
      </c>
      <c r="D14" s="50">
        <f t="shared" ref="D14:N14" si="1">+D15</f>
        <v>0</v>
      </c>
      <c r="E14" s="50">
        <f t="shared" si="1"/>
        <v>0</v>
      </c>
      <c r="F14" s="50">
        <f t="shared" si="1"/>
        <v>0</v>
      </c>
      <c r="G14" s="50">
        <f t="shared" si="1"/>
        <v>0</v>
      </c>
      <c r="H14" s="50">
        <f t="shared" si="1"/>
        <v>0</v>
      </c>
      <c r="I14" s="50">
        <f t="shared" si="1"/>
        <v>0</v>
      </c>
      <c r="J14" s="50">
        <f t="shared" si="1"/>
        <v>0</v>
      </c>
      <c r="K14" s="50">
        <f t="shared" si="1"/>
        <v>0</v>
      </c>
      <c r="L14" s="50">
        <f t="shared" si="1"/>
        <v>0</v>
      </c>
      <c r="M14" s="50">
        <f t="shared" si="1"/>
        <v>0</v>
      </c>
      <c r="N14" s="50">
        <f t="shared" si="1"/>
        <v>0</v>
      </c>
    </row>
    <row r="15" spans="1:14" outlineLevel="1" x14ac:dyDescent="0.2">
      <c r="A15" s="9" t="s">
        <v>43</v>
      </c>
      <c r="B15" s="1" t="s">
        <v>44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</row>
    <row r="16" spans="1:14" x14ac:dyDescent="0.2">
      <c r="A16" s="48" t="s">
        <v>45</v>
      </c>
      <c r="B16" s="49" t="s">
        <v>46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51"/>
      <c r="B17" s="51" t="s">
        <v>47</v>
      </c>
      <c r="C17" s="19">
        <f t="shared" ref="C17:N17" si="2">+C7+C12+C13+C14+C16</f>
        <v>96</v>
      </c>
      <c r="D17" s="19">
        <f t="shared" si="2"/>
        <v>94</v>
      </c>
      <c r="E17" s="19">
        <f t="shared" si="2"/>
        <v>131</v>
      </c>
      <c r="F17" s="19">
        <f t="shared" si="2"/>
        <v>118</v>
      </c>
      <c r="G17" s="19">
        <f t="shared" si="2"/>
        <v>122.1</v>
      </c>
      <c r="H17" s="19">
        <f t="shared" si="2"/>
        <v>99</v>
      </c>
      <c r="I17" s="19">
        <f t="shared" si="2"/>
        <v>106</v>
      </c>
      <c r="J17" s="19">
        <f t="shared" si="2"/>
        <v>111</v>
      </c>
      <c r="K17" s="19">
        <f t="shared" si="2"/>
        <v>125</v>
      </c>
      <c r="L17" s="19">
        <f t="shared" si="2"/>
        <v>98</v>
      </c>
      <c r="M17" s="19">
        <f t="shared" si="2"/>
        <v>133</v>
      </c>
      <c r="N17" s="19">
        <f t="shared" si="2"/>
        <v>121</v>
      </c>
    </row>
    <row r="18" spans="1:14" x14ac:dyDescent="0.2">
      <c r="A18" s="48" t="s">
        <v>48</v>
      </c>
      <c r="B18" s="49" t="s">
        <v>49</v>
      </c>
      <c r="C18" s="50">
        <f>+C19</f>
        <v>0</v>
      </c>
      <c r="D18" s="50">
        <f t="shared" ref="D18:N18" si="3">+D19</f>
        <v>0</v>
      </c>
      <c r="E18" s="50">
        <f t="shared" si="3"/>
        <v>0</v>
      </c>
      <c r="F18" s="50">
        <f t="shared" si="3"/>
        <v>0</v>
      </c>
      <c r="G18" s="50">
        <f t="shared" si="3"/>
        <v>0</v>
      </c>
      <c r="H18" s="50">
        <f t="shared" si="3"/>
        <v>0</v>
      </c>
      <c r="I18" s="50">
        <f t="shared" si="3"/>
        <v>0</v>
      </c>
      <c r="J18" s="50">
        <f t="shared" si="3"/>
        <v>0</v>
      </c>
      <c r="K18" s="50">
        <f t="shared" si="3"/>
        <v>0</v>
      </c>
      <c r="L18" s="50">
        <f t="shared" si="3"/>
        <v>0</v>
      </c>
      <c r="M18" s="50">
        <f t="shared" si="3"/>
        <v>0</v>
      </c>
      <c r="N18" s="50">
        <f t="shared" si="3"/>
        <v>0</v>
      </c>
    </row>
    <row r="19" spans="1:14" outlineLevel="1" x14ac:dyDescent="0.2">
      <c r="A19" s="9" t="s">
        <v>59</v>
      </c>
      <c r="B19" s="1" t="s">
        <v>53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</row>
    <row r="20" spans="1:14" x14ac:dyDescent="0.2">
      <c r="A20" s="48" t="s">
        <v>60</v>
      </c>
      <c r="B20" s="49" t="s">
        <v>61</v>
      </c>
      <c r="C20" s="50">
        <v>0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50">
        <v>0</v>
      </c>
      <c r="L20" s="50">
        <v>0</v>
      </c>
      <c r="M20" s="50">
        <v>0</v>
      </c>
      <c r="N20" s="50">
        <v>0</v>
      </c>
    </row>
    <row r="21" spans="1:14" x14ac:dyDescent="0.2">
      <c r="A21" s="48" t="s">
        <v>62</v>
      </c>
      <c r="B21" s="49" t="s">
        <v>63</v>
      </c>
      <c r="C21" s="50">
        <v>0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</row>
    <row r="22" spans="1:14" x14ac:dyDescent="0.2">
      <c r="A22" s="48" t="s">
        <v>64</v>
      </c>
      <c r="B22" s="49" t="s">
        <v>65</v>
      </c>
      <c r="C22" s="50">
        <v>0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</row>
    <row r="23" spans="1:14" x14ac:dyDescent="0.2">
      <c r="A23" s="48" t="s">
        <v>68</v>
      </c>
      <c r="B23" s="49" t="s">
        <v>69</v>
      </c>
      <c r="C23" s="50">
        <f>+C24</f>
        <v>0</v>
      </c>
      <c r="D23" s="50">
        <f t="shared" ref="D23:N23" si="4">+D24</f>
        <v>0</v>
      </c>
      <c r="E23" s="50">
        <f t="shared" si="4"/>
        <v>0</v>
      </c>
      <c r="F23" s="50">
        <f t="shared" si="4"/>
        <v>0</v>
      </c>
      <c r="G23" s="50">
        <f t="shared" si="4"/>
        <v>0</v>
      </c>
      <c r="H23" s="50">
        <f t="shared" si="4"/>
        <v>0</v>
      </c>
      <c r="I23" s="50">
        <f t="shared" si="4"/>
        <v>0</v>
      </c>
      <c r="J23" s="50">
        <f t="shared" si="4"/>
        <v>0</v>
      </c>
      <c r="K23" s="50">
        <f t="shared" si="4"/>
        <v>0</v>
      </c>
      <c r="L23" s="50">
        <f t="shared" si="4"/>
        <v>0</v>
      </c>
      <c r="M23" s="50">
        <f t="shared" si="4"/>
        <v>0</v>
      </c>
      <c r="N23" s="50">
        <f t="shared" si="4"/>
        <v>0</v>
      </c>
    </row>
    <row r="24" spans="1:14" outlineLevel="1" x14ac:dyDescent="0.2">
      <c r="A24" s="9" t="s">
        <v>70</v>
      </c>
      <c r="B24" s="1" t="s">
        <v>71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</row>
    <row r="25" spans="1:14" x14ac:dyDescent="0.2">
      <c r="A25" s="52"/>
      <c r="B25" s="52" t="s">
        <v>72</v>
      </c>
      <c r="C25" s="53">
        <f>+C18+C20+C21+C22+C23</f>
        <v>0</v>
      </c>
      <c r="D25" s="53">
        <f t="shared" ref="D25:N25" si="5">+D18+D20+D21+D22+D23</f>
        <v>0</v>
      </c>
      <c r="E25" s="53">
        <f t="shared" si="5"/>
        <v>0</v>
      </c>
      <c r="F25" s="53">
        <f t="shared" si="5"/>
        <v>0</v>
      </c>
      <c r="G25" s="53">
        <f t="shared" si="5"/>
        <v>0</v>
      </c>
      <c r="H25" s="53">
        <f t="shared" si="5"/>
        <v>0</v>
      </c>
      <c r="I25" s="53">
        <f t="shared" si="5"/>
        <v>0</v>
      </c>
      <c r="J25" s="53">
        <f t="shared" si="5"/>
        <v>0</v>
      </c>
      <c r="K25" s="53">
        <f t="shared" si="5"/>
        <v>0</v>
      </c>
      <c r="L25" s="53">
        <f t="shared" si="5"/>
        <v>0</v>
      </c>
      <c r="M25" s="53">
        <f t="shared" si="5"/>
        <v>0</v>
      </c>
      <c r="N25" s="53">
        <f t="shared" si="5"/>
        <v>0</v>
      </c>
    </row>
    <row r="26" spans="1:14" x14ac:dyDescent="0.2">
      <c r="A26" s="51"/>
      <c r="B26" s="51" t="s">
        <v>73</v>
      </c>
      <c r="C26" s="19">
        <f>+C17-C25</f>
        <v>96</v>
      </c>
      <c r="D26" s="19">
        <f t="shared" ref="D26:N26" si="6">+D17-D25</f>
        <v>94</v>
      </c>
      <c r="E26" s="19">
        <f t="shared" si="6"/>
        <v>131</v>
      </c>
      <c r="F26" s="19">
        <f t="shared" si="6"/>
        <v>118</v>
      </c>
      <c r="G26" s="19">
        <f t="shared" si="6"/>
        <v>122.1</v>
      </c>
      <c r="H26" s="19">
        <f t="shared" si="6"/>
        <v>99</v>
      </c>
      <c r="I26" s="19">
        <f t="shared" si="6"/>
        <v>106</v>
      </c>
      <c r="J26" s="19">
        <f t="shared" si="6"/>
        <v>111</v>
      </c>
      <c r="K26" s="19">
        <f t="shared" si="6"/>
        <v>125</v>
      </c>
      <c r="L26" s="19">
        <f t="shared" si="6"/>
        <v>98</v>
      </c>
      <c r="M26" s="19">
        <f t="shared" si="6"/>
        <v>133</v>
      </c>
      <c r="N26" s="19">
        <f t="shared" si="6"/>
        <v>121</v>
      </c>
    </row>
    <row r="27" spans="1:14" x14ac:dyDescent="0.2">
      <c r="A27" s="9" t="s">
        <v>74</v>
      </c>
      <c r="B27" s="1" t="s">
        <v>74</v>
      </c>
      <c r="C27" s="10" t="s">
        <v>74</v>
      </c>
      <c r="D27" s="10" t="s">
        <v>74</v>
      </c>
      <c r="E27" s="10" t="s">
        <v>74</v>
      </c>
      <c r="F27" s="10" t="s">
        <v>74</v>
      </c>
      <c r="G27" s="10" t="s">
        <v>74</v>
      </c>
      <c r="H27" s="10" t="s">
        <v>74</v>
      </c>
      <c r="I27" s="10" t="s">
        <v>74</v>
      </c>
      <c r="J27" s="10" t="s">
        <v>74</v>
      </c>
      <c r="K27" s="10" t="s">
        <v>74</v>
      </c>
      <c r="L27" s="10" t="s">
        <v>74</v>
      </c>
      <c r="M27" s="10" t="s">
        <v>74</v>
      </c>
      <c r="N27" s="10" t="s">
        <v>74</v>
      </c>
    </row>
    <row r="28" spans="1:14" x14ac:dyDescent="0.2">
      <c r="A28" s="48" t="s">
        <v>75</v>
      </c>
      <c r="B28" s="49" t="s">
        <v>76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</row>
    <row r="29" spans="1:14" x14ac:dyDescent="0.2">
      <c r="A29" s="48" t="s">
        <v>111</v>
      </c>
      <c r="B29" s="49" t="s">
        <v>112</v>
      </c>
      <c r="C29" s="50">
        <v>0</v>
      </c>
      <c r="D29" s="50">
        <v>0</v>
      </c>
      <c r="E29" s="50">
        <v>0</v>
      </c>
      <c r="F29" s="50">
        <v>0</v>
      </c>
      <c r="G29" s="50">
        <v>0</v>
      </c>
      <c r="H29" s="50">
        <v>0</v>
      </c>
      <c r="I29" s="50">
        <v>0</v>
      </c>
      <c r="J29" s="50">
        <v>0</v>
      </c>
      <c r="K29" s="50">
        <v>0</v>
      </c>
      <c r="L29" s="50">
        <v>0</v>
      </c>
      <c r="M29" s="50">
        <v>0</v>
      </c>
      <c r="N29" s="50">
        <v>0</v>
      </c>
    </row>
    <row r="30" spans="1:14" x14ac:dyDescent="0.2">
      <c r="A30" s="48" t="s">
        <v>119</v>
      </c>
      <c r="B30" s="49" t="s">
        <v>120</v>
      </c>
      <c r="C30" s="50">
        <v>0</v>
      </c>
      <c r="D30" s="50">
        <v>0</v>
      </c>
      <c r="E30" s="50">
        <v>0</v>
      </c>
      <c r="F30" s="50">
        <v>0</v>
      </c>
      <c r="G30" s="50">
        <v>0</v>
      </c>
      <c r="H30" s="50">
        <v>0</v>
      </c>
      <c r="I30" s="50">
        <v>0</v>
      </c>
      <c r="J30" s="50">
        <v>0</v>
      </c>
      <c r="K30" s="50">
        <v>0</v>
      </c>
      <c r="L30" s="50">
        <v>0</v>
      </c>
      <c r="M30" s="50">
        <v>0</v>
      </c>
      <c r="N30" s="50">
        <v>0</v>
      </c>
    </row>
    <row r="31" spans="1:14" x14ac:dyDescent="0.2">
      <c r="A31" s="48" t="s">
        <v>127</v>
      </c>
      <c r="B31" s="49" t="s">
        <v>128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50">
        <v>0</v>
      </c>
      <c r="J31" s="50">
        <v>0</v>
      </c>
      <c r="K31" s="50">
        <v>0</v>
      </c>
      <c r="L31" s="50">
        <v>0</v>
      </c>
      <c r="M31" s="50">
        <v>0</v>
      </c>
      <c r="N31" s="50">
        <v>0</v>
      </c>
    </row>
    <row r="32" spans="1:14" x14ac:dyDescent="0.2">
      <c r="A32" s="48" t="s">
        <v>133</v>
      </c>
      <c r="B32" s="49" t="s">
        <v>134</v>
      </c>
      <c r="C32" s="50">
        <f>+C33</f>
        <v>0</v>
      </c>
      <c r="D32" s="50">
        <f t="shared" ref="D32:N32" si="7">+D33</f>
        <v>0</v>
      </c>
      <c r="E32" s="50">
        <f t="shared" si="7"/>
        <v>0.2</v>
      </c>
      <c r="F32" s="50">
        <f t="shared" si="7"/>
        <v>0</v>
      </c>
      <c r="G32" s="50">
        <f t="shared" si="7"/>
        <v>0</v>
      </c>
      <c r="H32" s="50">
        <f t="shared" si="7"/>
        <v>0</v>
      </c>
      <c r="I32" s="50">
        <f t="shared" si="7"/>
        <v>0</v>
      </c>
      <c r="J32" s="50">
        <f t="shared" si="7"/>
        <v>0</v>
      </c>
      <c r="K32" s="50">
        <f t="shared" si="7"/>
        <v>0</v>
      </c>
      <c r="L32" s="50">
        <f t="shared" si="7"/>
        <v>0</v>
      </c>
      <c r="M32" s="50">
        <f t="shared" si="7"/>
        <v>0</v>
      </c>
      <c r="N32" s="50">
        <f t="shared" si="7"/>
        <v>0</v>
      </c>
    </row>
    <row r="33" spans="1:14" outlineLevel="1" x14ac:dyDescent="0.2">
      <c r="A33" s="9" t="s">
        <v>329</v>
      </c>
      <c r="B33" s="1" t="s">
        <v>330</v>
      </c>
      <c r="C33" s="10">
        <v>0</v>
      </c>
      <c r="D33" s="10">
        <v>0</v>
      </c>
      <c r="E33" s="10">
        <v>0.2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</row>
    <row r="34" spans="1:14" x14ac:dyDescent="0.2">
      <c r="A34" s="48" t="s">
        <v>137</v>
      </c>
      <c r="B34" s="49" t="s">
        <v>138</v>
      </c>
      <c r="C34" s="50">
        <v>0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50">
        <v>0</v>
      </c>
      <c r="L34" s="50">
        <v>0</v>
      </c>
      <c r="M34" s="50">
        <v>0</v>
      </c>
      <c r="N34" s="50">
        <v>0</v>
      </c>
    </row>
    <row r="35" spans="1:14" x14ac:dyDescent="0.2">
      <c r="A35" s="48" t="s">
        <v>139</v>
      </c>
      <c r="B35" s="49" t="s">
        <v>140</v>
      </c>
      <c r="C35" s="50">
        <f>+C36</f>
        <v>0</v>
      </c>
      <c r="D35" s="50">
        <f t="shared" ref="D35:N35" si="8">+D36</f>
        <v>0</v>
      </c>
      <c r="E35" s="50">
        <f t="shared" si="8"/>
        <v>0</v>
      </c>
      <c r="F35" s="50">
        <f t="shared" si="8"/>
        <v>0</v>
      </c>
      <c r="G35" s="50">
        <f t="shared" si="8"/>
        <v>0</v>
      </c>
      <c r="H35" s="50">
        <f t="shared" si="8"/>
        <v>0</v>
      </c>
      <c r="I35" s="50">
        <f t="shared" si="8"/>
        <v>0</v>
      </c>
      <c r="J35" s="50">
        <f t="shared" si="8"/>
        <v>0</v>
      </c>
      <c r="K35" s="50">
        <f t="shared" si="8"/>
        <v>0</v>
      </c>
      <c r="L35" s="50">
        <f t="shared" si="8"/>
        <v>0</v>
      </c>
      <c r="M35" s="50">
        <f t="shared" si="8"/>
        <v>0</v>
      </c>
      <c r="N35" s="50">
        <f t="shared" si="8"/>
        <v>0</v>
      </c>
    </row>
    <row r="36" spans="1:14" outlineLevel="1" x14ac:dyDescent="0.2">
      <c r="A36" s="9" t="s">
        <v>353</v>
      </c>
      <c r="B36" s="1" t="s">
        <v>354</v>
      </c>
      <c r="C36" s="10">
        <v>0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</row>
    <row r="37" spans="1:14" x14ac:dyDescent="0.2">
      <c r="A37" s="48" t="s">
        <v>141</v>
      </c>
      <c r="B37" s="49" t="s">
        <v>142</v>
      </c>
      <c r="C37" s="50">
        <v>0</v>
      </c>
      <c r="D37" s="50">
        <v>0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50">
        <v>0</v>
      </c>
      <c r="L37" s="50">
        <v>0</v>
      </c>
      <c r="M37" s="50">
        <v>0</v>
      </c>
      <c r="N37" s="50">
        <v>0</v>
      </c>
    </row>
    <row r="38" spans="1:14" x14ac:dyDescent="0.2">
      <c r="A38" s="48" t="s">
        <v>143</v>
      </c>
      <c r="B38" s="49" t="s">
        <v>144</v>
      </c>
      <c r="C38" s="50">
        <f>SUM(C39:C44)</f>
        <v>14.4</v>
      </c>
      <c r="D38" s="50">
        <f t="shared" ref="D38:N38" si="9">SUM(D39:D44)</f>
        <v>13.4</v>
      </c>
      <c r="E38" s="50">
        <f t="shared" si="9"/>
        <v>12.4</v>
      </c>
      <c r="F38" s="50">
        <f t="shared" si="9"/>
        <v>15.4</v>
      </c>
      <c r="G38" s="50">
        <f t="shared" si="9"/>
        <v>13.4</v>
      </c>
      <c r="H38" s="50">
        <f t="shared" si="9"/>
        <v>14.4</v>
      </c>
      <c r="I38" s="50">
        <f t="shared" si="9"/>
        <v>13.4</v>
      </c>
      <c r="J38" s="50">
        <f t="shared" si="9"/>
        <v>14.4</v>
      </c>
      <c r="K38" s="50">
        <f t="shared" si="9"/>
        <v>15.4</v>
      </c>
      <c r="L38" s="50">
        <f t="shared" si="9"/>
        <v>15.4</v>
      </c>
      <c r="M38" s="50">
        <f t="shared" si="9"/>
        <v>12.4</v>
      </c>
      <c r="N38" s="50">
        <f t="shared" si="9"/>
        <v>14.4</v>
      </c>
    </row>
    <row r="39" spans="1:14" outlineLevel="1" x14ac:dyDescent="0.2">
      <c r="A39" s="9" t="s">
        <v>145</v>
      </c>
      <c r="B39" s="1" t="s">
        <v>146</v>
      </c>
      <c r="C39" s="10">
        <v>12</v>
      </c>
      <c r="D39" s="10">
        <v>11</v>
      </c>
      <c r="E39" s="10">
        <v>10</v>
      </c>
      <c r="F39" s="10">
        <v>13</v>
      </c>
      <c r="G39" s="10">
        <v>11</v>
      </c>
      <c r="H39" s="10">
        <v>12</v>
      </c>
      <c r="I39" s="10">
        <v>11</v>
      </c>
      <c r="J39" s="10">
        <v>12</v>
      </c>
      <c r="K39" s="10">
        <v>13</v>
      </c>
      <c r="L39" s="10">
        <v>13</v>
      </c>
      <c r="M39" s="10">
        <v>10</v>
      </c>
      <c r="N39" s="10">
        <v>12</v>
      </c>
    </row>
    <row r="40" spans="1:14" outlineLevel="1" x14ac:dyDescent="0.2">
      <c r="A40" s="9" t="s">
        <v>147</v>
      </c>
      <c r="B40" s="1" t="s">
        <v>148</v>
      </c>
      <c r="C40" s="10">
        <v>1.5</v>
      </c>
      <c r="D40" s="10">
        <v>1.5</v>
      </c>
      <c r="E40" s="10">
        <v>1.5</v>
      </c>
      <c r="F40" s="10">
        <v>1.5</v>
      </c>
      <c r="G40" s="10">
        <v>1.5</v>
      </c>
      <c r="H40" s="10">
        <v>1.5</v>
      </c>
      <c r="I40" s="10">
        <v>1.5</v>
      </c>
      <c r="J40" s="10">
        <v>1.5</v>
      </c>
      <c r="K40" s="10">
        <v>1.5</v>
      </c>
      <c r="L40" s="10">
        <v>1.5</v>
      </c>
      <c r="M40" s="10">
        <v>1.5</v>
      </c>
      <c r="N40" s="10">
        <v>1.5</v>
      </c>
    </row>
    <row r="41" spans="1:14" outlineLevel="1" x14ac:dyDescent="0.2">
      <c r="A41" s="9" t="s">
        <v>149</v>
      </c>
      <c r="B41" s="1" t="s">
        <v>150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</row>
    <row r="42" spans="1:14" outlineLevel="1" x14ac:dyDescent="0.2">
      <c r="A42" s="9" t="s">
        <v>151</v>
      </c>
      <c r="B42" s="1" t="s">
        <v>152</v>
      </c>
      <c r="C42" s="10">
        <v>0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0">
        <v>0</v>
      </c>
    </row>
    <row r="43" spans="1:14" outlineLevel="1" x14ac:dyDescent="0.2">
      <c r="A43" s="9" t="s">
        <v>153</v>
      </c>
      <c r="B43" s="1" t="s">
        <v>154</v>
      </c>
      <c r="C43" s="10">
        <v>0.4</v>
      </c>
      <c r="D43" s="10">
        <v>0.4</v>
      </c>
      <c r="E43" s="10">
        <v>0.4</v>
      </c>
      <c r="F43" s="10">
        <v>0.4</v>
      </c>
      <c r="G43" s="10">
        <v>0.4</v>
      </c>
      <c r="H43" s="10">
        <v>0.4</v>
      </c>
      <c r="I43" s="10">
        <v>0.4</v>
      </c>
      <c r="J43" s="10">
        <v>0.4</v>
      </c>
      <c r="K43" s="10">
        <v>0.4</v>
      </c>
      <c r="L43" s="10">
        <v>0.4</v>
      </c>
      <c r="M43" s="10">
        <v>0.4</v>
      </c>
      <c r="N43" s="10">
        <v>0.4</v>
      </c>
    </row>
    <row r="44" spans="1:14" outlineLevel="1" x14ac:dyDescent="0.2">
      <c r="A44" s="9" t="s">
        <v>155</v>
      </c>
      <c r="B44" s="1" t="s">
        <v>156</v>
      </c>
      <c r="C44" s="10">
        <v>0.5</v>
      </c>
      <c r="D44" s="10">
        <v>0.5</v>
      </c>
      <c r="E44" s="10">
        <v>0.5</v>
      </c>
      <c r="F44" s="10">
        <v>0.5</v>
      </c>
      <c r="G44" s="10">
        <v>0.5</v>
      </c>
      <c r="H44" s="10">
        <v>0.5</v>
      </c>
      <c r="I44" s="10">
        <v>0.5</v>
      </c>
      <c r="J44" s="10">
        <v>0.5</v>
      </c>
      <c r="K44" s="10">
        <v>0.5</v>
      </c>
      <c r="L44" s="10">
        <v>0.5</v>
      </c>
      <c r="M44" s="10">
        <v>0.5</v>
      </c>
      <c r="N44" s="10">
        <v>0.5</v>
      </c>
    </row>
    <row r="45" spans="1:14" x14ac:dyDescent="0.2">
      <c r="A45" s="48" t="s">
        <v>157</v>
      </c>
      <c r="B45" s="49" t="s">
        <v>158</v>
      </c>
      <c r="C45" s="50">
        <f>+C46</f>
        <v>1.7</v>
      </c>
      <c r="D45" s="50">
        <f t="shared" ref="D45:N45" si="10">+D46</f>
        <v>1.7</v>
      </c>
      <c r="E45" s="50">
        <f t="shared" si="10"/>
        <v>1.7</v>
      </c>
      <c r="F45" s="50">
        <f t="shared" si="10"/>
        <v>1.7</v>
      </c>
      <c r="G45" s="50">
        <f t="shared" si="10"/>
        <v>1.7</v>
      </c>
      <c r="H45" s="50">
        <f t="shared" si="10"/>
        <v>1.7</v>
      </c>
      <c r="I45" s="50">
        <f t="shared" si="10"/>
        <v>1.7</v>
      </c>
      <c r="J45" s="50">
        <f t="shared" si="10"/>
        <v>1.7</v>
      </c>
      <c r="K45" s="50">
        <f t="shared" si="10"/>
        <v>1.7</v>
      </c>
      <c r="L45" s="50">
        <f t="shared" si="10"/>
        <v>1.7</v>
      </c>
      <c r="M45" s="50">
        <f t="shared" si="10"/>
        <v>1.7</v>
      </c>
      <c r="N45" s="50">
        <f t="shared" si="10"/>
        <v>1.7</v>
      </c>
    </row>
    <row r="46" spans="1:14" outlineLevel="1" x14ac:dyDescent="0.2">
      <c r="A46" s="9" t="s">
        <v>159</v>
      </c>
      <c r="B46" s="1" t="s">
        <v>160</v>
      </c>
      <c r="C46" s="10">
        <v>1.7</v>
      </c>
      <c r="D46" s="10">
        <v>1.7</v>
      </c>
      <c r="E46" s="10">
        <v>1.7</v>
      </c>
      <c r="F46" s="10">
        <v>1.7</v>
      </c>
      <c r="G46" s="10">
        <v>1.7</v>
      </c>
      <c r="H46" s="10">
        <v>1.7</v>
      </c>
      <c r="I46" s="10">
        <v>1.7</v>
      </c>
      <c r="J46" s="10">
        <v>1.7</v>
      </c>
      <c r="K46" s="10">
        <v>1.7</v>
      </c>
      <c r="L46" s="10">
        <v>1.7</v>
      </c>
      <c r="M46" s="10">
        <v>1.7</v>
      </c>
      <c r="N46" s="10">
        <v>1.7</v>
      </c>
    </row>
    <row r="47" spans="1:14" x14ac:dyDescent="0.2">
      <c r="A47" s="52"/>
      <c r="B47" s="52" t="s">
        <v>165</v>
      </c>
      <c r="C47" s="53">
        <f t="shared" ref="C47:N47" si="11">+C28+C29+C30+C31+C32+C34+C35+C37+C38+C45</f>
        <v>16.100000000000001</v>
      </c>
      <c r="D47" s="53">
        <f t="shared" si="11"/>
        <v>15.1</v>
      </c>
      <c r="E47" s="53">
        <f t="shared" si="11"/>
        <v>14.299999999999999</v>
      </c>
      <c r="F47" s="53">
        <f t="shared" si="11"/>
        <v>17.100000000000001</v>
      </c>
      <c r="G47" s="53">
        <f t="shared" si="11"/>
        <v>15.1</v>
      </c>
      <c r="H47" s="53">
        <f t="shared" si="11"/>
        <v>16.100000000000001</v>
      </c>
      <c r="I47" s="53">
        <f t="shared" si="11"/>
        <v>15.1</v>
      </c>
      <c r="J47" s="53">
        <f t="shared" si="11"/>
        <v>16.100000000000001</v>
      </c>
      <c r="K47" s="53">
        <f t="shared" si="11"/>
        <v>17.100000000000001</v>
      </c>
      <c r="L47" s="53">
        <f t="shared" si="11"/>
        <v>17.100000000000001</v>
      </c>
      <c r="M47" s="53">
        <f t="shared" si="11"/>
        <v>14.1</v>
      </c>
      <c r="N47" s="53">
        <f t="shared" si="11"/>
        <v>16.100000000000001</v>
      </c>
    </row>
    <row r="48" spans="1:14" x14ac:dyDescent="0.2">
      <c r="A48" s="51"/>
      <c r="B48" s="51" t="s">
        <v>166</v>
      </c>
      <c r="C48" s="19">
        <f t="shared" ref="C48:N48" si="12">+C26-C47</f>
        <v>79.900000000000006</v>
      </c>
      <c r="D48" s="19">
        <f t="shared" si="12"/>
        <v>78.900000000000006</v>
      </c>
      <c r="E48" s="19">
        <f t="shared" si="12"/>
        <v>116.7</v>
      </c>
      <c r="F48" s="19">
        <f t="shared" si="12"/>
        <v>100.9</v>
      </c>
      <c r="G48" s="19">
        <f t="shared" si="12"/>
        <v>107</v>
      </c>
      <c r="H48" s="19">
        <f t="shared" si="12"/>
        <v>82.9</v>
      </c>
      <c r="I48" s="19">
        <f t="shared" si="12"/>
        <v>90.9</v>
      </c>
      <c r="J48" s="19">
        <f t="shared" si="12"/>
        <v>94.9</v>
      </c>
      <c r="K48" s="19">
        <f t="shared" si="12"/>
        <v>107.9</v>
      </c>
      <c r="L48" s="19">
        <f t="shared" si="12"/>
        <v>80.900000000000006</v>
      </c>
      <c r="M48" s="19">
        <f t="shared" si="12"/>
        <v>118.9</v>
      </c>
      <c r="N48" s="19">
        <f t="shared" si="12"/>
        <v>104.9</v>
      </c>
    </row>
    <row r="49" spans="1:14" x14ac:dyDescent="0.2">
      <c r="A49" s="48" t="s">
        <v>167</v>
      </c>
      <c r="B49" s="49" t="s">
        <v>168</v>
      </c>
      <c r="C49" s="50">
        <v>0</v>
      </c>
      <c r="D49" s="50">
        <v>0</v>
      </c>
      <c r="E49" s="50">
        <v>0</v>
      </c>
      <c r="F49" s="50">
        <v>0</v>
      </c>
      <c r="G49" s="50">
        <v>0</v>
      </c>
      <c r="H49" s="50">
        <v>0</v>
      </c>
      <c r="I49" s="50">
        <v>0</v>
      </c>
      <c r="J49" s="50">
        <v>0</v>
      </c>
      <c r="K49" s="50">
        <v>0</v>
      </c>
      <c r="L49" s="50">
        <v>0</v>
      </c>
      <c r="M49" s="50">
        <v>0</v>
      </c>
      <c r="N49" s="50">
        <v>0</v>
      </c>
    </row>
    <row r="50" spans="1:14" x14ac:dyDescent="0.2">
      <c r="A50" s="48" t="s">
        <v>200</v>
      </c>
      <c r="B50" s="49" t="s">
        <v>201</v>
      </c>
      <c r="C50" s="50">
        <f>+C51+C52</f>
        <v>0</v>
      </c>
      <c r="D50" s="50">
        <f t="shared" ref="D50:N50" si="13">+D51+D52</f>
        <v>0</v>
      </c>
      <c r="E50" s="50">
        <f t="shared" si="13"/>
        <v>0</v>
      </c>
      <c r="F50" s="50">
        <f t="shared" si="13"/>
        <v>0</v>
      </c>
      <c r="G50" s="50">
        <f t="shared" si="13"/>
        <v>0</v>
      </c>
      <c r="H50" s="50">
        <f t="shared" si="13"/>
        <v>0</v>
      </c>
      <c r="I50" s="50">
        <f t="shared" si="13"/>
        <v>0</v>
      </c>
      <c r="J50" s="50">
        <f t="shared" si="13"/>
        <v>0</v>
      </c>
      <c r="K50" s="50">
        <f t="shared" si="13"/>
        <v>0</v>
      </c>
      <c r="L50" s="50">
        <f t="shared" si="13"/>
        <v>0</v>
      </c>
      <c r="M50" s="50">
        <f t="shared" si="13"/>
        <v>0</v>
      </c>
      <c r="N50" s="50">
        <f t="shared" si="13"/>
        <v>0</v>
      </c>
    </row>
    <row r="51" spans="1:14" outlineLevel="1" x14ac:dyDescent="0.2">
      <c r="A51" s="9" t="s">
        <v>220</v>
      </c>
      <c r="B51" s="1" t="s">
        <v>221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outlineLevel="1" x14ac:dyDescent="0.2">
      <c r="A52" s="9" t="s">
        <v>222</v>
      </c>
      <c r="B52" s="1" t="s">
        <v>223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x14ac:dyDescent="0.2">
      <c r="A53" s="48" t="s">
        <v>226</v>
      </c>
      <c r="B53" s="49" t="s">
        <v>227</v>
      </c>
      <c r="C53" s="50">
        <v>0</v>
      </c>
      <c r="D53" s="50">
        <v>0</v>
      </c>
      <c r="E53" s="50">
        <v>0</v>
      </c>
      <c r="F53" s="50">
        <v>0</v>
      </c>
      <c r="G53" s="50">
        <v>0</v>
      </c>
      <c r="H53" s="50">
        <v>0</v>
      </c>
      <c r="I53" s="50">
        <v>0</v>
      </c>
      <c r="J53" s="50">
        <v>0</v>
      </c>
      <c r="K53" s="50">
        <v>0</v>
      </c>
      <c r="L53" s="50">
        <v>0</v>
      </c>
      <c r="M53" s="50">
        <v>0</v>
      </c>
      <c r="N53" s="50">
        <v>0</v>
      </c>
    </row>
    <row r="54" spans="1:14" x14ac:dyDescent="0.2">
      <c r="A54" s="48" t="s">
        <v>228</v>
      </c>
      <c r="B54" s="49" t="s">
        <v>229</v>
      </c>
      <c r="C54" s="50">
        <v>0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50">
        <v>0</v>
      </c>
      <c r="L54" s="50">
        <v>0</v>
      </c>
      <c r="M54" s="50">
        <v>0</v>
      </c>
      <c r="N54" s="50">
        <v>0</v>
      </c>
    </row>
    <row r="55" spans="1:14" x14ac:dyDescent="0.2">
      <c r="A55" s="48" t="s">
        <v>230</v>
      </c>
      <c r="B55" s="49" t="s">
        <v>231</v>
      </c>
      <c r="C55" s="50">
        <f>+C56</f>
        <v>0</v>
      </c>
      <c r="D55" s="50">
        <f t="shared" ref="D55:N55" si="14">+D56</f>
        <v>0</v>
      </c>
      <c r="E55" s="50">
        <f t="shared" si="14"/>
        <v>0</v>
      </c>
      <c r="F55" s="50">
        <f t="shared" si="14"/>
        <v>0</v>
      </c>
      <c r="G55" s="50">
        <f t="shared" si="14"/>
        <v>0</v>
      </c>
      <c r="H55" s="50">
        <f t="shared" si="14"/>
        <v>0</v>
      </c>
      <c r="I55" s="50">
        <f t="shared" si="14"/>
        <v>0</v>
      </c>
      <c r="J55" s="50">
        <f t="shared" si="14"/>
        <v>0</v>
      </c>
      <c r="K55" s="50">
        <f t="shared" si="14"/>
        <v>0</v>
      </c>
      <c r="L55" s="50">
        <f t="shared" si="14"/>
        <v>0</v>
      </c>
      <c r="M55" s="50">
        <f t="shared" si="14"/>
        <v>0</v>
      </c>
      <c r="N55" s="50">
        <f t="shared" si="14"/>
        <v>0</v>
      </c>
    </row>
    <row r="56" spans="1:14" outlineLevel="1" x14ac:dyDescent="0.2">
      <c r="A56" s="9" t="s">
        <v>232</v>
      </c>
      <c r="B56" s="1" t="s">
        <v>233</v>
      </c>
      <c r="C56" s="10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</row>
    <row r="57" spans="1:14" x14ac:dyDescent="0.2">
      <c r="A57" s="52"/>
      <c r="B57" s="52" t="s">
        <v>236</v>
      </c>
      <c r="C57" s="53">
        <f t="shared" ref="C57:N57" si="15">+C49+C50+C53+C54+C55</f>
        <v>0</v>
      </c>
      <c r="D57" s="53">
        <f t="shared" si="15"/>
        <v>0</v>
      </c>
      <c r="E57" s="53">
        <f t="shared" si="15"/>
        <v>0</v>
      </c>
      <c r="F57" s="53">
        <f t="shared" si="15"/>
        <v>0</v>
      </c>
      <c r="G57" s="53">
        <f t="shared" si="15"/>
        <v>0</v>
      </c>
      <c r="H57" s="53">
        <f t="shared" si="15"/>
        <v>0</v>
      </c>
      <c r="I57" s="53">
        <f t="shared" si="15"/>
        <v>0</v>
      </c>
      <c r="J57" s="53">
        <f t="shared" si="15"/>
        <v>0</v>
      </c>
      <c r="K57" s="53">
        <f t="shared" si="15"/>
        <v>0</v>
      </c>
      <c r="L57" s="53">
        <f t="shared" si="15"/>
        <v>0</v>
      </c>
      <c r="M57" s="53">
        <f t="shared" si="15"/>
        <v>0</v>
      </c>
      <c r="N57" s="53">
        <f t="shared" si="15"/>
        <v>0</v>
      </c>
    </row>
    <row r="58" spans="1:14" x14ac:dyDescent="0.2">
      <c r="A58" s="51"/>
      <c r="B58" s="51" t="s">
        <v>237</v>
      </c>
      <c r="C58" s="19">
        <f t="shared" ref="C58:N58" si="16">+C48-C57</f>
        <v>79.900000000000006</v>
      </c>
      <c r="D58" s="19">
        <f t="shared" si="16"/>
        <v>78.900000000000006</v>
      </c>
      <c r="E58" s="19">
        <f t="shared" si="16"/>
        <v>116.7</v>
      </c>
      <c r="F58" s="19">
        <f t="shared" si="16"/>
        <v>100.9</v>
      </c>
      <c r="G58" s="19">
        <f t="shared" si="16"/>
        <v>107</v>
      </c>
      <c r="H58" s="19">
        <f t="shared" si="16"/>
        <v>82.9</v>
      </c>
      <c r="I58" s="19">
        <f t="shared" si="16"/>
        <v>90.9</v>
      </c>
      <c r="J58" s="19">
        <f t="shared" si="16"/>
        <v>94.9</v>
      </c>
      <c r="K58" s="19">
        <f t="shared" si="16"/>
        <v>107.9</v>
      </c>
      <c r="L58" s="19">
        <f t="shared" si="16"/>
        <v>80.900000000000006</v>
      </c>
      <c r="M58" s="19">
        <f t="shared" si="16"/>
        <v>118.9</v>
      </c>
      <c r="N58" s="19">
        <f t="shared" si="16"/>
        <v>104.9</v>
      </c>
    </row>
    <row r="59" spans="1:14" x14ac:dyDescent="0.2">
      <c r="A59" s="48" t="s">
        <v>238</v>
      </c>
      <c r="B59" s="49" t="s">
        <v>239</v>
      </c>
      <c r="C59" s="50">
        <f>+C60+C61</f>
        <v>1.2</v>
      </c>
      <c r="D59" s="50">
        <f t="shared" ref="D59:N59" si="17">+D60+D61</f>
        <v>1.2</v>
      </c>
      <c r="E59" s="50">
        <f t="shared" si="17"/>
        <v>1.2</v>
      </c>
      <c r="F59" s="50">
        <f t="shared" si="17"/>
        <v>1.2</v>
      </c>
      <c r="G59" s="50">
        <f t="shared" si="17"/>
        <v>1.2</v>
      </c>
      <c r="H59" s="50">
        <f t="shared" si="17"/>
        <v>1.2</v>
      </c>
      <c r="I59" s="50">
        <f t="shared" si="17"/>
        <v>1.2</v>
      </c>
      <c r="J59" s="50">
        <f t="shared" si="17"/>
        <v>1.2</v>
      </c>
      <c r="K59" s="50">
        <f t="shared" si="17"/>
        <v>1.2</v>
      </c>
      <c r="L59" s="50">
        <f t="shared" si="17"/>
        <v>1.2</v>
      </c>
      <c r="M59" s="50">
        <f t="shared" si="17"/>
        <v>1.2</v>
      </c>
      <c r="N59" s="50">
        <f t="shared" si="17"/>
        <v>1.2</v>
      </c>
    </row>
    <row r="60" spans="1:14" outlineLevel="1" x14ac:dyDescent="0.2">
      <c r="A60" s="9" t="s">
        <v>240</v>
      </c>
      <c r="B60" s="1" t="s">
        <v>241</v>
      </c>
      <c r="C60" s="10">
        <v>1.2</v>
      </c>
      <c r="D60" s="10">
        <v>1.2</v>
      </c>
      <c r="E60" s="10">
        <v>1.2</v>
      </c>
      <c r="F60" s="10">
        <v>1.2</v>
      </c>
      <c r="G60" s="10">
        <v>1.2</v>
      </c>
      <c r="H60" s="10">
        <v>1.2</v>
      </c>
      <c r="I60" s="10">
        <v>1.2</v>
      </c>
      <c r="J60" s="10">
        <v>1.2</v>
      </c>
      <c r="K60" s="10">
        <v>1.2</v>
      </c>
      <c r="L60" s="10">
        <v>1.2</v>
      </c>
      <c r="M60" s="10">
        <v>1.2</v>
      </c>
      <c r="N60" s="10">
        <v>1.2</v>
      </c>
    </row>
    <row r="61" spans="1:14" outlineLevel="1" x14ac:dyDescent="0.2">
      <c r="A61" s="9" t="s">
        <v>242</v>
      </c>
      <c r="B61" s="1" t="s">
        <v>243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</row>
    <row r="62" spans="1:14" x14ac:dyDescent="0.2">
      <c r="A62" s="48" t="s">
        <v>244</v>
      </c>
      <c r="B62" s="49" t="s">
        <v>245</v>
      </c>
      <c r="C62" s="50">
        <v>0</v>
      </c>
      <c r="D62" s="50">
        <v>0</v>
      </c>
      <c r="E62" s="50">
        <v>0</v>
      </c>
      <c r="F62" s="50">
        <v>0</v>
      </c>
      <c r="G62" s="50">
        <v>0</v>
      </c>
      <c r="H62" s="50">
        <v>0</v>
      </c>
      <c r="I62" s="50">
        <v>0</v>
      </c>
      <c r="J62" s="50">
        <v>0</v>
      </c>
      <c r="K62" s="50">
        <v>0</v>
      </c>
      <c r="L62" s="50">
        <v>0</v>
      </c>
      <c r="M62" s="50">
        <v>0</v>
      </c>
      <c r="N62" s="50">
        <v>0</v>
      </c>
    </row>
    <row r="63" spans="1:14" x14ac:dyDescent="0.2">
      <c r="A63" s="51"/>
      <c r="B63" s="51" t="s">
        <v>246</v>
      </c>
      <c r="C63" s="19">
        <f t="shared" ref="C63:N63" si="18">+C58-(C59+C62)</f>
        <v>78.7</v>
      </c>
      <c r="D63" s="19">
        <f t="shared" si="18"/>
        <v>77.7</v>
      </c>
      <c r="E63" s="19">
        <f t="shared" si="18"/>
        <v>115.5</v>
      </c>
      <c r="F63" s="19">
        <f t="shared" si="18"/>
        <v>99.7</v>
      </c>
      <c r="G63" s="19">
        <f t="shared" si="18"/>
        <v>105.8</v>
      </c>
      <c r="H63" s="19">
        <f t="shared" si="18"/>
        <v>81.7</v>
      </c>
      <c r="I63" s="19">
        <f t="shared" si="18"/>
        <v>89.7</v>
      </c>
      <c r="J63" s="19">
        <f t="shared" si="18"/>
        <v>93.7</v>
      </c>
      <c r="K63" s="19">
        <f t="shared" si="18"/>
        <v>106.7</v>
      </c>
      <c r="L63" s="19">
        <f t="shared" si="18"/>
        <v>79.7</v>
      </c>
      <c r="M63" s="19">
        <f t="shared" si="18"/>
        <v>117.7</v>
      </c>
      <c r="N63" s="19">
        <f t="shared" si="18"/>
        <v>103.7</v>
      </c>
    </row>
    <row r="64" spans="1:14" x14ac:dyDescent="0.2">
      <c r="A64" s="9" t="s">
        <v>74</v>
      </c>
      <c r="B64" s="1" t="s">
        <v>74</v>
      </c>
      <c r="C64" s="13" t="s">
        <v>74</v>
      </c>
      <c r="D64" s="13" t="s">
        <v>74</v>
      </c>
      <c r="E64" s="13" t="s">
        <v>74</v>
      </c>
      <c r="F64" s="13" t="s">
        <v>74</v>
      </c>
      <c r="G64" s="13" t="s">
        <v>74</v>
      </c>
      <c r="H64" s="13" t="s">
        <v>74</v>
      </c>
      <c r="I64" s="13" t="s">
        <v>74</v>
      </c>
      <c r="J64" s="13" t="s">
        <v>74</v>
      </c>
      <c r="K64" s="13" t="s">
        <v>74</v>
      </c>
      <c r="L64" s="13" t="s">
        <v>74</v>
      </c>
      <c r="M64" s="13" t="s">
        <v>74</v>
      </c>
      <c r="N64" s="13" t="s">
        <v>74</v>
      </c>
    </row>
    <row r="65" spans="1:14" x14ac:dyDescent="0.2">
      <c r="A65" s="12"/>
      <c r="B65" s="12" t="s">
        <v>247</v>
      </c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1:14" x14ac:dyDescent="0.2">
      <c r="A66" s="9" t="s">
        <v>248</v>
      </c>
      <c r="B66" s="1" t="s">
        <v>249</v>
      </c>
      <c r="C66" s="13">
        <v>0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">
      <c r="A67" s="9" t="s">
        <v>252</v>
      </c>
      <c r="B67" s="1" t="s">
        <v>253</v>
      </c>
      <c r="C67" s="13">
        <v>0</v>
      </c>
      <c r="D67" s="13">
        <v>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">
      <c r="A68" s="9" t="s">
        <v>256</v>
      </c>
      <c r="B68" s="1" t="s">
        <v>257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260</v>
      </c>
      <c r="B69" s="1" t="s">
        <v>261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264</v>
      </c>
      <c r="B70" s="1" t="s">
        <v>265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268</v>
      </c>
      <c r="B71" s="1" t="s">
        <v>269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9" t="s">
        <v>270</v>
      </c>
      <c r="B72" s="1" t="s">
        <v>271</v>
      </c>
      <c r="C72" s="13">
        <v>0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2">
      <c r="A73" s="9" t="s">
        <v>272</v>
      </c>
      <c r="B73" s="1" t="s">
        <v>273</v>
      </c>
      <c r="C73" s="13">
        <v>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2">
      <c r="A74" s="9" t="s">
        <v>274</v>
      </c>
      <c r="B74" s="1" t="s">
        <v>275</v>
      </c>
      <c r="C74" s="13">
        <v>0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2">
      <c r="A75" s="9" t="s">
        <v>276</v>
      </c>
      <c r="B75" s="1" t="s">
        <v>277</v>
      </c>
      <c r="C75" s="13">
        <v>292</v>
      </c>
      <c r="D75" s="13">
        <v>292</v>
      </c>
      <c r="E75" s="13">
        <v>350</v>
      </c>
      <c r="F75" s="13">
        <v>610</v>
      </c>
      <c r="G75" s="13">
        <v>610</v>
      </c>
      <c r="H75" s="13">
        <v>610</v>
      </c>
      <c r="I75" s="13">
        <v>610</v>
      </c>
      <c r="J75" s="13">
        <v>610</v>
      </c>
      <c r="K75" s="13">
        <v>610</v>
      </c>
      <c r="L75" s="13">
        <v>610</v>
      </c>
      <c r="M75" s="13">
        <v>610</v>
      </c>
      <c r="N75" s="13">
        <v>610</v>
      </c>
    </row>
    <row r="76" spans="1:14" outlineLevel="1" x14ac:dyDescent="0.2">
      <c r="A76" s="9" t="s">
        <v>278</v>
      </c>
      <c r="B76" s="1" t="s">
        <v>279</v>
      </c>
      <c r="C76" s="13">
        <v>292</v>
      </c>
      <c r="D76" s="13">
        <v>292</v>
      </c>
      <c r="E76" s="13">
        <v>350</v>
      </c>
      <c r="F76" s="13">
        <v>610</v>
      </c>
      <c r="G76" s="13">
        <v>610</v>
      </c>
      <c r="H76" s="13">
        <v>610</v>
      </c>
      <c r="I76" s="13">
        <v>610</v>
      </c>
      <c r="J76" s="13">
        <v>610</v>
      </c>
      <c r="K76" s="13">
        <v>610</v>
      </c>
      <c r="L76" s="13">
        <v>610</v>
      </c>
      <c r="M76" s="13">
        <v>610</v>
      </c>
      <c r="N76" s="13">
        <v>610</v>
      </c>
    </row>
    <row r="77" spans="1:14" x14ac:dyDescent="0.2">
      <c r="A77" s="9" t="s">
        <v>280</v>
      </c>
      <c r="B77" s="1" t="s">
        <v>281</v>
      </c>
      <c r="C77" s="13">
        <v>292</v>
      </c>
      <c r="D77" s="13">
        <v>292</v>
      </c>
      <c r="E77" s="13">
        <v>350</v>
      </c>
      <c r="F77" s="13">
        <v>610</v>
      </c>
      <c r="G77" s="13">
        <v>610</v>
      </c>
      <c r="H77" s="13">
        <v>610</v>
      </c>
      <c r="I77" s="13">
        <v>610</v>
      </c>
      <c r="J77" s="13">
        <v>610</v>
      </c>
      <c r="K77" s="13">
        <v>610</v>
      </c>
      <c r="L77" s="13">
        <v>610</v>
      </c>
      <c r="M77" s="13">
        <v>610</v>
      </c>
      <c r="N77" s="13">
        <v>610</v>
      </c>
    </row>
    <row r="78" spans="1:14" outlineLevel="1" x14ac:dyDescent="0.2">
      <c r="A78" s="9" t="s">
        <v>282</v>
      </c>
      <c r="B78" s="1" t="s">
        <v>283</v>
      </c>
      <c r="C78" s="13">
        <v>292</v>
      </c>
      <c r="D78" s="13">
        <v>292</v>
      </c>
      <c r="E78" s="13">
        <v>350</v>
      </c>
      <c r="F78" s="13">
        <v>610</v>
      </c>
      <c r="G78" s="13">
        <v>610</v>
      </c>
      <c r="H78" s="13">
        <v>610</v>
      </c>
      <c r="I78" s="13">
        <v>610</v>
      </c>
      <c r="J78" s="13">
        <v>610</v>
      </c>
      <c r="K78" s="13">
        <v>610</v>
      </c>
      <c r="L78" s="13">
        <v>610</v>
      </c>
      <c r="M78" s="13">
        <v>610</v>
      </c>
      <c r="N78" s="13">
        <v>610</v>
      </c>
    </row>
    <row r="79" spans="1:14" x14ac:dyDescent="0.2">
      <c r="A79" s="9" t="s">
        <v>284</v>
      </c>
      <c r="B79" s="1" t="s">
        <v>285</v>
      </c>
      <c r="C79" s="13">
        <v>0</v>
      </c>
      <c r="D79" s="13">
        <v>0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2">
      <c r="A80" s="9" t="s">
        <v>288</v>
      </c>
      <c r="B80" s="1" t="s">
        <v>289</v>
      </c>
      <c r="C80" s="13">
        <v>0</v>
      </c>
      <c r="D80" s="13">
        <v>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2">
      <c r="A81" s="3"/>
      <c r="B81" s="3" t="s">
        <v>290</v>
      </c>
      <c r="C81" s="15" t="s">
        <v>292</v>
      </c>
      <c r="D81" s="15" t="s">
        <v>292</v>
      </c>
      <c r="E81" s="15" t="s">
        <v>292</v>
      </c>
      <c r="F81" s="15" t="s">
        <v>292</v>
      </c>
      <c r="G81" s="15" t="s">
        <v>292</v>
      </c>
      <c r="H81" s="15" t="s">
        <v>292</v>
      </c>
      <c r="I81" s="15" t="s">
        <v>292</v>
      </c>
      <c r="J81" s="15" t="s">
        <v>292</v>
      </c>
      <c r="K81" s="15" t="s">
        <v>292</v>
      </c>
      <c r="L81" s="15" t="s">
        <v>292</v>
      </c>
      <c r="M81" s="15" t="s">
        <v>292</v>
      </c>
      <c r="N81" s="15" t="s">
        <v>292</v>
      </c>
    </row>
    <row r="82" spans="1:14" x14ac:dyDescent="0.2">
      <c r="A82" s="3"/>
      <c r="B82" s="3" t="s">
        <v>291</v>
      </c>
      <c r="C82" s="15" t="s">
        <v>292</v>
      </c>
      <c r="D82" s="15" t="s">
        <v>292</v>
      </c>
      <c r="E82" s="15" t="s">
        <v>292</v>
      </c>
      <c r="F82" s="15" t="s">
        <v>292</v>
      </c>
      <c r="G82" s="15" t="s">
        <v>292</v>
      </c>
      <c r="H82" s="15" t="s">
        <v>292</v>
      </c>
      <c r="I82" s="15" t="s">
        <v>292</v>
      </c>
      <c r="J82" s="15" t="s">
        <v>292</v>
      </c>
      <c r="K82" s="15" t="s">
        <v>292</v>
      </c>
      <c r="L82" s="15" t="s">
        <v>292</v>
      </c>
      <c r="M82" s="15" t="s">
        <v>292</v>
      </c>
      <c r="N82" s="15" t="s">
        <v>292</v>
      </c>
    </row>
    <row r="83" spans="1:14" x14ac:dyDescent="0.2">
      <c r="A83" s="3"/>
      <c r="B83" s="3" t="s">
        <v>293</v>
      </c>
      <c r="C83" s="15" t="s">
        <v>292</v>
      </c>
      <c r="D83" s="15" t="s">
        <v>292</v>
      </c>
      <c r="E83" s="15" t="s">
        <v>292</v>
      </c>
      <c r="F83" s="15" t="s">
        <v>292</v>
      </c>
      <c r="G83" s="15" t="s">
        <v>292</v>
      </c>
      <c r="H83" s="15" t="s">
        <v>292</v>
      </c>
      <c r="I83" s="15" t="s">
        <v>292</v>
      </c>
      <c r="J83" s="15" t="s">
        <v>292</v>
      </c>
      <c r="K83" s="15" t="s">
        <v>292</v>
      </c>
      <c r="L83" s="15" t="s">
        <v>292</v>
      </c>
      <c r="M83" s="15" t="s">
        <v>292</v>
      </c>
      <c r="N83" s="15" t="s">
        <v>292</v>
      </c>
    </row>
    <row r="84" spans="1:14" x14ac:dyDescent="0.2">
      <c r="A84" s="3"/>
      <c r="B84" s="3" t="s">
        <v>294</v>
      </c>
      <c r="C84" s="15" t="s">
        <v>292</v>
      </c>
      <c r="D84" s="15" t="s">
        <v>292</v>
      </c>
      <c r="E84" s="15" t="s">
        <v>292</v>
      </c>
      <c r="F84" s="15" t="s">
        <v>292</v>
      </c>
      <c r="G84" s="15" t="s">
        <v>292</v>
      </c>
      <c r="H84" s="15" t="s">
        <v>292</v>
      </c>
      <c r="I84" s="15" t="s">
        <v>292</v>
      </c>
      <c r="J84" s="15" t="s">
        <v>292</v>
      </c>
      <c r="K84" s="15" t="s">
        <v>292</v>
      </c>
      <c r="L84" s="15" t="s">
        <v>292</v>
      </c>
      <c r="M84" s="15" t="s">
        <v>292</v>
      </c>
      <c r="N84" s="15" t="s">
        <v>292</v>
      </c>
    </row>
    <row r="85" spans="1:14" x14ac:dyDescent="0.2">
      <c r="A85" s="12"/>
      <c r="B85" s="12" t="s">
        <v>295</v>
      </c>
      <c r="C85" s="14" t="s">
        <v>292</v>
      </c>
      <c r="D85" s="14" t="s">
        <v>292</v>
      </c>
      <c r="E85" s="14" t="s">
        <v>292</v>
      </c>
      <c r="F85" s="14" t="s">
        <v>292</v>
      </c>
      <c r="G85" s="14" t="s">
        <v>292</v>
      </c>
      <c r="H85" s="14" t="s">
        <v>292</v>
      </c>
      <c r="I85" s="14" t="s">
        <v>292</v>
      </c>
      <c r="J85" s="14" t="s">
        <v>292</v>
      </c>
      <c r="K85" s="14" t="s">
        <v>292</v>
      </c>
      <c r="L85" s="14" t="s">
        <v>292</v>
      </c>
      <c r="M85" s="14" t="s">
        <v>292</v>
      </c>
      <c r="N85" s="14" t="s">
        <v>292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0108-9BB8-438E-9759-B83C5E701E45}">
  <sheetPr codeName="Hoja67">
    <tabColor theme="9" tint="-0.249977111117893"/>
  </sheetPr>
  <dimension ref="A1:N129"/>
  <sheetViews>
    <sheetView tabSelected="1" zoomScale="85" zoomScaleNormal="85" workbookViewId="0">
      <pane ySplit="6" topLeftCell="A7" activePane="bottomLeft" state="frozen"/>
      <selection activeCell="I54" sqref="I54"/>
      <selection pane="bottomLeft" activeCell="D105" sqref="D105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4</v>
      </c>
    </row>
    <row r="4" spans="1:14" x14ac:dyDescent="0.2">
      <c r="A4" s="5"/>
      <c r="B4" s="5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SUM(C8:C11)</f>
        <v>117</v>
      </c>
      <c r="D7" s="50">
        <f t="shared" ref="D7:N7" si="0">SUM(D8:D11)</f>
        <v>79</v>
      </c>
      <c r="E7" s="50">
        <f t="shared" si="0"/>
        <v>112</v>
      </c>
      <c r="F7" s="50">
        <f t="shared" si="0"/>
        <v>93</v>
      </c>
      <c r="G7" s="50">
        <f t="shared" si="0"/>
        <v>103</v>
      </c>
      <c r="H7" s="50">
        <f t="shared" si="0"/>
        <v>91</v>
      </c>
      <c r="I7" s="50">
        <f t="shared" si="0"/>
        <v>79</v>
      </c>
      <c r="J7" s="50">
        <f t="shared" si="0"/>
        <v>97</v>
      </c>
      <c r="K7" s="50">
        <f t="shared" si="0"/>
        <v>82</v>
      </c>
      <c r="L7" s="50">
        <f t="shared" si="0"/>
        <v>83</v>
      </c>
      <c r="M7" s="50">
        <f t="shared" si="0"/>
        <v>93</v>
      </c>
      <c r="N7" s="50">
        <f t="shared" si="0"/>
        <v>97</v>
      </c>
    </row>
    <row r="8" spans="1:14" hidden="1" outlineLevel="1" x14ac:dyDescent="0.2">
      <c r="A8" s="9" t="s">
        <v>29</v>
      </c>
      <c r="B8" s="1" t="s">
        <v>30</v>
      </c>
      <c r="C8" s="10">
        <f>IFERROR(VLOOKUP(A8,'Centre DW14'!$A$7:$N$160,3,FALSE),0)+
IFERROR(VLOOKUP(A8,'Centre WP14'!$A$7:$N$163,3,FALSE),0)+
IFERROR(VLOOKUP(A8,'Centre WR14'!$A$7:$N$160,3,FALSE),0)</f>
        <v>0</v>
      </c>
      <c r="D8" s="10">
        <f>IFERROR(VLOOKUP(A8,'Centre DW14'!$A$7:$N$160,4,FALSE),0)+
IFERROR(VLOOKUP(A8,'Centre WP14'!$A$7:$N$163,4,FALSE),0)+
IFERROR(VLOOKUP(A8,'Centre WR14'!$A$7:$N$160,4,FALSE),0)</f>
        <v>0</v>
      </c>
      <c r="E8" s="10">
        <f>IFERROR(VLOOKUP(A8,'Centre DW14'!$A$7:$N$160,5,FALSE),0)+
IFERROR(VLOOKUP(A8,'Centre WP14'!$A$7:$N$163,5,FALSE),0)+
IFERROR(VLOOKUP(A8,'Centre WR14'!$A$7:$N$160,5,FALSE),0)</f>
        <v>0</v>
      </c>
      <c r="F8" s="10">
        <f>IFERROR(VLOOKUP(A8,'Centre DW14'!$A$7:$N$160,6,FALSE),0)+
IFERROR(VLOOKUP(A8,'Centre WP14'!$A$7:$N$163,6,FALSE),0)+
IFERROR(VLOOKUP(A8,'Centre WR14'!$A$7:$N$160,6,FALSE),0)</f>
        <v>0</v>
      </c>
      <c r="G8" s="10">
        <f>IFERROR(VLOOKUP(A8,'Centre DW14'!$A$7:$N$160,7,FALSE),0)+
IFERROR(VLOOKUP(A8,'Centre WP14'!$A$7:$N$163,7,FALSE),0)+
IFERROR(VLOOKUP(A8,'Centre WR14'!$A$7:$N$160,7,FALSE),0)</f>
        <v>0</v>
      </c>
      <c r="H8" s="10">
        <f>IFERROR(VLOOKUP(A8,'Centre DW14'!$A$7:$N$160,8,FALSE),0)+
IFERROR(VLOOKUP(A8,'Centre WP14'!$A$7:$N$163,8,FALSE),0)+
IFERROR(VLOOKUP(A8,'Centre WR14'!$A$7:$N$160,8,FALSE),0)</f>
        <v>0</v>
      </c>
      <c r="I8" s="10">
        <f>IFERROR(VLOOKUP(A8,'Centre DW14'!$A$7:$N$160,9,FALSE),0)+
IFERROR(VLOOKUP(A8,'Centre WP14'!$A$7:$N$163,9,FALSE),0)+
IFERROR(VLOOKUP(A8,'Centre WR14'!$A$7:$N$160,9,FALSE),0)</f>
        <v>0</v>
      </c>
      <c r="J8" s="24">
        <f>IFERROR(VLOOKUP(A8,'Centre DW14'!$A$7:$N$160,10,FALSE),0)+
IFERROR(VLOOKUP(A8,'Centre WP14'!$A$7:$N$163,10,FALSE),0)+
IFERROR(VLOOKUP(A8,'Centre WR14'!$A$7:$N$160,10,FALSE),0)</f>
        <v>0</v>
      </c>
      <c r="K8" s="10">
        <f>IFERROR(VLOOKUP(A8,'Centre DW14'!$A$7:$N$160,11,FALSE),0)+
IFERROR(VLOOKUP(A8,'Centre WP14'!$A$7:$N$163,11,FALSE),0)+
IFERROR(VLOOKUP(A8,'Centre WR14'!$A$7:$N$160,11,FALSE),0)</f>
        <v>0</v>
      </c>
      <c r="L8" s="10">
        <f>IFERROR(VLOOKUP(A8,'Centre DW14'!$A$7:$N$160,12,FALSE),0)+
IFERROR(VLOOKUP(A8,'Centre WP14'!$A$7:$N$163,12,FALSE),0)+
IFERROR(VLOOKUP(A8,'Centre WR14'!$A$7:$N$160,12,FALSE),0)</f>
        <v>0</v>
      </c>
      <c r="M8" s="10">
        <f>IFERROR(VLOOKUP(A8,'Centre DW14'!$A$7:$N$160,13,FALSE),0)+
IFERROR(VLOOKUP(A8,'Centre WP14'!$A$7:$N$163,13,FALSE),0)+
IFERROR(VLOOKUP(A8,'Centre WR14'!$A$7:$N$160,13,FALSE),0)</f>
        <v>0</v>
      </c>
      <c r="N8" s="10">
        <f>IFERROR(VLOOKUP(A8,'Centre DW14'!$A$7:$N$160,14,FALSE),0)+
IFERROR(VLOOKUP(A8,'Centre WP14'!$A$7:$N$163,14,FALSE),0)+
IFERROR(VLOOKUP(A8,'Centre WR14'!$A$7:$N$160,14,FALSE),0)</f>
        <v>0</v>
      </c>
    </row>
    <row r="9" spans="1:14" hidden="1" outlineLevel="1" x14ac:dyDescent="0.2">
      <c r="A9" s="9" t="s">
        <v>31</v>
      </c>
      <c r="B9" s="1" t="s">
        <v>32</v>
      </c>
      <c r="C9" s="10">
        <f>IFERROR(VLOOKUP(A9,'Centre DW14'!$A$7:$N$160,3,FALSE),0)+
IFERROR(VLOOKUP(A9,'Centre WP14'!$A$7:$N$163,3,FALSE),0)+
IFERROR(VLOOKUP(A9,'Centre WR14'!$A$7:$N$160,3,FALSE),0)</f>
        <v>0</v>
      </c>
      <c r="D9" s="10">
        <f>IFERROR(VLOOKUP(A9,'Centre DW14'!$A$7:$N$160,4,FALSE),0)+
IFERROR(VLOOKUP(A9,'Centre WP14'!$A$7:$N$163,4,FALSE),0)+
IFERROR(VLOOKUP(A9,'Centre WR14'!$A$7:$N$160,4,FALSE),0)</f>
        <v>0</v>
      </c>
      <c r="E9" s="10">
        <f>IFERROR(VLOOKUP(A9,'Centre DW14'!$A$7:$N$160,5,FALSE),0)+
IFERROR(VLOOKUP(A9,'Centre WP14'!$A$7:$N$163,5,FALSE),0)+
IFERROR(VLOOKUP(A9,'Centre WR14'!$A$7:$N$160,5,FALSE),0)</f>
        <v>0</v>
      </c>
      <c r="F9" s="10">
        <f>IFERROR(VLOOKUP(A9,'Centre DW14'!$A$7:$N$160,6,FALSE),0)+
IFERROR(VLOOKUP(A9,'Centre WP14'!$A$7:$N$163,6,FALSE),0)+
IFERROR(VLOOKUP(A9,'Centre WR14'!$A$7:$N$160,6,FALSE),0)</f>
        <v>0</v>
      </c>
      <c r="G9" s="10">
        <f>IFERROR(VLOOKUP(A9,'Centre DW14'!$A$7:$N$160,7,FALSE),0)+
IFERROR(VLOOKUP(A9,'Centre WP14'!$A$7:$N$163,7,FALSE),0)+
IFERROR(VLOOKUP(A9,'Centre WR14'!$A$7:$N$160,7,FALSE),0)</f>
        <v>0</v>
      </c>
      <c r="H9" s="10">
        <f>IFERROR(VLOOKUP(A9,'Centre DW14'!$A$7:$N$160,8,FALSE),0)+
IFERROR(VLOOKUP(A9,'Centre WP14'!$A$7:$N$163,8,FALSE),0)+
IFERROR(VLOOKUP(A9,'Centre WR14'!$A$7:$N$160,8,FALSE),0)</f>
        <v>0</v>
      </c>
      <c r="I9" s="10">
        <f>IFERROR(VLOOKUP(A9,'Centre DW14'!$A$7:$N$160,9,FALSE),0)+
IFERROR(VLOOKUP(A9,'Centre WP14'!$A$7:$N$163,9,FALSE),0)+
IFERROR(VLOOKUP(A9,'Centre WR14'!$A$7:$N$160,9,FALSE),0)</f>
        <v>0</v>
      </c>
      <c r="J9" s="24">
        <f>IFERROR(VLOOKUP(A9,'Centre DW14'!$A$7:$N$160,10,FALSE),0)+
IFERROR(VLOOKUP(A9,'Centre WP14'!$A$7:$N$163,10,FALSE),0)+
IFERROR(VLOOKUP(A9,'Centre WR14'!$A$7:$N$160,10,FALSE),0)</f>
        <v>0</v>
      </c>
      <c r="K9" s="10">
        <f>IFERROR(VLOOKUP(A9,'Centre DW14'!$A$7:$N$160,11,FALSE),0)+
IFERROR(VLOOKUP(A9,'Centre WP14'!$A$7:$N$163,11,FALSE),0)+
IFERROR(VLOOKUP(A9,'Centre WR14'!$A$7:$N$160,11,FALSE),0)</f>
        <v>0</v>
      </c>
      <c r="L9" s="10">
        <f>IFERROR(VLOOKUP(A9,'Centre DW14'!$A$7:$N$160,12,FALSE),0)+
IFERROR(VLOOKUP(A9,'Centre WP14'!$A$7:$N$163,12,FALSE),0)+
IFERROR(VLOOKUP(A9,'Centre WR14'!$A$7:$N$160,12,FALSE),0)</f>
        <v>0</v>
      </c>
      <c r="M9" s="10">
        <f>IFERROR(VLOOKUP(A9,'Centre DW14'!$A$7:$N$160,13,FALSE),0)+
IFERROR(VLOOKUP(A9,'Centre WP14'!$A$7:$N$163,13,FALSE),0)+
IFERROR(VLOOKUP(A9,'Centre WR14'!$A$7:$N$160,13,FALSE),0)</f>
        <v>0</v>
      </c>
      <c r="N9" s="10">
        <f>IFERROR(VLOOKUP(A9,'Centre DW14'!$A$7:$N$160,14,FALSE),0)+
IFERROR(VLOOKUP(A9,'Centre WP14'!$A$7:$N$163,14,FALSE),0)+
IFERROR(VLOOKUP(A9,'Centre WR14'!$A$7:$N$160,14,FALSE),0)</f>
        <v>0</v>
      </c>
    </row>
    <row r="10" spans="1:14" hidden="1" outlineLevel="1" x14ac:dyDescent="0.2">
      <c r="A10" s="9" t="s">
        <v>33</v>
      </c>
      <c r="B10" s="1" t="s">
        <v>34</v>
      </c>
      <c r="C10" s="10">
        <f>IFERROR(VLOOKUP(A10,'Centre DW14'!$A$7:$N$160,3,FALSE),0)+
IFERROR(VLOOKUP(A10,'Centre WP14'!$A$7:$N$163,3,FALSE),0)+
IFERROR(VLOOKUP(A10,'Centre WR14'!$A$7:$N$160,3,FALSE),0)</f>
        <v>117</v>
      </c>
      <c r="D10" s="10">
        <f>IFERROR(VLOOKUP(A10,'Centre DW14'!$A$7:$N$160,4,FALSE),0)+
IFERROR(VLOOKUP(A10,'Centre WP14'!$A$7:$N$163,4,FALSE),0)+
IFERROR(VLOOKUP(A10,'Centre WR14'!$A$7:$N$160,4,FALSE),0)</f>
        <v>79</v>
      </c>
      <c r="E10" s="10">
        <f>IFERROR(VLOOKUP(A10,'Centre DW14'!$A$7:$N$160,5,FALSE),0)+
IFERROR(VLOOKUP(A10,'Centre WP14'!$A$7:$N$163,5,FALSE),0)+
IFERROR(VLOOKUP(A10,'Centre WR14'!$A$7:$N$160,5,FALSE),0)</f>
        <v>112</v>
      </c>
      <c r="F10" s="10">
        <f>IFERROR(VLOOKUP(A10,'Centre DW14'!$A$7:$N$160,6,FALSE),0)+
IFERROR(VLOOKUP(A10,'Centre WP14'!$A$7:$N$163,6,FALSE),0)+
IFERROR(VLOOKUP(A10,'Centre WR14'!$A$7:$N$160,6,FALSE),0)</f>
        <v>93</v>
      </c>
      <c r="G10" s="10">
        <f>IFERROR(VLOOKUP(A10,'Centre DW14'!$A$7:$N$160,7,FALSE),0)+
IFERROR(VLOOKUP(A10,'Centre WP14'!$A$7:$N$163,7,FALSE),0)+
IFERROR(VLOOKUP(A10,'Centre WR14'!$A$7:$N$160,7,FALSE),0)</f>
        <v>103</v>
      </c>
      <c r="H10" s="10">
        <f>IFERROR(VLOOKUP(A10,'Centre DW14'!$A$7:$N$160,8,FALSE),0)+
IFERROR(VLOOKUP(A10,'Centre WP14'!$A$7:$N$163,8,FALSE),0)+
IFERROR(VLOOKUP(A10,'Centre WR14'!$A$7:$N$160,8,FALSE),0)</f>
        <v>91</v>
      </c>
      <c r="I10" s="10">
        <f>IFERROR(VLOOKUP(A10,'Centre DW14'!$A$7:$N$160,9,FALSE),0)+
IFERROR(VLOOKUP(A10,'Centre WP14'!$A$7:$N$163,9,FALSE),0)+
IFERROR(VLOOKUP(A10,'Centre WR14'!$A$7:$N$160,9,FALSE),0)</f>
        <v>79</v>
      </c>
      <c r="J10" s="24">
        <f>IFERROR(VLOOKUP(A10,'Centre DW14'!$A$7:$N$160,10,FALSE),0)+
IFERROR(VLOOKUP(A10,'Centre WP14'!$A$7:$N$163,10,FALSE),0)+
IFERROR(VLOOKUP(A10,'Centre WR14'!$A$7:$N$160,10,FALSE),0)</f>
        <v>97</v>
      </c>
      <c r="K10" s="10">
        <f>IFERROR(VLOOKUP(A10,'Centre DW14'!$A$7:$N$160,11,FALSE),0)+
IFERROR(VLOOKUP(A10,'Centre WP14'!$A$7:$N$163,11,FALSE),0)+
IFERROR(VLOOKUP(A10,'Centre WR14'!$A$7:$N$160,11,FALSE),0)</f>
        <v>82</v>
      </c>
      <c r="L10" s="10">
        <f>IFERROR(VLOOKUP(A10,'Centre DW14'!$A$7:$N$160,12,FALSE),0)+
IFERROR(VLOOKUP(A10,'Centre WP14'!$A$7:$N$163,12,FALSE),0)+
IFERROR(VLOOKUP(A10,'Centre WR14'!$A$7:$N$160,12,FALSE),0)</f>
        <v>83</v>
      </c>
      <c r="M10" s="10">
        <f>IFERROR(VLOOKUP(A10,'Centre DW14'!$A$7:$N$160,13,FALSE),0)+
IFERROR(VLOOKUP(A10,'Centre WP14'!$A$7:$N$163,13,FALSE),0)+
IFERROR(VLOOKUP(A10,'Centre WR14'!$A$7:$N$160,13,FALSE),0)</f>
        <v>93</v>
      </c>
      <c r="N10" s="10">
        <f>IFERROR(VLOOKUP(A10,'Centre DW14'!$A$7:$N$160,14,FALSE),0)+
IFERROR(VLOOKUP(A10,'Centre WP14'!$A$7:$N$163,14,FALSE),0)+
IFERROR(VLOOKUP(A10,'Centre WR14'!$A$7:$N$160,14,FALSE),0)</f>
        <v>97</v>
      </c>
    </row>
    <row r="11" spans="1:14" hidden="1" outlineLevel="1" x14ac:dyDescent="0.2">
      <c r="A11" s="9" t="s">
        <v>35</v>
      </c>
      <c r="B11" s="1" t="s">
        <v>36</v>
      </c>
      <c r="C11" s="10">
        <f>IFERROR(VLOOKUP(A11,'Centre DW14'!$A$7:$N$160,3,FALSE),0)+
IFERROR(VLOOKUP(A11,'Centre WP14'!$A$7:$N$163,3,FALSE),0)+
IFERROR(VLOOKUP(A11,'Centre WR14'!$A$7:$N$160,3,FALSE),0)</f>
        <v>0</v>
      </c>
      <c r="D11" s="10">
        <f>IFERROR(VLOOKUP(A11,'Centre DW14'!$A$7:$N$160,4,FALSE),0)+
IFERROR(VLOOKUP(A11,'Centre WP14'!$A$7:$N$163,4,FALSE),0)+
IFERROR(VLOOKUP(A11,'Centre WR14'!$A$7:$N$160,4,FALSE),0)</f>
        <v>0</v>
      </c>
      <c r="E11" s="10">
        <f>IFERROR(VLOOKUP(A11,'Centre DW14'!$A$7:$N$160,5,FALSE),0)+
IFERROR(VLOOKUP(A11,'Centre WP14'!$A$7:$N$163,5,FALSE),0)+
IFERROR(VLOOKUP(A11,'Centre WR14'!$A$7:$N$160,5,FALSE),0)</f>
        <v>0</v>
      </c>
      <c r="F11" s="10">
        <f>IFERROR(VLOOKUP(A11,'Centre DW14'!$A$7:$N$160,6,FALSE),0)+
IFERROR(VLOOKUP(A11,'Centre WP14'!$A$7:$N$163,6,FALSE),0)+
IFERROR(VLOOKUP(A11,'Centre WR14'!$A$7:$N$160,6,FALSE),0)</f>
        <v>0</v>
      </c>
      <c r="G11" s="10">
        <f>IFERROR(VLOOKUP(A11,'Centre DW14'!$A$7:$N$160,7,FALSE),0)+
IFERROR(VLOOKUP(A11,'Centre WP14'!$A$7:$N$163,7,FALSE),0)+
IFERROR(VLOOKUP(A11,'Centre WR14'!$A$7:$N$160,7,FALSE),0)</f>
        <v>0</v>
      </c>
      <c r="H11" s="10">
        <f>IFERROR(VLOOKUP(A11,'Centre DW14'!$A$7:$N$160,8,FALSE),0)+
IFERROR(VLOOKUP(A11,'Centre WP14'!$A$7:$N$163,8,FALSE),0)+
IFERROR(VLOOKUP(A11,'Centre WR14'!$A$7:$N$160,8,FALSE),0)</f>
        <v>0</v>
      </c>
      <c r="I11" s="10">
        <f>IFERROR(VLOOKUP(A11,'Centre DW14'!$A$7:$N$160,9,FALSE),0)+
IFERROR(VLOOKUP(A11,'Centre WP14'!$A$7:$N$163,9,FALSE),0)+
IFERROR(VLOOKUP(A11,'Centre WR14'!$A$7:$N$160,9,FALSE),0)</f>
        <v>0</v>
      </c>
      <c r="J11" s="24">
        <f>IFERROR(VLOOKUP(A11,'Centre DW14'!$A$7:$N$160,10,FALSE),0)+
IFERROR(VLOOKUP(A11,'Centre WP14'!$A$7:$N$163,10,FALSE),0)+
IFERROR(VLOOKUP(A11,'Centre WR14'!$A$7:$N$160,10,FALSE),0)</f>
        <v>0</v>
      </c>
      <c r="K11" s="10">
        <f>IFERROR(VLOOKUP(A11,'Centre DW14'!$A$7:$N$160,11,FALSE),0)+
IFERROR(VLOOKUP(A11,'Centre WP14'!$A$7:$N$163,11,FALSE),0)+
IFERROR(VLOOKUP(A11,'Centre WR14'!$A$7:$N$160,11,FALSE),0)</f>
        <v>0</v>
      </c>
      <c r="L11" s="10">
        <f>IFERROR(VLOOKUP(A11,'Centre DW14'!$A$7:$N$160,12,FALSE),0)+
IFERROR(VLOOKUP(A11,'Centre WP14'!$A$7:$N$163,12,FALSE),0)+
IFERROR(VLOOKUP(A11,'Centre WR14'!$A$7:$N$160,12,FALSE),0)</f>
        <v>0</v>
      </c>
      <c r="M11" s="10">
        <f>IFERROR(VLOOKUP(A11,'Centre DW14'!$A$7:$N$160,13,FALSE),0)+
IFERROR(VLOOKUP(A11,'Centre WP14'!$A$7:$N$163,13,FALSE),0)+
IFERROR(VLOOKUP(A11,'Centre WR14'!$A$7:$N$160,13,FALSE),0)</f>
        <v>0</v>
      </c>
      <c r="N11" s="10">
        <f>IFERROR(VLOOKUP(A11,'Centre DW14'!$A$7:$N$160,14,FALSE),0)+
IFERROR(VLOOKUP(A11,'Centre WP14'!$A$7:$N$163,14,FALSE),0)+
IFERROR(VLOOKUP(A11,'Centre WR14'!$A$7:$N$160,14,FALSE),0)</f>
        <v>0</v>
      </c>
    </row>
    <row r="12" spans="1:14" collapsed="1" x14ac:dyDescent="0.2">
      <c r="A12" s="48" t="s">
        <v>37</v>
      </c>
      <c r="B12" s="49" t="s">
        <v>38</v>
      </c>
      <c r="C12" s="50">
        <f>IFERROR(VLOOKUP(A12,'Centre DW14'!$A$7:$N$160,3,FALSE),0)+
IFERROR(VLOOKUP(A12,'Centre WP14'!$A$7:$N$163,3,FALSE),0)+
IFERROR(VLOOKUP(A12,'Centre WR14'!$A$7:$N$160,3,FALSE),0)</f>
        <v>0</v>
      </c>
      <c r="D12" s="50">
        <f>IFERROR(VLOOKUP(A12,'Centre DW14'!$A$7:$N$160,4,FALSE),0)+
IFERROR(VLOOKUP(A12,'Centre WP14'!$A$7:$N$163,4,FALSE),0)+
IFERROR(VLOOKUP(A12,'Centre WR14'!$A$7:$N$160,4,FALSE),0)</f>
        <v>0</v>
      </c>
      <c r="E12" s="50">
        <f>IFERROR(VLOOKUP(A12,'Centre DW14'!$A$7:$N$160,5,FALSE),0)+
IFERROR(VLOOKUP(A12,'Centre WP14'!$A$7:$N$163,5,FALSE),0)+
IFERROR(VLOOKUP(A12,'Centre WR14'!$A$7:$N$160,5,FALSE),0)</f>
        <v>0</v>
      </c>
      <c r="F12" s="50">
        <f>IFERROR(VLOOKUP(A12,'Centre DW14'!$A$7:$N$160,6,FALSE),0)+
IFERROR(VLOOKUP(A12,'Centre WP14'!$A$7:$N$163,6,FALSE),0)+
IFERROR(VLOOKUP(A12,'Centre WR14'!$A$7:$N$160,6,FALSE),0)</f>
        <v>0</v>
      </c>
      <c r="G12" s="50">
        <f>IFERROR(VLOOKUP(A12,'Centre DW14'!$A$7:$N$160,7,FALSE),0)+
IFERROR(VLOOKUP(A12,'Centre WP14'!$A$7:$N$163,7,FALSE),0)+
IFERROR(VLOOKUP(A12,'Centre WR14'!$A$7:$N$160,7,FALSE),0)</f>
        <v>0</v>
      </c>
      <c r="H12" s="50">
        <f>IFERROR(VLOOKUP(A12,'Centre DW14'!$A$7:$N$160,8,FALSE),0)+
IFERROR(VLOOKUP(A12,'Centre WP14'!$A$7:$N$163,8,FALSE),0)+
IFERROR(VLOOKUP(A12,'Centre WR14'!$A$7:$N$160,8,FALSE),0)</f>
        <v>0</v>
      </c>
      <c r="I12" s="50">
        <f>IFERROR(VLOOKUP(A12,'Centre DW14'!$A$7:$N$160,9,FALSE),0)+
IFERROR(VLOOKUP(A12,'Centre WP14'!$A$7:$N$163,9,FALSE),0)+
IFERROR(VLOOKUP(A12,'Centre WR14'!$A$7:$N$160,9,FALSE),0)</f>
        <v>0</v>
      </c>
      <c r="J12" s="50">
        <f>IFERROR(VLOOKUP(A12,'Centre DW14'!$A$7:$N$160,10,FALSE),0)+
IFERROR(VLOOKUP(A12,'Centre WP14'!$A$7:$N$163,10,FALSE),0)+
IFERROR(VLOOKUP(A12,'Centre WR14'!$A$7:$N$160,10,FALSE),0)</f>
        <v>0</v>
      </c>
      <c r="K12" s="50">
        <f>IFERROR(VLOOKUP(A12,'Centre DW14'!$A$7:$N$160,11,FALSE),0)+
IFERROR(VLOOKUP(A12,'Centre WP14'!$A$7:$N$163,11,FALSE),0)+
IFERROR(VLOOKUP(A12,'Centre WR14'!$A$7:$N$160,11,FALSE),0)</f>
        <v>0</v>
      </c>
      <c r="L12" s="50">
        <f>IFERROR(VLOOKUP(A12,'Centre DW14'!$A$7:$N$160,12,FALSE),0)+
IFERROR(VLOOKUP(A12,'Centre WP14'!$A$7:$N$163,12,FALSE),0)+
IFERROR(VLOOKUP(A12,'Centre WR14'!$A$7:$N$160,12,FALSE),0)</f>
        <v>0</v>
      </c>
      <c r="M12" s="50">
        <f>IFERROR(VLOOKUP(A12,'Centre DW14'!$A$7:$N$160,13,FALSE),0)+
IFERROR(VLOOKUP(A12,'Centre WP14'!$A$7:$N$163,13,FALSE),0)+
IFERROR(VLOOKUP(A12,'Centre WR14'!$A$7:$N$160,13,FALSE),0)</f>
        <v>0</v>
      </c>
      <c r="N12" s="50">
        <f>IFERROR(VLOOKUP(A12,'Centre DW14'!$A$7:$N$160,14,FALSE),0)+
IFERROR(VLOOKUP(A12,'Centre WP14'!$A$7:$N$163,14,FALSE),0)+
IFERROR(VLOOKUP(A12,'Centre WR14'!$A$7:$N$160,14,FALSE),0)</f>
        <v>0</v>
      </c>
    </row>
    <row r="13" spans="1:14" x14ac:dyDescent="0.2">
      <c r="A13" s="48" t="s">
        <v>39</v>
      </c>
      <c r="B13" s="49" t="s">
        <v>40</v>
      </c>
      <c r="C13" s="50">
        <f>IFERROR(VLOOKUP(A13,'Centre DW14'!$A$7:$N$160,3,FALSE),0)+
IFERROR(VLOOKUP(A13,'Centre WP14'!$A$7:$N$163,3,FALSE),0)+
IFERROR(VLOOKUP(A13,'Centre WR14'!$A$7:$N$160,3,FALSE),0)</f>
        <v>0</v>
      </c>
      <c r="D13" s="50">
        <f>IFERROR(VLOOKUP(A13,'Centre DW14'!$A$7:$N$160,4,FALSE),0)+
IFERROR(VLOOKUP(A13,'Centre WP14'!$A$7:$N$163,4,FALSE),0)+
IFERROR(VLOOKUP(A13,'Centre WR14'!$A$7:$N$160,4,FALSE),0)</f>
        <v>0</v>
      </c>
      <c r="E13" s="50">
        <f>IFERROR(VLOOKUP(A13,'Centre DW14'!$A$7:$N$160,5,FALSE),0)+
IFERROR(VLOOKUP(A13,'Centre WP14'!$A$7:$N$163,5,FALSE),0)+
IFERROR(VLOOKUP(A13,'Centre WR14'!$A$7:$N$160,5,FALSE),0)</f>
        <v>0</v>
      </c>
      <c r="F13" s="50">
        <f>IFERROR(VLOOKUP(A13,'Centre DW14'!$A$7:$N$160,6,FALSE),0)+
IFERROR(VLOOKUP(A13,'Centre WP14'!$A$7:$N$163,6,FALSE),0)+
IFERROR(VLOOKUP(A13,'Centre WR14'!$A$7:$N$160,6,FALSE),0)</f>
        <v>0</v>
      </c>
      <c r="G13" s="50">
        <f>IFERROR(VLOOKUP(A13,'Centre DW14'!$A$7:$N$160,7,FALSE),0)+
IFERROR(VLOOKUP(A13,'Centre WP14'!$A$7:$N$163,7,FALSE),0)+
IFERROR(VLOOKUP(A13,'Centre WR14'!$A$7:$N$160,7,FALSE),0)</f>
        <v>0</v>
      </c>
      <c r="H13" s="50">
        <f>IFERROR(VLOOKUP(A13,'Centre DW14'!$A$7:$N$160,8,FALSE),0)+
IFERROR(VLOOKUP(A13,'Centre WP14'!$A$7:$N$163,8,FALSE),0)+
IFERROR(VLOOKUP(A13,'Centre WR14'!$A$7:$N$160,8,FALSE),0)</f>
        <v>0</v>
      </c>
      <c r="I13" s="50">
        <f>IFERROR(VLOOKUP(A13,'Centre DW14'!$A$7:$N$160,9,FALSE),0)+
IFERROR(VLOOKUP(A13,'Centre WP14'!$A$7:$N$163,9,FALSE),0)+
IFERROR(VLOOKUP(A13,'Centre WR14'!$A$7:$N$160,9,FALSE),0)</f>
        <v>0</v>
      </c>
      <c r="J13" s="50">
        <f>IFERROR(VLOOKUP(A13,'Centre DW14'!$A$7:$N$160,10,FALSE),0)+
IFERROR(VLOOKUP(A13,'Centre WP14'!$A$7:$N$163,10,FALSE),0)+
IFERROR(VLOOKUP(A13,'Centre WR14'!$A$7:$N$160,10,FALSE),0)</f>
        <v>0</v>
      </c>
      <c r="K13" s="50">
        <f>IFERROR(VLOOKUP(A13,'Centre DW14'!$A$7:$N$160,11,FALSE),0)+
IFERROR(VLOOKUP(A13,'Centre WP14'!$A$7:$N$163,11,FALSE),0)+
IFERROR(VLOOKUP(A13,'Centre WR14'!$A$7:$N$160,11,FALSE),0)</f>
        <v>0</v>
      </c>
      <c r="L13" s="50">
        <f>IFERROR(VLOOKUP(A13,'Centre DW14'!$A$7:$N$160,12,FALSE),0)+
IFERROR(VLOOKUP(A13,'Centre WP14'!$A$7:$N$163,12,FALSE),0)+
IFERROR(VLOOKUP(A13,'Centre WR14'!$A$7:$N$160,12,FALSE),0)</f>
        <v>0</v>
      </c>
      <c r="M13" s="50">
        <f>IFERROR(VLOOKUP(A13,'Centre DW14'!$A$7:$N$160,13,FALSE),0)+
IFERROR(VLOOKUP(A13,'Centre WP14'!$A$7:$N$163,13,FALSE),0)+
IFERROR(VLOOKUP(A13,'Centre WR14'!$A$7:$N$160,13,FALSE),0)</f>
        <v>0</v>
      </c>
      <c r="N13" s="50">
        <f>IFERROR(VLOOKUP(A13,'Centre DW14'!$A$7:$N$160,14,FALSE),0)+
IFERROR(VLOOKUP(A13,'Centre WP14'!$A$7:$N$163,14,FALSE),0)+
IFERROR(VLOOKUP(A13,'Centre WR14'!$A$7:$N$160,14,FALSE),0)</f>
        <v>0</v>
      </c>
    </row>
    <row r="14" spans="1:14" x14ac:dyDescent="0.2">
      <c r="A14" s="48" t="s">
        <v>41</v>
      </c>
      <c r="B14" s="49" t="s">
        <v>42</v>
      </c>
      <c r="C14" s="50">
        <f>+C15</f>
        <v>0.4</v>
      </c>
      <c r="D14" s="50">
        <f t="shared" ref="D14:N14" si="1">+D15</f>
        <v>0.4</v>
      </c>
      <c r="E14" s="50">
        <f t="shared" si="1"/>
        <v>0.4</v>
      </c>
      <c r="F14" s="50">
        <f t="shared" si="1"/>
        <v>0.4</v>
      </c>
      <c r="G14" s="50">
        <f t="shared" si="1"/>
        <v>0.4</v>
      </c>
      <c r="H14" s="50">
        <f t="shared" si="1"/>
        <v>0.4</v>
      </c>
      <c r="I14" s="50">
        <f t="shared" si="1"/>
        <v>0.4</v>
      </c>
      <c r="J14" s="50">
        <f t="shared" si="1"/>
        <v>0.4</v>
      </c>
      <c r="K14" s="50">
        <f t="shared" si="1"/>
        <v>0.4</v>
      </c>
      <c r="L14" s="50">
        <f t="shared" si="1"/>
        <v>0.4</v>
      </c>
      <c r="M14" s="50">
        <f t="shared" si="1"/>
        <v>0.4</v>
      </c>
      <c r="N14" s="50">
        <f t="shared" si="1"/>
        <v>0.4</v>
      </c>
    </row>
    <row r="15" spans="1:14" hidden="1" outlineLevel="1" x14ac:dyDescent="0.2">
      <c r="A15" s="9" t="s">
        <v>43</v>
      </c>
      <c r="B15" s="1" t="s">
        <v>44</v>
      </c>
      <c r="C15" s="10">
        <f>IFERROR(VLOOKUP(A15,'Centre DW14'!$A$7:$N$160,3,FALSE),0)+
IFERROR(VLOOKUP(A15,'Centre WP14'!$A$7:$N$163,3,FALSE),0)+
IFERROR(VLOOKUP(A15,'Centre WR14'!$A$7:$N$160,3,FALSE),0)</f>
        <v>0.4</v>
      </c>
      <c r="D15" s="10">
        <f>IFERROR(VLOOKUP(A15,'Centre DW14'!$A$7:$N$160,4,FALSE),0)+
IFERROR(VLOOKUP(A15,'Centre WP14'!$A$7:$N$163,4,FALSE),0)+
IFERROR(VLOOKUP(A15,'Centre WR14'!$A$7:$N$160,4,FALSE),0)</f>
        <v>0.4</v>
      </c>
      <c r="E15" s="10">
        <f>IFERROR(VLOOKUP(A15,'Centre DW14'!$A$7:$N$160,5,FALSE),0)+
IFERROR(VLOOKUP(A15,'Centre WP14'!$A$7:$N$163,5,FALSE),0)+
IFERROR(VLOOKUP(A15,'Centre WR14'!$A$7:$N$160,5,FALSE),0)</f>
        <v>0.4</v>
      </c>
      <c r="F15" s="10">
        <f>IFERROR(VLOOKUP(A15,'Centre DW14'!$A$7:$N$160,6,FALSE),0)+
IFERROR(VLOOKUP(A15,'Centre WP14'!$A$7:$N$163,6,FALSE),0)+
IFERROR(VLOOKUP(A15,'Centre WR14'!$A$7:$N$160,6,FALSE),0)</f>
        <v>0.4</v>
      </c>
      <c r="G15" s="10">
        <f>IFERROR(VLOOKUP(A15,'Centre DW14'!$A$7:$N$160,7,FALSE),0)+
IFERROR(VLOOKUP(A15,'Centre WP14'!$A$7:$N$163,7,FALSE),0)+
IFERROR(VLOOKUP(A15,'Centre WR14'!$A$7:$N$160,7,FALSE),0)</f>
        <v>0.4</v>
      </c>
      <c r="H15" s="10">
        <f>IFERROR(VLOOKUP(A15,'Centre DW14'!$A$7:$N$160,8,FALSE),0)+
IFERROR(VLOOKUP(A15,'Centre WP14'!$A$7:$N$163,8,FALSE),0)+
IFERROR(VLOOKUP(A15,'Centre WR14'!$A$7:$N$160,8,FALSE),0)</f>
        <v>0.4</v>
      </c>
      <c r="I15" s="10">
        <f>IFERROR(VLOOKUP(A15,'Centre DW14'!$A$7:$N$160,9,FALSE),0)+
IFERROR(VLOOKUP(A15,'Centre WP14'!$A$7:$N$163,9,FALSE),0)+
IFERROR(VLOOKUP(A15,'Centre WR14'!$A$7:$N$160,9,FALSE),0)</f>
        <v>0.4</v>
      </c>
      <c r="J15" s="24">
        <f>IFERROR(VLOOKUP(A15,'Centre DW14'!$A$7:$N$160,10,FALSE),0)+
IFERROR(VLOOKUP(A15,'Centre WP14'!$A$7:$N$163,10,FALSE),0)+
IFERROR(VLOOKUP(A15,'Centre WR14'!$A$7:$N$160,10,FALSE),0)</f>
        <v>0.4</v>
      </c>
      <c r="K15" s="10">
        <f>IFERROR(VLOOKUP(A15,'Centre DW14'!$A$7:$N$160,11,FALSE),0)+
IFERROR(VLOOKUP(A15,'Centre WP14'!$A$7:$N$163,11,FALSE),0)+
IFERROR(VLOOKUP(A15,'Centre WR14'!$A$7:$N$160,11,FALSE),0)</f>
        <v>0.4</v>
      </c>
      <c r="L15" s="10">
        <f>IFERROR(VLOOKUP(A15,'Centre DW14'!$A$7:$N$160,12,FALSE),0)+
IFERROR(VLOOKUP(A15,'Centre WP14'!$A$7:$N$163,12,FALSE),0)+
IFERROR(VLOOKUP(A15,'Centre WR14'!$A$7:$N$160,12,FALSE),0)</f>
        <v>0.4</v>
      </c>
      <c r="M15" s="10">
        <f>IFERROR(VLOOKUP(A15,'Centre DW14'!$A$7:$N$160,13,FALSE),0)+
IFERROR(VLOOKUP(A15,'Centre WP14'!$A$7:$N$163,13,FALSE),0)+
IFERROR(VLOOKUP(A15,'Centre WR14'!$A$7:$N$160,13,FALSE),0)</f>
        <v>0.4</v>
      </c>
      <c r="N15" s="10">
        <f>IFERROR(VLOOKUP(A15,'Centre DW14'!$A$7:$N$160,14,FALSE),0)+
IFERROR(VLOOKUP(A15,'Centre WP14'!$A$7:$N$163,14,FALSE),0)+
IFERROR(VLOOKUP(A15,'Centre WR14'!$A$7:$N$160,14,FALSE),0)</f>
        <v>0.4</v>
      </c>
    </row>
    <row r="16" spans="1:14" collapsed="1" x14ac:dyDescent="0.2">
      <c r="A16" s="48" t="s">
        <v>45</v>
      </c>
      <c r="B16" s="49" t="s">
        <v>46</v>
      </c>
      <c r="C16" s="50">
        <f>IFERROR(VLOOKUP(A16,'Centre DW14'!$A$7:$N$160,3,FALSE),0)+
IFERROR(VLOOKUP(A16,'Centre WP14'!$A$7:$N$163,3,FALSE),0)+
IFERROR(VLOOKUP(A16,'Centre WR14'!$A$7:$N$160,3,FALSE),0)</f>
        <v>0.1</v>
      </c>
      <c r="D16" s="50">
        <f>IFERROR(VLOOKUP(A16,'Centre DW14'!$A$7:$N$160,4,FALSE),0)+
IFERROR(VLOOKUP(A16,'Centre WP14'!$A$7:$N$163,4,FALSE),0)+
IFERROR(VLOOKUP(A16,'Centre WR14'!$A$7:$N$160,4,FALSE),0)</f>
        <v>0.1</v>
      </c>
      <c r="E16" s="50">
        <f>IFERROR(VLOOKUP(A16,'Centre DW14'!$A$7:$N$160,5,FALSE),0)+
IFERROR(VLOOKUP(A16,'Centre WP14'!$A$7:$N$163,5,FALSE),0)+
IFERROR(VLOOKUP(A16,'Centre WR14'!$A$7:$N$160,5,FALSE),0)</f>
        <v>0.1</v>
      </c>
      <c r="F16" s="50">
        <f>IFERROR(VLOOKUP(A16,'Centre DW14'!$A$7:$N$160,6,FALSE),0)+
IFERROR(VLOOKUP(A16,'Centre WP14'!$A$7:$N$163,6,FALSE),0)+
IFERROR(VLOOKUP(A16,'Centre WR14'!$A$7:$N$160,6,FALSE),0)</f>
        <v>0.1</v>
      </c>
      <c r="G16" s="50">
        <f>IFERROR(VLOOKUP(A16,'Centre DW14'!$A$7:$N$160,7,FALSE),0)+
IFERROR(VLOOKUP(A16,'Centre WP14'!$A$7:$N$163,7,FALSE),0)+
IFERROR(VLOOKUP(A16,'Centre WR14'!$A$7:$N$160,7,FALSE),0)</f>
        <v>0.1</v>
      </c>
      <c r="H16" s="50">
        <f>IFERROR(VLOOKUP(A16,'Centre DW14'!$A$7:$N$160,8,FALSE),0)+
IFERROR(VLOOKUP(A16,'Centre WP14'!$A$7:$N$163,8,FALSE),0)+
IFERROR(VLOOKUP(A16,'Centre WR14'!$A$7:$N$160,8,FALSE),0)</f>
        <v>0.1</v>
      </c>
      <c r="I16" s="50">
        <f>IFERROR(VLOOKUP(A16,'Centre DW14'!$A$7:$N$160,9,FALSE),0)+
IFERROR(VLOOKUP(A16,'Centre WP14'!$A$7:$N$163,9,FALSE),0)+
IFERROR(VLOOKUP(A16,'Centre WR14'!$A$7:$N$160,9,FALSE),0)</f>
        <v>0.1</v>
      </c>
      <c r="J16" s="50">
        <f>IFERROR(VLOOKUP(A16,'Centre DW14'!$A$7:$N$160,10,FALSE),0)+
IFERROR(VLOOKUP(A16,'Centre WP14'!$A$7:$N$163,10,FALSE),0)+
IFERROR(VLOOKUP(A16,'Centre WR14'!$A$7:$N$160,10,FALSE),0)</f>
        <v>0.1</v>
      </c>
      <c r="K16" s="50">
        <f>IFERROR(VLOOKUP(A16,'Centre DW14'!$A$7:$N$160,11,FALSE),0)+
IFERROR(VLOOKUP(A16,'Centre WP14'!$A$7:$N$163,11,FALSE),0)+
IFERROR(VLOOKUP(A16,'Centre WR14'!$A$7:$N$160,11,FALSE),0)</f>
        <v>0.1</v>
      </c>
      <c r="L16" s="50">
        <f>IFERROR(VLOOKUP(A16,'Centre DW14'!$A$7:$N$160,12,FALSE),0)+
IFERROR(VLOOKUP(A16,'Centre WP14'!$A$7:$N$163,12,FALSE),0)+
IFERROR(VLOOKUP(A16,'Centre WR14'!$A$7:$N$160,12,FALSE),0)</f>
        <v>0.1</v>
      </c>
      <c r="M16" s="50">
        <f>IFERROR(VLOOKUP(A16,'Centre DW14'!$A$7:$N$160,13,FALSE),0)+
IFERROR(VLOOKUP(A16,'Centre WP14'!$A$7:$N$163,13,FALSE),0)+
IFERROR(VLOOKUP(A16,'Centre WR14'!$A$7:$N$160,13,FALSE),0)</f>
        <v>0.1</v>
      </c>
      <c r="N16" s="50">
        <f>IFERROR(VLOOKUP(A16,'Centre DW14'!$A$7:$N$160,14,FALSE),0)+
IFERROR(VLOOKUP(A16,'Centre WP14'!$A$7:$N$163,14,FALSE),0)+
IFERROR(VLOOKUP(A16,'Centre WR14'!$A$7:$N$160,14,FALSE),0)</f>
        <v>0.1</v>
      </c>
    </row>
    <row r="17" spans="1:14" x14ac:dyDescent="0.2">
      <c r="A17" s="51"/>
      <c r="B17" s="51" t="s">
        <v>47</v>
      </c>
      <c r="C17" s="19">
        <f>+C7+C12+C13+C14+C16</f>
        <v>117.5</v>
      </c>
      <c r="D17" s="19">
        <f t="shared" ref="D17:N17" si="2">+D7+D12+D13+D14+D16</f>
        <v>79.5</v>
      </c>
      <c r="E17" s="19">
        <f t="shared" si="2"/>
        <v>112.5</v>
      </c>
      <c r="F17" s="19">
        <f t="shared" si="2"/>
        <v>93.5</v>
      </c>
      <c r="G17" s="19">
        <f t="shared" si="2"/>
        <v>103.5</v>
      </c>
      <c r="H17" s="19">
        <f t="shared" si="2"/>
        <v>91.5</v>
      </c>
      <c r="I17" s="19">
        <f t="shared" si="2"/>
        <v>79.5</v>
      </c>
      <c r="J17" s="19">
        <f t="shared" si="2"/>
        <v>97.5</v>
      </c>
      <c r="K17" s="19">
        <f t="shared" si="2"/>
        <v>82.5</v>
      </c>
      <c r="L17" s="19">
        <f t="shared" si="2"/>
        <v>83.5</v>
      </c>
      <c r="M17" s="19">
        <f t="shared" si="2"/>
        <v>93.5</v>
      </c>
      <c r="N17" s="19">
        <f t="shared" si="2"/>
        <v>97.5</v>
      </c>
    </row>
    <row r="18" spans="1:14" x14ac:dyDescent="0.2">
      <c r="A18" s="48" t="s">
        <v>48</v>
      </c>
      <c r="B18" s="49" t="s">
        <v>49</v>
      </c>
      <c r="C18" s="50">
        <f>SUM(C19:C21)</f>
        <v>16.100000000000001</v>
      </c>
      <c r="D18" s="50">
        <f t="shared" ref="D18:N18" si="3">SUM(D19:D21)</f>
        <v>9.1</v>
      </c>
      <c r="E18" s="50">
        <f t="shared" si="3"/>
        <v>10.1</v>
      </c>
      <c r="F18" s="50">
        <f t="shared" si="3"/>
        <v>9.1</v>
      </c>
      <c r="G18" s="50">
        <f t="shared" si="3"/>
        <v>10.1</v>
      </c>
      <c r="H18" s="50">
        <f t="shared" si="3"/>
        <v>13.1</v>
      </c>
      <c r="I18" s="50">
        <f t="shared" si="3"/>
        <v>14.1</v>
      </c>
      <c r="J18" s="50">
        <f t="shared" si="3"/>
        <v>13.1</v>
      </c>
      <c r="K18" s="50">
        <f t="shared" si="3"/>
        <v>12.1</v>
      </c>
      <c r="L18" s="50">
        <f t="shared" si="3"/>
        <v>9.1</v>
      </c>
      <c r="M18" s="50">
        <f t="shared" si="3"/>
        <v>14.1</v>
      </c>
      <c r="N18" s="50">
        <f t="shared" si="3"/>
        <v>11.1</v>
      </c>
    </row>
    <row r="19" spans="1:14" hidden="1" outlineLevel="1" x14ac:dyDescent="0.2">
      <c r="A19" s="9" t="s">
        <v>54</v>
      </c>
      <c r="B19" s="1" t="s">
        <v>55</v>
      </c>
      <c r="C19" s="10">
        <f>IFERROR(VLOOKUP(A19,'Centre DW14'!$A$7:$N$160,3,FALSE),0)+
IFERROR(VLOOKUP(A19,'Centre WP14'!$A$7:$N$163,3,FALSE),0)+
IFERROR(VLOOKUP(A19,'Centre WR14'!$A$7:$N$160,3,FALSE),0)</f>
        <v>0</v>
      </c>
      <c r="D19" s="10">
        <f>IFERROR(VLOOKUP(A19,'Centre DW14'!$A$7:$N$160,4,FALSE),0)+
IFERROR(VLOOKUP(A19,'Centre WP14'!$A$7:$N$163,4,FALSE),0)+
IFERROR(VLOOKUP(A19,'Centre WR14'!$A$7:$N$160,4,FALSE),0)</f>
        <v>0</v>
      </c>
      <c r="E19" s="10">
        <f>IFERROR(VLOOKUP(A19,'Centre DW14'!$A$7:$N$160,5,FALSE),0)+
IFERROR(VLOOKUP(A19,'Centre WP14'!$A$7:$N$163,5,FALSE),0)+
IFERROR(VLOOKUP(A19,'Centre WR14'!$A$7:$N$160,5,FALSE),0)</f>
        <v>0</v>
      </c>
      <c r="F19" s="10">
        <f>IFERROR(VLOOKUP(A19,'Centre DW14'!$A$7:$N$160,6,FALSE),0)+
IFERROR(VLOOKUP(A19,'Centre WP14'!$A$7:$N$163,6,FALSE),0)+
IFERROR(VLOOKUP(A19,'Centre WR14'!$A$7:$N$160,6,FALSE),0)</f>
        <v>0</v>
      </c>
      <c r="G19" s="10">
        <f>IFERROR(VLOOKUP(A19,'Centre DW14'!$A$7:$N$160,7,FALSE),0)+
IFERROR(VLOOKUP(A19,'Centre WP14'!$A$7:$N$163,7,FALSE),0)+
IFERROR(VLOOKUP(A19,'Centre WR14'!$A$7:$N$160,7,FALSE),0)</f>
        <v>0</v>
      </c>
      <c r="H19" s="10">
        <f>IFERROR(VLOOKUP(A19,'Centre DW14'!$A$7:$N$160,8,FALSE),0)+
IFERROR(VLOOKUP(A19,'Centre WP14'!$A$7:$N$163,8,FALSE),0)+
IFERROR(VLOOKUP(A19,'Centre WR14'!$A$7:$N$160,8,FALSE),0)</f>
        <v>0</v>
      </c>
      <c r="I19" s="10">
        <f>IFERROR(VLOOKUP(A19,'Centre DW14'!$A$7:$N$160,9,FALSE),0)+
IFERROR(VLOOKUP(A19,'Centre WP14'!$A$7:$N$163,9,FALSE),0)+
IFERROR(VLOOKUP(A19,'Centre WR14'!$A$7:$N$160,9,FALSE),0)</f>
        <v>0</v>
      </c>
      <c r="J19" s="24">
        <f>IFERROR(VLOOKUP(A19,'Centre DW14'!$A$7:$N$160,10,FALSE),0)+
IFERROR(VLOOKUP(A19,'Centre WP14'!$A$7:$N$163,10,FALSE),0)+
IFERROR(VLOOKUP(A19,'Centre WR14'!$A$7:$N$160,10,FALSE),0)</f>
        <v>0</v>
      </c>
      <c r="K19" s="10">
        <f>IFERROR(VLOOKUP(A19,'Centre DW14'!$A$7:$N$160,11,FALSE),0)+
IFERROR(VLOOKUP(A19,'Centre WP14'!$A$7:$N$163,11,FALSE),0)+
IFERROR(VLOOKUP(A19,'Centre WR14'!$A$7:$N$160,11,FALSE),0)</f>
        <v>0</v>
      </c>
      <c r="L19" s="10">
        <f>IFERROR(VLOOKUP(A19,'Centre DW14'!$A$7:$N$160,12,FALSE),0)+
IFERROR(VLOOKUP(A19,'Centre WP14'!$A$7:$N$163,12,FALSE),0)+
IFERROR(VLOOKUP(A19,'Centre WR14'!$A$7:$N$160,12,FALSE),0)</f>
        <v>0</v>
      </c>
      <c r="M19" s="10">
        <f>IFERROR(VLOOKUP(A19,'Centre DW14'!$A$7:$N$160,13,FALSE),0)+
IFERROR(VLOOKUP(A19,'Centre WP14'!$A$7:$N$163,13,FALSE),0)+
IFERROR(VLOOKUP(A19,'Centre WR14'!$A$7:$N$160,13,FALSE),0)</f>
        <v>0</v>
      </c>
      <c r="N19" s="10">
        <f>IFERROR(VLOOKUP(A19,'Centre DW14'!$A$7:$N$160,14,FALSE),0)+
IFERROR(VLOOKUP(A19,'Centre WP14'!$A$7:$N$163,14,FALSE),0)+
IFERROR(VLOOKUP(A19,'Centre WR14'!$A$7:$N$160,14,FALSE),0)</f>
        <v>0</v>
      </c>
    </row>
    <row r="20" spans="1:14" hidden="1" outlineLevel="1" x14ac:dyDescent="0.2">
      <c r="A20" s="9" t="s">
        <v>56</v>
      </c>
      <c r="B20" s="1" t="s">
        <v>51</v>
      </c>
      <c r="C20" s="10">
        <f>IFERROR(VLOOKUP(A20,'Centre DW14'!$A$7:$N$160,3,FALSE),0)+
IFERROR(VLOOKUP(A20,'Centre WP14'!$A$7:$N$163,3,FALSE),0)+
IFERROR(VLOOKUP(A20,'Centre WR14'!$A$7:$N$160,3,FALSE),0)</f>
        <v>10.1</v>
      </c>
      <c r="D20" s="10">
        <f>IFERROR(VLOOKUP(A20,'Centre DW14'!$A$7:$N$160,4,FALSE),0)+
IFERROR(VLOOKUP(A20,'Centre WP14'!$A$7:$N$163,4,FALSE),0)+
IFERROR(VLOOKUP(A20,'Centre WR14'!$A$7:$N$160,4,FALSE),0)</f>
        <v>9.1</v>
      </c>
      <c r="E20" s="10">
        <f>IFERROR(VLOOKUP(A20,'Centre DW14'!$A$7:$N$160,5,FALSE),0)+
IFERROR(VLOOKUP(A20,'Centre WP14'!$A$7:$N$163,5,FALSE),0)+
IFERROR(VLOOKUP(A20,'Centre WR14'!$A$7:$N$160,5,FALSE),0)</f>
        <v>10.1</v>
      </c>
      <c r="F20" s="10">
        <f>IFERROR(VLOOKUP(A20,'Centre DW14'!$A$7:$N$160,6,FALSE),0)+
IFERROR(VLOOKUP(A20,'Centre WP14'!$A$7:$N$163,6,FALSE),0)+
IFERROR(VLOOKUP(A20,'Centre WR14'!$A$7:$N$160,6,FALSE),0)</f>
        <v>9.1</v>
      </c>
      <c r="G20" s="10">
        <f>IFERROR(VLOOKUP(A20,'Centre DW14'!$A$7:$N$160,7,FALSE),0)+
IFERROR(VLOOKUP(A20,'Centre WP14'!$A$7:$N$163,7,FALSE),0)+
IFERROR(VLOOKUP(A20,'Centre WR14'!$A$7:$N$160,7,FALSE),0)</f>
        <v>10.1</v>
      </c>
      <c r="H20" s="10">
        <f>IFERROR(VLOOKUP(A20,'Centre DW14'!$A$7:$N$160,8,FALSE),0)+
IFERROR(VLOOKUP(A20,'Centre WP14'!$A$7:$N$163,8,FALSE),0)+
IFERROR(VLOOKUP(A20,'Centre WR14'!$A$7:$N$160,8,FALSE),0)</f>
        <v>13.1</v>
      </c>
      <c r="I20" s="10">
        <f>IFERROR(VLOOKUP(A20,'Centre DW14'!$A$7:$N$160,9,FALSE),0)+
IFERROR(VLOOKUP(A20,'Centre WP14'!$A$7:$N$163,9,FALSE),0)+
IFERROR(VLOOKUP(A20,'Centre WR14'!$A$7:$N$160,9,FALSE),0)</f>
        <v>14.1</v>
      </c>
      <c r="J20" s="24">
        <f>IFERROR(VLOOKUP(A20,'Centre DW14'!$A$7:$N$160,10,FALSE),0)+
IFERROR(VLOOKUP(A20,'Centre WP14'!$A$7:$N$163,10,FALSE),0)+
IFERROR(VLOOKUP(A20,'Centre WR14'!$A$7:$N$160,10,FALSE),0)</f>
        <v>13.1</v>
      </c>
      <c r="K20" s="10">
        <f>IFERROR(VLOOKUP(A20,'Centre DW14'!$A$7:$N$160,11,FALSE),0)+
IFERROR(VLOOKUP(A20,'Centre WP14'!$A$7:$N$163,11,FALSE),0)+
IFERROR(VLOOKUP(A20,'Centre WR14'!$A$7:$N$160,11,FALSE),0)</f>
        <v>12.1</v>
      </c>
      <c r="L20" s="10">
        <f>IFERROR(VLOOKUP(A20,'Centre DW14'!$A$7:$N$160,12,FALSE),0)+
IFERROR(VLOOKUP(A20,'Centre WP14'!$A$7:$N$163,12,FALSE),0)+
IFERROR(VLOOKUP(A20,'Centre WR14'!$A$7:$N$160,12,FALSE),0)</f>
        <v>9.1</v>
      </c>
      <c r="M20" s="10">
        <f>IFERROR(VLOOKUP(A20,'Centre DW14'!$A$7:$N$160,13,FALSE),0)+
IFERROR(VLOOKUP(A20,'Centre WP14'!$A$7:$N$163,13,FALSE),0)+
IFERROR(VLOOKUP(A20,'Centre WR14'!$A$7:$N$160,13,FALSE),0)</f>
        <v>14.1</v>
      </c>
      <c r="N20" s="10">
        <f>IFERROR(VLOOKUP(A20,'Centre DW14'!$A$7:$N$160,14,FALSE),0)+
IFERROR(VLOOKUP(A20,'Centre WP14'!$A$7:$N$163,14,FALSE),0)+
IFERROR(VLOOKUP(A20,'Centre WR14'!$A$7:$N$160,14,FALSE),0)</f>
        <v>11.1</v>
      </c>
    </row>
    <row r="21" spans="1:14" hidden="1" outlineLevel="1" x14ac:dyDescent="0.2">
      <c r="A21" s="9" t="s">
        <v>57</v>
      </c>
      <c r="B21" s="1" t="s">
        <v>58</v>
      </c>
      <c r="C21" s="10">
        <f>IFERROR(VLOOKUP(A21,'Centre DW14'!$A$7:$N$160,3,FALSE),0)+
IFERROR(VLOOKUP(A21,'Centre WP14'!$A$7:$N$163,3,FALSE),0)+
IFERROR(VLOOKUP(A21,'Centre WR14'!$A$7:$N$160,3,FALSE),0)</f>
        <v>6</v>
      </c>
      <c r="D21" s="10">
        <f>IFERROR(VLOOKUP(A21,'Centre DW14'!$A$7:$N$160,4,FALSE),0)+
IFERROR(VLOOKUP(A21,'Centre WP14'!$A$7:$N$163,4,FALSE),0)+
IFERROR(VLOOKUP(A21,'Centre WR14'!$A$7:$N$160,4,FALSE),0)</f>
        <v>0</v>
      </c>
      <c r="E21" s="10">
        <f>IFERROR(VLOOKUP(A21,'Centre DW14'!$A$7:$N$160,5,FALSE),0)+
IFERROR(VLOOKUP(A21,'Centre WP14'!$A$7:$N$163,5,FALSE),0)+
IFERROR(VLOOKUP(A21,'Centre WR14'!$A$7:$N$160,5,FALSE),0)</f>
        <v>0</v>
      </c>
      <c r="F21" s="10">
        <f>IFERROR(VLOOKUP(A21,'Centre DW14'!$A$7:$N$160,6,FALSE),0)+
IFERROR(VLOOKUP(A21,'Centre WP14'!$A$7:$N$163,6,FALSE),0)+
IFERROR(VLOOKUP(A21,'Centre WR14'!$A$7:$N$160,6,FALSE),0)</f>
        <v>0</v>
      </c>
      <c r="G21" s="10">
        <f>IFERROR(VLOOKUP(A21,'Centre DW14'!$A$7:$N$160,7,FALSE),0)+
IFERROR(VLOOKUP(A21,'Centre WP14'!$A$7:$N$163,7,FALSE),0)+
IFERROR(VLOOKUP(A21,'Centre WR14'!$A$7:$N$160,7,FALSE),0)</f>
        <v>0</v>
      </c>
      <c r="H21" s="10">
        <f>IFERROR(VLOOKUP(A21,'Centre DW14'!$A$7:$N$160,8,FALSE),0)+
IFERROR(VLOOKUP(A21,'Centre WP14'!$A$7:$N$163,8,FALSE),0)+
IFERROR(VLOOKUP(A21,'Centre WR14'!$A$7:$N$160,8,FALSE),0)</f>
        <v>0</v>
      </c>
      <c r="I21" s="10">
        <f>IFERROR(VLOOKUP(A21,'Centre DW14'!$A$7:$N$160,9,FALSE),0)+
IFERROR(VLOOKUP(A21,'Centre WP14'!$A$7:$N$163,9,FALSE),0)+
IFERROR(VLOOKUP(A21,'Centre WR14'!$A$7:$N$160,9,FALSE),0)</f>
        <v>0</v>
      </c>
      <c r="J21" s="24">
        <f>IFERROR(VLOOKUP(A21,'Centre DW14'!$A$7:$N$160,10,FALSE),0)+
IFERROR(VLOOKUP(A21,'Centre WP14'!$A$7:$N$163,10,FALSE),0)+
IFERROR(VLOOKUP(A21,'Centre WR14'!$A$7:$N$160,10,FALSE),0)</f>
        <v>0</v>
      </c>
      <c r="K21" s="10">
        <f>IFERROR(VLOOKUP(A21,'Centre DW14'!$A$7:$N$160,11,FALSE),0)+
IFERROR(VLOOKUP(A21,'Centre WP14'!$A$7:$N$163,11,FALSE),0)+
IFERROR(VLOOKUP(A21,'Centre WR14'!$A$7:$N$160,11,FALSE),0)</f>
        <v>0</v>
      </c>
      <c r="L21" s="10">
        <f>IFERROR(VLOOKUP(A21,'Centre DW14'!$A$7:$N$160,12,FALSE),0)+
IFERROR(VLOOKUP(A21,'Centre WP14'!$A$7:$N$163,12,FALSE),0)+
IFERROR(VLOOKUP(A21,'Centre WR14'!$A$7:$N$160,12,FALSE),0)</f>
        <v>0</v>
      </c>
      <c r="M21" s="10">
        <f>IFERROR(VLOOKUP(A21,'Centre DW14'!$A$7:$N$160,13,FALSE),0)+
IFERROR(VLOOKUP(A21,'Centre WP14'!$A$7:$N$163,13,FALSE),0)+
IFERROR(VLOOKUP(A21,'Centre WR14'!$A$7:$N$160,13,FALSE),0)</f>
        <v>0</v>
      </c>
      <c r="N21" s="10">
        <f>IFERROR(VLOOKUP(A21,'Centre DW14'!$A$7:$N$160,14,FALSE),0)+
IFERROR(VLOOKUP(A21,'Centre WP14'!$A$7:$N$163,14,FALSE),0)+
IFERROR(VLOOKUP(A21,'Centre WR14'!$A$7:$N$160,14,FALSE),0)</f>
        <v>0</v>
      </c>
    </row>
    <row r="22" spans="1:14" collapsed="1" x14ac:dyDescent="0.2">
      <c r="A22" s="48" t="s">
        <v>60</v>
      </c>
      <c r="B22" s="49" t="s">
        <v>61</v>
      </c>
      <c r="C22" s="50">
        <f>IFERROR(VLOOKUP(A22,'Centre DW14'!$A$7:$N$160,3,FALSE),0)+
IFERROR(VLOOKUP(A22,'Centre WP14'!$A$7:$N$163,3,FALSE),0)+
IFERROR(VLOOKUP(A22,'Centre WR14'!$A$7:$N$160,3,FALSE),0)</f>
        <v>0</v>
      </c>
      <c r="D22" s="50">
        <f>IFERROR(VLOOKUP(A22,'Centre DW14'!$A$7:$N$160,4,FALSE),0)+
IFERROR(VLOOKUP(A22,'Centre WP14'!$A$7:$N$163,4,FALSE),0)+
IFERROR(VLOOKUP(A22,'Centre WR14'!$A$7:$N$160,4,FALSE),0)</f>
        <v>0</v>
      </c>
      <c r="E22" s="50">
        <f>IFERROR(VLOOKUP(A22,'Centre DW14'!$A$7:$N$160,5,FALSE),0)+
IFERROR(VLOOKUP(A22,'Centre WP14'!$A$7:$N$163,5,FALSE),0)+
IFERROR(VLOOKUP(A22,'Centre WR14'!$A$7:$N$160,5,FALSE),0)</f>
        <v>0</v>
      </c>
      <c r="F22" s="50">
        <f>IFERROR(VLOOKUP(A22,'Centre DW14'!$A$7:$N$160,6,FALSE),0)+
IFERROR(VLOOKUP(A22,'Centre WP14'!$A$7:$N$163,6,FALSE),0)+
IFERROR(VLOOKUP(A22,'Centre WR14'!$A$7:$N$160,6,FALSE),0)</f>
        <v>0</v>
      </c>
      <c r="G22" s="50">
        <f>IFERROR(VLOOKUP(A22,'Centre DW14'!$A$7:$N$160,7,FALSE),0)+
IFERROR(VLOOKUP(A22,'Centre WP14'!$A$7:$N$163,7,FALSE),0)+
IFERROR(VLOOKUP(A22,'Centre WR14'!$A$7:$N$160,7,FALSE),0)</f>
        <v>0</v>
      </c>
      <c r="H22" s="50">
        <f>IFERROR(VLOOKUP(A22,'Centre DW14'!$A$7:$N$160,8,FALSE),0)+
IFERROR(VLOOKUP(A22,'Centre WP14'!$A$7:$N$163,8,FALSE),0)+
IFERROR(VLOOKUP(A22,'Centre WR14'!$A$7:$N$160,8,FALSE),0)</f>
        <v>0</v>
      </c>
      <c r="I22" s="50">
        <f>IFERROR(VLOOKUP(A22,'Centre DW14'!$A$7:$N$160,9,FALSE),0)+
IFERROR(VLOOKUP(A22,'Centre WP14'!$A$7:$N$163,9,FALSE),0)+
IFERROR(VLOOKUP(A22,'Centre WR14'!$A$7:$N$160,9,FALSE),0)</f>
        <v>0</v>
      </c>
      <c r="J22" s="50">
        <f>IFERROR(VLOOKUP(A22,'Centre DW14'!$A$7:$N$160,10,FALSE),0)+
IFERROR(VLOOKUP(A22,'Centre WP14'!$A$7:$N$163,10,FALSE),0)+
IFERROR(VLOOKUP(A22,'Centre WR14'!$A$7:$N$160,10,FALSE),0)</f>
        <v>0</v>
      </c>
      <c r="K22" s="50">
        <f>IFERROR(VLOOKUP(A22,'Centre DW14'!$A$7:$N$160,11,FALSE),0)+
IFERROR(VLOOKUP(A22,'Centre WP14'!$A$7:$N$163,11,FALSE),0)+
IFERROR(VLOOKUP(A22,'Centre WR14'!$A$7:$N$160,11,FALSE),0)</f>
        <v>0</v>
      </c>
      <c r="L22" s="50">
        <f>IFERROR(VLOOKUP(A22,'Centre DW14'!$A$7:$N$160,12,FALSE),0)+
IFERROR(VLOOKUP(A22,'Centre WP14'!$A$7:$N$163,12,FALSE),0)+
IFERROR(VLOOKUP(A22,'Centre WR14'!$A$7:$N$160,12,FALSE),0)</f>
        <v>0</v>
      </c>
      <c r="M22" s="50">
        <f>IFERROR(VLOOKUP(A22,'Centre DW14'!$A$7:$N$160,13,FALSE),0)+
IFERROR(VLOOKUP(A22,'Centre WP14'!$A$7:$N$163,13,FALSE),0)+
IFERROR(VLOOKUP(A22,'Centre WR14'!$A$7:$N$160,13,FALSE),0)</f>
        <v>0</v>
      </c>
      <c r="N22" s="50">
        <f>IFERROR(VLOOKUP(A22,'Centre DW14'!$A$7:$N$160,14,FALSE),0)+
IFERROR(VLOOKUP(A22,'Centre WP14'!$A$7:$N$163,14,FALSE),0)+
IFERROR(VLOOKUP(A22,'Centre WR14'!$A$7:$N$160,14,FALSE),0)</f>
        <v>0</v>
      </c>
    </row>
    <row r="23" spans="1:14" x14ac:dyDescent="0.2">
      <c r="A23" s="48" t="s">
        <v>62</v>
      </c>
      <c r="B23" s="49" t="s">
        <v>63</v>
      </c>
      <c r="C23" s="50">
        <f>IFERROR(VLOOKUP(A23,'Centre DW14'!$A$7:$N$160,3,FALSE),0)+
IFERROR(VLOOKUP(A23,'Centre WP14'!$A$7:$N$163,3,FALSE),0)+
IFERROR(VLOOKUP(A23,'Centre WR14'!$A$7:$N$160,3,FALSE),0)</f>
        <v>0</v>
      </c>
      <c r="D23" s="50">
        <f>IFERROR(VLOOKUP(A23,'Centre DW14'!$A$7:$N$160,4,FALSE),0)+
IFERROR(VLOOKUP(A23,'Centre WP14'!$A$7:$N$163,4,FALSE),0)+
IFERROR(VLOOKUP(A23,'Centre WR14'!$A$7:$N$160,4,FALSE),0)</f>
        <v>0</v>
      </c>
      <c r="E23" s="50">
        <f>IFERROR(VLOOKUP(A23,'Centre DW14'!$A$7:$N$160,5,FALSE),0)+
IFERROR(VLOOKUP(A23,'Centre WP14'!$A$7:$N$163,5,FALSE),0)+
IFERROR(VLOOKUP(A23,'Centre WR14'!$A$7:$N$160,5,FALSE),0)</f>
        <v>0</v>
      </c>
      <c r="F23" s="50">
        <f>IFERROR(VLOOKUP(A23,'Centre DW14'!$A$7:$N$160,6,FALSE),0)+
IFERROR(VLOOKUP(A23,'Centre WP14'!$A$7:$N$163,6,FALSE),0)+
IFERROR(VLOOKUP(A23,'Centre WR14'!$A$7:$N$160,6,FALSE),0)</f>
        <v>0</v>
      </c>
      <c r="G23" s="50">
        <f>IFERROR(VLOOKUP(A23,'Centre DW14'!$A$7:$N$160,7,FALSE),0)+
IFERROR(VLOOKUP(A23,'Centre WP14'!$A$7:$N$163,7,FALSE),0)+
IFERROR(VLOOKUP(A23,'Centre WR14'!$A$7:$N$160,7,FALSE),0)</f>
        <v>0</v>
      </c>
      <c r="H23" s="50">
        <f>IFERROR(VLOOKUP(A23,'Centre DW14'!$A$7:$N$160,8,FALSE),0)+
IFERROR(VLOOKUP(A23,'Centre WP14'!$A$7:$N$163,8,FALSE),0)+
IFERROR(VLOOKUP(A23,'Centre WR14'!$A$7:$N$160,8,FALSE),0)</f>
        <v>0</v>
      </c>
      <c r="I23" s="50">
        <f>IFERROR(VLOOKUP(A23,'Centre DW14'!$A$7:$N$160,9,FALSE),0)+
IFERROR(VLOOKUP(A23,'Centre WP14'!$A$7:$N$163,9,FALSE),0)+
IFERROR(VLOOKUP(A23,'Centre WR14'!$A$7:$N$160,9,FALSE),0)</f>
        <v>0</v>
      </c>
      <c r="J23" s="50">
        <f>IFERROR(VLOOKUP(A23,'Centre DW14'!$A$7:$N$160,10,FALSE),0)+
IFERROR(VLOOKUP(A23,'Centre WP14'!$A$7:$N$163,10,FALSE),0)+
IFERROR(VLOOKUP(A23,'Centre WR14'!$A$7:$N$160,10,FALSE),0)</f>
        <v>0</v>
      </c>
      <c r="K23" s="50">
        <f>IFERROR(VLOOKUP(A23,'Centre DW14'!$A$7:$N$160,11,FALSE),0)+
IFERROR(VLOOKUP(A23,'Centre WP14'!$A$7:$N$163,11,FALSE),0)+
IFERROR(VLOOKUP(A23,'Centre WR14'!$A$7:$N$160,11,FALSE),0)</f>
        <v>0</v>
      </c>
      <c r="L23" s="50">
        <f>IFERROR(VLOOKUP(A23,'Centre DW14'!$A$7:$N$160,12,FALSE),0)+
IFERROR(VLOOKUP(A23,'Centre WP14'!$A$7:$N$163,12,FALSE),0)+
IFERROR(VLOOKUP(A23,'Centre WR14'!$A$7:$N$160,12,FALSE),0)</f>
        <v>0</v>
      </c>
      <c r="M23" s="50">
        <f>IFERROR(VLOOKUP(A23,'Centre DW14'!$A$7:$N$160,13,FALSE),0)+
IFERROR(VLOOKUP(A23,'Centre WP14'!$A$7:$N$163,13,FALSE),0)+
IFERROR(VLOOKUP(A23,'Centre WR14'!$A$7:$N$160,13,FALSE),0)</f>
        <v>0</v>
      </c>
      <c r="N23" s="50">
        <f>IFERROR(VLOOKUP(A23,'Centre DW14'!$A$7:$N$160,14,FALSE),0)+
IFERROR(VLOOKUP(A23,'Centre WP14'!$A$7:$N$163,14,FALSE),0)+
IFERROR(VLOOKUP(A23,'Centre WR14'!$A$7:$N$160,14,FALSE),0)</f>
        <v>0</v>
      </c>
    </row>
    <row r="24" spans="1:14" x14ac:dyDescent="0.2">
      <c r="A24" s="48" t="s">
        <v>64</v>
      </c>
      <c r="B24" s="49" t="s">
        <v>65</v>
      </c>
      <c r="C24" s="50">
        <f>+C25</f>
        <v>6.65</v>
      </c>
      <c r="D24" s="50">
        <f t="shared" ref="D24:N24" si="4">+D25</f>
        <v>6.65</v>
      </c>
      <c r="E24" s="50">
        <f t="shared" si="4"/>
        <v>6.65</v>
      </c>
      <c r="F24" s="50">
        <f t="shared" si="4"/>
        <v>6.65</v>
      </c>
      <c r="G24" s="50">
        <f t="shared" si="4"/>
        <v>6.65</v>
      </c>
      <c r="H24" s="50">
        <f t="shared" si="4"/>
        <v>6.65</v>
      </c>
      <c r="I24" s="50">
        <f t="shared" si="4"/>
        <v>6.65</v>
      </c>
      <c r="J24" s="50">
        <f t="shared" si="4"/>
        <v>6.65</v>
      </c>
      <c r="K24" s="50">
        <f t="shared" si="4"/>
        <v>6.65</v>
      </c>
      <c r="L24" s="50">
        <f t="shared" si="4"/>
        <v>6.65</v>
      </c>
      <c r="M24" s="50">
        <f t="shared" si="4"/>
        <v>6.65</v>
      </c>
      <c r="N24" s="50">
        <f t="shared" si="4"/>
        <v>6.65</v>
      </c>
    </row>
    <row r="25" spans="1:14" hidden="1" outlineLevel="1" x14ac:dyDescent="0.2">
      <c r="A25" s="9" t="s">
        <v>66</v>
      </c>
      <c r="B25" s="1" t="s">
        <v>67</v>
      </c>
      <c r="C25" s="10">
        <f>IFERROR(VLOOKUP(A25,'Centre DW14'!$A$7:$N$160,3,FALSE),0)+
IFERROR(VLOOKUP(A25,'Centre WP14'!$A$7:$N$163,3,FALSE),0)+
IFERROR(VLOOKUP(A25,'Centre WR14'!$A$7:$N$160,3,FALSE),0)</f>
        <v>6.65</v>
      </c>
      <c r="D25" s="10">
        <f>IFERROR(VLOOKUP(A25,'Centre DW14'!$A$7:$N$160,4,FALSE),0)+
IFERROR(VLOOKUP(A25,'Centre WP14'!$A$7:$N$163,4,FALSE),0)+
IFERROR(VLOOKUP(A25,'Centre WR14'!$A$7:$N$160,4,FALSE),0)</f>
        <v>6.65</v>
      </c>
      <c r="E25" s="10">
        <f>IFERROR(VLOOKUP(A25,'Centre DW14'!$A$7:$N$160,5,FALSE),0)+
IFERROR(VLOOKUP(A25,'Centre WP14'!$A$7:$N$163,5,FALSE),0)+
IFERROR(VLOOKUP(A25,'Centre WR14'!$A$7:$N$160,5,FALSE),0)</f>
        <v>6.65</v>
      </c>
      <c r="F25" s="10">
        <f>IFERROR(VLOOKUP(A25,'Centre DW14'!$A$7:$N$160,6,FALSE),0)+
IFERROR(VLOOKUP(A25,'Centre WP14'!$A$7:$N$163,6,FALSE),0)+
IFERROR(VLOOKUP(A25,'Centre WR14'!$A$7:$N$160,6,FALSE),0)</f>
        <v>6.65</v>
      </c>
      <c r="G25" s="10">
        <f>IFERROR(VLOOKUP(A25,'Centre DW14'!$A$7:$N$160,7,FALSE),0)+
IFERROR(VLOOKUP(A25,'Centre WP14'!$A$7:$N$163,7,FALSE),0)+
IFERROR(VLOOKUP(A25,'Centre WR14'!$A$7:$N$160,7,FALSE),0)</f>
        <v>6.65</v>
      </c>
      <c r="H25" s="10">
        <f>IFERROR(VLOOKUP(A25,'Centre DW14'!$A$7:$N$160,8,FALSE),0)+
IFERROR(VLOOKUP(A25,'Centre WP14'!$A$7:$N$163,8,FALSE),0)+
IFERROR(VLOOKUP(A25,'Centre WR14'!$A$7:$N$160,8,FALSE),0)</f>
        <v>6.65</v>
      </c>
      <c r="I25" s="10">
        <f>IFERROR(VLOOKUP(A25,'Centre DW14'!$A$7:$N$160,9,FALSE),0)+
IFERROR(VLOOKUP(A25,'Centre WP14'!$A$7:$N$163,9,FALSE),0)+
IFERROR(VLOOKUP(A25,'Centre WR14'!$A$7:$N$160,9,FALSE),0)</f>
        <v>6.65</v>
      </c>
      <c r="J25" s="24">
        <f>IFERROR(VLOOKUP(A25,'Centre DW14'!$A$7:$N$160,10,FALSE),0)+
IFERROR(VLOOKUP(A25,'Centre WP14'!$A$7:$N$163,10,FALSE),0)+
IFERROR(VLOOKUP(A25,'Centre WR14'!$A$7:$N$160,10,FALSE),0)</f>
        <v>6.65</v>
      </c>
      <c r="K25" s="10">
        <f>IFERROR(VLOOKUP(A25,'Centre DW14'!$A$7:$N$160,11,FALSE),0)+
IFERROR(VLOOKUP(A25,'Centre WP14'!$A$7:$N$163,11,FALSE),0)+
IFERROR(VLOOKUP(A25,'Centre WR14'!$A$7:$N$160,11,FALSE),0)</f>
        <v>6.65</v>
      </c>
      <c r="L25" s="10">
        <f>IFERROR(VLOOKUP(A25,'Centre DW14'!$A$7:$N$160,12,FALSE),0)+
IFERROR(VLOOKUP(A25,'Centre WP14'!$A$7:$N$163,12,FALSE),0)+
IFERROR(VLOOKUP(A25,'Centre WR14'!$A$7:$N$160,12,FALSE),0)</f>
        <v>6.65</v>
      </c>
      <c r="M25" s="10">
        <f>IFERROR(VLOOKUP(A25,'Centre DW14'!$A$7:$N$160,13,FALSE),0)+
IFERROR(VLOOKUP(A25,'Centre WP14'!$A$7:$N$163,13,FALSE),0)+
IFERROR(VLOOKUP(A25,'Centre WR14'!$A$7:$N$160,13,FALSE),0)</f>
        <v>6.65</v>
      </c>
      <c r="N25" s="10">
        <f>IFERROR(VLOOKUP(A25,'Centre DW14'!$A$7:$N$160,14,FALSE),0)+
IFERROR(VLOOKUP(A25,'Centre WP14'!$A$7:$N$163,14,FALSE),0)+
IFERROR(VLOOKUP(A25,'Centre WR14'!$A$7:$N$160,14,FALSE),0)</f>
        <v>6.65</v>
      </c>
    </row>
    <row r="26" spans="1:14" collapsed="1" x14ac:dyDescent="0.2">
      <c r="A26" s="48" t="s">
        <v>68</v>
      </c>
      <c r="B26" s="49" t="s">
        <v>69</v>
      </c>
      <c r="C26" s="50">
        <f>+C27</f>
        <v>1.1000000000000001</v>
      </c>
      <c r="D26" s="50">
        <f t="shared" ref="D26:N26" si="5">+D27</f>
        <v>1.1000000000000001</v>
      </c>
      <c r="E26" s="50">
        <f t="shared" si="5"/>
        <v>1.1000000000000001</v>
      </c>
      <c r="F26" s="50">
        <f t="shared" si="5"/>
        <v>1.1000000000000001</v>
      </c>
      <c r="G26" s="50">
        <f t="shared" si="5"/>
        <v>1.1000000000000001</v>
      </c>
      <c r="H26" s="50">
        <f t="shared" si="5"/>
        <v>1.1000000000000001</v>
      </c>
      <c r="I26" s="50">
        <f t="shared" si="5"/>
        <v>1.1000000000000001</v>
      </c>
      <c r="J26" s="50">
        <f t="shared" si="5"/>
        <v>1.1000000000000001</v>
      </c>
      <c r="K26" s="50">
        <f t="shared" si="5"/>
        <v>1.1000000000000001</v>
      </c>
      <c r="L26" s="50">
        <f t="shared" si="5"/>
        <v>1.1000000000000001</v>
      </c>
      <c r="M26" s="50">
        <f t="shared" si="5"/>
        <v>1.1000000000000001</v>
      </c>
      <c r="N26" s="50">
        <f t="shared" si="5"/>
        <v>1.1000000000000001</v>
      </c>
    </row>
    <row r="27" spans="1:14" hidden="1" outlineLevel="1" x14ac:dyDescent="0.2">
      <c r="A27" s="9" t="s">
        <v>70</v>
      </c>
      <c r="B27" s="1" t="s">
        <v>71</v>
      </c>
      <c r="C27" s="10">
        <f>IFERROR(VLOOKUP(A27,'Centre DW14'!$A$7:$N$160,3,FALSE),0)+
IFERROR(VLOOKUP(A27,'Centre WP14'!$A$7:$N$163,3,FALSE),0)+
IFERROR(VLOOKUP(A27,'Centre WR14'!$A$7:$N$160,3,FALSE),0)</f>
        <v>1.1000000000000001</v>
      </c>
      <c r="D27" s="10">
        <f>IFERROR(VLOOKUP(A27,'Centre DW14'!$A$7:$N$160,4,FALSE),0)+
IFERROR(VLOOKUP(A27,'Centre WP14'!$A$7:$N$163,4,FALSE),0)+
IFERROR(VLOOKUP(A27,'Centre WR14'!$A$7:$N$160,4,FALSE),0)</f>
        <v>1.1000000000000001</v>
      </c>
      <c r="E27" s="10">
        <f>IFERROR(VLOOKUP(A27,'Centre DW14'!$A$7:$N$160,5,FALSE),0)+
IFERROR(VLOOKUP(A27,'Centre WP14'!$A$7:$N$163,5,FALSE),0)+
IFERROR(VLOOKUP(A27,'Centre WR14'!$A$7:$N$160,5,FALSE),0)</f>
        <v>1.1000000000000001</v>
      </c>
      <c r="F27" s="10">
        <f>IFERROR(VLOOKUP(A27,'Centre DW14'!$A$7:$N$160,6,FALSE),0)+
IFERROR(VLOOKUP(A27,'Centre WP14'!$A$7:$N$163,6,FALSE),0)+
IFERROR(VLOOKUP(A27,'Centre WR14'!$A$7:$N$160,6,FALSE),0)</f>
        <v>1.1000000000000001</v>
      </c>
      <c r="G27" s="10">
        <f>IFERROR(VLOOKUP(A27,'Centre DW14'!$A$7:$N$160,7,FALSE),0)+
IFERROR(VLOOKUP(A27,'Centre WP14'!$A$7:$N$163,7,FALSE),0)+
IFERROR(VLOOKUP(A27,'Centre WR14'!$A$7:$N$160,7,FALSE),0)</f>
        <v>1.1000000000000001</v>
      </c>
      <c r="H27" s="10">
        <f>IFERROR(VLOOKUP(A27,'Centre DW14'!$A$7:$N$160,8,FALSE),0)+
IFERROR(VLOOKUP(A27,'Centre WP14'!$A$7:$N$163,8,FALSE),0)+
IFERROR(VLOOKUP(A27,'Centre WR14'!$A$7:$N$160,8,FALSE),0)</f>
        <v>1.1000000000000001</v>
      </c>
      <c r="I27" s="10">
        <f>IFERROR(VLOOKUP(A27,'Centre DW14'!$A$7:$N$160,9,FALSE),0)+
IFERROR(VLOOKUP(A27,'Centre WP14'!$A$7:$N$163,9,FALSE),0)+
IFERROR(VLOOKUP(A27,'Centre WR14'!$A$7:$N$160,9,FALSE),0)</f>
        <v>1.1000000000000001</v>
      </c>
      <c r="J27" s="24">
        <f>IFERROR(VLOOKUP(A27,'Centre DW14'!$A$7:$N$160,10,FALSE),0)+
IFERROR(VLOOKUP(A27,'Centre WP14'!$A$7:$N$163,10,FALSE),0)+
IFERROR(VLOOKUP(A27,'Centre WR14'!$A$7:$N$160,10,FALSE),0)</f>
        <v>1.1000000000000001</v>
      </c>
      <c r="K27" s="10">
        <f>IFERROR(VLOOKUP(A27,'Centre DW14'!$A$7:$N$160,11,FALSE),0)+
IFERROR(VLOOKUP(A27,'Centre WP14'!$A$7:$N$163,11,FALSE),0)+
IFERROR(VLOOKUP(A27,'Centre WR14'!$A$7:$N$160,11,FALSE),0)</f>
        <v>1.1000000000000001</v>
      </c>
      <c r="L27" s="10">
        <f>IFERROR(VLOOKUP(A27,'Centre DW14'!$A$7:$N$160,12,FALSE),0)+
IFERROR(VLOOKUP(A27,'Centre WP14'!$A$7:$N$163,12,FALSE),0)+
IFERROR(VLOOKUP(A27,'Centre WR14'!$A$7:$N$160,12,FALSE),0)</f>
        <v>1.1000000000000001</v>
      </c>
      <c r="M27" s="10">
        <f>IFERROR(VLOOKUP(A27,'Centre DW14'!$A$7:$N$160,13,FALSE),0)+
IFERROR(VLOOKUP(A27,'Centre WP14'!$A$7:$N$163,13,FALSE),0)+
IFERROR(VLOOKUP(A27,'Centre WR14'!$A$7:$N$160,13,FALSE),0)</f>
        <v>1.1000000000000001</v>
      </c>
      <c r="N27" s="10">
        <f>IFERROR(VLOOKUP(A27,'Centre DW14'!$A$7:$N$160,14,FALSE),0)+
IFERROR(VLOOKUP(A27,'Centre WP14'!$A$7:$N$163,14,FALSE),0)+
IFERROR(VLOOKUP(A27,'Centre WR14'!$A$7:$N$160,14,FALSE),0)</f>
        <v>1.1000000000000001</v>
      </c>
    </row>
    <row r="28" spans="1:14" collapsed="1" x14ac:dyDescent="0.2">
      <c r="A28" s="52"/>
      <c r="B28" s="52" t="s">
        <v>72</v>
      </c>
      <c r="C28" s="53">
        <f>+C18+C22+C23+C24+C26</f>
        <v>23.85</v>
      </c>
      <c r="D28" s="53">
        <f t="shared" ref="D28:N28" si="6">+D18+D22+D23+D24+D26</f>
        <v>16.850000000000001</v>
      </c>
      <c r="E28" s="53">
        <f t="shared" si="6"/>
        <v>17.850000000000001</v>
      </c>
      <c r="F28" s="53">
        <f t="shared" si="6"/>
        <v>16.850000000000001</v>
      </c>
      <c r="G28" s="53">
        <f t="shared" si="6"/>
        <v>17.850000000000001</v>
      </c>
      <c r="H28" s="53">
        <f t="shared" si="6"/>
        <v>20.85</v>
      </c>
      <c r="I28" s="53">
        <f t="shared" si="6"/>
        <v>21.85</v>
      </c>
      <c r="J28" s="53">
        <f t="shared" si="6"/>
        <v>20.85</v>
      </c>
      <c r="K28" s="53">
        <f t="shared" si="6"/>
        <v>19.850000000000001</v>
      </c>
      <c r="L28" s="53">
        <f t="shared" si="6"/>
        <v>16.850000000000001</v>
      </c>
      <c r="M28" s="53">
        <f t="shared" si="6"/>
        <v>21.85</v>
      </c>
      <c r="N28" s="53">
        <f t="shared" si="6"/>
        <v>18.850000000000001</v>
      </c>
    </row>
    <row r="29" spans="1:14" x14ac:dyDescent="0.2">
      <c r="A29" s="51"/>
      <c r="B29" s="51" t="s">
        <v>73</v>
      </c>
      <c r="C29" s="19">
        <f t="shared" ref="C29:N29" si="7">+C17-C28</f>
        <v>93.65</v>
      </c>
      <c r="D29" s="19">
        <f t="shared" si="7"/>
        <v>62.65</v>
      </c>
      <c r="E29" s="19">
        <f t="shared" si="7"/>
        <v>94.65</v>
      </c>
      <c r="F29" s="19">
        <f t="shared" si="7"/>
        <v>76.650000000000006</v>
      </c>
      <c r="G29" s="19">
        <f t="shared" si="7"/>
        <v>85.65</v>
      </c>
      <c r="H29" s="19">
        <f t="shared" si="7"/>
        <v>70.650000000000006</v>
      </c>
      <c r="I29" s="19">
        <f t="shared" si="7"/>
        <v>57.65</v>
      </c>
      <c r="J29" s="19">
        <f t="shared" si="7"/>
        <v>76.650000000000006</v>
      </c>
      <c r="K29" s="19">
        <f t="shared" si="7"/>
        <v>62.65</v>
      </c>
      <c r="L29" s="19">
        <f t="shared" si="7"/>
        <v>66.650000000000006</v>
      </c>
      <c r="M29" s="19">
        <f t="shared" si="7"/>
        <v>71.650000000000006</v>
      </c>
      <c r="N29" s="19">
        <f t="shared" si="7"/>
        <v>78.650000000000006</v>
      </c>
    </row>
    <row r="30" spans="1:14" x14ac:dyDescent="0.2">
      <c r="A30" s="9" t="s">
        <v>74</v>
      </c>
      <c r="B30" s="1" t="s">
        <v>74</v>
      </c>
      <c r="C30" s="10" t="s">
        <v>74</v>
      </c>
      <c r="D30" s="10" t="s">
        <v>74</v>
      </c>
      <c r="E30" s="10" t="s">
        <v>74</v>
      </c>
      <c r="F30" s="10" t="s">
        <v>74</v>
      </c>
      <c r="G30" s="10" t="s">
        <v>74</v>
      </c>
      <c r="H30" s="10" t="s">
        <v>74</v>
      </c>
      <c r="I30" s="10" t="s">
        <v>74</v>
      </c>
      <c r="J30" s="10" t="s">
        <v>74</v>
      </c>
      <c r="K30" s="10" t="s">
        <v>74</v>
      </c>
      <c r="L30" s="10" t="s">
        <v>74</v>
      </c>
      <c r="M30" s="10" t="s">
        <v>74</v>
      </c>
      <c r="N30" s="10" t="s">
        <v>74</v>
      </c>
    </row>
    <row r="31" spans="1:14" x14ac:dyDescent="0.2">
      <c r="A31" s="48" t="s">
        <v>75</v>
      </c>
      <c r="B31" s="49" t="s">
        <v>76</v>
      </c>
      <c r="C31" s="50">
        <f>SUM(C32:C46)</f>
        <v>11.269999999999998</v>
      </c>
      <c r="D31" s="50">
        <f t="shared" ref="D31:N31" si="8">SUM(D32:D46)</f>
        <v>8.8699999999999992</v>
      </c>
      <c r="E31" s="50">
        <f t="shared" si="8"/>
        <v>14.469999999999999</v>
      </c>
      <c r="F31" s="50">
        <f t="shared" si="8"/>
        <v>5.3699999999999992</v>
      </c>
      <c r="G31" s="50">
        <f t="shared" si="8"/>
        <v>7.4699999999999989</v>
      </c>
      <c r="H31" s="50">
        <f t="shared" si="8"/>
        <v>15.27</v>
      </c>
      <c r="I31" s="50">
        <f t="shared" si="8"/>
        <v>18.170000000000002</v>
      </c>
      <c r="J31" s="50">
        <f t="shared" si="8"/>
        <v>5.4699999999999989</v>
      </c>
      <c r="K31" s="50">
        <f t="shared" si="8"/>
        <v>7.5699999999999994</v>
      </c>
      <c r="L31" s="50">
        <f t="shared" si="8"/>
        <v>5.3699999999999992</v>
      </c>
      <c r="M31" s="50">
        <f t="shared" si="8"/>
        <v>7.5699999999999994</v>
      </c>
      <c r="N31" s="50">
        <f t="shared" si="8"/>
        <v>15.420000000000002</v>
      </c>
    </row>
    <row r="32" spans="1:14" hidden="1" outlineLevel="1" x14ac:dyDescent="0.2">
      <c r="A32" s="9" t="s">
        <v>77</v>
      </c>
      <c r="B32" s="1" t="s">
        <v>78</v>
      </c>
      <c r="C32" s="10">
        <f>IFERROR(VLOOKUP(A32,'Centre DW14'!$A$7:$N$160,3,FALSE),0)+
IFERROR(VLOOKUP(A32,'Centre WP14'!$A$7:$N$163,3,FALSE),0)+
IFERROR(VLOOKUP(A32,'Centre WR14'!$A$7:$N$160,3,FALSE),0)</f>
        <v>4.5</v>
      </c>
      <c r="D32" s="10">
        <f>IFERROR(VLOOKUP(A32,'Centre DW14'!$A$7:$N$160,4,FALSE),0)+
IFERROR(VLOOKUP(A32,'Centre WP14'!$A$7:$N$163,4,FALSE),0)+
IFERROR(VLOOKUP(A32,'Centre WR14'!$A$7:$N$160,4,FALSE),0)</f>
        <v>4.5</v>
      </c>
      <c r="E32" s="10">
        <f>IFERROR(VLOOKUP(A32,'Centre DW14'!$A$7:$N$160,5,FALSE),0)+
IFERROR(VLOOKUP(A32,'Centre WP14'!$A$7:$N$163,5,FALSE),0)+
IFERROR(VLOOKUP(A32,'Centre WR14'!$A$7:$N$160,5,FALSE),0)</f>
        <v>4.5</v>
      </c>
      <c r="F32" s="10">
        <f>IFERROR(VLOOKUP(A32,'Centre DW14'!$A$7:$N$160,6,FALSE),0)+
IFERROR(VLOOKUP(A32,'Centre WP14'!$A$7:$N$163,6,FALSE),0)+
IFERROR(VLOOKUP(A32,'Centre WR14'!$A$7:$N$160,6,FALSE),0)</f>
        <v>4.5</v>
      </c>
      <c r="G32" s="10">
        <f>IFERROR(VLOOKUP(A32,'Centre DW14'!$A$7:$N$160,7,FALSE),0)+
IFERROR(VLOOKUP(A32,'Centre WP14'!$A$7:$N$163,7,FALSE),0)+
IFERROR(VLOOKUP(A32,'Centre WR14'!$A$7:$N$160,7,FALSE),0)</f>
        <v>4.5</v>
      </c>
      <c r="H32" s="10">
        <f>IFERROR(VLOOKUP(A32,'Centre DW14'!$A$7:$N$160,8,FALSE),0)+
IFERROR(VLOOKUP(A32,'Centre WP14'!$A$7:$N$163,8,FALSE),0)+
IFERROR(VLOOKUP(A32,'Centre WR14'!$A$7:$N$160,8,FALSE),0)</f>
        <v>4.5</v>
      </c>
      <c r="I32" s="10">
        <f>IFERROR(VLOOKUP(A32,'Centre DW14'!$A$7:$N$160,9,FALSE),0)+
IFERROR(VLOOKUP(A32,'Centre WP14'!$A$7:$N$163,9,FALSE),0)+
IFERROR(VLOOKUP(A32,'Centre WR14'!$A$7:$N$160,9,FALSE),0)</f>
        <v>4.5</v>
      </c>
      <c r="J32" s="24">
        <f>IFERROR(VLOOKUP(A32,'Centre DW14'!$A$7:$N$160,10,FALSE),0)+
IFERROR(VLOOKUP(A32,'Centre WP14'!$A$7:$N$163,10,FALSE),0)+
IFERROR(VLOOKUP(A32,'Centre WR14'!$A$7:$N$160,10,FALSE),0)</f>
        <v>4.5</v>
      </c>
      <c r="K32" s="10">
        <f>IFERROR(VLOOKUP(A32,'Centre DW14'!$A$7:$N$160,11,FALSE),0)+
IFERROR(VLOOKUP(A32,'Centre WP14'!$A$7:$N$163,11,FALSE),0)+
IFERROR(VLOOKUP(A32,'Centre WR14'!$A$7:$N$160,11,FALSE),0)</f>
        <v>4.5</v>
      </c>
      <c r="L32" s="10">
        <f>IFERROR(VLOOKUP(A32,'Centre DW14'!$A$7:$N$160,12,FALSE),0)+
IFERROR(VLOOKUP(A32,'Centre WP14'!$A$7:$N$163,12,FALSE),0)+
IFERROR(VLOOKUP(A32,'Centre WR14'!$A$7:$N$160,12,FALSE),0)</f>
        <v>4.5</v>
      </c>
      <c r="M32" s="10">
        <f>IFERROR(VLOOKUP(A32,'Centre DW14'!$A$7:$N$160,13,FALSE),0)+
IFERROR(VLOOKUP(A32,'Centre WP14'!$A$7:$N$163,13,FALSE),0)+
IFERROR(VLOOKUP(A32,'Centre WR14'!$A$7:$N$160,13,FALSE),0)</f>
        <v>4.5</v>
      </c>
      <c r="N32" s="10">
        <f>IFERROR(VLOOKUP(A32,'Centre DW14'!$A$7:$N$160,14,FALSE),0)+
IFERROR(VLOOKUP(A32,'Centre WP14'!$A$7:$N$163,14,FALSE),0)+
IFERROR(VLOOKUP(A32,'Centre WR14'!$A$7:$N$160,14,FALSE),0)</f>
        <v>4.5</v>
      </c>
    </row>
    <row r="33" spans="1:14" hidden="1" outlineLevel="1" x14ac:dyDescent="0.2">
      <c r="A33" s="9" t="s">
        <v>79</v>
      </c>
      <c r="B33" s="1" t="s">
        <v>80</v>
      </c>
      <c r="C33" s="10">
        <f>IFERROR(VLOOKUP(A33,'Centre DW14'!$A$7:$N$160,3,FALSE),0)+
IFERROR(VLOOKUP(A33,'Centre WP14'!$A$7:$N$163,3,FALSE),0)+
IFERROR(VLOOKUP(A33,'Centre WR14'!$A$7:$N$160,3,FALSE),0)</f>
        <v>0</v>
      </c>
      <c r="D33" s="10">
        <f>IFERROR(VLOOKUP(A33,'Centre DW14'!$A$7:$N$160,4,FALSE),0)+
IFERROR(VLOOKUP(A33,'Centre WP14'!$A$7:$N$163,4,FALSE),0)+
IFERROR(VLOOKUP(A33,'Centre WR14'!$A$7:$N$160,4,FALSE),0)</f>
        <v>0</v>
      </c>
      <c r="E33" s="10">
        <f>IFERROR(VLOOKUP(A33,'Centre DW14'!$A$7:$N$160,5,FALSE),0)+
IFERROR(VLOOKUP(A33,'Centre WP14'!$A$7:$N$163,5,FALSE),0)+
IFERROR(VLOOKUP(A33,'Centre WR14'!$A$7:$N$160,5,FALSE),0)</f>
        <v>0</v>
      </c>
      <c r="F33" s="10">
        <f>IFERROR(VLOOKUP(A33,'Centre DW14'!$A$7:$N$160,6,FALSE),0)+
IFERROR(VLOOKUP(A33,'Centre WP14'!$A$7:$N$163,6,FALSE),0)+
IFERROR(VLOOKUP(A33,'Centre WR14'!$A$7:$N$160,6,FALSE),0)</f>
        <v>0.4</v>
      </c>
      <c r="G33" s="10">
        <f>IFERROR(VLOOKUP(A33,'Centre DW14'!$A$7:$N$160,7,FALSE),0)+
IFERROR(VLOOKUP(A33,'Centre WP14'!$A$7:$N$163,7,FALSE),0)+
IFERROR(VLOOKUP(A33,'Centre WR14'!$A$7:$N$160,7,FALSE),0)</f>
        <v>0.2</v>
      </c>
      <c r="H33" s="10">
        <f>IFERROR(VLOOKUP(A33,'Centre DW14'!$A$7:$N$160,8,FALSE),0)+
IFERROR(VLOOKUP(A33,'Centre WP14'!$A$7:$N$163,8,FALSE),0)+
IFERROR(VLOOKUP(A33,'Centre WR14'!$A$7:$N$160,8,FALSE),0)</f>
        <v>0.2</v>
      </c>
      <c r="I33" s="10">
        <f>IFERROR(VLOOKUP(A33,'Centre DW14'!$A$7:$N$160,9,FALSE),0)+
IFERROR(VLOOKUP(A33,'Centre WP14'!$A$7:$N$163,9,FALSE),0)+
IFERROR(VLOOKUP(A33,'Centre WR14'!$A$7:$N$160,9,FALSE),0)</f>
        <v>0.1</v>
      </c>
      <c r="J33" s="24">
        <f>IFERROR(VLOOKUP(A33,'Centre DW14'!$A$7:$N$160,10,FALSE),0)+
IFERROR(VLOOKUP(A33,'Centre WP14'!$A$7:$N$163,10,FALSE),0)+
IFERROR(VLOOKUP(A33,'Centre WR14'!$A$7:$N$160,10,FALSE),0)</f>
        <v>0.4</v>
      </c>
      <c r="K33" s="10">
        <f>IFERROR(VLOOKUP(A33,'Centre DW14'!$A$7:$N$160,11,FALSE),0)+
IFERROR(VLOOKUP(A33,'Centre WP14'!$A$7:$N$163,11,FALSE),0)+
IFERROR(VLOOKUP(A33,'Centre WR14'!$A$7:$N$160,11,FALSE),0)</f>
        <v>0.2</v>
      </c>
      <c r="L33" s="10">
        <f>IFERROR(VLOOKUP(A33,'Centre DW14'!$A$7:$N$160,12,FALSE),0)+
IFERROR(VLOOKUP(A33,'Centre WP14'!$A$7:$N$163,12,FALSE),0)+
IFERROR(VLOOKUP(A33,'Centre WR14'!$A$7:$N$160,12,FALSE),0)</f>
        <v>0.4</v>
      </c>
      <c r="M33" s="10">
        <f>IFERROR(VLOOKUP(A33,'Centre DW14'!$A$7:$N$160,13,FALSE),0)+
IFERROR(VLOOKUP(A33,'Centre WP14'!$A$7:$N$163,13,FALSE),0)+
IFERROR(VLOOKUP(A33,'Centre WR14'!$A$7:$N$160,13,FALSE),0)</f>
        <v>0.2</v>
      </c>
      <c r="N33" s="10">
        <f>IFERROR(VLOOKUP(A33,'Centre DW14'!$A$7:$N$160,14,FALSE),0)+
IFERROR(VLOOKUP(A33,'Centre WP14'!$A$7:$N$163,14,FALSE),0)+
IFERROR(VLOOKUP(A33,'Centre WR14'!$A$7:$N$160,14,FALSE),0)</f>
        <v>0.2</v>
      </c>
    </row>
    <row r="34" spans="1:14" hidden="1" outlineLevel="1" x14ac:dyDescent="0.2">
      <c r="A34" s="9" t="s">
        <v>81</v>
      </c>
      <c r="B34" s="1" t="s">
        <v>82</v>
      </c>
      <c r="C34" s="10">
        <f>IFERROR(VLOOKUP(A34,'Centre DW14'!$A$7:$N$160,3,FALSE),0)+
IFERROR(VLOOKUP(A34,'Centre WP14'!$A$7:$N$163,3,FALSE),0)+
IFERROR(VLOOKUP(A34,'Centre WR14'!$A$7:$N$160,3,FALSE),0)</f>
        <v>0.8</v>
      </c>
      <c r="D34" s="10">
        <f>IFERROR(VLOOKUP(A34,'Centre DW14'!$A$7:$N$160,4,FALSE),0)+
IFERROR(VLOOKUP(A34,'Centre WP14'!$A$7:$N$163,4,FALSE),0)+
IFERROR(VLOOKUP(A34,'Centre WR14'!$A$7:$N$160,4,FALSE),0)</f>
        <v>0.8</v>
      </c>
      <c r="E34" s="10">
        <f>IFERROR(VLOOKUP(A34,'Centre DW14'!$A$7:$N$160,5,FALSE),0)+
IFERROR(VLOOKUP(A34,'Centre WP14'!$A$7:$N$163,5,FALSE),0)+
IFERROR(VLOOKUP(A34,'Centre WR14'!$A$7:$N$160,5,FALSE),0)</f>
        <v>0.8</v>
      </c>
      <c r="F34" s="10">
        <f>IFERROR(VLOOKUP(A34,'Centre DW14'!$A$7:$N$160,6,FALSE),0)+
IFERROR(VLOOKUP(A34,'Centre WP14'!$A$7:$N$163,6,FALSE),0)+
IFERROR(VLOOKUP(A34,'Centre WR14'!$A$7:$N$160,6,FALSE),0)</f>
        <v>0.8</v>
      </c>
      <c r="G34" s="10">
        <f>IFERROR(VLOOKUP(A34,'Centre DW14'!$A$7:$N$160,7,FALSE),0)+
IFERROR(VLOOKUP(A34,'Centre WP14'!$A$7:$N$163,7,FALSE),0)+
IFERROR(VLOOKUP(A34,'Centre WR14'!$A$7:$N$160,7,FALSE),0)</f>
        <v>0.8</v>
      </c>
      <c r="H34" s="10">
        <f>IFERROR(VLOOKUP(A34,'Centre DW14'!$A$7:$N$160,8,FALSE),0)+
IFERROR(VLOOKUP(A34,'Centre WP14'!$A$7:$N$163,8,FALSE),0)+
IFERROR(VLOOKUP(A34,'Centre WR14'!$A$7:$N$160,8,FALSE),0)</f>
        <v>0.8</v>
      </c>
      <c r="I34" s="10">
        <f>IFERROR(VLOOKUP(A34,'Centre DW14'!$A$7:$N$160,9,FALSE),0)+
IFERROR(VLOOKUP(A34,'Centre WP14'!$A$7:$N$163,9,FALSE),0)+
IFERROR(VLOOKUP(A34,'Centre WR14'!$A$7:$N$160,9,FALSE),0)</f>
        <v>0.8</v>
      </c>
      <c r="J34" s="24">
        <f>IFERROR(VLOOKUP(A34,'Centre DW14'!$A$7:$N$160,10,FALSE),0)+
IFERROR(VLOOKUP(A34,'Centre WP14'!$A$7:$N$163,10,FALSE),0)+
IFERROR(VLOOKUP(A34,'Centre WR14'!$A$7:$N$160,10,FALSE),0)</f>
        <v>0.8</v>
      </c>
      <c r="K34" s="10">
        <f>IFERROR(VLOOKUP(A34,'Centre DW14'!$A$7:$N$160,11,FALSE),0)+
IFERROR(VLOOKUP(A34,'Centre WP14'!$A$7:$N$163,11,FALSE),0)+
IFERROR(VLOOKUP(A34,'Centre WR14'!$A$7:$N$160,11,FALSE),0)</f>
        <v>0.8</v>
      </c>
      <c r="L34" s="10">
        <f>IFERROR(VLOOKUP(A34,'Centre DW14'!$A$7:$N$160,12,FALSE),0)+
IFERROR(VLOOKUP(A34,'Centre WP14'!$A$7:$N$163,12,FALSE),0)+
IFERROR(VLOOKUP(A34,'Centre WR14'!$A$7:$N$160,12,FALSE),0)</f>
        <v>0.8</v>
      </c>
      <c r="M34" s="10">
        <f>IFERROR(VLOOKUP(A34,'Centre DW14'!$A$7:$N$160,13,FALSE),0)+
IFERROR(VLOOKUP(A34,'Centre WP14'!$A$7:$N$163,13,FALSE),0)+
IFERROR(VLOOKUP(A34,'Centre WR14'!$A$7:$N$160,13,FALSE),0)</f>
        <v>0.8</v>
      </c>
      <c r="N34" s="10">
        <f>IFERROR(VLOOKUP(A34,'Centre DW14'!$A$7:$N$160,14,FALSE),0)+
IFERROR(VLOOKUP(A34,'Centre WP14'!$A$7:$N$163,14,FALSE),0)+
IFERROR(VLOOKUP(A34,'Centre WR14'!$A$7:$N$160,14,FALSE),0)</f>
        <v>0.8</v>
      </c>
    </row>
    <row r="35" spans="1:14" hidden="1" outlineLevel="1" x14ac:dyDescent="0.2">
      <c r="A35" s="9" t="s">
        <v>83</v>
      </c>
      <c r="B35" s="1" t="s">
        <v>84</v>
      </c>
      <c r="C35" s="10">
        <f>IFERROR(VLOOKUP(A35,'Centre DW14'!$A$7:$N$160,3,FALSE),0)+
IFERROR(VLOOKUP(A35,'Centre WP14'!$A$7:$N$163,3,FALSE),0)+
IFERROR(VLOOKUP(A35,'Centre WR14'!$A$7:$N$160,3,FALSE),0)</f>
        <v>0</v>
      </c>
      <c r="D35" s="10">
        <f>IFERROR(VLOOKUP(A35,'Centre DW14'!$A$7:$N$160,4,FALSE),0)+
IFERROR(VLOOKUP(A35,'Centre WP14'!$A$7:$N$163,4,FALSE),0)+
IFERROR(VLOOKUP(A35,'Centre WR14'!$A$7:$N$160,4,FALSE),0)</f>
        <v>0</v>
      </c>
      <c r="E35" s="10">
        <f>IFERROR(VLOOKUP(A35,'Centre DW14'!$A$7:$N$160,5,FALSE),0)+
IFERROR(VLOOKUP(A35,'Centre WP14'!$A$7:$N$163,5,FALSE),0)+
IFERROR(VLOOKUP(A35,'Centre WR14'!$A$7:$N$160,5,FALSE),0)</f>
        <v>0</v>
      </c>
      <c r="F35" s="10">
        <f>IFERROR(VLOOKUP(A35,'Centre DW14'!$A$7:$N$160,6,FALSE),0)+
IFERROR(VLOOKUP(A35,'Centre WP14'!$A$7:$N$163,6,FALSE),0)+
IFERROR(VLOOKUP(A35,'Centre WR14'!$A$7:$N$160,6,FALSE),0)</f>
        <v>0</v>
      </c>
      <c r="G35" s="10">
        <f>IFERROR(VLOOKUP(A35,'Centre DW14'!$A$7:$N$160,7,FALSE),0)+
IFERROR(VLOOKUP(A35,'Centre WP14'!$A$7:$N$163,7,FALSE),0)+
IFERROR(VLOOKUP(A35,'Centre WR14'!$A$7:$N$160,7,FALSE),0)</f>
        <v>0</v>
      </c>
      <c r="H35" s="10">
        <f>IFERROR(VLOOKUP(A35,'Centre DW14'!$A$7:$N$160,8,FALSE),0)+
IFERROR(VLOOKUP(A35,'Centre WP14'!$A$7:$N$163,8,FALSE),0)+
IFERROR(VLOOKUP(A35,'Centre WR14'!$A$7:$N$160,8,FALSE),0)</f>
        <v>0</v>
      </c>
      <c r="I35" s="10">
        <f>IFERROR(VLOOKUP(A35,'Centre DW14'!$A$7:$N$160,9,FALSE),0)+
IFERROR(VLOOKUP(A35,'Centre WP14'!$A$7:$N$163,9,FALSE),0)+
IFERROR(VLOOKUP(A35,'Centre WR14'!$A$7:$N$160,9,FALSE),0)</f>
        <v>0</v>
      </c>
      <c r="J35" s="24">
        <f>IFERROR(VLOOKUP(A35,'Centre DW14'!$A$7:$N$160,10,FALSE),0)+
IFERROR(VLOOKUP(A35,'Centre WP14'!$A$7:$N$163,10,FALSE),0)+
IFERROR(VLOOKUP(A35,'Centre WR14'!$A$7:$N$160,10,FALSE),0)</f>
        <v>0</v>
      </c>
      <c r="K35" s="10">
        <f>IFERROR(VLOOKUP(A35,'Centre DW14'!$A$7:$N$160,11,FALSE),0)+
IFERROR(VLOOKUP(A35,'Centre WP14'!$A$7:$N$163,11,FALSE),0)+
IFERROR(VLOOKUP(A35,'Centre WR14'!$A$7:$N$160,11,FALSE),0)</f>
        <v>0</v>
      </c>
      <c r="L35" s="10">
        <f>IFERROR(VLOOKUP(A35,'Centre DW14'!$A$7:$N$160,12,FALSE),0)+
IFERROR(VLOOKUP(A35,'Centre WP14'!$A$7:$N$163,12,FALSE),0)+
IFERROR(VLOOKUP(A35,'Centre WR14'!$A$7:$N$160,12,FALSE),0)</f>
        <v>0</v>
      </c>
      <c r="M35" s="10">
        <f>IFERROR(VLOOKUP(A35,'Centre DW14'!$A$7:$N$160,13,FALSE),0)+
IFERROR(VLOOKUP(A35,'Centre WP14'!$A$7:$N$163,13,FALSE),0)+
IFERROR(VLOOKUP(A35,'Centre WR14'!$A$7:$N$160,13,FALSE),0)</f>
        <v>0</v>
      </c>
      <c r="N35" s="10">
        <f>IFERROR(VLOOKUP(A35,'Centre DW14'!$A$7:$N$160,14,FALSE),0)+
IFERROR(VLOOKUP(A35,'Centre WP14'!$A$7:$N$163,14,FALSE),0)+
IFERROR(VLOOKUP(A35,'Centre WR14'!$A$7:$N$160,14,FALSE),0)</f>
        <v>0</v>
      </c>
    </row>
    <row r="36" spans="1:14" hidden="1" outlineLevel="1" x14ac:dyDescent="0.2">
      <c r="A36" s="9" t="s">
        <v>85</v>
      </c>
      <c r="B36" s="1" t="s">
        <v>86</v>
      </c>
      <c r="C36" s="10">
        <f>IFERROR(VLOOKUP(A36,'Centre DW14'!$A$7:$N$160,3,FALSE),0)+
IFERROR(VLOOKUP(A36,'Centre WP14'!$A$7:$N$163,3,FALSE),0)+
IFERROR(VLOOKUP(A36,'Centre WR14'!$A$7:$N$160,3,FALSE),0)</f>
        <v>0.1</v>
      </c>
      <c r="D36" s="10">
        <f>IFERROR(VLOOKUP(A36,'Centre DW14'!$A$7:$N$160,4,FALSE),0)+
IFERROR(VLOOKUP(A36,'Centre WP14'!$A$7:$N$163,4,FALSE),0)+
IFERROR(VLOOKUP(A36,'Centre WR14'!$A$7:$N$160,4,FALSE),0)</f>
        <v>0</v>
      </c>
      <c r="E36" s="10">
        <f>IFERROR(VLOOKUP(A36,'Centre DW14'!$A$7:$N$160,5,FALSE),0)+
IFERROR(VLOOKUP(A36,'Centre WP14'!$A$7:$N$163,5,FALSE),0)+
IFERROR(VLOOKUP(A36,'Centre WR14'!$A$7:$N$160,5,FALSE),0)</f>
        <v>0.1</v>
      </c>
      <c r="F36" s="10">
        <f>IFERROR(VLOOKUP(A36,'Centre DW14'!$A$7:$N$160,6,FALSE),0)+
IFERROR(VLOOKUP(A36,'Centre WP14'!$A$7:$N$163,6,FALSE),0)+
IFERROR(VLOOKUP(A36,'Centre WR14'!$A$7:$N$160,6,FALSE),0)</f>
        <v>0</v>
      </c>
      <c r="G36" s="10">
        <f>IFERROR(VLOOKUP(A36,'Centre DW14'!$A$7:$N$160,7,FALSE),0)+
IFERROR(VLOOKUP(A36,'Centre WP14'!$A$7:$N$163,7,FALSE),0)+
IFERROR(VLOOKUP(A36,'Centre WR14'!$A$7:$N$160,7,FALSE),0)</f>
        <v>0.1</v>
      </c>
      <c r="H36" s="10">
        <f>IFERROR(VLOOKUP(A36,'Centre DW14'!$A$7:$N$160,8,FALSE),0)+
IFERROR(VLOOKUP(A36,'Centre WP14'!$A$7:$N$163,8,FALSE),0)+
IFERROR(VLOOKUP(A36,'Centre WR14'!$A$7:$N$160,8,FALSE),0)</f>
        <v>0.4</v>
      </c>
      <c r="I36" s="10">
        <f>IFERROR(VLOOKUP(A36,'Centre DW14'!$A$7:$N$160,9,FALSE),0)+
IFERROR(VLOOKUP(A36,'Centre WP14'!$A$7:$N$163,9,FALSE),0)+
IFERROR(VLOOKUP(A36,'Centre WR14'!$A$7:$N$160,9,FALSE),0)</f>
        <v>0.8</v>
      </c>
      <c r="J36" s="24">
        <f>IFERROR(VLOOKUP(A36,'Centre DW14'!$A$7:$N$160,10,FALSE),0)+
IFERROR(VLOOKUP(A36,'Centre WP14'!$A$7:$N$163,10,FALSE),0)+
IFERROR(VLOOKUP(A36,'Centre WR14'!$A$7:$N$160,10,FALSE),0)</f>
        <v>0</v>
      </c>
      <c r="K36" s="10">
        <f>IFERROR(VLOOKUP(A36,'Centre DW14'!$A$7:$N$160,11,FALSE),0)+
IFERROR(VLOOKUP(A36,'Centre WP14'!$A$7:$N$163,11,FALSE),0)+
IFERROR(VLOOKUP(A36,'Centre WR14'!$A$7:$N$160,11,FALSE),0)</f>
        <v>0.1</v>
      </c>
      <c r="L36" s="10">
        <f>IFERROR(VLOOKUP(A36,'Centre DW14'!$A$7:$N$160,12,FALSE),0)+
IFERROR(VLOOKUP(A36,'Centre WP14'!$A$7:$N$163,12,FALSE),0)+
IFERROR(VLOOKUP(A36,'Centre WR14'!$A$7:$N$160,12,FALSE),0)</f>
        <v>0</v>
      </c>
      <c r="M36" s="10">
        <f>IFERROR(VLOOKUP(A36,'Centre DW14'!$A$7:$N$160,13,FALSE),0)+
IFERROR(VLOOKUP(A36,'Centre WP14'!$A$7:$N$163,13,FALSE),0)+
IFERROR(VLOOKUP(A36,'Centre WR14'!$A$7:$N$160,13,FALSE),0)</f>
        <v>0.1</v>
      </c>
      <c r="N36" s="10">
        <f>IFERROR(VLOOKUP(A36,'Centre DW14'!$A$7:$N$160,14,FALSE),0)+
IFERROR(VLOOKUP(A36,'Centre WP14'!$A$7:$N$163,14,FALSE),0)+
IFERROR(VLOOKUP(A36,'Centre WR14'!$A$7:$N$160,14,FALSE),0)</f>
        <v>0.4</v>
      </c>
    </row>
    <row r="37" spans="1:14" hidden="1" outlineLevel="1" x14ac:dyDescent="0.2">
      <c r="A37" s="9" t="s">
        <v>87</v>
      </c>
      <c r="B37" s="1" t="s">
        <v>88</v>
      </c>
      <c r="C37" s="10">
        <f>IFERROR(VLOOKUP(A37,'Centre DW14'!$A$7:$N$160,3,FALSE),0)+
IFERROR(VLOOKUP(A37,'Centre WP14'!$A$7:$N$163,3,FALSE),0)+
IFERROR(VLOOKUP(A37,'Centre WR14'!$A$7:$N$160,3,FALSE),0)</f>
        <v>0.3</v>
      </c>
      <c r="D37" s="10">
        <f>IFERROR(VLOOKUP(A37,'Centre DW14'!$A$7:$N$160,4,FALSE),0)+
IFERROR(VLOOKUP(A37,'Centre WP14'!$A$7:$N$163,4,FALSE),0)+
IFERROR(VLOOKUP(A37,'Centre WR14'!$A$7:$N$160,4,FALSE),0)</f>
        <v>0.3</v>
      </c>
      <c r="E37" s="10">
        <f>IFERROR(VLOOKUP(A37,'Centre DW14'!$A$7:$N$160,5,FALSE),0)+
IFERROR(VLOOKUP(A37,'Centre WP14'!$A$7:$N$163,5,FALSE),0)+
IFERROR(VLOOKUP(A37,'Centre WR14'!$A$7:$N$160,5,FALSE),0)</f>
        <v>0.3</v>
      </c>
      <c r="F37" s="10">
        <f>IFERROR(VLOOKUP(A37,'Centre DW14'!$A$7:$N$160,6,FALSE),0)+
IFERROR(VLOOKUP(A37,'Centre WP14'!$A$7:$N$163,6,FALSE),0)+
IFERROR(VLOOKUP(A37,'Centre WR14'!$A$7:$N$160,6,FALSE),0)</f>
        <v>0.3</v>
      </c>
      <c r="G37" s="10">
        <f>IFERROR(VLOOKUP(A37,'Centre DW14'!$A$7:$N$160,7,FALSE),0)+
IFERROR(VLOOKUP(A37,'Centre WP14'!$A$7:$N$163,7,FALSE),0)+
IFERROR(VLOOKUP(A37,'Centre WR14'!$A$7:$N$160,7,FALSE),0)</f>
        <v>0.3</v>
      </c>
      <c r="H37" s="10">
        <f>IFERROR(VLOOKUP(A37,'Centre DW14'!$A$7:$N$160,8,FALSE),0)+
IFERROR(VLOOKUP(A37,'Centre WP14'!$A$7:$N$163,8,FALSE),0)+
IFERROR(VLOOKUP(A37,'Centre WR14'!$A$7:$N$160,8,FALSE),0)</f>
        <v>0.3</v>
      </c>
      <c r="I37" s="10">
        <f>IFERROR(VLOOKUP(A37,'Centre DW14'!$A$7:$N$160,9,FALSE),0)+
IFERROR(VLOOKUP(A37,'Centre WP14'!$A$7:$N$163,9,FALSE),0)+
IFERROR(VLOOKUP(A37,'Centre WR14'!$A$7:$N$160,9,FALSE),0)</f>
        <v>0.3</v>
      </c>
      <c r="J37" s="24">
        <f>IFERROR(VLOOKUP(A37,'Centre DW14'!$A$7:$N$160,10,FALSE),0)+
IFERROR(VLOOKUP(A37,'Centre WP14'!$A$7:$N$163,10,FALSE),0)+
IFERROR(VLOOKUP(A37,'Centre WR14'!$A$7:$N$160,10,FALSE),0)</f>
        <v>0.3</v>
      </c>
      <c r="K37" s="10">
        <f>IFERROR(VLOOKUP(A37,'Centre DW14'!$A$7:$N$160,11,FALSE),0)+
IFERROR(VLOOKUP(A37,'Centre WP14'!$A$7:$N$163,11,FALSE),0)+
IFERROR(VLOOKUP(A37,'Centre WR14'!$A$7:$N$160,11,FALSE),0)</f>
        <v>0.3</v>
      </c>
      <c r="L37" s="10">
        <f>IFERROR(VLOOKUP(A37,'Centre DW14'!$A$7:$N$160,12,FALSE),0)+
IFERROR(VLOOKUP(A37,'Centre WP14'!$A$7:$N$163,12,FALSE),0)+
IFERROR(VLOOKUP(A37,'Centre WR14'!$A$7:$N$160,12,FALSE),0)</f>
        <v>0.3</v>
      </c>
      <c r="M37" s="10">
        <f>IFERROR(VLOOKUP(A37,'Centre DW14'!$A$7:$N$160,13,FALSE),0)+
IFERROR(VLOOKUP(A37,'Centre WP14'!$A$7:$N$163,13,FALSE),0)+
IFERROR(VLOOKUP(A37,'Centre WR14'!$A$7:$N$160,13,FALSE),0)</f>
        <v>0.3</v>
      </c>
      <c r="N37" s="10">
        <f>IFERROR(VLOOKUP(A37,'Centre DW14'!$A$7:$N$160,14,FALSE),0)+
IFERROR(VLOOKUP(A37,'Centre WP14'!$A$7:$N$163,14,FALSE),0)+
IFERROR(VLOOKUP(A37,'Centre WR14'!$A$7:$N$160,14,FALSE),0)</f>
        <v>0.3</v>
      </c>
    </row>
    <row r="38" spans="1:14" hidden="1" outlineLevel="1" x14ac:dyDescent="0.2">
      <c r="A38" s="9" t="s">
        <v>89</v>
      </c>
      <c r="B38" s="1" t="s">
        <v>90</v>
      </c>
      <c r="C38" s="10">
        <f>IFERROR(VLOOKUP(A38,'Centre DW14'!$A$7:$N$160,3,FALSE),0)+
IFERROR(VLOOKUP(A38,'Centre WP14'!$A$7:$N$163,3,FALSE),0)+
IFERROR(VLOOKUP(A38,'Centre WR14'!$A$7:$N$160,3,FALSE),0)</f>
        <v>0.6</v>
      </c>
      <c r="D38" s="10">
        <f>IFERROR(VLOOKUP(A38,'Centre DW14'!$A$7:$N$160,4,FALSE),0)+
IFERROR(VLOOKUP(A38,'Centre WP14'!$A$7:$N$163,4,FALSE),0)+
IFERROR(VLOOKUP(A38,'Centre WR14'!$A$7:$N$160,4,FALSE),0)</f>
        <v>0.6</v>
      </c>
      <c r="E38" s="10">
        <f>IFERROR(VLOOKUP(A38,'Centre DW14'!$A$7:$N$160,5,FALSE),0)+
IFERROR(VLOOKUP(A38,'Centre WP14'!$A$7:$N$163,5,FALSE),0)+
IFERROR(VLOOKUP(A38,'Centre WR14'!$A$7:$N$160,5,FALSE),0)</f>
        <v>0.6</v>
      </c>
      <c r="F38" s="10">
        <f>IFERROR(VLOOKUP(A38,'Centre DW14'!$A$7:$N$160,6,FALSE),0)+
IFERROR(VLOOKUP(A38,'Centre WP14'!$A$7:$N$163,6,FALSE),0)+
IFERROR(VLOOKUP(A38,'Centre WR14'!$A$7:$N$160,6,FALSE),0)</f>
        <v>0.6</v>
      </c>
      <c r="G38" s="10">
        <f>IFERROR(VLOOKUP(A38,'Centre DW14'!$A$7:$N$160,7,FALSE),0)+
IFERROR(VLOOKUP(A38,'Centre WP14'!$A$7:$N$163,7,FALSE),0)+
IFERROR(VLOOKUP(A38,'Centre WR14'!$A$7:$N$160,7,FALSE),0)</f>
        <v>0.6</v>
      </c>
      <c r="H38" s="10">
        <f>IFERROR(VLOOKUP(A38,'Centre DW14'!$A$7:$N$160,8,FALSE),0)+
IFERROR(VLOOKUP(A38,'Centre WP14'!$A$7:$N$163,8,FALSE),0)+
IFERROR(VLOOKUP(A38,'Centre WR14'!$A$7:$N$160,8,FALSE),0)</f>
        <v>0.6</v>
      </c>
      <c r="I38" s="10">
        <f>IFERROR(VLOOKUP(A38,'Centre DW14'!$A$7:$N$160,9,FALSE),0)+
IFERROR(VLOOKUP(A38,'Centre WP14'!$A$7:$N$163,9,FALSE),0)+
IFERROR(VLOOKUP(A38,'Centre WR14'!$A$7:$N$160,9,FALSE),0)</f>
        <v>0.6</v>
      </c>
      <c r="J38" s="24">
        <f>IFERROR(VLOOKUP(A38,'Centre DW14'!$A$7:$N$160,10,FALSE),0)+
IFERROR(VLOOKUP(A38,'Centre WP14'!$A$7:$N$163,10,FALSE),0)+
IFERROR(VLOOKUP(A38,'Centre WR14'!$A$7:$N$160,10,FALSE),0)</f>
        <v>0.6</v>
      </c>
      <c r="K38" s="10">
        <f>IFERROR(VLOOKUP(A38,'Centre DW14'!$A$7:$N$160,11,FALSE),0)+
IFERROR(VLOOKUP(A38,'Centre WP14'!$A$7:$N$163,11,FALSE),0)+
IFERROR(VLOOKUP(A38,'Centre WR14'!$A$7:$N$160,11,FALSE),0)</f>
        <v>0.6</v>
      </c>
      <c r="L38" s="10">
        <f>IFERROR(VLOOKUP(A38,'Centre DW14'!$A$7:$N$160,12,FALSE),0)+
IFERROR(VLOOKUP(A38,'Centre WP14'!$A$7:$N$163,12,FALSE),0)+
IFERROR(VLOOKUP(A38,'Centre WR14'!$A$7:$N$160,12,FALSE),0)</f>
        <v>0.6</v>
      </c>
      <c r="M38" s="10">
        <f>IFERROR(VLOOKUP(A38,'Centre DW14'!$A$7:$N$160,13,FALSE),0)+
IFERROR(VLOOKUP(A38,'Centre WP14'!$A$7:$N$163,13,FALSE),0)+
IFERROR(VLOOKUP(A38,'Centre WR14'!$A$7:$N$160,13,FALSE),0)</f>
        <v>0.6</v>
      </c>
      <c r="N38" s="10">
        <f>IFERROR(VLOOKUP(A38,'Centre DW14'!$A$7:$N$160,14,FALSE),0)+
IFERROR(VLOOKUP(A38,'Centre WP14'!$A$7:$N$163,14,FALSE),0)+
IFERROR(VLOOKUP(A38,'Centre WR14'!$A$7:$N$160,14,FALSE),0)</f>
        <v>0.6</v>
      </c>
    </row>
    <row r="39" spans="1:14" hidden="1" outlineLevel="1" x14ac:dyDescent="0.2">
      <c r="A39" s="9" t="s">
        <v>93</v>
      </c>
      <c r="B39" s="1" t="s">
        <v>94</v>
      </c>
      <c r="C39" s="10">
        <f>IFERROR(VLOOKUP(A39,'Centre DW14'!$A$7:$N$160,3,FALSE),0)+
IFERROR(VLOOKUP(A39,'Centre WP14'!$A$7:$N$163,3,FALSE),0)+
IFERROR(VLOOKUP(A39,'Centre WR14'!$A$7:$N$160,3,FALSE),0)</f>
        <v>0.3</v>
      </c>
      <c r="D39" s="10">
        <f>IFERROR(VLOOKUP(A39,'Centre DW14'!$A$7:$N$160,4,FALSE),0)+
IFERROR(VLOOKUP(A39,'Centre WP14'!$A$7:$N$163,4,FALSE),0)+
IFERROR(VLOOKUP(A39,'Centre WR14'!$A$7:$N$160,4,FALSE),0)</f>
        <v>0.2</v>
      </c>
      <c r="E39" s="10">
        <f>IFERROR(VLOOKUP(A39,'Centre DW14'!$A$7:$N$160,5,FALSE),0)+
IFERROR(VLOOKUP(A39,'Centre WP14'!$A$7:$N$163,5,FALSE),0)+
IFERROR(VLOOKUP(A39,'Centre WR14'!$A$7:$N$160,5,FALSE),0)</f>
        <v>0.2</v>
      </c>
      <c r="F39" s="10">
        <f>IFERROR(VLOOKUP(A39,'Centre DW14'!$A$7:$N$160,6,FALSE),0)+
IFERROR(VLOOKUP(A39,'Centre WP14'!$A$7:$N$163,6,FALSE),0)+
IFERROR(VLOOKUP(A39,'Centre WR14'!$A$7:$N$160,6,FALSE),0)</f>
        <v>1</v>
      </c>
      <c r="G39" s="10">
        <f>IFERROR(VLOOKUP(A39,'Centre DW14'!$A$7:$N$160,7,FALSE),0)+
IFERROR(VLOOKUP(A39,'Centre WP14'!$A$7:$N$163,7,FALSE),0)+
IFERROR(VLOOKUP(A39,'Centre WR14'!$A$7:$N$160,7,FALSE),0)</f>
        <v>0.4</v>
      </c>
      <c r="H39" s="10">
        <f>IFERROR(VLOOKUP(A39,'Centre DW14'!$A$7:$N$160,8,FALSE),0)+
IFERROR(VLOOKUP(A39,'Centre WP14'!$A$7:$N$163,8,FALSE),0)+
IFERROR(VLOOKUP(A39,'Centre WR14'!$A$7:$N$160,8,FALSE),0)</f>
        <v>0.5</v>
      </c>
      <c r="I39" s="10">
        <f>IFERROR(VLOOKUP(A39,'Centre DW14'!$A$7:$N$160,9,FALSE),0)+
IFERROR(VLOOKUP(A39,'Centre WP14'!$A$7:$N$163,9,FALSE),0)+
IFERROR(VLOOKUP(A39,'Centre WR14'!$A$7:$N$160,9,FALSE),0)</f>
        <v>0.9</v>
      </c>
      <c r="J39" s="24">
        <f>IFERROR(VLOOKUP(A39,'Centre DW14'!$A$7:$N$160,10,FALSE),0)+
IFERROR(VLOOKUP(A39,'Centre WP14'!$A$7:$N$163,10,FALSE),0)+
IFERROR(VLOOKUP(A39,'Centre WR14'!$A$7:$N$160,10,FALSE),0)</f>
        <v>1</v>
      </c>
      <c r="K39" s="10">
        <f>IFERROR(VLOOKUP(A39,'Centre DW14'!$A$7:$N$160,11,FALSE),0)+
IFERROR(VLOOKUP(A39,'Centre WP14'!$A$7:$N$163,11,FALSE),0)+
IFERROR(VLOOKUP(A39,'Centre WR14'!$A$7:$N$160,11,FALSE),0)</f>
        <v>0.4</v>
      </c>
      <c r="L39" s="10">
        <f>IFERROR(VLOOKUP(A39,'Centre DW14'!$A$7:$N$160,12,FALSE),0)+
IFERROR(VLOOKUP(A39,'Centre WP14'!$A$7:$N$163,12,FALSE),0)+
IFERROR(VLOOKUP(A39,'Centre WR14'!$A$7:$N$160,12,FALSE),0)</f>
        <v>1</v>
      </c>
      <c r="M39" s="10">
        <f>IFERROR(VLOOKUP(A39,'Centre DW14'!$A$7:$N$160,13,FALSE),0)+
IFERROR(VLOOKUP(A39,'Centre WP14'!$A$7:$N$163,13,FALSE),0)+
IFERROR(VLOOKUP(A39,'Centre WR14'!$A$7:$N$160,13,FALSE),0)</f>
        <v>0.4</v>
      </c>
      <c r="N39" s="10">
        <f>IFERROR(VLOOKUP(A39,'Centre DW14'!$A$7:$N$160,14,FALSE),0)+
IFERROR(VLOOKUP(A39,'Centre WP14'!$A$7:$N$163,14,FALSE),0)+
IFERROR(VLOOKUP(A39,'Centre WR14'!$A$7:$N$160,14,FALSE),0)</f>
        <v>0.5</v>
      </c>
    </row>
    <row r="40" spans="1:14" hidden="1" outlineLevel="1" x14ac:dyDescent="0.2">
      <c r="A40" s="9" t="s">
        <v>95</v>
      </c>
      <c r="B40" s="1" t="s">
        <v>96</v>
      </c>
      <c r="C40" s="10">
        <f>IFERROR(VLOOKUP(A40,'Centre DW14'!$A$7:$N$160,3,FALSE),0)+
IFERROR(VLOOKUP(A40,'Centre WP14'!$A$7:$N$163,3,FALSE),0)+
IFERROR(VLOOKUP(A40,'Centre WR14'!$A$7:$N$160,3,FALSE),0)</f>
        <v>0</v>
      </c>
      <c r="D40" s="10">
        <f>IFERROR(VLOOKUP(A40,'Centre DW14'!$A$7:$N$160,4,FALSE),0)+
IFERROR(VLOOKUP(A40,'Centre WP14'!$A$7:$N$163,4,FALSE),0)+
IFERROR(VLOOKUP(A40,'Centre WR14'!$A$7:$N$160,4,FALSE),0)</f>
        <v>0</v>
      </c>
      <c r="E40" s="10">
        <f>IFERROR(VLOOKUP(A40,'Centre DW14'!$A$7:$N$160,5,FALSE),0)+
IFERROR(VLOOKUP(A40,'Centre WP14'!$A$7:$N$163,5,FALSE),0)+
IFERROR(VLOOKUP(A40,'Centre WR14'!$A$7:$N$160,5,FALSE),0)</f>
        <v>0</v>
      </c>
      <c r="F40" s="10">
        <f>IFERROR(VLOOKUP(A40,'Centre DW14'!$A$7:$N$160,6,FALSE),0)+
IFERROR(VLOOKUP(A40,'Centre WP14'!$A$7:$N$163,6,FALSE),0)+
IFERROR(VLOOKUP(A40,'Centre WR14'!$A$7:$N$160,6,FALSE),0)</f>
        <v>0.2</v>
      </c>
      <c r="G40" s="10">
        <f>IFERROR(VLOOKUP(A40,'Centre DW14'!$A$7:$N$160,7,FALSE),0)+
IFERROR(VLOOKUP(A40,'Centre WP14'!$A$7:$N$163,7,FALSE),0)+
IFERROR(VLOOKUP(A40,'Centre WR14'!$A$7:$N$160,7,FALSE),0)</f>
        <v>0.1</v>
      </c>
      <c r="H40" s="10">
        <f>IFERROR(VLOOKUP(A40,'Centre DW14'!$A$7:$N$160,8,FALSE),0)+
IFERROR(VLOOKUP(A40,'Centre WP14'!$A$7:$N$163,8,FALSE),0)+
IFERROR(VLOOKUP(A40,'Centre WR14'!$A$7:$N$160,8,FALSE),0)</f>
        <v>0</v>
      </c>
      <c r="I40" s="10">
        <f>IFERROR(VLOOKUP(A40,'Centre DW14'!$A$7:$N$160,9,FALSE),0)+
IFERROR(VLOOKUP(A40,'Centre WP14'!$A$7:$N$163,9,FALSE),0)+
IFERROR(VLOOKUP(A40,'Centre WR14'!$A$7:$N$160,9,FALSE),0)</f>
        <v>0.1</v>
      </c>
      <c r="J40" s="24">
        <f>IFERROR(VLOOKUP(A40,'Centre DW14'!$A$7:$N$160,10,FALSE),0)+
IFERROR(VLOOKUP(A40,'Centre WP14'!$A$7:$N$163,10,FALSE),0)+
IFERROR(VLOOKUP(A40,'Centre WR14'!$A$7:$N$160,10,FALSE),0)</f>
        <v>0.2</v>
      </c>
      <c r="K40" s="10">
        <f>IFERROR(VLOOKUP(A40,'Centre DW14'!$A$7:$N$160,11,FALSE),0)+
IFERROR(VLOOKUP(A40,'Centre WP14'!$A$7:$N$163,11,FALSE),0)+
IFERROR(VLOOKUP(A40,'Centre WR14'!$A$7:$N$160,11,FALSE),0)</f>
        <v>0.1</v>
      </c>
      <c r="L40" s="10">
        <f>IFERROR(VLOOKUP(A40,'Centre DW14'!$A$7:$N$160,12,FALSE),0)+
IFERROR(VLOOKUP(A40,'Centre WP14'!$A$7:$N$163,12,FALSE),0)+
IFERROR(VLOOKUP(A40,'Centre WR14'!$A$7:$N$160,12,FALSE),0)</f>
        <v>0.2</v>
      </c>
      <c r="M40" s="10">
        <f>IFERROR(VLOOKUP(A40,'Centre DW14'!$A$7:$N$160,13,FALSE),0)+
IFERROR(VLOOKUP(A40,'Centre WP14'!$A$7:$N$163,13,FALSE),0)+
IFERROR(VLOOKUP(A40,'Centre WR14'!$A$7:$N$160,13,FALSE),0)</f>
        <v>0.1</v>
      </c>
      <c r="N40" s="10">
        <f>IFERROR(VLOOKUP(A40,'Centre DW14'!$A$7:$N$160,14,FALSE),0)+
IFERROR(VLOOKUP(A40,'Centre WP14'!$A$7:$N$163,14,FALSE),0)+
IFERROR(VLOOKUP(A40,'Centre WR14'!$A$7:$N$160,14,FALSE),0)</f>
        <v>0</v>
      </c>
    </row>
    <row r="41" spans="1:14" hidden="1" outlineLevel="1" x14ac:dyDescent="0.2">
      <c r="A41" s="9" t="s">
        <v>97</v>
      </c>
      <c r="B41" s="1" t="s">
        <v>98</v>
      </c>
      <c r="C41" s="10">
        <f>IFERROR(VLOOKUP(A41,'Centre DW14'!$A$7:$N$160,3,FALSE),0)+
IFERROR(VLOOKUP(A41,'Centre WP14'!$A$7:$N$163,3,FALSE),0)+
IFERROR(VLOOKUP(A41,'Centre WR14'!$A$7:$N$160,3,FALSE),0)</f>
        <v>0.17</v>
      </c>
      <c r="D41" s="10">
        <f>IFERROR(VLOOKUP(A41,'Centre DW14'!$A$7:$N$160,4,FALSE),0)+
IFERROR(VLOOKUP(A41,'Centre WP14'!$A$7:$N$163,4,FALSE),0)+
IFERROR(VLOOKUP(A41,'Centre WR14'!$A$7:$N$160,4,FALSE),0)</f>
        <v>0.17</v>
      </c>
      <c r="E41" s="10">
        <f>IFERROR(VLOOKUP(A41,'Centre DW14'!$A$7:$N$160,5,FALSE),0)+
IFERROR(VLOOKUP(A41,'Centre WP14'!$A$7:$N$163,5,FALSE),0)+
IFERROR(VLOOKUP(A41,'Centre WR14'!$A$7:$N$160,5,FALSE),0)</f>
        <v>0.17</v>
      </c>
      <c r="F41" s="10">
        <f>IFERROR(VLOOKUP(A41,'Centre DW14'!$A$7:$N$160,6,FALSE),0)+
IFERROR(VLOOKUP(A41,'Centre WP14'!$A$7:$N$163,6,FALSE),0)+
IFERROR(VLOOKUP(A41,'Centre WR14'!$A$7:$N$160,6,FALSE),0)</f>
        <v>0.17</v>
      </c>
      <c r="G41" s="10">
        <f>IFERROR(VLOOKUP(A41,'Centre DW14'!$A$7:$N$160,7,FALSE),0)+
IFERROR(VLOOKUP(A41,'Centre WP14'!$A$7:$N$163,7,FALSE),0)+
IFERROR(VLOOKUP(A41,'Centre WR14'!$A$7:$N$160,7,FALSE),0)</f>
        <v>0.17</v>
      </c>
      <c r="H41" s="10">
        <f>IFERROR(VLOOKUP(A41,'Centre DW14'!$A$7:$N$160,8,FALSE),0)+
IFERROR(VLOOKUP(A41,'Centre WP14'!$A$7:$N$163,8,FALSE),0)+
IFERROR(VLOOKUP(A41,'Centre WR14'!$A$7:$N$160,8,FALSE),0)</f>
        <v>0.17</v>
      </c>
      <c r="I41" s="10">
        <f>IFERROR(VLOOKUP(A41,'Centre DW14'!$A$7:$N$160,9,FALSE),0)+
IFERROR(VLOOKUP(A41,'Centre WP14'!$A$7:$N$163,9,FALSE),0)+
IFERROR(VLOOKUP(A41,'Centre WR14'!$A$7:$N$160,9,FALSE),0)</f>
        <v>0.27</v>
      </c>
      <c r="J41" s="24">
        <f>IFERROR(VLOOKUP(A41,'Centre DW14'!$A$7:$N$160,10,FALSE),0)+
IFERROR(VLOOKUP(A41,'Centre WP14'!$A$7:$N$163,10,FALSE),0)+
IFERROR(VLOOKUP(A41,'Centre WR14'!$A$7:$N$160,10,FALSE),0)</f>
        <v>0.27</v>
      </c>
      <c r="K41" s="10">
        <f>IFERROR(VLOOKUP(A41,'Centre DW14'!$A$7:$N$160,11,FALSE),0)+
IFERROR(VLOOKUP(A41,'Centre WP14'!$A$7:$N$163,11,FALSE),0)+
IFERROR(VLOOKUP(A41,'Centre WR14'!$A$7:$N$160,11,FALSE),0)</f>
        <v>0.27</v>
      </c>
      <c r="L41" s="10">
        <f>IFERROR(VLOOKUP(A41,'Centre DW14'!$A$7:$N$160,12,FALSE),0)+
IFERROR(VLOOKUP(A41,'Centre WP14'!$A$7:$N$163,12,FALSE),0)+
IFERROR(VLOOKUP(A41,'Centre WR14'!$A$7:$N$160,12,FALSE),0)</f>
        <v>0.17</v>
      </c>
      <c r="M41" s="10">
        <f>IFERROR(VLOOKUP(A41,'Centre DW14'!$A$7:$N$160,13,FALSE),0)+
IFERROR(VLOOKUP(A41,'Centre WP14'!$A$7:$N$163,13,FALSE),0)+
IFERROR(VLOOKUP(A41,'Centre WR14'!$A$7:$N$160,13,FALSE),0)</f>
        <v>0.27</v>
      </c>
      <c r="N41" s="10">
        <f>IFERROR(VLOOKUP(A41,'Centre DW14'!$A$7:$N$160,14,FALSE),0)+
IFERROR(VLOOKUP(A41,'Centre WP14'!$A$7:$N$163,14,FALSE),0)+
IFERROR(VLOOKUP(A41,'Centre WR14'!$A$7:$N$160,14,FALSE),0)</f>
        <v>0.32</v>
      </c>
    </row>
    <row r="42" spans="1:14" hidden="1" outlineLevel="1" x14ac:dyDescent="0.2">
      <c r="A42" s="9" t="s">
        <v>99</v>
      </c>
      <c r="B42" s="1" t="s">
        <v>100</v>
      </c>
      <c r="C42" s="10">
        <f>IFERROR(VLOOKUP(A42,'Centre DW14'!$A$7:$N$160,3,FALSE),0)+
IFERROR(VLOOKUP(A42,'Centre WP14'!$A$7:$N$163,3,FALSE),0)+
IFERROR(VLOOKUP(A42,'Centre WR14'!$A$7:$N$160,3,FALSE),0)</f>
        <v>0</v>
      </c>
      <c r="D42" s="10">
        <f>IFERROR(VLOOKUP(A42,'Centre DW14'!$A$7:$N$160,4,FALSE),0)+
IFERROR(VLOOKUP(A42,'Centre WP14'!$A$7:$N$163,4,FALSE),0)+
IFERROR(VLOOKUP(A42,'Centre WR14'!$A$7:$N$160,4,FALSE),0)</f>
        <v>0</v>
      </c>
      <c r="E42" s="10">
        <f>IFERROR(VLOOKUP(A42,'Centre DW14'!$A$7:$N$160,5,FALSE),0)+
IFERROR(VLOOKUP(A42,'Centre WP14'!$A$7:$N$163,5,FALSE),0)+
IFERROR(VLOOKUP(A42,'Centre WR14'!$A$7:$N$160,5,FALSE),0)</f>
        <v>0</v>
      </c>
      <c r="F42" s="10">
        <f>IFERROR(VLOOKUP(A42,'Centre DW14'!$A$7:$N$160,6,FALSE),0)+
IFERROR(VLOOKUP(A42,'Centre WP14'!$A$7:$N$163,6,FALSE),0)+
IFERROR(VLOOKUP(A42,'Centre WR14'!$A$7:$N$160,6,FALSE),0)</f>
        <v>0</v>
      </c>
      <c r="G42" s="10">
        <f>IFERROR(VLOOKUP(A42,'Centre DW14'!$A$7:$N$160,7,FALSE),0)+
IFERROR(VLOOKUP(A42,'Centre WP14'!$A$7:$N$163,7,FALSE),0)+
IFERROR(VLOOKUP(A42,'Centre WR14'!$A$7:$N$160,7,FALSE),0)</f>
        <v>0</v>
      </c>
      <c r="H42" s="10">
        <f>IFERROR(VLOOKUP(A42,'Centre DW14'!$A$7:$N$160,8,FALSE),0)+
IFERROR(VLOOKUP(A42,'Centre WP14'!$A$7:$N$163,8,FALSE),0)+
IFERROR(VLOOKUP(A42,'Centre WR14'!$A$7:$N$160,8,FALSE),0)</f>
        <v>0</v>
      </c>
      <c r="I42" s="10">
        <f>IFERROR(VLOOKUP(A42,'Centre DW14'!$A$7:$N$160,9,FALSE),0)+
IFERROR(VLOOKUP(A42,'Centre WP14'!$A$7:$N$163,9,FALSE),0)+
IFERROR(VLOOKUP(A42,'Centre WR14'!$A$7:$N$160,9,FALSE),0)</f>
        <v>0</v>
      </c>
      <c r="J42" s="24">
        <f>IFERROR(VLOOKUP(A42,'Centre DW14'!$A$7:$N$160,10,FALSE),0)+
IFERROR(VLOOKUP(A42,'Centre WP14'!$A$7:$N$163,10,FALSE),0)+
IFERROR(VLOOKUP(A42,'Centre WR14'!$A$7:$N$160,10,FALSE),0)</f>
        <v>0</v>
      </c>
      <c r="K42" s="10">
        <f>IFERROR(VLOOKUP(A42,'Centre DW14'!$A$7:$N$160,11,FALSE),0)+
IFERROR(VLOOKUP(A42,'Centre WP14'!$A$7:$N$163,11,FALSE),0)+
IFERROR(VLOOKUP(A42,'Centre WR14'!$A$7:$N$160,11,FALSE),0)</f>
        <v>0</v>
      </c>
      <c r="L42" s="10">
        <f>IFERROR(VLOOKUP(A42,'Centre DW14'!$A$7:$N$160,12,FALSE),0)+
IFERROR(VLOOKUP(A42,'Centre WP14'!$A$7:$N$163,12,FALSE),0)+
IFERROR(VLOOKUP(A42,'Centre WR14'!$A$7:$N$160,12,FALSE),0)</f>
        <v>0</v>
      </c>
      <c r="M42" s="10">
        <f>IFERROR(VLOOKUP(A42,'Centre DW14'!$A$7:$N$160,13,FALSE),0)+
IFERROR(VLOOKUP(A42,'Centre WP14'!$A$7:$N$163,13,FALSE),0)+
IFERROR(VLOOKUP(A42,'Centre WR14'!$A$7:$N$160,13,FALSE),0)</f>
        <v>0</v>
      </c>
      <c r="N42" s="10">
        <f>IFERROR(VLOOKUP(A42,'Centre DW14'!$A$7:$N$160,14,FALSE),0)+
IFERROR(VLOOKUP(A42,'Centre WP14'!$A$7:$N$163,14,FALSE),0)+
IFERROR(VLOOKUP(A42,'Centre WR14'!$A$7:$N$160,14,FALSE),0)</f>
        <v>0</v>
      </c>
    </row>
    <row r="43" spans="1:14" hidden="1" outlineLevel="1" x14ac:dyDescent="0.2">
      <c r="A43" s="9" t="s">
        <v>101</v>
      </c>
      <c r="B43" s="1" t="s">
        <v>102</v>
      </c>
      <c r="C43" s="10">
        <f>IFERROR(VLOOKUP(A43,'Centre DW14'!$A$7:$N$160,3,FALSE),0)+
IFERROR(VLOOKUP(A43,'Centre WP14'!$A$7:$N$163,3,FALSE),0)+
IFERROR(VLOOKUP(A43,'Centre WR14'!$A$7:$N$160,3,FALSE),0)</f>
        <v>0</v>
      </c>
      <c r="D43" s="10">
        <f>IFERROR(VLOOKUP(A43,'Centre DW14'!$A$7:$N$160,4,FALSE),0)+
IFERROR(VLOOKUP(A43,'Centre WP14'!$A$7:$N$163,4,FALSE),0)+
IFERROR(VLOOKUP(A43,'Centre WR14'!$A$7:$N$160,4,FALSE),0)</f>
        <v>0</v>
      </c>
      <c r="E43" s="10">
        <f>IFERROR(VLOOKUP(A43,'Centre DW14'!$A$7:$N$160,5,FALSE),0)+
IFERROR(VLOOKUP(A43,'Centre WP14'!$A$7:$N$163,5,FALSE),0)+
IFERROR(VLOOKUP(A43,'Centre WR14'!$A$7:$N$160,5,FALSE),0)</f>
        <v>0</v>
      </c>
      <c r="F43" s="10">
        <f>IFERROR(VLOOKUP(A43,'Centre DW14'!$A$7:$N$160,6,FALSE),0)+
IFERROR(VLOOKUP(A43,'Centre WP14'!$A$7:$N$163,6,FALSE),0)+
IFERROR(VLOOKUP(A43,'Centre WR14'!$A$7:$N$160,6,FALSE),0)</f>
        <v>0</v>
      </c>
      <c r="G43" s="10">
        <f>IFERROR(VLOOKUP(A43,'Centre DW14'!$A$7:$N$160,7,FALSE),0)+
IFERROR(VLOOKUP(A43,'Centre WP14'!$A$7:$N$163,7,FALSE),0)+
IFERROR(VLOOKUP(A43,'Centre WR14'!$A$7:$N$160,7,FALSE),0)</f>
        <v>0.1</v>
      </c>
      <c r="H43" s="10">
        <f>IFERROR(VLOOKUP(A43,'Centre DW14'!$A$7:$N$160,8,FALSE),0)+
IFERROR(VLOOKUP(A43,'Centre WP14'!$A$7:$N$163,8,FALSE),0)+
IFERROR(VLOOKUP(A43,'Centre WR14'!$A$7:$N$160,8,FALSE),0)</f>
        <v>0</v>
      </c>
      <c r="I43" s="10">
        <f>IFERROR(VLOOKUP(A43,'Centre DW14'!$A$7:$N$160,9,FALSE),0)+
IFERROR(VLOOKUP(A43,'Centre WP14'!$A$7:$N$163,9,FALSE),0)+
IFERROR(VLOOKUP(A43,'Centre WR14'!$A$7:$N$160,9,FALSE),0)</f>
        <v>0</v>
      </c>
      <c r="J43" s="24">
        <f>IFERROR(VLOOKUP(A43,'Centre DW14'!$A$7:$N$160,10,FALSE),0)+
IFERROR(VLOOKUP(A43,'Centre WP14'!$A$7:$N$163,10,FALSE),0)+
IFERROR(VLOOKUP(A43,'Centre WR14'!$A$7:$N$160,10,FALSE),0)</f>
        <v>0</v>
      </c>
      <c r="K43" s="10">
        <f>IFERROR(VLOOKUP(A43,'Centre DW14'!$A$7:$N$160,11,FALSE),0)+
IFERROR(VLOOKUP(A43,'Centre WP14'!$A$7:$N$163,11,FALSE),0)+
IFERROR(VLOOKUP(A43,'Centre WR14'!$A$7:$N$160,11,FALSE),0)</f>
        <v>0.1</v>
      </c>
      <c r="L43" s="10">
        <f>IFERROR(VLOOKUP(A43,'Centre DW14'!$A$7:$N$160,12,FALSE),0)+
IFERROR(VLOOKUP(A43,'Centre WP14'!$A$7:$N$163,12,FALSE),0)+
IFERROR(VLOOKUP(A43,'Centre WR14'!$A$7:$N$160,12,FALSE),0)</f>
        <v>0</v>
      </c>
      <c r="M43" s="10">
        <f>IFERROR(VLOOKUP(A43,'Centre DW14'!$A$7:$N$160,13,FALSE),0)+
IFERROR(VLOOKUP(A43,'Centre WP14'!$A$7:$N$163,13,FALSE),0)+
IFERROR(VLOOKUP(A43,'Centre WR14'!$A$7:$N$160,13,FALSE),0)</f>
        <v>0.1</v>
      </c>
      <c r="N43" s="10">
        <f>IFERROR(VLOOKUP(A43,'Centre DW14'!$A$7:$N$160,14,FALSE),0)+
IFERROR(VLOOKUP(A43,'Centre WP14'!$A$7:$N$163,14,FALSE),0)+
IFERROR(VLOOKUP(A43,'Centre WR14'!$A$7:$N$160,14,FALSE),0)</f>
        <v>0</v>
      </c>
    </row>
    <row r="44" spans="1:14" hidden="1" outlineLevel="1" x14ac:dyDescent="0.2">
      <c r="A44" s="9" t="s">
        <v>103</v>
      </c>
      <c r="B44" s="1" t="s">
        <v>104</v>
      </c>
      <c r="C44" s="10">
        <f>IFERROR(VLOOKUP(A44,'Centre DW14'!$A$7:$N$160,3,FALSE),0)+
IFERROR(VLOOKUP(A44,'Centre WP14'!$A$7:$N$163,3,FALSE),0)+
IFERROR(VLOOKUP(A44,'Centre WR14'!$A$7:$N$160,3,FALSE),0)</f>
        <v>0</v>
      </c>
      <c r="D44" s="10">
        <f>IFERROR(VLOOKUP(A44,'Centre DW14'!$A$7:$N$160,4,FALSE),0)+
IFERROR(VLOOKUP(A44,'Centre WP14'!$A$7:$N$163,4,FALSE),0)+
IFERROR(VLOOKUP(A44,'Centre WR14'!$A$7:$N$160,4,FALSE),0)</f>
        <v>0.2</v>
      </c>
      <c r="E44" s="10">
        <f>IFERROR(VLOOKUP(A44,'Centre DW14'!$A$7:$N$160,5,FALSE),0)+
IFERROR(VLOOKUP(A44,'Centre WP14'!$A$7:$N$163,5,FALSE),0)+
IFERROR(VLOOKUP(A44,'Centre WR14'!$A$7:$N$160,5,FALSE),0)</f>
        <v>0.2</v>
      </c>
      <c r="F44" s="10">
        <f>IFERROR(VLOOKUP(A44,'Centre DW14'!$A$7:$N$160,6,FALSE),0)+
IFERROR(VLOOKUP(A44,'Centre WP14'!$A$7:$N$163,6,FALSE),0)+
IFERROR(VLOOKUP(A44,'Centre WR14'!$A$7:$N$160,6,FALSE),0)</f>
        <v>0.2</v>
      </c>
      <c r="G44" s="10">
        <f>IFERROR(VLOOKUP(A44,'Centre DW14'!$A$7:$N$160,7,FALSE),0)+
IFERROR(VLOOKUP(A44,'Centre WP14'!$A$7:$N$163,7,FALSE),0)+
IFERROR(VLOOKUP(A44,'Centre WR14'!$A$7:$N$160,7,FALSE),0)</f>
        <v>0.2</v>
      </c>
      <c r="H44" s="10">
        <f>IFERROR(VLOOKUP(A44,'Centre DW14'!$A$7:$N$160,8,FALSE),0)+
IFERROR(VLOOKUP(A44,'Centre WP14'!$A$7:$N$163,8,FALSE),0)+
IFERROR(VLOOKUP(A44,'Centre WR14'!$A$7:$N$160,8,FALSE),0)</f>
        <v>0.5</v>
      </c>
      <c r="I44" s="10">
        <f>IFERROR(VLOOKUP(A44,'Centre DW14'!$A$7:$N$160,9,FALSE),0)+
IFERROR(VLOOKUP(A44,'Centre WP14'!$A$7:$N$163,9,FALSE),0)+
IFERROR(VLOOKUP(A44,'Centre WR14'!$A$7:$N$160,9,FALSE),0)</f>
        <v>0.5</v>
      </c>
      <c r="J44" s="24">
        <f>IFERROR(VLOOKUP(A44,'Centre DW14'!$A$7:$N$160,10,FALSE),0)+
IFERROR(VLOOKUP(A44,'Centre WP14'!$A$7:$N$163,10,FALSE),0)+
IFERROR(VLOOKUP(A44,'Centre WR14'!$A$7:$N$160,10,FALSE),0)</f>
        <v>0.2</v>
      </c>
      <c r="K44" s="10">
        <f>IFERROR(VLOOKUP(A44,'Centre DW14'!$A$7:$N$160,11,FALSE),0)+
IFERROR(VLOOKUP(A44,'Centre WP14'!$A$7:$N$163,11,FALSE),0)+
IFERROR(VLOOKUP(A44,'Centre WR14'!$A$7:$N$160,11,FALSE),0)</f>
        <v>0.2</v>
      </c>
      <c r="L44" s="10">
        <f>IFERROR(VLOOKUP(A44,'Centre DW14'!$A$7:$N$160,12,FALSE),0)+
IFERROR(VLOOKUP(A44,'Centre WP14'!$A$7:$N$163,12,FALSE),0)+
IFERROR(VLOOKUP(A44,'Centre WR14'!$A$7:$N$160,12,FALSE),0)</f>
        <v>0.2</v>
      </c>
      <c r="M44" s="10">
        <f>IFERROR(VLOOKUP(A44,'Centre DW14'!$A$7:$N$160,13,FALSE),0)+
IFERROR(VLOOKUP(A44,'Centre WP14'!$A$7:$N$163,13,FALSE),0)+
IFERROR(VLOOKUP(A44,'Centre WR14'!$A$7:$N$160,13,FALSE),0)</f>
        <v>0.2</v>
      </c>
      <c r="N44" s="10">
        <f>IFERROR(VLOOKUP(A44,'Centre DW14'!$A$7:$N$160,14,FALSE),0)+
IFERROR(VLOOKUP(A44,'Centre WP14'!$A$7:$N$163,14,FALSE),0)+
IFERROR(VLOOKUP(A44,'Centre WR14'!$A$7:$N$160,14,FALSE),0)</f>
        <v>0.5</v>
      </c>
    </row>
    <row r="45" spans="1:14" hidden="1" outlineLevel="1" x14ac:dyDescent="0.2">
      <c r="A45" s="9" t="s">
        <v>105</v>
      </c>
      <c r="B45" s="1" t="s">
        <v>106</v>
      </c>
      <c r="C45" s="10">
        <f>IFERROR(VLOOKUP(A45,'Centre DW14'!$A$7:$N$160,3,FALSE),0)+
IFERROR(VLOOKUP(A45,'Centre WP14'!$A$7:$N$163,3,FALSE),0)+
IFERROR(VLOOKUP(A45,'Centre WR14'!$A$7:$N$160,3,FALSE),0)</f>
        <v>4.3</v>
      </c>
      <c r="D45" s="10">
        <f>IFERROR(VLOOKUP(A45,'Centre DW14'!$A$7:$N$160,4,FALSE),0)+
IFERROR(VLOOKUP(A45,'Centre WP14'!$A$7:$N$163,4,FALSE),0)+
IFERROR(VLOOKUP(A45,'Centre WR14'!$A$7:$N$160,4,FALSE),0)</f>
        <v>2</v>
      </c>
      <c r="E45" s="10">
        <f>IFERROR(VLOOKUP(A45,'Centre DW14'!$A$7:$N$160,5,FALSE),0)+
IFERROR(VLOOKUP(A45,'Centre WP14'!$A$7:$N$163,5,FALSE),0)+
IFERROR(VLOOKUP(A45,'Centre WR14'!$A$7:$N$160,5,FALSE),0)</f>
        <v>7.6</v>
      </c>
      <c r="F45" s="10">
        <f>IFERROR(VLOOKUP(A45,'Centre DW14'!$A$7:$N$160,6,FALSE),0)+
IFERROR(VLOOKUP(A45,'Centre WP14'!$A$7:$N$163,6,FALSE),0)+
IFERROR(VLOOKUP(A45,'Centre WR14'!$A$7:$N$160,6,FALSE),0)</f>
        <v>-2.9</v>
      </c>
      <c r="G45" s="10">
        <f>IFERROR(VLOOKUP(A45,'Centre DW14'!$A$7:$N$160,7,FALSE),0)+
IFERROR(VLOOKUP(A45,'Centre WP14'!$A$7:$N$163,7,FALSE),0)+
IFERROR(VLOOKUP(A45,'Centre WR14'!$A$7:$N$160,7,FALSE),0)</f>
        <v>-0.1</v>
      </c>
      <c r="H45" s="10">
        <f>IFERROR(VLOOKUP(A45,'Centre DW14'!$A$7:$N$160,8,FALSE),0)+
IFERROR(VLOOKUP(A45,'Centre WP14'!$A$7:$N$163,8,FALSE),0)+
IFERROR(VLOOKUP(A45,'Centre WR14'!$A$7:$N$160,8,FALSE),0)</f>
        <v>6.8</v>
      </c>
      <c r="I45" s="10">
        <f>IFERROR(VLOOKUP(A45,'Centre DW14'!$A$7:$N$160,9,FALSE),0)+
IFERROR(VLOOKUP(A45,'Centre WP14'!$A$7:$N$163,9,FALSE),0)+
IFERROR(VLOOKUP(A45,'Centre WR14'!$A$7:$N$160,9,FALSE),0)</f>
        <v>8.8000000000000007</v>
      </c>
      <c r="J45" s="24">
        <f>IFERROR(VLOOKUP(A45,'Centre DW14'!$A$7:$N$160,10,FALSE),0)+
IFERROR(VLOOKUP(A45,'Centre WP14'!$A$7:$N$163,10,FALSE),0)+
IFERROR(VLOOKUP(A45,'Centre WR14'!$A$7:$N$160,10,FALSE),0)</f>
        <v>-2.9</v>
      </c>
      <c r="K45" s="10">
        <f>IFERROR(VLOOKUP(A45,'Centre DW14'!$A$7:$N$160,11,FALSE),0)+
IFERROR(VLOOKUP(A45,'Centre WP14'!$A$7:$N$163,11,FALSE),0)+
IFERROR(VLOOKUP(A45,'Centre WR14'!$A$7:$N$160,11,FALSE),0)</f>
        <v>-0.1</v>
      </c>
      <c r="L45" s="10">
        <f>IFERROR(VLOOKUP(A45,'Centre DW14'!$A$7:$N$160,12,FALSE),0)+
IFERROR(VLOOKUP(A45,'Centre WP14'!$A$7:$N$163,12,FALSE),0)+
IFERROR(VLOOKUP(A45,'Centre WR14'!$A$7:$N$160,12,FALSE),0)</f>
        <v>-2.9</v>
      </c>
      <c r="M45" s="10">
        <f>IFERROR(VLOOKUP(A45,'Centre DW14'!$A$7:$N$160,13,FALSE),0)+
IFERROR(VLOOKUP(A45,'Centre WP14'!$A$7:$N$163,13,FALSE),0)+
IFERROR(VLOOKUP(A45,'Centre WR14'!$A$7:$N$160,13,FALSE),0)</f>
        <v>-0.1</v>
      </c>
      <c r="N45" s="10">
        <f>IFERROR(VLOOKUP(A45,'Centre DW14'!$A$7:$N$160,14,FALSE),0)+
IFERROR(VLOOKUP(A45,'Centre WP14'!$A$7:$N$163,14,FALSE),0)+
IFERROR(VLOOKUP(A45,'Centre WR14'!$A$7:$N$160,14,FALSE),0)</f>
        <v>6.8</v>
      </c>
    </row>
    <row r="46" spans="1:14" hidden="1" outlineLevel="1" x14ac:dyDescent="0.2">
      <c r="A46" s="9" t="s">
        <v>107</v>
      </c>
      <c r="B46" s="1" t="s">
        <v>108</v>
      </c>
      <c r="C46" s="10">
        <f>IFERROR(VLOOKUP(A46,'Centre DW14'!$A$7:$N$160,3,FALSE),0)+
IFERROR(VLOOKUP(A46,'Centre WP14'!$A$7:$N$163,3,FALSE),0)+
IFERROR(VLOOKUP(A46,'Centre WR14'!$A$7:$N$160,3,FALSE),0)</f>
        <v>0.2</v>
      </c>
      <c r="D46" s="10">
        <f>IFERROR(VLOOKUP(A46,'Centre DW14'!$A$7:$N$160,4,FALSE),0)+
IFERROR(VLOOKUP(A46,'Centre WP14'!$A$7:$N$163,4,FALSE),0)+
IFERROR(VLOOKUP(A46,'Centre WR14'!$A$7:$N$160,4,FALSE),0)</f>
        <v>0.1</v>
      </c>
      <c r="E46" s="10">
        <f>IFERROR(VLOOKUP(A46,'Centre DW14'!$A$7:$N$160,5,FALSE),0)+
IFERROR(VLOOKUP(A46,'Centre WP14'!$A$7:$N$163,5,FALSE),0)+
IFERROR(VLOOKUP(A46,'Centre WR14'!$A$7:$N$160,5,FALSE),0)</f>
        <v>0</v>
      </c>
      <c r="F46" s="10">
        <f>IFERROR(VLOOKUP(A46,'Centre DW14'!$A$7:$N$160,6,FALSE),0)+
IFERROR(VLOOKUP(A46,'Centre WP14'!$A$7:$N$163,6,FALSE),0)+
IFERROR(VLOOKUP(A46,'Centre WR14'!$A$7:$N$160,6,FALSE),0)</f>
        <v>0.1</v>
      </c>
      <c r="G46" s="10">
        <f>IFERROR(VLOOKUP(A46,'Centre DW14'!$A$7:$N$160,7,FALSE),0)+
IFERROR(VLOOKUP(A46,'Centre WP14'!$A$7:$N$163,7,FALSE),0)+
IFERROR(VLOOKUP(A46,'Centre WR14'!$A$7:$N$160,7,FALSE),0)</f>
        <v>0.1</v>
      </c>
      <c r="H46" s="10">
        <f>IFERROR(VLOOKUP(A46,'Centre DW14'!$A$7:$N$160,8,FALSE),0)+
IFERROR(VLOOKUP(A46,'Centre WP14'!$A$7:$N$163,8,FALSE),0)+
IFERROR(VLOOKUP(A46,'Centre WR14'!$A$7:$N$160,8,FALSE),0)</f>
        <v>0.5</v>
      </c>
      <c r="I46" s="10">
        <f>IFERROR(VLOOKUP(A46,'Centre DW14'!$A$7:$N$160,9,FALSE),0)+
IFERROR(VLOOKUP(A46,'Centre WP14'!$A$7:$N$163,9,FALSE),0)+
IFERROR(VLOOKUP(A46,'Centre WR14'!$A$7:$N$160,9,FALSE),0)</f>
        <v>0.5</v>
      </c>
      <c r="J46" s="24">
        <f>IFERROR(VLOOKUP(A46,'Centre DW14'!$A$7:$N$160,10,FALSE),0)+
IFERROR(VLOOKUP(A46,'Centre WP14'!$A$7:$N$163,10,FALSE),0)+
IFERROR(VLOOKUP(A46,'Centre WR14'!$A$7:$N$160,10,FALSE),0)</f>
        <v>0.1</v>
      </c>
      <c r="K46" s="10">
        <f>IFERROR(VLOOKUP(A46,'Centre DW14'!$A$7:$N$160,11,FALSE),0)+
IFERROR(VLOOKUP(A46,'Centre WP14'!$A$7:$N$163,11,FALSE),0)+
IFERROR(VLOOKUP(A46,'Centre WR14'!$A$7:$N$160,11,FALSE),0)</f>
        <v>0.1</v>
      </c>
      <c r="L46" s="10">
        <f>IFERROR(VLOOKUP(A46,'Centre DW14'!$A$7:$N$160,12,FALSE),0)+
IFERROR(VLOOKUP(A46,'Centre WP14'!$A$7:$N$163,12,FALSE),0)+
IFERROR(VLOOKUP(A46,'Centre WR14'!$A$7:$N$160,12,FALSE),0)</f>
        <v>0.1</v>
      </c>
      <c r="M46" s="10">
        <f>IFERROR(VLOOKUP(A46,'Centre DW14'!$A$7:$N$160,13,FALSE),0)+
IFERROR(VLOOKUP(A46,'Centre WP14'!$A$7:$N$163,13,FALSE),0)+
IFERROR(VLOOKUP(A46,'Centre WR14'!$A$7:$N$160,13,FALSE),0)</f>
        <v>0.1</v>
      </c>
      <c r="N46" s="10">
        <f>IFERROR(VLOOKUP(A46,'Centre DW14'!$A$7:$N$160,14,FALSE),0)+
IFERROR(VLOOKUP(A46,'Centre WP14'!$A$7:$N$163,14,FALSE),0)+
IFERROR(VLOOKUP(A46,'Centre WR14'!$A$7:$N$160,14,FALSE),0)</f>
        <v>0.5</v>
      </c>
    </row>
    <row r="47" spans="1:14" collapsed="1" x14ac:dyDescent="0.2">
      <c r="A47" s="48" t="s">
        <v>111</v>
      </c>
      <c r="B47" s="49" t="s">
        <v>112</v>
      </c>
      <c r="C47" s="50">
        <f>SUM(C48:C50)</f>
        <v>0.75</v>
      </c>
      <c r="D47" s="50">
        <f t="shared" ref="D47:N47" si="9">SUM(D48:D50)</f>
        <v>0.75</v>
      </c>
      <c r="E47" s="50">
        <f t="shared" si="9"/>
        <v>0.75</v>
      </c>
      <c r="F47" s="50">
        <f t="shared" si="9"/>
        <v>0.75</v>
      </c>
      <c r="G47" s="50">
        <f t="shared" si="9"/>
        <v>0.75</v>
      </c>
      <c r="H47" s="50">
        <f t="shared" si="9"/>
        <v>0.75</v>
      </c>
      <c r="I47" s="50">
        <f t="shared" si="9"/>
        <v>0.75</v>
      </c>
      <c r="J47" s="50">
        <f t="shared" si="9"/>
        <v>0.75</v>
      </c>
      <c r="K47" s="50">
        <f t="shared" si="9"/>
        <v>0.75</v>
      </c>
      <c r="L47" s="50">
        <f t="shared" si="9"/>
        <v>0.75</v>
      </c>
      <c r="M47" s="50">
        <f t="shared" si="9"/>
        <v>0.75</v>
      </c>
      <c r="N47" s="50">
        <f t="shared" si="9"/>
        <v>0.75</v>
      </c>
    </row>
    <row r="48" spans="1:14" hidden="1" outlineLevel="1" x14ac:dyDescent="0.2">
      <c r="A48" s="9" t="s">
        <v>113</v>
      </c>
      <c r="B48" s="1" t="s">
        <v>114</v>
      </c>
      <c r="C48" s="10">
        <f>IFERROR(VLOOKUP(A48,'Centre DW14'!$A$7:$N$160,3,FALSE),0)+
IFERROR(VLOOKUP(A48,'Centre WP14'!$A$7:$N$163,3,FALSE),0)+
IFERROR(VLOOKUP(A48,'Centre WR14'!$A$7:$N$160,3,FALSE),0)</f>
        <v>0.1</v>
      </c>
      <c r="D48" s="10">
        <f>IFERROR(VLOOKUP(A48,'Centre DW14'!$A$7:$N$160,4,FALSE),0)+
IFERROR(VLOOKUP(A48,'Centre WP14'!$A$7:$N$163,4,FALSE),0)+
IFERROR(VLOOKUP(A48,'Centre WR14'!$A$7:$N$160,4,FALSE),0)</f>
        <v>0.1</v>
      </c>
      <c r="E48" s="10">
        <f>IFERROR(VLOOKUP(A48,'Centre DW14'!$A$7:$N$160,5,FALSE),0)+
IFERROR(VLOOKUP(A48,'Centre WP14'!$A$7:$N$163,5,FALSE),0)+
IFERROR(VLOOKUP(A48,'Centre WR14'!$A$7:$N$160,5,FALSE),0)</f>
        <v>0.1</v>
      </c>
      <c r="F48" s="10">
        <f>IFERROR(VLOOKUP(A48,'Centre DW14'!$A$7:$N$160,6,FALSE),0)+
IFERROR(VLOOKUP(A48,'Centre WP14'!$A$7:$N$163,6,FALSE),0)+
IFERROR(VLOOKUP(A48,'Centre WR14'!$A$7:$N$160,6,FALSE),0)</f>
        <v>0.1</v>
      </c>
      <c r="G48" s="10">
        <f>IFERROR(VLOOKUP(A48,'Centre DW14'!$A$7:$N$160,7,FALSE),0)+
IFERROR(VLOOKUP(A48,'Centre WP14'!$A$7:$N$163,7,FALSE),0)+
IFERROR(VLOOKUP(A48,'Centre WR14'!$A$7:$N$160,7,FALSE),0)</f>
        <v>0.1</v>
      </c>
      <c r="H48" s="10">
        <f>IFERROR(VLOOKUP(A48,'Centre DW14'!$A$7:$N$160,8,FALSE),0)+
IFERROR(VLOOKUP(A48,'Centre WP14'!$A$7:$N$163,8,FALSE),0)+
IFERROR(VLOOKUP(A48,'Centre WR14'!$A$7:$N$160,8,FALSE),0)</f>
        <v>0.1</v>
      </c>
      <c r="I48" s="10">
        <f>IFERROR(VLOOKUP(A48,'Centre DW14'!$A$7:$N$160,9,FALSE),0)+
IFERROR(VLOOKUP(A48,'Centre WP14'!$A$7:$N$163,9,FALSE),0)+
IFERROR(VLOOKUP(A48,'Centre WR14'!$A$7:$N$160,9,FALSE),0)</f>
        <v>0.1</v>
      </c>
      <c r="J48" s="24">
        <f>IFERROR(VLOOKUP(A48,'Centre DW14'!$A$7:$N$160,10,FALSE),0)+
IFERROR(VLOOKUP(A48,'Centre WP14'!$A$7:$N$163,10,FALSE),0)+
IFERROR(VLOOKUP(A48,'Centre WR14'!$A$7:$N$160,10,FALSE),0)</f>
        <v>0.1</v>
      </c>
      <c r="K48" s="10">
        <f>IFERROR(VLOOKUP(A48,'Centre DW14'!$A$7:$N$160,11,FALSE),0)+
IFERROR(VLOOKUP(A48,'Centre WP14'!$A$7:$N$163,11,FALSE),0)+
IFERROR(VLOOKUP(A48,'Centre WR14'!$A$7:$N$160,11,FALSE),0)</f>
        <v>0.1</v>
      </c>
      <c r="L48" s="10">
        <f>IFERROR(VLOOKUP(A48,'Centre DW14'!$A$7:$N$160,12,FALSE),0)+
IFERROR(VLOOKUP(A48,'Centre WP14'!$A$7:$N$163,12,FALSE),0)+
IFERROR(VLOOKUP(A48,'Centre WR14'!$A$7:$N$160,12,FALSE),0)</f>
        <v>0.1</v>
      </c>
      <c r="M48" s="10">
        <f>IFERROR(VLOOKUP(A48,'Centre DW14'!$A$7:$N$160,13,FALSE),0)+
IFERROR(VLOOKUP(A48,'Centre WP14'!$A$7:$N$163,13,FALSE),0)+
IFERROR(VLOOKUP(A48,'Centre WR14'!$A$7:$N$160,13,FALSE),0)</f>
        <v>0.1</v>
      </c>
      <c r="N48" s="10">
        <f>IFERROR(VLOOKUP(A48,'Centre DW14'!$A$7:$N$160,14,FALSE),0)+
IFERROR(VLOOKUP(A48,'Centre WP14'!$A$7:$N$163,14,FALSE),0)+
IFERROR(VLOOKUP(A48,'Centre WR14'!$A$7:$N$160,14,FALSE),0)</f>
        <v>0.1</v>
      </c>
    </row>
    <row r="49" spans="1:14" hidden="1" outlineLevel="1" x14ac:dyDescent="0.2">
      <c r="A49" s="9" t="s">
        <v>311</v>
      </c>
      <c r="B49" s="1" t="s">
        <v>312</v>
      </c>
      <c r="C49" s="10">
        <f>IFERROR(VLOOKUP(A49,'Centre DW14'!$A$7:$N$160,3,FALSE),0)+
IFERROR(VLOOKUP(A49,'Centre WP14'!$A$7:$N$163,3,FALSE),0)+
IFERROR(VLOOKUP(A49,'Centre WR14'!$A$7:$N$160,3,FALSE),0)</f>
        <v>0</v>
      </c>
      <c r="D49" s="10">
        <f>IFERROR(VLOOKUP(A49,'Centre DW14'!$A$7:$N$160,4,FALSE),0)+
IFERROR(VLOOKUP(A49,'Centre WP14'!$A$7:$N$163,4,FALSE),0)+
IFERROR(VLOOKUP(A49,'Centre WR14'!$A$7:$N$160,4,FALSE),0)</f>
        <v>0</v>
      </c>
      <c r="E49" s="10">
        <f>IFERROR(VLOOKUP(A49,'Centre DW14'!$A$7:$N$160,5,FALSE),0)+
IFERROR(VLOOKUP(A49,'Centre WP14'!$A$7:$N$163,5,FALSE),0)+
IFERROR(VLOOKUP(A49,'Centre WR14'!$A$7:$N$160,5,FALSE),0)</f>
        <v>0</v>
      </c>
      <c r="F49" s="10">
        <f>IFERROR(VLOOKUP(A49,'Centre DW14'!$A$7:$N$160,6,FALSE),0)+
IFERROR(VLOOKUP(A49,'Centre WP14'!$A$7:$N$163,6,FALSE),0)+
IFERROR(VLOOKUP(A49,'Centre WR14'!$A$7:$N$160,6,FALSE),0)</f>
        <v>0</v>
      </c>
      <c r="G49" s="10">
        <f>IFERROR(VLOOKUP(A49,'Centre DW14'!$A$7:$N$160,7,FALSE),0)+
IFERROR(VLOOKUP(A49,'Centre WP14'!$A$7:$N$163,7,FALSE),0)+
IFERROR(VLOOKUP(A49,'Centre WR14'!$A$7:$N$160,7,FALSE),0)</f>
        <v>0</v>
      </c>
      <c r="H49" s="10">
        <f>IFERROR(VLOOKUP(A49,'Centre DW14'!$A$7:$N$160,8,FALSE),0)+
IFERROR(VLOOKUP(A49,'Centre WP14'!$A$7:$N$163,8,FALSE),0)+
IFERROR(VLOOKUP(A49,'Centre WR14'!$A$7:$N$160,8,FALSE),0)</f>
        <v>0</v>
      </c>
      <c r="I49" s="10">
        <f>IFERROR(VLOOKUP(A49,'Centre DW14'!$A$7:$N$160,9,FALSE),0)+
IFERROR(VLOOKUP(A49,'Centre WP14'!$A$7:$N$163,9,FALSE),0)+
IFERROR(VLOOKUP(A49,'Centre WR14'!$A$7:$N$160,9,FALSE),0)</f>
        <v>0</v>
      </c>
      <c r="J49" s="24">
        <f>IFERROR(VLOOKUP(A49,'Centre DW14'!$A$7:$N$160,10,FALSE),0)+
IFERROR(VLOOKUP(A49,'Centre WP14'!$A$7:$N$163,10,FALSE),0)+
IFERROR(VLOOKUP(A49,'Centre WR14'!$A$7:$N$160,10,FALSE),0)</f>
        <v>0</v>
      </c>
      <c r="K49" s="10">
        <f>IFERROR(VLOOKUP(A49,'Centre DW14'!$A$7:$N$160,11,FALSE),0)+
IFERROR(VLOOKUP(A49,'Centre WP14'!$A$7:$N$163,11,FALSE),0)+
IFERROR(VLOOKUP(A49,'Centre WR14'!$A$7:$N$160,11,FALSE),0)</f>
        <v>0</v>
      </c>
      <c r="L49" s="10">
        <f>IFERROR(VLOOKUP(A49,'Centre DW14'!$A$7:$N$160,12,FALSE),0)+
IFERROR(VLOOKUP(A49,'Centre WP14'!$A$7:$N$163,12,FALSE),0)+
IFERROR(VLOOKUP(A49,'Centre WR14'!$A$7:$N$160,12,FALSE),0)</f>
        <v>0</v>
      </c>
      <c r="M49" s="10">
        <f>IFERROR(VLOOKUP(A49,'Centre DW14'!$A$7:$N$160,13,FALSE),0)+
IFERROR(VLOOKUP(A49,'Centre WP14'!$A$7:$N$163,13,FALSE),0)+
IFERROR(VLOOKUP(A49,'Centre WR14'!$A$7:$N$160,13,FALSE),0)</f>
        <v>0</v>
      </c>
      <c r="N49" s="10">
        <f>IFERROR(VLOOKUP(A49,'Centre DW14'!$A$7:$N$160,14,FALSE),0)+
IFERROR(VLOOKUP(A49,'Centre WP14'!$A$7:$N$163,14,FALSE),0)+
IFERROR(VLOOKUP(A49,'Centre WR14'!$A$7:$N$160,14,FALSE),0)</f>
        <v>0</v>
      </c>
    </row>
    <row r="50" spans="1:14" hidden="1" outlineLevel="1" x14ac:dyDescent="0.2">
      <c r="A50" s="9" t="s">
        <v>117</v>
      </c>
      <c r="B50" s="1" t="s">
        <v>118</v>
      </c>
      <c r="C50" s="10">
        <f>IFERROR(VLOOKUP(A50,'Centre DW14'!$A$7:$N$160,3,FALSE),0)+
IFERROR(VLOOKUP(A50,'Centre WP14'!$A$7:$N$163,3,FALSE),0)+
IFERROR(VLOOKUP(A50,'Centre WR14'!$A$7:$N$160,3,FALSE),0)</f>
        <v>0.65</v>
      </c>
      <c r="D50" s="10">
        <f>IFERROR(VLOOKUP(A50,'Centre DW14'!$A$7:$N$160,4,FALSE),0)+
IFERROR(VLOOKUP(A50,'Centre WP14'!$A$7:$N$163,4,FALSE),0)+
IFERROR(VLOOKUP(A50,'Centre WR14'!$A$7:$N$160,4,FALSE),0)</f>
        <v>0.65</v>
      </c>
      <c r="E50" s="10">
        <f>IFERROR(VLOOKUP(A50,'Centre DW14'!$A$7:$N$160,5,FALSE),0)+
IFERROR(VLOOKUP(A50,'Centre WP14'!$A$7:$N$163,5,FALSE),0)+
IFERROR(VLOOKUP(A50,'Centre WR14'!$A$7:$N$160,5,FALSE),0)</f>
        <v>0.65</v>
      </c>
      <c r="F50" s="10">
        <f>IFERROR(VLOOKUP(A50,'Centre DW14'!$A$7:$N$160,6,FALSE),0)+
IFERROR(VLOOKUP(A50,'Centre WP14'!$A$7:$N$163,6,FALSE),0)+
IFERROR(VLOOKUP(A50,'Centre WR14'!$A$7:$N$160,6,FALSE),0)</f>
        <v>0.65</v>
      </c>
      <c r="G50" s="10">
        <f>IFERROR(VLOOKUP(A50,'Centre DW14'!$A$7:$N$160,7,FALSE),0)+
IFERROR(VLOOKUP(A50,'Centre WP14'!$A$7:$N$163,7,FALSE),0)+
IFERROR(VLOOKUP(A50,'Centre WR14'!$A$7:$N$160,7,FALSE),0)</f>
        <v>0.65</v>
      </c>
      <c r="H50" s="10">
        <f>IFERROR(VLOOKUP(A50,'Centre DW14'!$A$7:$N$160,8,FALSE),0)+
IFERROR(VLOOKUP(A50,'Centre WP14'!$A$7:$N$163,8,FALSE),0)+
IFERROR(VLOOKUP(A50,'Centre WR14'!$A$7:$N$160,8,FALSE),0)</f>
        <v>0.65</v>
      </c>
      <c r="I50" s="10">
        <f>IFERROR(VLOOKUP(A50,'Centre DW14'!$A$7:$N$160,9,FALSE),0)+
IFERROR(VLOOKUP(A50,'Centre WP14'!$A$7:$N$163,9,FALSE),0)+
IFERROR(VLOOKUP(A50,'Centre WR14'!$A$7:$N$160,9,FALSE),0)</f>
        <v>0.65</v>
      </c>
      <c r="J50" s="24">
        <f>IFERROR(VLOOKUP(A50,'Centre DW14'!$A$7:$N$160,10,FALSE),0)+
IFERROR(VLOOKUP(A50,'Centre WP14'!$A$7:$N$163,10,FALSE),0)+
IFERROR(VLOOKUP(A50,'Centre WR14'!$A$7:$N$160,10,FALSE),0)</f>
        <v>0.65</v>
      </c>
      <c r="K50" s="10">
        <f>IFERROR(VLOOKUP(A50,'Centre DW14'!$A$7:$N$160,11,FALSE),0)+
IFERROR(VLOOKUP(A50,'Centre WP14'!$A$7:$N$163,11,FALSE),0)+
IFERROR(VLOOKUP(A50,'Centre WR14'!$A$7:$N$160,11,FALSE),0)</f>
        <v>0.65</v>
      </c>
      <c r="L50" s="10">
        <f>IFERROR(VLOOKUP(A50,'Centre DW14'!$A$7:$N$160,12,FALSE),0)+
IFERROR(VLOOKUP(A50,'Centre WP14'!$A$7:$N$163,12,FALSE),0)+
IFERROR(VLOOKUP(A50,'Centre WR14'!$A$7:$N$160,12,FALSE),0)</f>
        <v>0.65</v>
      </c>
      <c r="M50" s="10">
        <f>IFERROR(VLOOKUP(A50,'Centre DW14'!$A$7:$N$160,13,FALSE),0)+
IFERROR(VLOOKUP(A50,'Centre WP14'!$A$7:$N$163,13,FALSE),0)+
IFERROR(VLOOKUP(A50,'Centre WR14'!$A$7:$N$160,13,FALSE),0)</f>
        <v>0.65</v>
      </c>
      <c r="N50" s="10">
        <f>IFERROR(VLOOKUP(A50,'Centre DW14'!$A$7:$N$160,14,FALSE),0)+
IFERROR(VLOOKUP(A50,'Centre WP14'!$A$7:$N$163,14,FALSE),0)+
IFERROR(VLOOKUP(A50,'Centre WR14'!$A$7:$N$160,14,FALSE),0)</f>
        <v>0.65</v>
      </c>
    </row>
    <row r="51" spans="1:14" collapsed="1" x14ac:dyDescent="0.2">
      <c r="A51" s="48" t="s">
        <v>119</v>
      </c>
      <c r="B51" s="49" t="s">
        <v>120</v>
      </c>
      <c r="C51" s="50">
        <f>SUM(C52:C53)</f>
        <v>0.1</v>
      </c>
      <c r="D51" s="50">
        <f t="shared" ref="D51:N51" si="10">SUM(D52:D53)</f>
        <v>0.1</v>
      </c>
      <c r="E51" s="50">
        <f t="shared" si="10"/>
        <v>0.1</v>
      </c>
      <c r="F51" s="50">
        <f t="shared" si="10"/>
        <v>0.1</v>
      </c>
      <c r="G51" s="50">
        <f t="shared" si="10"/>
        <v>0.1</v>
      </c>
      <c r="H51" s="50">
        <f t="shared" si="10"/>
        <v>0.1</v>
      </c>
      <c r="I51" s="50">
        <f t="shared" si="10"/>
        <v>0.1</v>
      </c>
      <c r="J51" s="50">
        <f t="shared" si="10"/>
        <v>0.1</v>
      </c>
      <c r="K51" s="50">
        <f t="shared" si="10"/>
        <v>0.1</v>
      </c>
      <c r="L51" s="50">
        <f t="shared" si="10"/>
        <v>0.1</v>
      </c>
      <c r="M51" s="50">
        <f t="shared" si="10"/>
        <v>0.1</v>
      </c>
      <c r="N51" s="50">
        <f t="shared" si="10"/>
        <v>0.1</v>
      </c>
    </row>
    <row r="52" spans="1:14" hidden="1" outlineLevel="1" x14ac:dyDescent="0.2">
      <c r="A52" s="9" t="s">
        <v>123</v>
      </c>
      <c r="B52" s="1" t="s">
        <v>124</v>
      </c>
      <c r="C52" s="10">
        <f>IFERROR(VLOOKUP(A52,'Centre DW14'!$A$7:$N$160,3,FALSE),0)+
IFERROR(VLOOKUP(A52,'Centre WP14'!$A$7:$N$163,3,FALSE),0)+
IFERROR(VLOOKUP(A52,'Centre WR14'!$A$7:$N$160,3,FALSE),0)</f>
        <v>0.1</v>
      </c>
      <c r="D52" s="10">
        <f>IFERROR(VLOOKUP(A52,'Centre DW14'!$A$7:$N$160,4,FALSE),0)+
IFERROR(VLOOKUP(A52,'Centre WP14'!$A$7:$N$163,4,FALSE),0)+
IFERROR(VLOOKUP(A52,'Centre WR14'!$A$7:$N$160,4,FALSE),0)</f>
        <v>0.1</v>
      </c>
      <c r="E52" s="10">
        <f>IFERROR(VLOOKUP(A52,'Centre DW14'!$A$7:$N$160,5,FALSE),0)+
IFERROR(VLOOKUP(A52,'Centre WP14'!$A$7:$N$163,5,FALSE),0)+
IFERROR(VLOOKUP(A52,'Centre WR14'!$A$7:$N$160,5,FALSE),0)</f>
        <v>0.1</v>
      </c>
      <c r="F52" s="10">
        <f>IFERROR(VLOOKUP(A52,'Centre DW14'!$A$7:$N$160,6,FALSE),0)+
IFERROR(VLOOKUP(A52,'Centre WP14'!$A$7:$N$163,6,FALSE),0)+
IFERROR(VLOOKUP(A52,'Centre WR14'!$A$7:$N$160,6,FALSE),0)</f>
        <v>0.1</v>
      </c>
      <c r="G52" s="10">
        <f>IFERROR(VLOOKUP(A52,'Centre DW14'!$A$7:$N$160,7,FALSE),0)+
IFERROR(VLOOKUP(A52,'Centre WP14'!$A$7:$N$163,7,FALSE),0)+
IFERROR(VLOOKUP(A52,'Centre WR14'!$A$7:$N$160,7,FALSE),0)</f>
        <v>0.1</v>
      </c>
      <c r="H52" s="10">
        <f>IFERROR(VLOOKUP(A52,'Centre DW14'!$A$7:$N$160,8,FALSE),0)+
IFERROR(VLOOKUP(A52,'Centre WP14'!$A$7:$N$163,8,FALSE),0)+
IFERROR(VLOOKUP(A52,'Centre WR14'!$A$7:$N$160,8,FALSE),0)</f>
        <v>0.1</v>
      </c>
      <c r="I52" s="10">
        <f>IFERROR(VLOOKUP(A52,'Centre DW14'!$A$7:$N$160,9,FALSE),0)+
IFERROR(VLOOKUP(A52,'Centre WP14'!$A$7:$N$163,9,FALSE),0)+
IFERROR(VLOOKUP(A52,'Centre WR14'!$A$7:$N$160,9,FALSE),0)</f>
        <v>0.1</v>
      </c>
      <c r="J52" s="24">
        <f>IFERROR(VLOOKUP(A52,'Centre DW14'!$A$7:$N$160,10,FALSE),0)+
IFERROR(VLOOKUP(A52,'Centre WP14'!$A$7:$N$163,10,FALSE),0)+
IFERROR(VLOOKUP(A52,'Centre WR14'!$A$7:$N$160,10,FALSE),0)</f>
        <v>0.1</v>
      </c>
      <c r="K52" s="10">
        <f>IFERROR(VLOOKUP(A52,'Centre DW14'!$A$7:$N$160,11,FALSE),0)+
IFERROR(VLOOKUP(A52,'Centre WP14'!$A$7:$N$163,11,FALSE),0)+
IFERROR(VLOOKUP(A52,'Centre WR14'!$A$7:$N$160,11,FALSE),0)</f>
        <v>0.1</v>
      </c>
      <c r="L52" s="10">
        <f>IFERROR(VLOOKUP(A52,'Centre DW14'!$A$7:$N$160,12,FALSE),0)+
IFERROR(VLOOKUP(A52,'Centre WP14'!$A$7:$N$163,12,FALSE),0)+
IFERROR(VLOOKUP(A52,'Centre WR14'!$A$7:$N$160,12,FALSE),0)</f>
        <v>0.1</v>
      </c>
      <c r="M52" s="10">
        <f>IFERROR(VLOOKUP(A52,'Centre DW14'!$A$7:$N$160,13,FALSE),0)+
IFERROR(VLOOKUP(A52,'Centre WP14'!$A$7:$N$163,13,FALSE),0)+
IFERROR(VLOOKUP(A52,'Centre WR14'!$A$7:$N$160,13,FALSE),0)</f>
        <v>0.1</v>
      </c>
      <c r="N52" s="10">
        <f>IFERROR(VLOOKUP(A52,'Centre DW14'!$A$7:$N$160,14,FALSE),0)+
IFERROR(VLOOKUP(A52,'Centre WP14'!$A$7:$N$163,14,FALSE),0)+
IFERROR(VLOOKUP(A52,'Centre WR14'!$A$7:$N$160,14,FALSE),0)</f>
        <v>0.1</v>
      </c>
    </row>
    <row r="53" spans="1:14" hidden="1" outlineLevel="1" x14ac:dyDescent="0.2">
      <c r="A53" s="9" t="s">
        <v>125</v>
      </c>
      <c r="B53" s="1" t="s">
        <v>126</v>
      </c>
      <c r="C53" s="10">
        <f>IFERROR(VLOOKUP(A53,'Centre DW14'!$A$7:$N$160,3,FALSE),0)+
IFERROR(VLOOKUP(A53,'Centre WP14'!$A$7:$N$163,3,FALSE),0)+
IFERROR(VLOOKUP(A53,'Centre WR14'!$A$7:$N$160,3,FALSE),0)</f>
        <v>0</v>
      </c>
      <c r="D53" s="10">
        <f>IFERROR(VLOOKUP(A53,'Centre DW14'!$A$7:$N$160,4,FALSE),0)+
IFERROR(VLOOKUP(A53,'Centre WP14'!$A$7:$N$163,4,FALSE),0)+
IFERROR(VLOOKUP(A53,'Centre WR14'!$A$7:$N$160,4,FALSE),0)</f>
        <v>0</v>
      </c>
      <c r="E53" s="10">
        <f>IFERROR(VLOOKUP(A53,'Centre DW14'!$A$7:$N$160,5,FALSE),0)+
IFERROR(VLOOKUP(A53,'Centre WP14'!$A$7:$N$163,5,FALSE),0)+
IFERROR(VLOOKUP(A53,'Centre WR14'!$A$7:$N$160,5,FALSE),0)</f>
        <v>0</v>
      </c>
      <c r="F53" s="10">
        <f>IFERROR(VLOOKUP(A53,'Centre DW14'!$A$7:$N$160,6,FALSE),0)+
IFERROR(VLOOKUP(A53,'Centre WP14'!$A$7:$N$163,6,FALSE),0)+
IFERROR(VLOOKUP(A53,'Centre WR14'!$A$7:$N$160,6,FALSE),0)</f>
        <v>0</v>
      </c>
      <c r="G53" s="10">
        <f>IFERROR(VLOOKUP(A53,'Centre DW14'!$A$7:$N$160,7,FALSE),0)+
IFERROR(VLOOKUP(A53,'Centre WP14'!$A$7:$N$163,7,FALSE),0)+
IFERROR(VLOOKUP(A53,'Centre WR14'!$A$7:$N$160,7,FALSE),0)</f>
        <v>0</v>
      </c>
      <c r="H53" s="10">
        <f>IFERROR(VLOOKUP(A53,'Centre DW14'!$A$7:$N$160,8,FALSE),0)+
IFERROR(VLOOKUP(A53,'Centre WP14'!$A$7:$N$163,8,FALSE),0)+
IFERROR(VLOOKUP(A53,'Centre WR14'!$A$7:$N$160,8,FALSE),0)</f>
        <v>0</v>
      </c>
      <c r="I53" s="10">
        <f>IFERROR(VLOOKUP(A53,'Centre DW14'!$A$7:$N$160,9,FALSE),0)+
IFERROR(VLOOKUP(A53,'Centre WP14'!$A$7:$N$163,9,FALSE),0)+
IFERROR(VLOOKUP(A53,'Centre WR14'!$A$7:$N$160,9,FALSE),0)</f>
        <v>0</v>
      </c>
      <c r="J53" s="24">
        <f>IFERROR(VLOOKUP(A53,'Centre DW14'!$A$7:$N$160,10,FALSE),0)+
IFERROR(VLOOKUP(A53,'Centre WP14'!$A$7:$N$163,10,FALSE),0)+
IFERROR(VLOOKUP(A53,'Centre WR14'!$A$7:$N$160,10,FALSE),0)</f>
        <v>0</v>
      </c>
      <c r="K53" s="10">
        <f>IFERROR(VLOOKUP(A53,'Centre DW14'!$A$7:$N$160,11,FALSE),0)+
IFERROR(VLOOKUP(A53,'Centre WP14'!$A$7:$N$163,11,FALSE),0)+
IFERROR(VLOOKUP(A53,'Centre WR14'!$A$7:$N$160,11,FALSE),0)</f>
        <v>0</v>
      </c>
      <c r="L53" s="10">
        <f>IFERROR(VLOOKUP(A53,'Centre DW14'!$A$7:$N$160,12,FALSE),0)+
IFERROR(VLOOKUP(A53,'Centre WP14'!$A$7:$N$163,12,FALSE),0)+
IFERROR(VLOOKUP(A53,'Centre WR14'!$A$7:$N$160,12,FALSE),0)</f>
        <v>0</v>
      </c>
      <c r="M53" s="10">
        <f>IFERROR(VLOOKUP(A53,'Centre DW14'!$A$7:$N$160,13,FALSE),0)+
IFERROR(VLOOKUP(A53,'Centre WP14'!$A$7:$N$163,13,FALSE),0)+
IFERROR(VLOOKUP(A53,'Centre WR14'!$A$7:$N$160,13,FALSE),0)</f>
        <v>0</v>
      </c>
      <c r="N53" s="10">
        <f>IFERROR(VLOOKUP(A53,'Centre DW14'!$A$7:$N$160,14,FALSE),0)+
IFERROR(VLOOKUP(A53,'Centre WP14'!$A$7:$N$163,14,FALSE),0)+
IFERROR(VLOOKUP(A53,'Centre WR14'!$A$7:$N$160,14,FALSE),0)</f>
        <v>0</v>
      </c>
    </row>
    <row r="54" spans="1:14" collapsed="1" x14ac:dyDescent="0.2">
      <c r="A54" s="48" t="s">
        <v>127</v>
      </c>
      <c r="B54" s="49" t="s">
        <v>128</v>
      </c>
      <c r="C54" s="50">
        <f>SUM(C55:C57)</f>
        <v>0.2</v>
      </c>
      <c r="D54" s="50">
        <f t="shared" ref="D54:N54" si="11">SUM(D55:D57)</f>
        <v>0.2</v>
      </c>
      <c r="E54" s="50">
        <f t="shared" si="11"/>
        <v>0.2</v>
      </c>
      <c r="F54" s="50">
        <f t="shared" si="11"/>
        <v>0.30000000000000004</v>
      </c>
      <c r="G54" s="50">
        <f t="shared" si="11"/>
        <v>0.2</v>
      </c>
      <c r="H54" s="50">
        <f t="shared" si="11"/>
        <v>0.2</v>
      </c>
      <c r="I54" s="50">
        <f t="shared" si="11"/>
        <v>0.5</v>
      </c>
      <c r="J54" s="50">
        <f t="shared" si="11"/>
        <v>0.2</v>
      </c>
      <c r="K54" s="50">
        <f t="shared" si="11"/>
        <v>0.4</v>
      </c>
      <c r="L54" s="50">
        <f t="shared" si="11"/>
        <v>0.2</v>
      </c>
      <c r="M54" s="50">
        <f t="shared" si="11"/>
        <v>0.2</v>
      </c>
      <c r="N54" s="50">
        <f t="shared" si="11"/>
        <v>0.4</v>
      </c>
    </row>
    <row r="55" spans="1:14" hidden="1" outlineLevel="1" x14ac:dyDescent="0.2">
      <c r="A55" s="9" t="s">
        <v>317</v>
      </c>
      <c r="B55" s="1" t="s">
        <v>318</v>
      </c>
      <c r="C55" s="10">
        <f>IFERROR(VLOOKUP(A55,'Centre DW14'!$A$7:$N$160,3,FALSE),0)+
IFERROR(VLOOKUP(A55,'Centre WP14'!$A$7:$N$163,3,FALSE),0)+
IFERROR(VLOOKUP(A55,'Centre WR14'!$A$7:$N$160,3,FALSE),0)</f>
        <v>0</v>
      </c>
      <c r="D55" s="10">
        <f>IFERROR(VLOOKUP(A55,'Centre DW14'!$A$7:$N$160,4,FALSE),0)+
IFERROR(VLOOKUP(A55,'Centre WP14'!$A$7:$N$163,4,FALSE),0)+
IFERROR(VLOOKUP(A55,'Centre WR14'!$A$7:$N$160,4,FALSE),0)</f>
        <v>0</v>
      </c>
      <c r="E55" s="10">
        <f>IFERROR(VLOOKUP(A55,'Centre DW14'!$A$7:$N$160,5,FALSE),0)+
IFERROR(VLOOKUP(A55,'Centre WP14'!$A$7:$N$163,5,FALSE),0)+
IFERROR(VLOOKUP(A55,'Centre WR14'!$A$7:$N$160,5,FALSE),0)</f>
        <v>0</v>
      </c>
      <c r="F55" s="10">
        <f>IFERROR(VLOOKUP(A55,'Centre DW14'!$A$7:$N$160,6,FALSE),0)+
IFERROR(VLOOKUP(A55,'Centre WP14'!$A$7:$N$163,6,FALSE),0)+
IFERROR(VLOOKUP(A55,'Centre WR14'!$A$7:$N$160,6,FALSE),0)</f>
        <v>0.1</v>
      </c>
      <c r="G55" s="10">
        <f>IFERROR(VLOOKUP(A55,'Centre DW14'!$A$7:$N$160,7,FALSE),0)+
IFERROR(VLOOKUP(A55,'Centre WP14'!$A$7:$N$163,7,FALSE),0)+
IFERROR(VLOOKUP(A55,'Centre WR14'!$A$7:$N$160,7,FALSE),0)</f>
        <v>0</v>
      </c>
      <c r="H55" s="10">
        <f>IFERROR(VLOOKUP(A55,'Centre DW14'!$A$7:$N$160,8,FALSE),0)+
IFERROR(VLOOKUP(A55,'Centre WP14'!$A$7:$N$163,8,FALSE),0)+
IFERROR(VLOOKUP(A55,'Centre WR14'!$A$7:$N$160,8,FALSE),0)</f>
        <v>0</v>
      </c>
      <c r="I55" s="10">
        <f>IFERROR(VLOOKUP(A55,'Centre DW14'!$A$7:$N$160,9,FALSE),0)+
IFERROR(VLOOKUP(A55,'Centre WP14'!$A$7:$N$163,9,FALSE),0)+
IFERROR(VLOOKUP(A55,'Centre WR14'!$A$7:$N$160,9,FALSE),0)</f>
        <v>0</v>
      </c>
      <c r="J55" s="24">
        <f>IFERROR(VLOOKUP(A55,'Centre DW14'!$A$7:$N$160,10,FALSE),0)+
IFERROR(VLOOKUP(A55,'Centre WP14'!$A$7:$N$163,10,FALSE),0)+
IFERROR(VLOOKUP(A55,'Centre WR14'!$A$7:$N$160,10,FALSE),0)</f>
        <v>0</v>
      </c>
      <c r="K55" s="10">
        <f>IFERROR(VLOOKUP(A55,'Centre DW14'!$A$7:$N$160,11,FALSE),0)+
IFERROR(VLOOKUP(A55,'Centre WP14'!$A$7:$N$163,11,FALSE),0)+
IFERROR(VLOOKUP(A55,'Centre WR14'!$A$7:$N$160,11,FALSE),0)</f>
        <v>0</v>
      </c>
      <c r="L55" s="10">
        <f>IFERROR(VLOOKUP(A55,'Centre DW14'!$A$7:$N$160,12,FALSE),0)+
IFERROR(VLOOKUP(A55,'Centre WP14'!$A$7:$N$163,12,FALSE),0)+
IFERROR(VLOOKUP(A55,'Centre WR14'!$A$7:$N$160,12,FALSE),0)</f>
        <v>0</v>
      </c>
      <c r="M55" s="10">
        <f>IFERROR(VLOOKUP(A55,'Centre DW14'!$A$7:$N$160,13,FALSE),0)+
IFERROR(VLOOKUP(A55,'Centre WP14'!$A$7:$N$163,13,FALSE),0)+
IFERROR(VLOOKUP(A55,'Centre WR14'!$A$7:$N$160,13,FALSE),0)</f>
        <v>0</v>
      </c>
      <c r="N55" s="10">
        <f>IFERROR(VLOOKUP(A55,'Centre DW14'!$A$7:$N$160,14,FALSE),0)+
IFERROR(VLOOKUP(A55,'Centre WP14'!$A$7:$N$163,14,FALSE),0)+
IFERROR(VLOOKUP(A55,'Centre WR14'!$A$7:$N$160,14,FALSE),0)</f>
        <v>0</v>
      </c>
    </row>
    <row r="56" spans="1:14" hidden="1" outlineLevel="1" x14ac:dyDescent="0.2">
      <c r="A56" s="9" t="s">
        <v>129</v>
      </c>
      <c r="B56" s="1" t="s">
        <v>130</v>
      </c>
      <c r="C56" s="10">
        <f>IFERROR(VLOOKUP(A56,'Centre DW14'!$A$7:$N$160,3,FALSE),0)+
IFERROR(VLOOKUP(A56,'Centre WP14'!$A$7:$N$163,3,FALSE),0)+
IFERROR(VLOOKUP(A56,'Centre WR14'!$A$7:$N$160,3,FALSE),0)</f>
        <v>0.2</v>
      </c>
      <c r="D56" s="10">
        <f>IFERROR(VLOOKUP(A56,'Centre DW14'!$A$7:$N$160,4,FALSE),0)+
IFERROR(VLOOKUP(A56,'Centre WP14'!$A$7:$N$163,4,FALSE),0)+
IFERROR(VLOOKUP(A56,'Centre WR14'!$A$7:$N$160,4,FALSE),0)</f>
        <v>0.2</v>
      </c>
      <c r="E56" s="10">
        <f>IFERROR(VLOOKUP(A56,'Centre DW14'!$A$7:$N$160,5,FALSE),0)+
IFERROR(VLOOKUP(A56,'Centre WP14'!$A$7:$N$163,5,FALSE),0)+
IFERROR(VLOOKUP(A56,'Centre WR14'!$A$7:$N$160,5,FALSE),0)</f>
        <v>0.2</v>
      </c>
      <c r="F56" s="10">
        <f>IFERROR(VLOOKUP(A56,'Centre DW14'!$A$7:$N$160,6,FALSE),0)+
IFERROR(VLOOKUP(A56,'Centre WP14'!$A$7:$N$163,6,FALSE),0)+
IFERROR(VLOOKUP(A56,'Centre WR14'!$A$7:$N$160,6,FALSE),0)</f>
        <v>0.2</v>
      </c>
      <c r="G56" s="10">
        <f>IFERROR(VLOOKUP(A56,'Centre DW14'!$A$7:$N$160,7,FALSE),0)+
IFERROR(VLOOKUP(A56,'Centre WP14'!$A$7:$N$163,7,FALSE),0)+
IFERROR(VLOOKUP(A56,'Centre WR14'!$A$7:$N$160,7,FALSE),0)</f>
        <v>0.2</v>
      </c>
      <c r="H56" s="10">
        <f>IFERROR(VLOOKUP(A56,'Centre DW14'!$A$7:$N$160,8,FALSE),0)+
IFERROR(VLOOKUP(A56,'Centre WP14'!$A$7:$N$163,8,FALSE),0)+
IFERROR(VLOOKUP(A56,'Centre WR14'!$A$7:$N$160,8,FALSE),0)</f>
        <v>0.2</v>
      </c>
      <c r="I56" s="10">
        <f>IFERROR(VLOOKUP(A56,'Centre DW14'!$A$7:$N$160,9,FALSE),0)+
IFERROR(VLOOKUP(A56,'Centre WP14'!$A$7:$N$163,9,FALSE),0)+
IFERROR(VLOOKUP(A56,'Centre WR14'!$A$7:$N$160,9,FALSE),0)</f>
        <v>0.30000000000000004</v>
      </c>
      <c r="J56" s="24">
        <f>IFERROR(VLOOKUP(A56,'Centre DW14'!$A$7:$N$160,10,FALSE),0)+
IFERROR(VLOOKUP(A56,'Centre WP14'!$A$7:$N$163,10,FALSE),0)+
IFERROR(VLOOKUP(A56,'Centre WR14'!$A$7:$N$160,10,FALSE),0)</f>
        <v>0.2</v>
      </c>
      <c r="K56" s="10">
        <f>IFERROR(VLOOKUP(A56,'Centre DW14'!$A$7:$N$160,11,FALSE),0)+
IFERROR(VLOOKUP(A56,'Centre WP14'!$A$7:$N$163,11,FALSE),0)+
IFERROR(VLOOKUP(A56,'Centre WR14'!$A$7:$N$160,11,FALSE),0)</f>
        <v>0.2</v>
      </c>
      <c r="L56" s="10">
        <f>IFERROR(VLOOKUP(A56,'Centre DW14'!$A$7:$N$160,12,FALSE),0)+
IFERROR(VLOOKUP(A56,'Centre WP14'!$A$7:$N$163,12,FALSE),0)+
IFERROR(VLOOKUP(A56,'Centre WR14'!$A$7:$N$160,12,FALSE),0)</f>
        <v>0.2</v>
      </c>
      <c r="M56" s="10">
        <f>IFERROR(VLOOKUP(A56,'Centre DW14'!$A$7:$N$160,13,FALSE),0)+
IFERROR(VLOOKUP(A56,'Centre WP14'!$A$7:$N$163,13,FALSE),0)+
IFERROR(VLOOKUP(A56,'Centre WR14'!$A$7:$N$160,13,FALSE),0)</f>
        <v>0.2</v>
      </c>
      <c r="N56" s="10">
        <f>IFERROR(VLOOKUP(A56,'Centre DW14'!$A$7:$N$160,14,FALSE),0)+
IFERROR(VLOOKUP(A56,'Centre WP14'!$A$7:$N$163,14,FALSE),0)+
IFERROR(VLOOKUP(A56,'Centre WR14'!$A$7:$N$160,14,FALSE),0)</f>
        <v>0.2</v>
      </c>
    </row>
    <row r="57" spans="1:14" hidden="1" outlineLevel="1" x14ac:dyDescent="0.2">
      <c r="A57" s="9" t="s">
        <v>319</v>
      </c>
      <c r="B57" s="1" t="s">
        <v>320</v>
      </c>
      <c r="C57" s="10">
        <f>IFERROR(VLOOKUP(A57,'Centre DW14'!$A$7:$N$160,3,FALSE),0)+
IFERROR(VLOOKUP(A57,'Centre WP14'!$A$7:$N$163,3,FALSE),0)+
IFERROR(VLOOKUP(A57,'Centre WR14'!$A$7:$N$160,3,FALSE),0)</f>
        <v>0</v>
      </c>
      <c r="D57" s="10">
        <f>IFERROR(VLOOKUP(A57,'Centre DW14'!$A$7:$N$160,4,FALSE),0)+
IFERROR(VLOOKUP(A57,'Centre WP14'!$A$7:$N$163,4,FALSE),0)+
IFERROR(VLOOKUP(A57,'Centre WR14'!$A$7:$N$160,4,FALSE),0)</f>
        <v>0</v>
      </c>
      <c r="E57" s="10">
        <f>IFERROR(VLOOKUP(A57,'Centre DW14'!$A$7:$N$160,5,FALSE),0)+
IFERROR(VLOOKUP(A57,'Centre WP14'!$A$7:$N$163,5,FALSE),0)+
IFERROR(VLOOKUP(A57,'Centre WR14'!$A$7:$N$160,5,FALSE),0)</f>
        <v>0</v>
      </c>
      <c r="F57" s="10">
        <f>IFERROR(VLOOKUP(A57,'Centre DW14'!$A$7:$N$160,6,FALSE),0)+
IFERROR(VLOOKUP(A57,'Centre WP14'!$A$7:$N$163,6,FALSE),0)+
IFERROR(VLOOKUP(A57,'Centre WR14'!$A$7:$N$160,6,FALSE),0)</f>
        <v>0</v>
      </c>
      <c r="G57" s="10">
        <f>IFERROR(VLOOKUP(A57,'Centre DW14'!$A$7:$N$160,7,FALSE),0)+
IFERROR(VLOOKUP(A57,'Centre WP14'!$A$7:$N$163,7,FALSE),0)+
IFERROR(VLOOKUP(A57,'Centre WR14'!$A$7:$N$160,7,FALSE),0)</f>
        <v>0</v>
      </c>
      <c r="H57" s="10">
        <f>IFERROR(VLOOKUP(A57,'Centre DW14'!$A$7:$N$160,8,FALSE),0)+
IFERROR(VLOOKUP(A57,'Centre WP14'!$A$7:$N$163,8,FALSE),0)+
IFERROR(VLOOKUP(A57,'Centre WR14'!$A$7:$N$160,8,FALSE),0)</f>
        <v>0</v>
      </c>
      <c r="I57" s="10">
        <f>IFERROR(VLOOKUP(A57,'Centre DW14'!$A$7:$N$160,9,FALSE),0)+
IFERROR(VLOOKUP(A57,'Centre WP14'!$A$7:$N$163,9,FALSE),0)+
IFERROR(VLOOKUP(A57,'Centre WR14'!$A$7:$N$160,9,FALSE),0)</f>
        <v>0.2</v>
      </c>
      <c r="J57" s="24">
        <f>IFERROR(VLOOKUP(A57,'Centre DW14'!$A$7:$N$160,10,FALSE),0)+
IFERROR(VLOOKUP(A57,'Centre WP14'!$A$7:$N$163,10,FALSE),0)+
IFERROR(VLOOKUP(A57,'Centre WR14'!$A$7:$N$160,10,FALSE),0)</f>
        <v>0</v>
      </c>
      <c r="K57" s="10">
        <f>IFERROR(VLOOKUP(A57,'Centre DW14'!$A$7:$N$160,11,FALSE),0)+
IFERROR(VLOOKUP(A57,'Centre WP14'!$A$7:$N$163,11,FALSE),0)+
IFERROR(VLOOKUP(A57,'Centre WR14'!$A$7:$N$160,11,FALSE),0)</f>
        <v>0.2</v>
      </c>
      <c r="L57" s="10">
        <f>IFERROR(VLOOKUP(A57,'Centre DW14'!$A$7:$N$160,12,FALSE),0)+
IFERROR(VLOOKUP(A57,'Centre WP14'!$A$7:$N$163,12,FALSE),0)+
IFERROR(VLOOKUP(A57,'Centre WR14'!$A$7:$N$160,12,FALSE),0)</f>
        <v>0</v>
      </c>
      <c r="M57" s="10">
        <f>IFERROR(VLOOKUP(A57,'Centre DW14'!$A$7:$N$160,13,FALSE),0)+
IFERROR(VLOOKUP(A57,'Centre WP14'!$A$7:$N$163,13,FALSE),0)+
IFERROR(VLOOKUP(A57,'Centre WR14'!$A$7:$N$160,13,FALSE),0)</f>
        <v>0</v>
      </c>
      <c r="N57" s="10">
        <f>IFERROR(VLOOKUP(A57,'Centre DW14'!$A$7:$N$160,14,FALSE),0)+
IFERROR(VLOOKUP(A57,'Centre WP14'!$A$7:$N$163,14,FALSE),0)+
IFERROR(VLOOKUP(A57,'Centre WR14'!$A$7:$N$160,14,FALSE),0)</f>
        <v>0.2</v>
      </c>
    </row>
    <row r="58" spans="1:14" collapsed="1" x14ac:dyDescent="0.2">
      <c r="A58" s="48" t="s">
        <v>133</v>
      </c>
      <c r="B58" s="49" t="s">
        <v>134</v>
      </c>
      <c r="C58" s="50">
        <f>SUM(C59:C61)</f>
        <v>0.7</v>
      </c>
      <c r="D58" s="50">
        <f t="shared" ref="D58:N58" si="12">SUM(D59:D61)</f>
        <v>1.1000000000000001</v>
      </c>
      <c r="E58" s="50">
        <f t="shared" si="12"/>
        <v>-1.1000000000000001</v>
      </c>
      <c r="F58" s="50">
        <f t="shared" si="12"/>
        <v>0</v>
      </c>
      <c r="G58" s="50">
        <f t="shared" si="12"/>
        <v>0</v>
      </c>
      <c r="H58" s="50">
        <f t="shared" si="12"/>
        <v>1</v>
      </c>
      <c r="I58" s="50">
        <f t="shared" si="12"/>
        <v>1</v>
      </c>
      <c r="J58" s="50">
        <f t="shared" si="12"/>
        <v>1</v>
      </c>
      <c r="K58" s="50">
        <f t="shared" si="12"/>
        <v>1</v>
      </c>
      <c r="L58" s="50">
        <f t="shared" si="12"/>
        <v>1</v>
      </c>
      <c r="M58" s="50">
        <f t="shared" si="12"/>
        <v>1</v>
      </c>
      <c r="N58" s="50">
        <f t="shared" si="12"/>
        <v>1</v>
      </c>
    </row>
    <row r="59" spans="1:14" hidden="1" outlineLevel="1" x14ac:dyDescent="0.2">
      <c r="A59" s="9" t="s">
        <v>327</v>
      </c>
      <c r="B59" s="1" t="s">
        <v>328</v>
      </c>
      <c r="C59" s="10">
        <f>IFERROR(VLOOKUP(A59,'Centre DW14'!$A$7:$N$160,3,FALSE),0)+
IFERROR(VLOOKUP(A59,'Centre WP14'!$A$7:$N$163,3,FALSE),0)+
IFERROR(VLOOKUP(A59,'Centre WR14'!$A$7:$N$160,3,FALSE),0)</f>
        <v>0</v>
      </c>
      <c r="D59" s="10">
        <f>IFERROR(VLOOKUP(A59,'Centre DW14'!$A$7:$N$160,4,FALSE),0)+
IFERROR(VLOOKUP(A59,'Centre WP14'!$A$7:$N$163,4,FALSE),0)+
IFERROR(VLOOKUP(A59,'Centre WR14'!$A$7:$N$160,4,FALSE),0)</f>
        <v>0</v>
      </c>
      <c r="E59" s="10">
        <f>IFERROR(VLOOKUP(A59,'Centre DW14'!$A$7:$N$160,5,FALSE),0)+
IFERROR(VLOOKUP(A59,'Centre WP14'!$A$7:$N$163,5,FALSE),0)+
IFERROR(VLOOKUP(A59,'Centre WR14'!$A$7:$N$160,5,FALSE),0)</f>
        <v>0</v>
      </c>
      <c r="F59" s="10">
        <f>IFERROR(VLOOKUP(A59,'Centre DW14'!$A$7:$N$160,6,FALSE),0)+
IFERROR(VLOOKUP(A59,'Centre WP14'!$A$7:$N$163,6,FALSE),0)+
IFERROR(VLOOKUP(A59,'Centre WR14'!$A$7:$N$160,6,FALSE),0)</f>
        <v>0</v>
      </c>
      <c r="G59" s="10">
        <f>IFERROR(VLOOKUP(A59,'Centre DW14'!$A$7:$N$160,7,FALSE),0)+
IFERROR(VLOOKUP(A59,'Centre WP14'!$A$7:$N$163,7,FALSE),0)+
IFERROR(VLOOKUP(A59,'Centre WR14'!$A$7:$N$160,7,FALSE),0)</f>
        <v>0</v>
      </c>
      <c r="H59" s="10">
        <f>IFERROR(VLOOKUP(A59,'Centre DW14'!$A$7:$N$160,8,FALSE),0)+
IFERROR(VLOOKUP(A59,'Centre WP14'!$A$7:$N$163,8,FALSE),0)+
IFERROR(VLOOKUP(A59,'Centre WR14'!$A$7:$N$160,8,FALSE),0)</f>
        <v>0</v>
      </c>
      <c r="I59" s="10">
        <f>IFERROR(VLOOKUP(A59,'Centre DW14'!$A$7:$N$160,9,FALSE),0)+
IFERROR(VLOOKUP(A59,'Centre WP14'!$A$7:$N$163,9,FALSE),0)+
IFERROR(VLOOKUP(A59,'Centre WR14'!$A$7:$N$160,9,FALSE),0)</f>
        <v>0</v>
      </c>
      <c r="J59" s="24">
        <f>IFERROR(VLOOKUP(A59,'Centre DW14'!$A$7:$N$160,10,FALSE),0)+
IFERROR(VLOOKUP(A59,'Centre WP14'!$A$7:$N$163,10,FALSE),0)+
IFERROR(VLOOKUP(A59,'Centre WR14'!$A$7:$N$160,10,FALSE),0)</f>
        <v>0</v>
      </c>
      <c r="K59" s="10">
        <f>IFERROR(VLOOKUP(A59,'Centre DW14'!$A$7:$N$160,11,FALSE),0)+
IFERROR(VLOOKUP(A59,'Centre WP14'!$A$7:$N$163,11,FALSE),0)+
IFERROR(VLOOKUP(A59,'Centre WR14'!$A$7:$N$160,11,FALSE),0)</f>
        <v>0</v>
      </c>
      <c r="L59" s="10">
        <f>IFERROR(VLOOKUP(A59,'Centre DW14'!$A$7:$N$160,12,FALSE),0)+
IFERROR(VLOOKUP(A59,'Centre WP14'!$A$7:$N$163,12,FALSE),0)+
IFERROR(VLOOKUP(A59,'Centre WR14'!$A$7:$N$160,12,FALSE),0)</f>
        <v>0</v>
      </c>
      <c r="M59" s="10">
        <f>IFERROR(VLOOKUP(A59,'Centre DW14'!$A$7:$N$160,13,FALSE),0)+
IFERROR(VLOOKUP(A59,'Centre WP14'!$A$7:$N$163,13,FALSE),0)+
IFERROR(VLOOKUP(A59,'Centre WR14'!$A$7:$N$160,13,FALSE),0)</f>
        <v>0</v>
      </c>
      <c r="N59" s="10">
        <f>IFERROR(VLOOKUP(A59,'Centre DW14'!$A$7:$N$160,14,FALSE),0)+
IFERROR(VLOOKUP(A59,'Centre WP14'!$A$7:$N$163,14,FALSE),0)+
IFERROR(VLOOKUP(A59,'Centre WR14'!$A$7:$N$160,14,FALSE),0)</f>
        <v>0</v>
      </c>
    </row>
    <row r="60" spans="1:14" hidden="1" outlineLevel="1" x14ac:dyDescent="0.2">
      <c r="A60" s="9" t="s">
        <v>329</v>
      </c>
      <c r="B60" s="1" t="s">
        <v>330</v>
      </c>
      <c r="C60" s="10">
        <f>IFERROR(VLOOKUP(A60,'Centre DW14'!$A$7:$N$160,3,FALSE),0)+
IFERROR(VLOOKUP(A60,'Centre WP14'!$A$7:$N$163,3,FALSE),0)+
IFERROR(VLOOKUP(A60,'Centre WR14'!$A$7:$N$160,3,FALSE),0)</f>
        <v>0</v>
      </c>
      <c r="D60" s="10">
        <f>IFERROR(VLOOKUP(A60,'Centre DW14'!$A$7:$N$160,4,FALSE),0)+
IFERROR(VLOOKUP(A60,'Centre WP14'!$A$7:$N$163,4,FALSE),0)+
IFERROR(VLOOKUP(A60,'Centre WR14'!$A$7:$N$160,4,FALSE),0)</f>
        <v>0</v>
      </c>
      <c r="E60" s="10">
        <f>IFERROR(VLOOKUP(A60,'Centre DW14'!$A$7:$N$160,5,FALSE),0)+
IFERROR(VLOOKUP(A60,'Centre WP14'!$A$7:$N$163,5,FALSE),0)+
IFERROR(VLOOKUP(A60,'Centre WR14'!$A$7:$N$160,5,FALSE),0)</f>
        <v>0</v>
      </c>
      <c r="F60" s="10">
        <f>IFERROR(VLOOKUP(A60,'Centre DW14'!$A$7:$N$160,6,FALSE),0)+
IFERROR(VLOOKUP(A60,'Centre WP14'!$A$7:$N$163,6,FALSE),0)+
IFERROR(VLOOKUP(A60,'Centre WR14'!$A$7:$N$160,6,FALSE),0)</f>
        <v>0</v>
      </c>
      <c r="G60" s="10">
        <f>IFERROR(VLOOKUP(A60,'Centre DW14'!$A$7:$N$160,7,FALSE),0)+
IFERROR(VLOOKUP(A60,'Centre WP14'!$A$7:$N$163,7,FALSE),0)+
IFERROR(VLOOKUP(A60,'Centre WR14'!$A$7:$N$160,7,FALSE),0)</f>
        <v>0</v>
      </c>
      <c r="H60" s="10">
        <f>IFERROR(VLOOKUP(A60,'Centre DW14'!$A$7:$N$160,8,FALSE),0)+
IFERROR(VLOOKUP(A60,'Centre WP14'!$A$7:$N$163,8,FALSE),0)+
IFERROR(VLOOKUP(A60,'Centre WR14'!$A$7:$N$160,8,FALSE),0)</f>
        <v>0</v>
      </c>
      <c r="I60" s="10">
        <f>IFERROR(VLOOKUP(A60,'Centre DW14'!$A$7:$N$160,9,FALSE),0)+
IFERROR(VLOOKUP(A60,'Centre WP14'!$A$7:$N$163,9,FALSE),0)+
IFERROR(VLOOKUP(A60,'Centre WR14'!$A$7:$N$160,9,FALSE),0)</f>
        <v>0</v>
      </c>
      <c r="J60" s="24">
        <f>IFERROR(VLOOKUP(A60,'Centre DW14'!$A$7:$N$160,10,FALSE),0)+
IFERROR(VLOOKUP(A60,'Centre WP14'!$A$7:$N$163,10,FALSE),0)+
IFERROR(VLOOKUP(A60,'Centre WR14'!$A$7:$N$160,10,FALSE),0)</f>
        <v>0</v>
      </c>
      <c r="K60" s="10">
        <f>IFERROR(VLOOKUP(A60,'Centre DW14'!$A$7:$N$160,11,FALSE),0)+
IFERROR(VLOOKUP(A60,'Centre WP14'!$A$7:$N$163,11,FALSE),0)+
IFERROR(VLOOKUP(A60,'Centre WR14'!$A$7:$N$160,11,FALSE),0)</f>
        <v>0</v>
      </c>
      <c r="L60" s="10">
        <f>IFERROR(VLOOKUP(A60,'Centre DW14'!$A$7:$N$160,12,FALSE),0)+
IFERROR(VLOOKUP(A60,'Centre WP14'!$A$7:$N$163,12,FALSE),0)+
IFERROR(VLOOKUP(A60,'Centre WR14'!$A$7:$N$160,12,FALSE),0)</f>
        <v>0</v>
      </c>
      <c r="M60" s="10">
        <f>IFERROR(VLOOKUP(A60,'Centre DW14'!$A$7:$N$160,13,FALSE),0)+
IFERROR(VLOOKUP(A60,'Centre WP14'!$A$7:$N$163,13,FALSE),0)+
IFERROR(VLOOKUP(A60,'Centre WR14'!$A$7:$N$160,13,FALSE),0)</f>
        <v>0</v>
      </c>
      <c r="N60" s="10">
        <f>IFERROR(VLOOKUP(A60,'Centre DW14'!$A$7:$N$160,14,FALSE),0)+
IFERROR(VLOOKUP(A60,'Centre WP14'!$A$7:$N$163,14,FALSE),0)+
IFERROR(VLOOKUP(A60,'Centre WR14'!$A$7:$N$160,14,FALSE),0)</f>
        <v>0</v>
      </c>
    </row>
    <row r="61" spans="1:14" hidden="1" outlineLevel="1" x14ac:dyDescent="0.2">
      <c r="A61" s="9" t="s">
        <v>335</v>
      </c>
      <c r="B61" s="1" t="s">
        <v>336</v>
      </c>
      <c r="C61" s="10">
        <f>IFERROR(VLOOKUP(A61,'Centre DW14'!$A$7:$N$160,3,FALSE),0)+
IFERROR(VLOOKUP(A61,'Centre WP14'!$A$7:$N$163,3,FALSE),0)+
IFERROR(VLOOKUP(A61,'Centre WR14'!$A$7:$N$160,3,FALSE),0)</f>
        <v>0.7</v>
      </c>
      <c r="D61" s="10">
        <f>IFERROR(VLOOKUP(A61,'Centre DW14'!$A$7:$N$160,4,FALSE),0)+
IFERROR(VLOOKUP(A61,'Centre WP14'!$A$7:$N$163,4,FALSE),0)+
IFERROR(VLOOKUP(A61,'Centre WR14'!$A$7:$N$160,4,FALSE),0)</f>
        <v>1.1000000000000001</v>
      </c>
      <c r="E61" s="10">
        <f>IFERROR(VLOOKUP(A61,'Centre DW14'!$A$7:$N$160,5,FALSE),0)+
IFERROR(VLOOKUP(A61,'Centre WP14'!$A$7:$N$163,5,FALSE),0)+
IFERROR(VLOOKUP(A61,'Centre WR14'!$A$7:$N$160,5,FALSE),0)</f>
        <v>-1.1000000000000001</v>
      </c>
      <c r="F61" s="10">
        <f>IFERROR(VLOOKUP(A61,'Centre DW14'!$A$7:$N$160,6,FALSE),0)+
IFERROR(VLOOKUP(A61,'Centre WP14'!$A$7:$N$163,6,FALSE),0)+
IFERROR(VLOOKUP(A61,'Centre WR14'!$A$7:$N$160,6,FALSE),0)</f>
        <v>0</v>
      </c>
      <c r="G61" s="10">
        <f>IFERROR(VLOOKUP(A61,'Centre DW14'!$A$7:$N$160,7,FALSE),0)+
IFERROR(VLOOKUP(A61,'Centre WP14'!$A$7:$N$163,7,FALSE),0)+
IFERROR(VLOOKUP(A61,'Centre WR14'!$A$7:$N$160,7,FALSE),0)</f>
        <v>0</v>
      </c>
      <c r="H61" s="10">
        <f>IFERROR(VLOOKUP(A61,'Centre DW14'!$A$7:$N$160,8,FALSE),0)+
IFERROR(VLOOKUP(A61,'Centre WP14'!$A$7:$N$163,8,FALSE),0)+
IFERROR(VLOOKUP(A61,'Centre WR14'!$A$7:$N$160,8,FALSE),0)</f>
        <v>1</v>
      </c>
      <c r="I61" s="10">
        <f>IFERROR(VLOOKUP(A61,'Centre DW14'!$A$7:$N$160,9,FALSE),0)+
IFERROR(VLOOKUP(A61,'Centre WP14'!$A$7:$N$163,9,FALSE),0)+
IFERROR(VLOOKUP(A61,'Centre WR14'!$A$7:$N$160,9,FALSE),0)</f>
        <v>1</v>
      </c>
      <c r="J61" s="24">
        <f>IFERROR(VLOOKUP(A61,'Centre DW14'!$A$7:$N$160,10,FALSE),0)+
IFERROR(VLOOKUP(A61,'Centre WP14'!$A$7:$N$163,10,FALSE),0)+
IFERROR(VLOOKUP(A61,'Centre WR14'!$A$7:$N$160,10,FALSE),0)</f>
        <v>1</v>
      </c>
      <c r="K61" s="10">
        <f>IFERROR(VLOOKUP(A61,'Centre DW14'!$A$7:$N$160,11,FALSE),0)+
IFERROR(VLOOKUP(A61,'Centre WP14'!$A$7:$N$163,11,FALSE),0)+
IFERROR(VLOOKUP(A61,'Centre WR14'!$A$7:$N$160,11,FALSE),0)</f>
        <v>1</v>
      </c>
      <c r="L61" s="10">
        <f>IFERROR(VLOOKUP(A61,'Centre DW14'!$A$7:$N$160,12,FALSE),0)+
IFERROR(VLOOKUP(A61,'Centre WP14'!$A$7:$N$163,12,FALSE),0)+
IFERROR(VLOOKUP(A61,'Centre WR14'!$A$7:$N$160,12,FALSE),0)</f>
        <v>1</v>
      </c>
      <c r="M61" s="10">
        <f>IFERROR(VLOOKUP(A61,'Centre DW14'!$A$7:$N$160,13,FALSE),0)+
IFERROR(VLOOKUP(A61,'Centre WP14'!$A$7:$N$163,13,FALSE),0)+
IFERROR(VLOOKUP(A61,'Centre WR14'!$A$7:$N$160,13,FALSE),0)</f>
        <v>1</v>
      </c>
      <c r="N61" s="10">
        <f>IFERROR(VLOOKUP(A61,'Centre DW14'!$A$7:$N$160,14,FALSE),0)+
IFERROR(VLOOKUP(A61,'Centre WP14'!$A$7:$N$163,14,FALSE),0)+
IFERROR(VLOOKUP(A61,'Centre WR14'!$A$7:$N$160,14,FALSE),0)</f>
        <v>1</v>
      </c>
    </row>
    <row r="62" spans="1:14" collapsed="1" x14ac:dyDescent="0.2">
      <c r="A62" s="48" t="s">
        <v>137</v>
      </c>
      <c r="B62" s="49" t="s">
        <v>138</v>
      </c>
      <c r="C62" s="50">
        <f>IFERROR(VLOOKUP(A62,'Centre DW14'!$A$7:$N$160,3,FALSE),0)+
IFERROR(VLOOKUP(A62,'Centre WP14'!$A$7:$N$163,3,FALSE),0)+
IFERROR(VLOOKUP(A62,'Centre WR14'!$A$7:$N$160,3,FALSE),0)</f>
        <v>0</v>
      </c>
      <c r="D62" s="50">
        <f>IFERROR(VLOOKUP(A62,'Centre DW14'!$A$7:$N$160,4,FALSE),0)+
IFERROR(VLOOKUP(A62,'Centre WP14'!$A$7:$N$163,4,FALSE),0)+
IFERROR(VLOOKUP(A62,'Centre WR14'!$A$7:$N$160,4,FALSE),0)</f>
        <v>0</v>
      </c>
      <c r="E62" s="50">
        <f>IFERROR(VLOOKUP(A62,'Centre DW14'!$A$7:$N$160,5,FALSE),0)+
IFERROR(VLOOKUP(A62,'Centre WP14'!$A$7:$N$163,5,FALSE),0)+
IFERROR(VLOOKUP(A62,'Centre WR14'!$A$7:$N$160,5,FALSE),0)</f>
        <v>0</v>
      </c>
      <c r="F62" s="50">
        <f>IFERROR(VLOOKUP(A62,'Centre DW14'!$A$7:$N$160,6,FALSE),0)+
IFERROR(VLOOKUP(A62,'Centre WP14'!$A$7:$N$163,6,FALSE),0)+
IFERROR(VLOOKUP(A62,'Centre WR14'!$A$7:$N$160,6,FALSE),0)</f>
        <v>0</v>
      </c>
      <c r="G62" s="50">
        <f>IFERROR(VLOOKUP(A62,'Centre DW14'!$A$7:$N$160,7,FALSE),0)+
IFERROR(VLOOKUP(A62,'Centre WP14'!$A$7:$N$163,7,FALSE),0)+
IFERROR(VLOOKUP(A62,'Centre WR14'!$A$7:$N$160,7,FALSE),0)</f>
        <v>0</v>
      </c>
      <c r="H62" s="50">
        <f>IFERROR(VLOOKUP(A62,'Centre DW14'!$A$7:$N$160,8,FALSE),0)+
IFERROR(VLOOKUP(A62,'Centre WP14'!$A$7:$N$163,8,FALSE),0)+
IFERROR(VLOOKUP(A62,'Centre WR14'!$A$7:$N$160,8,FALSE),0)</f>
        <v>0</v>
      </c>
      <c r="I62" s="50">
        <f>IFERROR(VLOOKUP(A62,'Centre DW14'!$A$7:$N$160,9,FALSE),0)+
IFERROR(VLOOKUP(A62,'Centre WP14'!$A$7:$N$163,9,FALSE),0)+
IFERROR(VLOOKUP(A62,'Centre WR14'!$A$7:$N$160,9,FALSE),0)</f>
        <v>0</v>
      </c>
      <c r="J62" s="50">
        <f>IFERROR(VLOOKUP(A62,'Centre DW14'!$A$7:$N$160,10,FALSE),0)+
IFERROR(VLOOKUP(A62,'Centre WP14'!$A$7:$N$163,10,FALSE),0)+
IFERROR(VLOOKUP(A62,'Centre WR14'!$A$7:$N$160,10,FALSE),0)</f>
        <v>0</v>
      </c>
      <c r="K62" s="50">
        <f>IFERROR(VLOOKUP(A62,'Centre DW14'!$A$7:$N$160,11,FALSE),0)+
IFERROR(VLOOKUP(A62,'Centre WP14'!$A$7:$N$163,11,FALSE),0)+
IFERROR(VLOOKUP(A62,'Centre WR14'!$A$7:$N$160,11,FALSE),0)</f>
        <v>0</v>
      </c>
      <c r="L62" s="50">
        <f>IFERROR(VLOOKUP(A62,'Centre DW14'!$A$7:$N$160,12,FALSE),0)+
IFERROR(VLOOKUP(A62,'Centre WP14'!$A$7:$N$163,12,FALSE),0)+
IFERROR(VLOOKUP(A62,'Centre WR14'!$A$7:$N$160,12,FALSE),0)</f>
        <v>0</v>
      </c>
      <c r="M62" s="50">
        <f>IFERROR(VLOOKUP(A62,'Centre DW14'!$A$7:$N$160,13,FALSE),0)+
IFERROR(VLOOKUP(A62,'Centre WP14'!$A$7:$N$163,13,FALSE),0)+
IFERROR(VLOOKUP(A62,'Centre WR14'!$A$7:$N$160,13,FALSE),0)</f>
        <v>0</v>
      </c>
      <c r="N62" s="50">
        <f>IFERROR(VLOOKUP(A62,'Centre DW14'!$A$7:$N$160,14,FALSE),0)+
IFERROR(VLOOKUP(A62,'Centre WP14'!$A$7:$N$163,14,FALSE),0)+
IFERROR(VLOOKUP(A62,'Centre WR14'!$A$7:$N$160,14,FALSE),0)</f>
        <v>0</v>
      </c>
    </row>
    <row r="63" spans="1:14" x14ac:dyDescent="0.2">
      <c r="A63" s="48" t="s">
        <v>139</v>
      </c>
      <c r="B63" s="49" t="s">
        <v>140</v>
      </c>
      <c r="C63" s="50">
        <f>IFERROR(VLOOKUP(A63,'Centre DW14'!$A$7:$N$160,3,FALSE),0)+
IFERROR(VLOOKUP(A63,'Centre WP14'!$A$7:$N$163,3,FALSE),0)+
IFERROR(VLOOKUP(A63,'Centre WR14'!$A$7:$N$160,3,FALSE),0)</f>
        <v>0</v>
      </c>
      <c r="D63" s="50">
        <f>IFERROR(VLOOKUP(A63,'Centre DW14'!$A$7:$N$160,4,FALSE),0)+
IFERROR(VLOOKUP(A63,'Centre WP14'!$A$7:$N$163,4,FALSE),0)+
IFERROR(VLOOKUP(A63,'Centre WR14'!$A$7:$N$160,4,FALSE),0)</f>
        <v>0</v>
      </c>
      <c r="E63" s="50">
        <f>IFERROR(VLOOKUP(A63,'Centre DW14'!$A$7:$N$160,5,FALSE),0)+
IFERROR(VLOOKUP(A63,'Centre WP14'!$A$7:$N$163,5,FALSE),0)+
IFERROR(VLOOKUP(A63,'Centre WR14'!$A$7:$N$160,5,FALSE),0)</f>
        <v>0</v>
      </c>
      <c r="F63" s="50">
        <f>IFERROR(VLOOKUP(A63,'Centre DW14'!$A$7:$N$160,6,FALSE),0)+
IFERROR(VLOOKUP(A63,'Centre WP14'!$A$7:$N$163,6,FALSE),0)+
IFERROR(VLOOKUP(A63,'Centre WR14'!$A$7:$N$160,6,FALSE),0)</f>
        <v>0</v>
      </c>
      <c r="G63" s="50">
        <f>IFERROR(VLOOKUP(A63,'Centre DW14'!$A$7:$N$160,7,FALSE),0)+
IFERROR(VLOOKUP(A63,'Centre WP14'!$A$7:$N$163,7,FALSE),0)+
IFERROR(VLOOKUP(A63,'Centre WR14'!$A$7:$N$160,7,FALSE),0)</f>
        <v>0</v>
      </c>
      <c r="H63" s="50">
        <f>IFERROR(VLOOKUP(A63,'Centre DW14'!$A$7:$N$160,8,FALSE),0)+
IFERROR(VLOOKUP(A63,'Centre WP14'!$A$7:$N$163,8,FALSE),0)+
IFERROR(VLOOKUP(A63,'Centre WR14'!$A$7:$N$160,8,FALSE),0)</f>
        <v>0</v>
      </c>
      <c r="I63" s="50">
        <f>IFERROR(VLOOKUP(A63,'Centre DW14'!$A$7:$N$160,9,FALSE),0)+
IFERROR(VLOOKUP(A63,'Centre WP14'!$A$7:$N$163,9,FALSE),0)+
IFERROR(VLOOKUP(A63,'Centre WR14'!$A$7:$N$160,9,FALSE),0)</f>
        <v>0</v>
      </c>
      <c r="J63" s="50">
        <f>IFERROR(VLOOKUP(A63,'Centre DW14'!$A$7:$N$160,10,FALSE),0)+
IFERROR(VLOOKUP(A63,'Centre WP14'!$A$7:$N$163,10,FALSE),0)+
IFERROR(VLOOKUP(A63,'Centre WR14'!$A$7:$N$160,10,FALSE),0)</f>
        <v>0</v>
      </c>
      <c r="K63" s="50">
        <f>IFERROR(VLOOKUP(A63,'Centre DW14'!$A$7:$N$160,11,FALSE),0)+
IFERROR(VLOOKUP(A63,'Centre WP14'!$A$7:$N$163,11,FALSE),0)+
IFERROR(VLOOKUP(A63,'Centre WR14'!$A$7:$N$160,11,FALSE),0)</f>
        <v>0</v>
      </c>
      <c r="L63" s="50">
        <f>IFERROR(VLOOKUP(A63,'Centre DW14'!$A$7:$N$160,12,FALSE),0)+
IFERROR(VLOOKUP(A63,'Centre WP14'!$A$7:$N$163,12,FALSE),0)+
IFERROR(VLOOKUP(A63,'Centre WR14'!$A$7:$N$160,12,FALSE),0)</f>
        <v>0</v>
      </c>
      <c r="M63" s="50">
        <f>IFERROR(VLOOKUP(A63,'Centre DW14'!$A$7:$N$160,13,FALSE),0)+
IFERROR(VLOOKUP(A63,'Centre WP14'!$A$7:$N$163,13,FALSE),0)+
IFERROR(VLOOKUP(A63,'Centre WR14'!$A$7:$N$160,13,FALSE),0)</f>
        <v>0</v>
      </c>
      <c r="N63" s="50">
        <f>IFERROR(VLOOKUP(A63,'Centre DW14'!$A$7:$N$160,14,FALSE),0)+
IFERROR(VLOOKUP(A63,'Centre WP14'!$A$7:$N$163,14,FALSE),0)+
IFERROR(VLOOKUP(A63,'Centre WR14'!$A$7:$N$160,14,FALSE),0)</f>
        <v>0</v>
      </c>
    </row>
    <row r="64" spans="1:14" x14ac:dyDescent="0.2">
      <c r="A64" s="48" t="s">
        <v>141</v>
      </c>
      <c r="B64" s="49" t="s">
        <v>142</v>
      </c>
      <c r="C64" s="50">
        <f>IFERROR(VLOOKUP(A64,'Centre DW14'!$A$7:$N$160,3,FALSE),0)+
IFERROR(VLOOKUP(A64,'Centre WP14'!$A$7:$N$163,3,FALSE),0)+
IFERROR(VLOOKUP(A64,'Centre WR14'!$A$7:$N$160,3,FALSE),0)</f>
        <v>0</v>
      </c>
      <c r="D64" s="50">
        <f>IFERROR(VLOOKUP(A64,'Centre DW14'!$A$7:$N$160,4,FALSE),0)+
IFERROR(VLOOKUP(A64,'Centre WP14'!$A$7:$N$163,4,FALSE),0)+
IFERROR(VLOOKUP(A64,'Centre WR14'!$A$7:$N$160,4,FALSE),0)</f>
        <v>0</v>
      </c>
      <c r="E64" s="50">
        <f>IFERROR(VLOOKUP(A64,'Centre DW14'!$A$7:$N$160,5,FALSE),0)+
IFERROR(VLOOKUP(A64,'Centre WP14'!$A$7:$N$163,5,FALSE),0)+
IFERROR(VLOOKUP(A64,'Centre WR14'!$A$7:$N$160,5,FALSE),0)</f>
        <v>0</v>
      </c>
      <c r="F64" s="50">
        <f>IFERROR(VLOOKUP(A64,'Centre DW14'!$A$7:$N$160,6,FALSE),0)+
IFERROR(VLOOKUP(A64,'Centre WP14'!$A$7:$N$163,6,FALSE),0)+
IFERROR(VLOOKUP(A64,'Centre WR14'!$A$7:$N$160,6,FALSE),0)</f>
        <v>0</v>
      </c>
      <c r="G64" s="50">
        <f>IFERROR(VLOOKUP(A64,'Centre DW14'!$A$7:$N$160,7,FALSE),0)+
IFERROR(VLOOKUP(A64,'Centre WP14'!$A$7:$N$163,7,FALSE),0)+
IFERROR(VLOOKUP(A64,'Centre WR14'!$A$7:$N$160,7,FALSE),0)</f>
        <v>0</v>
      </c>
      <c r="H64" s="50">
        <f>IFERROR(VLOOKUP(A64,'Centre DW14'!$A$7:$N$160,8,FALSE),0)+
IFERROR(VLOOKUP(A64,'Centre WP14'!$A$7:$N$163,8,FALSE),0)+
IFERROR(VLOOKUP(A64,'Centre WR14'!$A$7:$N$160,8,FALSE),0)</f>
        <v>0</v>
      </c>
      <c r="I64" s="50">
        <f>IFERROR(VLOOKUP(A64,'Centre DW14'!$A$7:$N$160,9,FALSE),0)+
IFERROR(VLOOKUP(A64,'Centre WP14'!$A$7:$N$163,9,FALSE),0)+
IFERROR(VLOOKUP(A64,'Centre WR14'!$A$7:$N$160,9,FALSE),0)</f>
        <v>0</v>
      </c>
      <c r="J64" s="50">
        <f>IFERROR(VLOOKUP(A64,'Centre DW14'!$A$7:$N$160,10,FALSE),0)+
IFERROR(VLOOKUP(A64,'Centre WP14'!$A$7:$N$163,10,FALSE),0)+
IFERROR(VLOOKUP(A64,'Centre WR14'!$A$7:$N$160,10,FALSE),0)</f>
        <v>0</v>
      </c>
      <c r="K64" s="50">
        <f>IFERROR(VLOOKUP(A64,'Centre DW14'!$A$7:$N$160,11,FALSE),0)+
IFERROR(VLOOKUP(A64,'Centre WP14'!$A$7:$N$163,11,FALSE),0)+
IFERROR(VLOOKUP(A64,'Centre WR14'!$A$7:$N$160,11,FALSE),0)</f>
        <v>0</v>
      </c>
      <c r="L64" s="50">
        <f>IFERROR(VLOOKUP(A64,'Centre DW14'!$A$7:$N$160,12,FALSE),0)+
IFERROR(VLOOKUP(A64,'Centre WP14'!$A$7:$N$163,12,FALSE),0)+
IFERROR(VLOOKUP(A64,'Centre WR14'!$A$7:$N$160,12,FALSE),0)</f>
        <v>0</v>
      </c>
      <c r="M64" s="50">
        <f>IFERROR(VLOOKUP(A64,'Centre DW14'!$A$7:$N$160,13,FALSE),0)+
IFERROR(VLOOKUP(A64,'Centre WP14'!$A$7:$N$163,13,FALSE),0)+
IFERROR(VLOOKUP(A64,'Centre WR14'!$A$7:$N$160,13,FALSE),0)</f>
        <v>0</v>
      </c>
      <c r="N64" s="50">
        <f>IFERROR(VLOOKUP(A64,'Centre DW14'!$A$7:$N$160,14,FALSE),0)+
IFERROR(VLOOKUP(A64,'Centre WP14'!$A$7:$N$163,14,FALSE),0)+
IFERROR(VLOOKUP(A64,'Centre WR14'!$A$7:$N$160,14,FALSE),0)</f>
        <v>0</v>
      </c>
    </row>
    <row r="65" spans="1:14" x14ac:dyDescent="0.2">
      <c r="A65" s="48" t="s">
        <v>143</v>
      </c>
      <c r="B65" s="49" t="s">
        <v>144</v>
      </c>
      <c r="C65" s="50">
        <f>SUM(C66:C72)</f>
        <v>19.600000000000001</v>
      </c>
      <c r="D65" s="50">
        <f t="shared" ref="D65:N65" si="13">SUM(D66:D72)</f>
        <v>19.600000000000001</v>
      </c>
      <c r="E65" s="50">
        <f t="shared" si="13"/>
        <v>19.600000000000001</v>
      </c>
      <c r="F65" s="50">
        <f t="shared" si="13"/>
        <v>19.600000000000001</v>
      </c>
      <c r="G65" s="50">
        <f t="shared" si="13"/>
        <v>19.600000000000001</v>
      </c>
      <c r="H65" s="50">
        <f t="shared" si="13"/>
        <v>19.600000000000001</v>
      </c>
      <c r="I65" s="50">
        <f t="shared" si="13"/>
        <v>20.299999999999997</v>
      </c>
      <c r="J65" s="50">
        <f t="shared" si="13"/>
        <v>19.600000000000001</v>
      </c>
      <c r="K65" s="50">
        <f t="shared" si="13"/>
        <v>19.600000000000001</v>
      </c>
      <c r="L65" s="50">
        <f t="shared" si="13"/>
        <v>19.8</v>
      </c>
      <c r="M65" s="50">
        <f t="shared" si="13"/>
        <v>20</v>
      </c>
      <c r="N65" s="50">
        <f t="shared" si="13"/>
        <v>19.8</v>
      </c>
    </row>
    <row r="66" spans="1:14" hidden="1" outlineLevel="1" x14ac:dyDescent="0.2">
      <c r="A66" s="9" t="s">
        <v>145</v>
      </c>
      <c r="B66" s="1" t="s">
        <v>146</v>
      </c>
      <c r="C66" s="10">
        <f>IFERROR(VLOOKUP(A66,'Centre DW14'!$A$7:$N$160,3,FALSE),0)+
IFERROR(VLOOKUP(A66,'Centre WP14'!$A$7:$N$163,3,FALSE),0)+
IFERROR(VLOOKUP(A66,'Centre WR14'!$A$7:$N$160,3,FALSE),0)</f>
        <v>14</v>
      </c>
      <c r="D66" s="10">
        <f>IFERROR(VLOOKUP(A66,'Centre DW14'!$A$7:$N$160,4,FALSE),0)+
IFERROR(VLOOKUP(A66,'Centre WP14'!$A$7:$N$163,4,FALSE),0)+
IFERROR(VLOOKUP(A66,'Centre WR14'!$A$7:$N$160,4,FALSE),0)</f>
        <v>14</v>
      </c>
      <c r="E66" s="10">
        <f>IFERROR(VLOOKUP(A66,'Centre DW14'!$A$7:$N$160,5,FALSE),0)+
IFERROR(VLOOKUP(A66,'Centre WP14'!$A$7:$N$163,5,FALSE),0)+
IFERROR(VLOOKUP(A66,'Centre WR14'!$A$7:$N$160,5,FALSE),0)</f>
        <v>14</v>
      </c>
      <c r="F66" s="10">
        <f>IFERROR(VLOOKUP(A66,'Centre DW14'!$A$7:$N$160,6,FALSE),0)+
IFERROR(VLOOKUP(A66,'Centre WP14'!$A$7:$N$163,6,FALSE),0)+
IFERROR(VLOOKUP(A66,'Centre WR14'!$A$7:$N$160,6,FALSE),0)</f>
        <v>14</v>
      </c>
      <c r="G66" s="10">
        <f>IFERROR(VLOOKUP(A66,'Centre DW14'!$A$7:$N$160,7,FALSE),0)+
IFERROR(VLOOKUP(A66,'Centre WP14'!$A$7:$N$163,7,FALSE),0)+
IFERROR(VLOOKUP(A66,'Centre WR14'!$A$7:$N$160,7,FALSE),0)</f>
        <v>14</v>
      </c>
      <c r="H66" s="10">
        <f>IFERROR(VLOOKUP(A66,'Centre DW14'!$A$7:$N$160,8,FALSE),0)+
IFERROR(VLOOKUP(A66,'Centre WP14'!$A$7:$N$163,8,FALSE),0)+
IFERROR(VLOOKUP(A66,'Centre WR14'!$A$7:$N$160,8,FALSE),0)</f>
        <v>14</v>
      </c>
      <c r="I66" s="10">
        <f>IFERROR(VLOOKUP(A66,'Centre DW14'!$A$7:$N$160,9,FALSE),0)+
IFERROR(VLOOKUP(A66,'Centre WP14'!$A$7:$N$163,9,FALSE),0)+
IFERROR(VLOOKUP(A66,'Centre WR14'!$A$7:$N$160,9,FALSE),0)</f>
        <v>14.7</v>
      </c>
      <c r="J66" s="24">
        <f>IFERROR(VLOOKUP(A66,'Centre DW14'!$A$7:$N$160,10,FALSE),0)+
IFERROR(VLOOKUP(A66,'Centre WP14'!$A$7:$N$163,10,FALSE),0)+
IFERROR(VLOOKUP(A66,'Centre WR14'!$A$7:$N$160,10,FALSE),0)</f>
        <v>14</v>
      </c>
      <c r="K66" s="10">
        <f>IFERROR(VLOOKUP(A66,'Centre DW14'!$A$7:$N$160,11,FALSE),0)+
IFERROR(VLOOKUP(A66,'Centre WP14'!$A$7:$N$163,11,FALSE),0)+
IFERROR(VLOOKUP(A66,'Centre WR14'!$A$7:$N$160,11,FALSE),0)</f>
        <v>14</v>
      </c>
      <c r="L66" s="10">
        <f>IFERROR(VLOOKUP(A66,'Centre DW14'!$A$7:$N$160,12,FALSE),0)+
IFERROR(VLOOKUP(A66,'Centre WP14'!$A$7:$N$163,12,FALSE),0)+
IFERROR(VLOOKUP(A66,'Centre WR14'!$A$7:$N$160,12,FALSE),0)</f>
        <v>14</v>
      </c>
      <c r="M66" s="10">
        <f>IFERROR(VLOOKUP(A66,'Centre DW14'!$A$7:$N$160,13,FALSE),0)+
IFERROR(VLOOKUP(A66,'Centre WP14'!$A$7:$N$163,13,FALSE),0)+
IFERROR(VLOOKUP(A66,'Centre WR14'!$A$7:$N$160,13,FALSE),0)</f>
        <v>14</v>
      </c>
      <c r="N66" s="10">
        <f>IFERROR(VLOOKUP(A66,'Centre DW14'!$A$7:$N$160,14,FALSE),0)+
IFERROR(VLOOKUP(A66,'Centre WP14'!$A$7:$N$163,14,FALSE),0)+
IFERROR(VLOOKUP(A66,'Centre WR14'!$A$7:$N$160,14,FALSE),0)</f>
        <v>14</v>
      </c>
    </row>
    <row r="67" spans="1:14" hidden="1" outlineLevel="1" x14ac:dyDescent="0.2">
      <c r="A67" s="9" t="s">
        <v>147</v>
      </c>
      <c r="B67" s="1" t="s">
        <v>148</v>
      </c>
      <c r="C67" s="10">
        <f>IFERROR(VLOOKUP(A67,'Centre DW14'!$A$7:$N$160,3,FALSE),0)+
IFERROR(VLOOKUP(A67,'Centre WP14'!$A$7:$N$163,3,FALSE),0)+
IFERROR(VLOOKUP(A67,'Centre WR14'!$A$7:$N$160,3,FALSE),0)</f>
        <v>0</v>
      </c>
      <c r="D67" s="10">
        <f>IFERROR(VLOOKUP(A67,'Centre DW14'!$A$7:$N$160,4,FALSE),0)+
IFERROR(VLOOKUP(A67,'Centre WP14'!$A$7:$N$163,4,FALSE),0)+
IFERROR(VLOOKUP(A67,'Centre WR14'!$A$7:$N$160,4,FALSE),0)</f>
        <v>0</v>
      </c>
      <c r="E67" s="10">
        <f>IFERROR(VLOOKUP(A67,'Centre DW14'!$A$7:$N$160,5,FALSE),0)+
IFERROR(VLOOKUP(A67,'Centre WP14'!$A$7:$N$163,5,FALSE),0)+
IFERROR(VLOOKUP(A67,'Centre WR14'!$A$7:$N$160,5,FALSE),0)</f>
        <v>0</v>
      </c>
      <c r="F67" s="10">
        <f>IFERROR(VLOOKUP(A67,'Centre DW14'!$A$7:$N$160,6,FALSE),0)+
IFERROR(VLOOKUP(A67,'Centre WP14'!$A$7:$N$163,6,FALSE),0)+
IFERROR(VLOOKUP(A67,'Centre WR14'!$A$7:$N$160,6,FALSE),0)</f>
        <v>0</v>
      </c>
      <c r="G67" s="10">
        <f>IFERROR(VLOOKUP(A67,'Centre DW14'!$A$7:$N$160,7,FALSE),0)+
IFERROR(VLOOKUP(A67,'Centre WP14'!$A$7:$N$163,7,FALSE),0)+
IFERROR(VLOOKUP(A67,'Centre WR14'!$A$7:$N$160,7,FALSE),0)</f>
        <v>0</v>
      </c>
      <c r="H67" s="10">
        <f>IFERROR(VLOOKUP(A67,'Centre DW14'!$A$7:$N$160,8,FALSE),0)+
IFERROR(VLOOKUP(A67,'Centre WP14'!$A$7:$N$163,8,FALSE),0)+
IFERROR(VLOOKUP(A67,'Centre WR14'!$A$7:$N$160,8,FALSE),0)</f>
        <v>0</v>
      </c>
      <c r="I67" s="10">
        <f>IFERROR(VLOOKUP(A67,'Centre DW14'!$A$7:$N$160,9,FALSE),0)+
IFERROR(VLOOKUP(A67,'Centre WP14'!$A$7:$N$163,9,FALSE),0)+
IFERROR(VLOOKUP(A67,'Centre WR14'!$A$7:$N$160,9,FALSE),0)</f>
        <v>0</v>
      </c>
      <c r="J67" s="24">
        <f>IFERROR(VLOOKUP(A67,'Centre DW14'!$A$7:$N$160,10,FALSE),0)+
IFERROR(VLOOKUP(A67,'Centre WP14'!$A$7:$N$163,10,FALSE),0)+
IFERROR(VLOOKUP(A67,'Centre WR14'!$A$7:$N$160,10,FALSE),0)</f>
        <v>0</v>
      </c>
      <c r="K67" s="10">
        <f>IFERROR(VLOOKUP(A67,'Centre DW14'!$A$7:$N$160,11,FALSE),0)+
IFERROR(VLOOKUP(A67,'Centre WP14'!$A$7:$N$163,11,FALSE),0)+
IFERROR(VLOOKUP(A67,'Centre WR14'!$A$7:$N$160,11,FALSE),0)</f>
        <v>0</v>
      </c>
      <c r="L67" s="10">
        <f>IFERROR(VLOOKUP(A67,'Centre DW14'!$A$7:$N$160,12,FALSE),0)+
IFERROR(VLOOKUP(A67,'Centre WP14'!$A$7:$N$163,12,FALSE),0)+
IFERROR(VLOOKUP(A67,'Centre WR14'!$A$7:$N$160,12,FALSE),0)</f>
        <v>0</v>
      </c>
      <c r="M67" s="10">
        <f>IFERROR(VLOOKUP(A67,'Centre DW14'!$A$7:$N$160,13,FALSE),0)+
IFERROR(VLOOKUP(A67,'Centre WP14'!$A$7:$N$163,13,FALSE),0)+
IFERROR(VLOOKUP(A67,'Centre WR14'!$A$7:$N$160,13,FALSE),0)</f>
        <v>0.2</v>
      </c>
      <c r="N67" s="10">
        <f>IFERROR(VLOOKUP(A67,'Centre DW14'!$A$7:$N$160,14,FALSE),0)+
IFERROR(VLOOKUP(A67,'Centre WP14'!$A$7:$N$163,14,FALSE),0)+
IFERROR(VLOOKUP(A67,'Centre WR14'!$A$7:$N$160,14,FALSE),0)</f>
        <v>0</v>
      </c>
    </row>
    <row r="68" spans="1:14" hidden="1" outlineLevel="1" x14ac:dyDescent="0.2">
      <c r="A68" s="9" t="s">
        <v>149</v>
      </c>
      <c r="B68" s="1" t="s">
        <v>150</v>
      </c>
      <c r="C68" s="10">
        <f>IFERROR(VLOOKUP(A68,'Centre DW14'!$A$7:$N$160,3,FALSE),0)+
IFERROR(VLOOKUP(A68,'Centre WP14'!$A$7:$N$163,3,FALSE),0)+
IFERROR(VLOOKUP(A68,'Centre WR14'!$A$7:$N$160,3,FALSE),0)</f>
        <v>1.1000000000000001</v>
      </c>
      <c r="D68" s="10">
        <f>IFERROR(VLOOKUP(A68,'Centre DW14'!$A$7:$N$160,4,FALSE),0)+
IFERROR(VLOOKUP(A68,'Centre WP14'!$A$7:$N$163,4,FALSE),0)+
IFERROR(VLOOKUP(A68,'Centre WR14'!$A$7:$N$160,4,FALSE),0)</f>
        <v>1.1000000000000001</v>
      </c>
      <c r="E68" s="10">
        <f>IFERROR(VLOOKUP(A68,'Centre DW14'!$A$7:$N$160,5,FALSE),0)+
IFERROR(VLOOKUP(A68,'Centre WP14'!$A$7:$N$163,5,FALSE),0)+
IFERROR(VLOOKUP(A68,'Centre WR14'!$A$7:$N$160,5,FALSE),0)</f>
        <v>1.1000000000000001</v>
      </c>
      <c r="F68" s="10">
        <f>IFERROR(VLOOKUP(A68,'Centre DW14'!$A$7:$N$160,6,FALSE),0)+
IFERROR(VLOOKUP(A68,'Centre WP14'!$A$7:$N$163,6,FALSE),0)+
IFERROR(VLOOKUP(A68,'Centre WR14'!$A$7:$N$160,6,FALSE),0)</f>
        <v>1.1000000000000001</v>
      </c>
      <c r="G68" s="10">
        <f>IFERROR(VLOOKUP(A68,'Centre DW14'!$A$7:$N$160,7,FALSE),0)+
IFERROR(VLOOKUP(A68,'Centre WP14'!$A$7:$N$163,7,FALSE),0)+
IFERROR(VLOOKUP(A68,'Centre WR14'!$A$7:$N$160,7,FALSE),0)</f>
        <v>1.1000000000000001</v>
      </c>
      <c r="H68" s="10">
        <f>IFERROR(VLOOKUP(A68,'Centre DW14'!$A$7:$N$160,8,FALSE),0)+
IFERROR(VLOOKUP(A68,'Centre WP14'!$A$7:$N$163,8,FALSE),0)+
IFERROR(VLOOKUP(A68,'Centre WR14'!$A$7:$N$160,8,FALSE),0)</f>
        <v>1.1000000000000001</v>
      </c>
      <c r="I68" s="10">
        <f>IFERROR(VLOOKUP(A68,'Centre DW14'!$A$7:$N$160,9,FALSE),0)+
IFERROR(VLOOKUP(A68,'Centre WP14'!$A$7:$N$163,9,FALSE),0)+
IFERROR(VLOOKUP(A68,'Centre WR14'!$A$7:$N$160,9,FALSE),0)</f>
        <v>1.1000000000000001</v>
      </c>
      <c r="J68" s="24">
        <f>IFERROR(VLOOKUP(A68,'Centre DW14'!$A$7:$N$160,10,FALSE),0)+
IFERROR(VLOOKUP(A68,'Centre WP14'!$A$7:$N$163,10,FALSE),0)+
IFERROR(VLOOKUP(A68,'Centre WR14'!$A$7:$N$160,10,FALSE),0)</f>
        <v>1.1000000000000001</v>
      </c>
      <c r="K68" s="10">
        <f>IFERROR(VLOOKUP(A68,'Centre DW14'!$A$7:$N$160,11,FALSE),0)+
IFERROR(VLOOKUP(A68,'Centre WP14'!$A$7:$N$163,11,FALSE),0)+
IFERROR(VLOOKUP(A68,'Centre WR14'!$A$7:$N$160,11,FALSE),0)</f>
        <v>1.1000000000000001</v>
      </c>
      <c r="L68" s="10">
        <f>IFERROR(VLOOKUP(A68,'Centre DW14'!$A$7:$N$160,12,FALSE),0)+
IFERROR(VLOOKUP(A68,'Centre WP14'!$A$7:$N$163,12,FALSE),0)+
IFERROR(VLOOKUP(A68,'Centre WR14'!$A$7:$N$160,12,FALSE),0)</f>
        <v>1.1000000000000001</v>
      </c>
      <c r="M68" s="10">
        <f>IFERROR(VLOOKUP(A68,'Centre DW14'!$A$7:$N$160,13,FALSE),0)+
IFERROR(VLOOKUP(A68,'Centre WP14'!$A$7:$N$163,13,FALSE),0)+
IFERROR(VLOOKUP(A68,'Centre WR14'!$A$7:$N$160,13,FALSE),0)</f>
        <v>1.1000000000000001</v>
      </c>
      <c r="N68" s="10">
        <f>IFERROR(VLOOKUP(A68,'Centre DW14'!$A$7:$N$160,14,FALSE),0)+
IFERROR(VLOOKUP(A68,'Centre WP14'!$A$7:$N$163,14,FALSE),0)+
IFERROR(VLOOKUP(A68,'Centre WR14'!$A$7:$N$160,14,FALSE),0)</f>
        <v>1.1000000000000001</v>
      </c>
    </row>
    <row r="69" spans="1:14" hidden="1" outlineLevel="1" x14ac:dyDescent="0.2">
      <c r="A69" s="9" t="s">
        <v>151</v>
      </c>
      <c r="B69" s="1" t="s">
        <v>152</v>
      </c>
      <c r="C69" s="10">
        <f>IFERROR(VLOOKUP(A69,'Centre DW14'!$A$7:$N$160,3,FALSE),0)+
IFERROR(VLOOKUP(A69,'Centre WP14'!$A$7:$N$163,3,FALSE),0)+
IFERROR(VLOOKUP(A69,'Centre WR14'!$A$7:$N$160,3,FALSE),0)</f>
        <v>0</v>
      </c>
      <c r="D69" s="10">
        <f>IFERROR(VLOOKUP(A69,'Centre DW14'!$A$7:$N$160,4,FALSE),0)+
IFERROR(VLOOKUP(A69,'Centre WP14'!$A$7:$N$163,4,FALSE),0)+
IFERROR(VLOOKUP(A69,'Centre WR14'!$A$7:$N$160,4,FALSE),0)</f>
        <v>0</v>
      </c>
      <c r="E69" s="10">
        <f>IFERROR(VLOOKUP(A69,'Centre DW14'!$A$7:$N$160,5,FALSE),0)+
IFERROR(VLOOKUP(A69,'Centre WP14'!$A$7:$N$163,5,FALSE),0)+
IFERROR(VLOOKUP(A69,'Centre WR14'!$A$7:$N$160,5,FALSE),0)</f>
        <v>0</v>
      </c>
      <c r="F69" s="10">
        <f>IFERROR(VLOOKUP(A69,'Centre DW14'!$A$7:$N$160,6,FALSE),0)+
IFERROR(VLOOKUP(A69,'Centre WP14'!$A$7:$N$163,6,FALSE),0)+
IFERROR(VLOOKUP(A69,'Centre WR14'!$A$7:$N$160,6,FALSE),0)</f>
        <v>0</v>
      </c>
      <c r="G69" s="10">
        <f>IFERROR(VLOOKUP(A69,'Centre DW14'!$A$7:$N$160,7,FALSE),0)+
IFERROR(VLOOKUP(A69,'Centre WP14'!$A$7:$N$163,7,FALSE),0)+
IFERROR(VLOOKUP(A69,'Centre WR14'!$A$7:$N$160,7,FALSE),0)</f>
        <v>0</v>
      </c>
      <c r="H69" s="10">
        <f>IFERROR(VLOOKUP(A69,'Centre DW14'!$A$7:$N$160,8,FALSE),0)+
IFERROR(VLOOKUP(A69,'Centre WP14'!$A$7:$N$163,8,FALSE),0)+
IFERROR(VLOOKUP(A69,'Centre WR14'!$A$7:$N$160,8,FALSE),0)</f>
        <v>0</v>
      </c>
      <c r="I69" s="10">
        <f>IFERROR(VLOOKUP(A69,'Centre DW14'!$A$7:$N$160,9,FALSE),0)+
IFERROR(VLOOKUP(A69,'Centre WP14'!$A$7:$N$163,9,FALSE),0)+
IFERROR(VLOOKUP(A69,'Centre WR14'!$A$7:$N$160,9,FALSE),0)</f>
        <v>0</v>
      </c>
      <c r="J69" s="24">
        <f>IFERROR(VLOOKUP(A69,'Centre DW14'!$A$7:$N$160,10,FALSE),0)+
IFERROR(VLOOKUP(A69,'Centre WP14'!$A$7:$N$163,10,FALSE),0)+
IFERROR(VLOOKUP(A69,'Centre WR14'!$A$7:$N$160,10,FALSE),0)</f>
        <v>0</v>
      </c>
      <c r="K69" s="10">
        <f>IFERROR(VLOOKUP(A69,'Centre DW14'!$A$7:$N$160,11,FALSE),0)+
IFERROR(VLOOKUP(A69,'Centre WP14'!$A$7:$N$163,11,FALSE),0)+
IFERROR(VLOOKUP(A69,'Centre WR14'!$A$7:$N$160,11,FALSE),0)</f>
        <v>0</v>
      </c>
      <c r="L69" s="10">
        <f>IFERROR(VLOOKUP(A69,'Centre DW14'!$A$7:$N$160,12,FALSE),0)+
IFERROR(VLOOKUP(A69,'Centre WP14'!$A$7:$N$163,12,FALSE),0)+
IFERROR(VLOOKUP(A69,'Centre WR14'!$A$7:$N$160,12,FALSE),0)</f>
        <v>0.1</v>
      </c>
      <c r="M69" s="10">
        <f>IFERROR(VLOOKUP(A69,'Centre DW14'!$A$7:$N$160,13,FALSE),0)+
IFERROR(VLOOKUP(A69,'Centre WP14'!$A$7:$N$163,13,FALSE),0)+
IFERROR(VLOOKUP(A69,'Centre WR14'!$A$7:$N$160,13,FALSE),0)</f>
        <v>0.1</v>
      </c>
      <c r="N69" s="10">
        <f>IFERROR(VLOOKUP(A69,'Centre DW14'!$A$7:$N$160,14,FALSE),0)+
IFERROR(VLOOKUP(A69,'Centre WP14'!$A$7:$N$163,14,FALSE),0)+
IFERROR(VLOOKUP(A69,'Centre WR14'!$A$7:$N$160,14,FALSE),0)</f>
        <v>0.1</v>
      </c>
    </row>
    <row r="70" spans="1:14" hidden="1" outlineLevel="1" x14ac:dyDescent="0.2">
      <c r="A70" s="9" t="s">
        <v>355</v>
      </c>
      <c r="B70" s="1" t="s">
        <v>356</v>
      </c>
      <c r="C70" s="10">
        <f>IFERROR(VLOOKUP(A70,'Centre DW14'!$A$7:$N$160,3,FALSE),0)+
IFERROR(VLOOKUP(A70,'Centre WP14'!$A$7:$N$163,3,FALSE),0)+
IFERROR(VLOOKUP(A70,'Centre WR14'!$A$7:$N$160,3,FALSE),0)</f>
        <v>3</v>
      </c>
      <c r="D70" s="10">
        <f>IFERROR(VLOOKUP(A70,'Centre DW14'!$A$7:$N$160,4,FALSE),0)+
IFERROR(VLOOKUP(A70,'Centre WP14'!$A$7:$N$163,4,FALSE),0)+
IFERROR(VLOOKUP(A70,'Centre WR14'!$A$7:$N$160,4,FALSE),0)</f>
        <v>3</v>
      </c>
      <c r="E70" s="10">
        <f>IFERROR(VLOOKUP(A70,'Centre DW14'!$A$7:$N$160,5,FALSE),0)+
IFERROR(VLOOKUP(A70,'Centre WP14'!$A$7:$N$163,5,FALSE),0)+
IFERROR(VLOOKUP(A70,'Centre WR14'!$A$7:$N$160,5,FALSE),0)</f>
        <v>3</v>
      </c>
      <c r="F70" s="10">
        <f>IFERROR(VLOOKUP(A70,'Centre DW14'!$A$7:$N$160,6,FALSE),0)+
IFERROR(VLOOKUP(A70,'Centre WP14'!$A$7:$N$163,6,FALSE),0)+
IFERROR(VLOOKUP(A70,'Centre WR14'!$A$7:$N$160,6,FALSE),0)</f>
        <v>3</v>
      </c>
      <c r="G70" s="10">
        <f>IFERROR(VLOOKUP(A70,'Centre DW14'!$A$7:$N$160,7,FALSE),0)+
IFERROR(VLOOKUP(A70,'Centre WP14'!$A$7:$N$163,7,FALSE),0)+
IFERROR(VLOOKUP(A70,'Centre WR14'!$A$7:$N$160,7,FALSE),0)</f>
        <v>3</v>
      </c>
      <c r="H70" s="10">
        <f>IFERROR(VLOOKUP(A70,'Centre DW14'!$A$7:$N$160,8,FALSE),0)+
IFERROR(VLOOKUP(A70,'Centre WP14'!$A$7:$N$163,8,FALSE),0)+
IFERROR(VLOOKUP(A70,'Centre WR14'!$A$7:$N$160,8,FALSE),0)</f>
        <v>3</v>
      </c>
      <c r="I70" s="10">
        <f>IFERROR(VLOOKUP(A70,'Centre DW14'!$A$7:$N$160,9,FALSE),0)+
IFERROR(VLOOKUP(A70,'Centre WP14'!$A$7:$N$163,9,FALSE),0)+
IFERROR(VLOOKUP(A70,'Centre WR14'!$A$7:$N$160,9,FALSE),0)</f>
        <v>3</v>
      </c>
      <c r="J70" s="24">
        <f>IFERROR(VLOOKUP(A70,'Centre DW14'!$A$7:$N$160,10,FALSE),0)+
IFERROR(VLOOKUP(A70,'Centre WP14'!$A$7:$N$163,10,FALSE),0)+
IFERROR(VLOOKUP(A70,'Centre WR14'!$A$7:$N$160,10,FALSE),0)</f>
        <v>3</v>
      </c>
      <c r="K70" s="10">
        <f>IFERROR(VLOOKUP(A70,'Centre DW14'!$A$7:$N$160,11,FALSE),0)+
IFERROR(VLOOKUP(A70,'Centre WP14'!$A$7:$N$163,11,FALSE),0)+
IFERROR(VLOOKUP(A70,'Centre WR14'!$A$7:$N$160,11,FALSE),0)</f>
        <v>3</v>
      </c>
      <c r="L70" s="10">
        <f>IFERROR(VLOOKUP(A70,'Centre DW14'!$A$7:$N$160,12,FALSE),0)+
IFERROR(VLOOKUP(A70,'Centre WP14'!$A$7:$N$163,12,FALSE),0)+
IFERROR(VLOOKUP(A70,'Centre WR14'!$A$7:$N$160,12,FALSE),0)</f>
        <v>3.1</v>
      </c>
      <c r="M70" s="10">
        <f>IFERROR(VLOOKUP(A70,'Centre DW14'!$A$7:$N$160,13,FALSE),0)+
IFERROR(VLOOKUP(A70,'Centre WP14'!$A$7:$N$163,13,FALSE),0)+
IFERROR(VLOOKUP(A70,'Centre WR14'!$A$7:$N$160,13,FALSE),0)</f>
        <v>3.1</v>
      </c>
      <c r="N70" s="10">
        <f>IFERROR(VLOOKUP(A70,'Centre DW14'!$A$7:$N$160,14,FALSE),0)+
IFERROR(VLOOKUP(A70,'Centre WP14'!$A$7:$N$163,14,FALSE),0)+
IFERROR(VLOOKUP(A70,'Centre WR14'!$A$7:$N$160,14,FALSE),0)</f>
        <v>3.1</v>
      </c>
    </row>
    <row r="71" spans="1:14" hidden="1" outlineLevel="1" x14ac:dyDescent="0.2">
      <c r="A71" s="9" t="s">
        <v>153</v>
      </c>
      <c r="B71" s="1" t="s">
        <v>154</v>
      </c>
      <c r="C71" s="10">
        <f>IFERROR(VLOOKUP(A71,'Centre DW14'!$A$7:$N$160,3,FALSE),0)+
IFERROR(VLOOKUP(A71,'Centre WP14'!$A$7:$N$163,3,FALSE),0)+
IFERROR(VLOOKUP(A71,'Centre WR14'!$A$7:$N$160,3,FALSE),0)</f>
        <v>0.7</v>
      </c>
      <c r="D71" s="10">
        <f>IFERROR(VLOOKUP(A71,'Centre DW14'!$A$7:$N$160,4,FALSE),0)+
IFERROR(VLOOKUP(A71,'Centre WP14'!$A$7:$N$163,4,FALSE),0)+
IFERROR(VLOOKUP(A71,'Centre WR14'!$A$7:$N$160,4,FALSE),0)</f>
        <v>0.7</v>
      </c>
      <c r="E71" s="10">
        <f>IFERROR(VLOOKUP(A71,'Centre DW14'!$A$7:$N$160,5,FALSE),0)+
IFERROR(VLOOKUP(A71,'Centre WP14'!$A$7:$N$163,5,FALSE),0)+
IFERROR(VLOOKUP(A71,'Centre WR14'!$A$7:$N$160,5,FALSE),0)</f>
        <v>0.7</v>
      </c>
      <c r="F71" s="10">
        <f>IFERROR(VLOOKUP(A71,'Centre DW14'!$A$7:$N$160,6,FALSE),0)+
IFERROR(VLOOKUP(A71,'Centre WP14'!$A$7:$N$163,6,FALSE),0)+
IFERROR(VLOOKUP(A71,'Centre WR14'!$A$7:$N$160,6,FALSE),0)</f>
        <v>0.7</v>
      </c>
      <c r="G71" s="10">
        <f>IFERROR(VLOOKUP(A71,'Centre DW14'!$A$7:$N$160,7,FALSE),0)+
IFERROR(VLOOKUP(A71,'Centre WP14'!$A$7:$N$163,7,FALSE),0)+
IFERROR(VLOOKUP(A71,'Centre WR14'!$A$7:$N$160,7,FALSE),0)</f>
        <v>0.7</v>
      </c>
      <c r="H71" s="10">
        <f>IFERROR(VLOOKUP(A71,'Centre DW14'!$A$7:$N$160,8,FALSE),0)+
IFERROR(VLOOKUP(A71,'Centre WP14'!$A$7:$N$163,8,FALSE),0)+
IFERROR(VLOOKUP(A71,'Centre WR14'!$A$7:$N$160,8,FALSE),0)</f>
        <v>0.7</v>
      </c>
      <c r="I71" s="10">
        <f>IFERROR(VLOOKUP(A71,'Centre DW14'!$A$7:$N$160,9,FALSE),0)+
IFERROR(VLOOKUP(A71,'Centre WP14'!$A$7:$N$163,9,FALSE),0)+
IFERROR(VLOOKUP(A71,'Centre WR14'!$A$7:$N$160,9,FALSE),0)</f>
        <v>0.7</v>
      </c>
      <c r="J71" s="24">
        <f>IFERROR(VLOOKUP(A71,'Centre DW14'!$A$7:$N$160,10,FALSE),0)+
IFERROR(VLOOKUP(A71,'Centre WP14'!$A$7:$N$163,10,FALSE),0)+
IFERROR(VLOOKUP(A71,'Centre WR14'!$A$7:$N$160,10,FALSE),0)</f>
        <v>0.7</v>
      </c>
      <c r="K71" s="10">
        <f>IFERROR(VLOOKUP(A71,'Centre DW14'!$A$7:$N$160,11,FALSE),0)+
IFERROR(VLOOKUP(A71,'Centre WP14'!$A$7:$N$163,11,FALSE),0)+
IFERROR(VLOOKUP(A71,'Centre WR14'!$A$7:$N$160,11,FALSE),0)</f>
        <v>0.7</v>
      </c>
      <c r="L71" s="10">
        <f>IFERROR(VLOOKUP(A71,'Centre DW14'!$A$7:$N$160,12,FALSE),0)+
IFERROR(VLOOKUP(A71,'Centre WP14'!$A$7:$N$163,12,FALSE),0)+
IFERROR(VLOOKUP(A71,'Centre WR14'!$A$7:$N$160,12,FALSE),0)</f>
        <v>0.7</v>
      </c>
      <c r="M71" s="10">
        <f>IFERROR(VLOOKUP(A71,'Centre DW14'!$A$7:$N$160,13,FALSE),0)+
IFERROR(VLOOKUP(A71,'Centre WP14'!$A$7:$N$163,13,FALSE),0)+
IFERROR(VLOOKUP(A71,'Centre WR14'!$A$7:$N$160,13,FALSE),0)</f>
        <v>0.7</v>
      </c>
      <c r="N71" s="10">
        <f>IFERROR(VLOOKUP(A71,'Centre DW14'!$A$7:$N$160,14,FALSE),0)+
IFERROR(VLOOKUP(A71,'Centre WP14'!$A$7:$N$163,14,FALSE),0)+
IFERROR(VLOOKUP(A71,'Centre WR14'!$A$7:$N$160,14,FALSE),0)</f>
        <v>0.7</v>
      </c>
    </row>
    <row r="72" spans="1:14" hidden="1" outlineLevel="1" x14ac:dyDescent="0.2">
      <c r="A72" s="9" t="s">
        <v>155</v>
      </c>
      <c r="B72" s="1" t="s">
        <v>156</v>
      </c>
      <c r="C72" s="10">
        <f>IFERROR(VLOOKUP(A72,'Centre DW14'!$A$7:$N$160,3,FALSE),0)+
IFERROR(VLOOKUP(A72,'Centre WP14'!$A$7:$N$163,3,FALSE),0)+
IFERROR(VLOOKUP(A72,'Centre WR14'!$A$7:$N$160,3,FALSE),0)</f>
        <v>0.8</v>
      </c>
      <c r="D72" s="10">
        <f>IFERROR(VLOOKUP(A72,'Centre DW14'!$A$7:$N$160,4,FALSE),0)+
IFERROR(VLOOKUP(A72,'Centre WP14'!$A$7:$N$163,4,FALSE),0)+
IFERROR(VLOOKUP(A72,'Centre WR14'!$A$7:$N$160,4,FALSE),0)</f>
        <v>0.8</v>
      </c>
      <c r="E72" s="10">
        <f>IFERROR(VLOOKUP(A72,'Centre DW14'!$A$7:$N$160,5,FALSE),0)+
IFERROR(VLOOKUP(A72,'Centre WP14'!$A$7:$N$163,5,FALSE),0)+
IFERROR(VLOOKUP(A72,'Centre WR14'!$A$7:$N$160,5,FALSE),0)</f>
        <v>0.8</v>
      </c>
      <c r="F72" s="10">
        <f>IFERROR(VLOOKUP(A72,'Centre DW14'!$A$7:$N$160,6,FALSE),0)+
IFERROR(VLOOKUP(A72,'Centre WP14'!$A$7:$N$163,6,FALSE),0)+
IFERROR(VLOOKUP(A72,'Centre WR14'!$A$7:$N$160,6,FALSE),0)</f>
        <v>0.8</v>
      </c>
      <c r="G72" s="10">
        <f>IFERROR(VLOOKUP(A72,'Centre DW14'!$A$7:$N$160,7,FALSE),0)+
IFERROR(VLOOKUP(A72,'Centre WP14'!$A$7:$N$163,7,FALSE),0)+
IFERROR(VLOOKUP(A72,'Centre WR14'!$A$7:$N$160,7,FALSE),0)</f>
        <v>0.8</v>
      </c>
      <c r="H72" s="10">
        <f>IFERROR(VLOOKUP(A72,'Centre DW14'!$A$7:$N$160,8,FALSE),0)+
IFERROR(VLOOKUP(A72,'Centre WP14'!$A$7:$N$163,8,FALSE),0)+
IFERROR(VLOOKUP(A72,'Centre WR14'!$A$7:$N$160,8,FALSE),0)</f>
        <v>0.8</v>
      </c>
      <c r="I72" s="10">
        <f>IFERROR(VLOOKUP(A72,'Centre DW14'!$A$7:$N$160,9,FALSE),0)+
IFERROR(VLOOKUP(A72,'Centre WP14'!$A$7:$N$163,9,FALSE),0)+
IFERROR(VLOOKUP(A72,'Centre WR14'!$A$7:$N$160,9,FALSE),0)</f>
        <v>0.8</v>
      </c>
      <c r="J72" s="24">
        <f>IFERROR(VLOOKUP(A72,'Centre DW14'!$A$7:$N$160,10,FALSE),0)+
IFERROR(VLOOKUP(A72,'Centre WP14'!$A$7:$N$163,10,FALSE),0)+
IFERROR(VLOOKUP(A72,'Centre WR14'!$A$7:$N$160,10,FALSE),0)</f>
        <v>0.8</v>
      </c>
      <c r="K72" s="10">
        <f>IFERROR(VLOOKUP(A72,'Centre DW14'!$A$7:$N$160,11,FALSE),0)+
IFERROR(VLOOKUP(A72,'Centre WP14'!$A$7:$N$163,11,FALSE),0)+
IFERROR(VLOOKUP(A72,'Centre WR14'!$A$7:$N$160,11,FALSE),0)</f>
        <v>0.8</v>
      </c>
      <c r="L72" s="10">
        <f>IFERROR(VLOOKUP(A72,'Centre DW14'!$A$7:$N$160,12,FALSE),0)+
IFERROR(VLOOKUP(A72,'Centre WP14'!$A$7:$N$163,12,FALSE),0)+
IFERROR(VLOOKUP(A72,'Centre WR14'!$A$7:$N$160,12,FALSE),0)</f>
        <v>0.8</v>
      </c>
      <c r="M72" s="10">
        <f>IFERROR(VLOOKUP(A72,'Centre DW14'!$A$7:$N$160,13,FALSE),0)+
IFERROR(VLOOKUP(A72,'Centre WP14'!$A$7:$N$163,13,FALSE),0)+
IFERROR(VLOOKUP(A72,'Centre WR14'!$A$7:$N$160,13,FALSE),0)</f>
        <v>0.8</v>
      </c>
      <c r="N72" s="10">
        <f>IFERROR(VLOOKUP(A72,'Centre DW14'!$A$7:$N$160,14,FALSE),0)+
IFERROR(VLOOKUP(A72,'Centre WP14'!$A$7:$N$163,14,FALSE),0)+
IFERROR(VLOOKUP(A72,'Centre WR14'!$A$7:$N$160,14,FALSE),0)</f>
        <v>0.8</v>
      </c>
    </row>
    <row r="73" spans="1:14" collapsed="1" x14ac:dyDescent="0.2">
      <c r="A73" s="48" t="s">
        <v>157</v>
      </c>
      <c r="B73" s="49" t="s">
        <v>158</v>
      </c>
      <c r="C73" s="50">
        <f>+C74</f>
        <v>3.3</v>
      </c>
      <c r="D73" s="50">
        <f t="shared" ref="D73:N73" si="14">+D74</f>
        <v>3.3</v>
      </c>
      <c r="E73" s="50">
        <f t="shared" si="14"/>
        <v>3.3</v>
      </c>
      <c r="F73" s="50">
        <f t="shared" si="14"/>
        <v>3.3</v>
      </c>
      <c r="G73" s="50">
        <f t="shared" si="14"/>
        <v>3.3</v>
      </c>
      <c r="H73" s="50">
        <f t="shared" si="14"/>
        <v>3.3</v>
      </c>
      <c r="I73" s="50">
        <f t="shared" si="14"/>
        <v>3.3</v>
      </c>
      <c r="J73" s="50">
        <f t="shared" si="14"/>
        <v>3.3</v>
      </c>
      <c r="K73" s="50">
        <f t="shared" si="14"/>
        <v>3.3</v>
      </c>
      <c r="L73" s="50">
        <f t="shared" si="14"/>
        <v>3.3</v>
      </c>
      <c r="M73" s="50">
        <f t="shared" si="14"/>
        <v>3.3</v>
      </c>
      <c r="N73" s="50">
        <f t="shared" si="14"/>
        <v>3.3</v>
      </c>
    </row>
    <row r="74" spans="1:14" hidden="1" outlineLevel="1" x14ac:dyDescent="0.2">
      <c r="A74" s="9" t="s">
        <v>159</v>
      </c>
      <c r="B74" s="1" t="s">
        <v>160</v>
      </c>
      <c r="C74" s="10">
        <f>IFERROR(VLOOKUP(A74,'Centre DW14'!$A$7:$N$160,3,FALSE),0)+
IFERROR(VLOOKUP(A74,'Centre WP14'!$A$7:$N$163,3,FALSE),0)+
IFERROR(VLOOKUP(A74,'Centre WR14'!$A$7:$N$160,3,FALSE),0)</f>
        <v>3.3</v>
      </c>
      <c r="D74" s="10">
        <f>IFERROR(VLOOKUP(A74,'Centre DW14'!$A$7:$N$160,4,FALSE),0)+
IFERROR(VLOOKUP(A74,'Centre WP14'!$A$7:$N$163,4,FALSE),0)+
IFERROR(VLOOKUP(A74,'Centre WR14'!$A$7:$N$160,4,FALSE),0)</f>
        <v>3.3</v>
      </c>
      <c r="E74" s="10">
        <f>IFERROR(VLOOKUP(A74,'Centre DW14'!$A$7:$N$160,5,FALSE),0)+
IFERROR(VLOOKUP(A74,'Centre WP14'!$A$7:$N$163,5,FALSE),0)+
IFERROR(VLOOKUP(A74,'Centre WR14'!$A$7:$N$160,5,FALSE),0)</f>
        <v>3.3</v>
      </c>
      <c r="F74" s="10">
        <f>IFERROR(VLOOKUP(A74,'Centre DW14'!$A$7:$N$160,6,FALSE),0)+
IFERROR(VLOOKUP(A74,'Centre WP14'!$A$7:$N$163,6,FALSE),0)+
IFERROR(VLOOKUP(A74,'Centre WR14'!$A$7:$N$160,6,FALSE),0)</f>
        <v>3.3</v>
      </c>
      <c r="G74" s="10">
        <f>IFERROR(VLOOKUP(A74,'Centre DW14'!$A$7:$N$160,7,FALSE),0)+
IFERROR(VLOOKUP(A74,'Centre WP14'!$A$7:$N$163,7,FALSE),0)+
IFERROR(VLOOKUP(A74,'Centre WR14'!$A$7:$N$160,7,FALSE),0)</f>
        <v>3.3</v>
      </c>
      <c r="H74" s="10">
        <f>IFERROR(VLOOKUP(A74,'Centre DW14'!$A$7:$N$160,8,FALSE),0)+
IFERROR(VLOOKUP(A74,'Centre WP14'!$A$7:$N$163,8,FALSE),0)+
IFERROR(VLOOKUP(A74,'Centre WR14'!$A$7:$N$160,8,FALSE),0)</f>
        <v>3.3</v>
      </c>
      <c r="I74" s="10">
        <f>IFERROR(VLOOKUP(A74,'Centre DW14'!$A$7:$N$160,9,FALSE),0)+
IFERROR(VLOOKUP(A74,'Centre WP14'!$A$7:$N$163,9,FALSE),0)+
IFERROR(VLOOKUP(A74,'Centre WR14'!$A$7:$N$160,9,FALSE),0)</f>
        <v>3.3</v>
      </c>
      <c r="J74" s="24">
        <f>IFERROR(VLOOKUP(A74,'Centre DW14'!$A$7:$N$160,10,FALSE),0)+
IFERROR(VLOOKUP(A74,'Centre WP14'!$A$7:$N$163,10,FALSE),0)+
IFERROR(VLOOKUP(A74,'Centre WR14'!$A$7:$N$160,10,FALSE),0)</f>
        <v>3.3</v>
      </c>
      <c r="K74" s="10">
        <f>IFERROR(VLOOKUP(A74,'Centre DW14'!$A$7:$N$160,11,FALSE),0)+
IFERROR(VLOOKUP(A74,'Centre WP14'!$A$7:$N$163,11,FALSE),0)+
IFERROR(VLOOKUP(A74,'Centre WR14'!$A$7:$N$160,11,FALSE),0)</f>
        <v>3.3</v>
      </c>
      <c r="L74" s="10">
        <f>IFERROR(VLOOKUP(A74,'Centre DW14'!$A$7:$N$160,12,FALSE),0)+
IFERROR(VLOOKUP(A74,'Centre WP14'!$A$7:$N$163,12,FALSE),0)+
IFERROR(VLOOKUP(A74,'Centre WR14'!$A$7:$N$160,12,FALSE),0)</f>
        <v>3.3</v>
      </c>
      <c r="M74" s="10">
        <f>IFERROR(VLOOKUP(A74,'Centre DW14'!$A$7:$N$160,13,FALSE),0)+
IFERROR(VLOOKUP(A74,'Centre WP14'!$A$7:$N$163,13,FALSE),0)+
IFERROR(VLOOKUP(A74,'Centre WR14'!$A$7:$N$160,13,FALSE),0)</f>
        <v>3.3</v>
      </c>
      <c r="N74" s="10">
        <f>IFERROR(VLOOKUP(A74,'Centre DW14'!$A$7:$N$160,14,FALSE),0)+
IFERROR(VLOOKUP(A74,'Centre WP14'!$A$7:$N$163,14,FALSE),0)+
IFERROR(VLOOKUP(A74,'Centre WR14'!$A$7:$N$160,14,FALSE),0)</f>
        <v>3.3</v>
      </c>
    </row>
    <row r="75" spans="1:14" collapsed="1" x14ac:dyDescent="0.2">
      <c r="A75" s="52"/>
      <c r="B75" s="52" t="s">
        <v>165</v>
      </c>
      <c r="C75" s="53">
        <f t="shared" ref="C75:N75" si="15">+C31+C47+C51+C54+C58+C62+C63+C64+C65+C73</f>
        <v>35.919999999999995</v>
      </c>
      <c r="D75" s="53">
        <f t="shared" si="15"/>
        <v>33.919999999999995</v>
      </c>
      <c r="E75" s="53">
        <f t="shared" si="15"/>
        <v>37.319999999999993</v>
      </c>
      <c r="F75" s="53">
        <f t="shared" si="15"/>
        <v>29.42</v>
      </c>
      <c r="G75" s="53">
        <f t="shared" si="15"/>
        <v>31.419999999999998</v>
      </c>
      <c r="H75" s="53">
        <f t="shared" si="15"/>
        <v>40.22</v>
      </c>
      <c r="I75" s="53">
        <f t="shared" si="15"/>
        <v>44.12</v>
      </c>
      <c r="J75" s="53">
        <f t="shared" si="15"/>
        <v>30.42</v>
      </c>
      <c r="K75" s="53">
        <f t="shared" si="15"/>
        <v>32.72</v>
      </c>
      <c r="L75" s="53">
        <f t="shared" si="15"/>
        <v>30.52</v>
      </c>
      <c r="M75" s="53">
        <f t="shared" si="15"/>
        <v>32.919999999999995</v>
      </c>
      <c r="N75" s="53">
        <f t="shared" si="15"/>
        <v>40.769999999999996</v>
      </c>
    </row>
    <row r="76" spans="1:14" x14ac:dyDescent="0.2">
      <c r="A76" s="51"/>
      <c r="B76" s="51" t="s">
        <v>166</v>
      </c>
      <c r="C76" s="19">
        <f t="shared" ref="C76:N76" si="16">+C29-C75</f>
        <v>57.730000000000011</v>
      </c>
      <c r="D76" s="19">
        <f t="shared" si="16"/>
        <v>28.730000000000004</v>
      </c>
      <c r="E76" s="19">
        <f t="shared" si="16"/>
        <v>57.330000000000013</v>
      </c>
      <c r="F76" s="19">
        <f t="shared" si="16"/>
        <v>47.230000000000004</v>
      </c>
      <c r="G76" s="19">
        <f t="shared" si="16"/>
        <v>54.230000000000004</v>
      </c>
      <c r="H76" s="19">
        <f t="shared" si="16"/>
        <v>30.430000000000007</v>
      </c>
      <c r="I76" s="19">
        <f t="shared" si="16"/>
        <v>13.530000000000001</v>
      </c>
      <c r="J76" s="19">
        <f t="shared" si="16"/>
        <v>46.230000000000004</v>
      </c>
      <c r="K76" s="19">
        <f t="shared" si="16"/>
        <v>29.93</v>
      </c>
      <c r="L76" s="19">
        <f t="shared" si="16"/>
        <v>36.13000000000001</v>
      </c>
      <c r="M76" s="19">
        <f t="shared" si="16"/>
        <v>38.730000000000011</v>
      </c>
      <c r="N76" s="19">
        <f t="shared" si="16"/>
        <v>37.88000000000001</v>
      </c>
    </row>
    <row r="77" spans="1:14" x14ac:dyDescent="0.2">
      <c r="A77" s="48" t="s">
        <v>167</v>
      </c>
      <c r="B77" s="49" t="s">
        <v>168</v>
      </c>
      <c r="C77" s="50">
        <f>SUM(C78:C83)</f>
        <v>12.7</v>
      </c>
      <c r="D77" s="50">
        <f t="shared" ref="D77:N77" si="17">SUM(D78:D83)</f>
        <v>12.7</v>
      </c>
      <c r="E77" s="50">
        <f t="shared" si="17"/>
        <v>12.7</v>
      </c>
      <c r="F77" s="50">
        <f t="shared" si="17"/>
        <v>12.7</v>
      </c>
      <c r="G77" s="50">
        <f t="shared" si="17"/>
        <v>12.7</v>
      </c>
      <c r="H77" s="50">
        <f t="shared" si="17"/>
        <v>12.7</v>
      </c>
      <c r="I77" s="50">
        <f t="shared" si="17"/>
        <v>12.7</v>
      </c>
      <c r="J77" s="50">
        <f t="shared" si="17"/>
        <v>12.7</v>
      </c>
      <c r="K77" s="50">
        <f t="shared" si="17"/>
        <v>16.700000000000003</v>
      </c>
      <c r="L77" s="50">
        <f t="shared" si="17"/>
        <v>12.7</v>
      </c>
      <c r="M77" s="50">
        <f t="shared" si="17"/>
        <v>16.700000000000003</v>
      </c>
      <c r="N77" s="50">
        <f t="shared" si="17"/>
        <v>16.700000000000003</v>
      </c>
    </row>
    <row r="78" spans="1:14" hidden="1" outlineLevel="1" x14ac:dyDescent="0.2">
      <c r="A78" s="9" t="s">
        <v>169</v>
      </c>
      <c r="B78" s="1" t="s">
        <v>170</v>
      </c>
      <c r="C78" s="10">
        <f>IFERROR(VLOOKUP(A78,'Centre DW14'!$A$7:$N$160,3,FALSE),0)+
IFERROR(VLOOKUP(A78,'Centre WP14'!$A$7:$N$163,3,FALSE),0)+
IFERROR(VLOOKUP(A78,'Centre WR14'!$A$7:$N$160,3,FALSE),0)</f>
        <v>0.7</v>
      </c>
      <c r="D78" s="10">
        <f>IFERROR(VLOOKUP(A78,'Centre DW14'!$A$7:$N$160,4,FALSE),0)+
IFERROR(VLOOKUP(A78,'Centre WP14'!$A$7:$N$163,4,FALSE),0)+
IFERROR(VLOOKUP(A78,'Centre WR14'!$A$7:$N$160,4,FALSE),0)</f>
        <v>0.7</v>
      </c>
      <c r="E78" s="10">
        <f>IFERROR(VLOOKUP(A78,'Centre DW14'!$A$7:$N$160,5,FALSE),0)+
IFERROR(VLOOKUP(A78,'Centre WP14'!$A$7:$N$163,5,FALSE),0)+
IFERROR(VLOOKUP(A78,'Centre WR14'!$A$7:$N$160,5,FALSE),0)</f>
        <v>0.7</v>
      </c>
      <c r="F78" s="10">
        <f>IFERROR(VLOOKUP(A78,'Centre DW14'!$A$7:$N$160,6,FALSE),0)+
IFERROR(VLOOKUP(A78,'Centre WP14'!$A$7:$N$163,6,FALSE),0)+
IFERROR(VLOOKUP(A78,'Centre WR14'!$A$7:$N$160,6,FALSE),0)</f>
        <v>0.7</v>
      </c>
      <c r="G78" s="10">
        <f>IFERROR(VLOOKUP(A78,'Centre DW14'!$A$7:$N$160,7,FALSE),0)+
IFERROR(VLOOKUP(A78,'Centre WP14'!$A$7:$N$163,7,FALSE),0)+
IFERROR(VLOOKUP(A78,'Centre WR14'!$A$7:$N$160,7,FALSE),0)</f>
        <v>0.7</v>
      </c>
      <c r="H78" s="10">
        <f>IFERROR(VLOOKUP(A78,'Centre DW14'!$A$7:$N$160,8,FALSE),0)+
IFERROR(VLOOKUP(A78,'Centre WP14'!$A$7:$N$163,8,FALSE),0)+
IFERROR(VLOOKUP(A78,'Centre WR14'!$A$7:$N$160,8,FALSE),0)</f>
        <v>0.7</v>
      </c>
      <c r="I78" s="10">
        <f>IFERROR(VLOOKUP(A78,'Centre DW14'!$A$7:$N$160,9,FALSE),0)+
IFERROR(VLOOKUP(A78,'Centre WP14'!$A$7:$N$163,9,FALSE),0)+
IFERROR(VLOOKUP(A78,'Centre WR14'!$A$7:$N$160,9,FALSE),0)</f>
        <v>0.7</v>
      </c>
      <c r="J78" s="24">
        <f>IFERROR(VLOOKUP(A78,'Centre DW14'!$A$7:$N$160,10,FALSE),0)+
IFERROR(VLOOKUP(A78,'Centre WP14'!$A$7:$N$163,10,FALSE),0)+
IFERROR(VLOOKUP(A78,'Centre WR14'!$A$7:$N$160,10,FALSE),0)</f>
        <v>0.7</v>
      </c>
      <c r="K78" s="10">
        <f>IFERROR(VLOOKUP(A78,'Centre DW14'!$A$7:$N$160,11,FALSE),0)+
IFERROR(VLOOKUP(A78,'Centre WP14'!$A$7:$N$163,11,FALSE),0)+
IFERROR(VLOOKUP(A78,'Centre WR14'!$A$7:$N$160,11,FALSE),0)</f>
        <v>0.7</v>
      </c>
      <c r="L78" s="10">
        <f>IFERROR(VLOOKUP(A78,'Centre DW14'!$A$7:$N$160,12,FALSE),0)+
IFERROR(VLOOKUP(A78,'Centre WP14'!$A$7:$N$163,12,FALSE),0)+
IFERROR(VLOOKUP(A78,'Centre WR14'!$A$7:$N$160,12,FALSE),0)</f>
        <v>0.7</v>
      </c>
      <c r="M78" s="10">
        <f>IFERROR(VLOOKUP(A78,'Centre DW14'!$A$7:$N$160,13,FALSE),0)+
IFERROR(VLOOKUP(A78,'Centre WP14'!$A$7:$N$163,13,FALSE),0)+
IFERROR(VLOOKUP(A78,'Centre WR14'!$A$7:$N$160,13,FALSE),0)</f>
        <v>0.7</v>
      </c>
      <c r="N78" s="10">
        <f>IFERROR(VLOOKUP(A78,'Centre DW14'!$A$7:$N$160,14,FALSE),0)+
IFERROR(VLOOKUP(A78,'Centre WP14'!$A$7:$N$163,14,FALSE),0)+
IFERROR(VLOOKUP(A78,'Centre WR14'!$A$7:$N$160,14,FALSE),0)</f>
        <v>0.7</v>
      </c>
    </row>
    <row r="79" spans="1:14" hidden="1" outlineLevel="1" x14ac:dyDescent="0.2">
      <c r="A79" s="9" t="s">
        <v>171</v>
      </c>
      <c r="B79" s="1" t="s">
        <v>172</v>
      </c>
      <c r="C79" s="10">
        <f>IFERROR(VLOOKUP(A79,'Centre DW14'!$A$7:$N$160,3,FALSE),0)+
IFERROR(VLOOKUP(A79,'Centre WP14'!$A$7:$N$163,3,FALSE),0)+
IFERROR(VLOOKUP(A79,'Centre WR14'!$A$7:$N$160,3,FALSE),0)</f>
        <v>1</v>
      </c>
      <c r="D79" s="10">
        <f>IFERROR(VLOOKUP(A79,'Centre DW14'!$A$7:$N$160,4,FALSE),0)+
IFERROR(VLOOKUP(A79,'Centre WP14'!$A$7:$N$163,4,FALSE),0)+
IFERROR(VLOOKUP(A79,'Centre WR14'!$A$7:$N$160,4,FALSE),0)</f>
        <v>1</v>
      </c>
      <c r="E79" s="10">
        <f>IFERROR(VLOOKUP(A79,'Centre DW14'!$A$7:$N$160,5,FALSE),0)+
IFERROR(VLOOKUP(A79,'Centre WP14'!$A$7:$N$163,5,FALSE),0)+
IFERROR(VLOOKUP(A79,'Centre WR14'!$A$7:$N$160,5,FALSE),0)</f>
        <v>1</v>
      </c>
      <c r="F79" s="10">
        <f>IFERROR(VLOOKUP(A79,'Centre DW14'!$A$7:$N$160,6,FALSE),0)+
IFERROR(VLOOKUP(A79,'Centre WP14'!$A$7:$N$163,6,FALSE),0)+
IFERROR(VLOOKUP(A79,'Centre WR14'!$A$7:$N$160,6,FALSE),0)</f>
        <v>1</v>
      </c>
      <c r="G79" s="10">
        <f>IFERROR(VLOOKUP(A79,'Centre DW14'!$A$7:$N$160,7,FALSE),0)+
IFERROR(VLOOKUP(A79,'Centre WP14'!$A$7:$N$163,7,FALSE),0)+
IFERROR(VLOOKUP(A79,'Centre WR14'!$A$7:$N$160,7,FALSE),0)</f>
        <v>1</v>
      </c>
      <c r="H79" s="10">
        <f>IFERROR(VLOOKUP(A79,'Centre DW14'!$A$7:$N$160,8,FALSE),0)+
IFERROR(VLOOKUP(A79,'Centre WP14'!$A$7:$N$163,8,FALSE),0)+
IFERROR(VLOOKUP(A79,'Centre WR14'!$A$7:$N$160,8,FALSE),0)</f>
        <v>1</v>
      </c>
      <c r="I79" s="10">
        <f>IFERROR(VLOOKUP(A79,'Centre DW14'!$A$7:$N$160,9,FALSE),0)+
IFERROR(VLOOKUP(A79,'Centre WP14'!$A$7:$N$163,9,FALSE),0)+
IFERROR(VLOOKUP(A79,'Centre WR14'!$A$7:$N$160,9,FALSE),0)</f>
        <v>1</v>
      </c>
      <c r="J79" s="24">
        <f>IFERROR(VLOOKUP(A79,'Centre DW14'!$A$7:$N$160,10,FALSE),0)+
IFERROR(VLOOKUP(A79,'Centre WP14'!$A$7:$N$163,10,FALSE),0)+
IFERROR(VLOOKUP(A79,'Centre WR14'!$A$7:$N$160,10,FALSE),0)</f>
        <v>1</v>
      </c>
      <c r="K79" s="10">
        <f>IFERROR(VLOOKUP(A79,'Centre DW14'!$A$7:$N$160,11,FALSE),0)+
IFERROR(VLOOKUP(A79,'Centre WP14'!$A$7:$N$163,11,FALSE),0)+
IFERROR(VLOOKUP(A79,'Centre WR14'!$A$7:$N$160,11,FALSE),0)</f>
        <v>4.9000000000000004</v>
      </c>
      <c r="L79" s="10">
        <f>IFERROR(VLOOKUP(A79,'Centre DW14'!$A$7:$N$160,12,FALSE),0)+
IFERROR(VLOOKUP(A79,'Centre WP14'!$A$7:$N$163,12,FALSE),0)+
IFERROR(VLOOKUP(A79,'Centre WR14'!$A$7:$N$160,12,FALSE),0)</f>
        <v>1</v>
      </c>
      <c r="M79" s="10">
        <f>IFERROR(VLOOKUP(A79,'Centre DW14'!$A$7:$N$160,13,FALSE),0)+
IFERROR(VLOOKUP(A79,'Centre WP14'!$A$7:$N$163,13,FALSE),0)+
IFERROR(VLOOKUP(A79,'Centre WR14'!$A$7:$N$160,13,FALSE),0)</f>
        <v>4.9000000000000004</v>
      </c>
      <c r="N79" s="10">
        <f>IFERROR(VLOOKUP(A79,'Centre DW14'!$A$7:$N$160,14,FALSE),0)+
IFERROR(VLOOKUP(A79,'Centre WP14'!$A$7:$N$163,14,FALSE),0)+
IFERROR(VLOOKUP(A79,'Centre WR14'!$A$7:$N$160,14,FALSE),0)</f>
        <v>4.9000000000000004</v>
      </c>
    </row>
    <row r="80" spans="1:14" hidden="1" outlineLevel="1" x14ac:dyDescent="0.2">
      <c r="A80" s="9" t="s">
        <v>173</v>
      </c>
      <c r="B80" s="1" t="s">
        <v>174</v>
      </c>
      <c r="C80" s="10">
        <f>IFERROR(VLOOKUP(A80,'Centre DW14'!$A$7:$N$160,3,FALSE),0)+
IFERROR(VLOOKUP(A80,'Centre WP14'!$A$7:$N$163,3,FALSE),0)+
IFERROR(VLOOKUP(A80,'Centre WR14'!$A$7:$N$160,3,FALSE),0)</f>
        <v>0</v>
      </c>
      <c r="D80" s="10">
        <f>IFERROR(VLOOKUP(A80,'Centre DW14'!$A$7:$N$160,4,FALSE),0)+
IFERROR(VLOOKUP(A80,'Centre WP14'!$A$7:$N$163,4,FALSE),0)+
IFERROR(VLOOKUP(A80,'Centre WR14'!$A$7:$N$160,4,FALSE),0)</f>
        <v>0</v>
      </c>
      <c r="E80" s="10">
        <f>IFERROR(VLOOKUP(A80,'Centre DW14'!$A$7:$N$160,5,FALSE),0)+
IFERROR(VLOOKUP(A80,'Centre WP14'!$A$7:$N$163,5,FALSE),0)+
IFERROR(VLOOKUP(A80,'Centre WR14'!$A$7:$N$160,5,FALSE),0)</f>
        <v>0</v>
      </c>
      <c r="F80" s="10">
        <f>IFERROR(VLOOKUP(A80,'Centre DW14'!$A$7:$N$160,6,FALSE),0)+
IFERROR(VLOOKUP(A80,'Centre WP14'!$A$7:$N$163,6,FALSE),0)+
IFERROR(VLOOKUP(A80,'Centre WR14'!$A$7:$N$160,6,FALSE),0)</f>
        <v>0</v>
      </c>
      <c r="G80" s="10">
        <f>IFERROR(VLOOKUP(A80,'Centre DW14'!$A$7:$N$160,7,FALSE),0)+
IFERROR(VLOOKUP(A80,'Centre WP14'!$A$7:$N$163,7,FALSE),0)+
IFERROR(VLOOKUP(A80,'Centre WR14'!$A$7:$N$160,7,FALSE),0)</f>
        <v>0</v>
      </c>
      <c r="H80" s="10">
        <f>IFERROR(VLOOKUP(A80,'Centre DW14'!$A$7:$N$160,8,FALSE),0)+
IFERROR(VLOOKUP(A80,'Centre WP14'!$A$7:$N$163,8,FALSE),0)+
IFERROR(VLOOKUP(A80,'Centre WR14'!$A$7:$N$160,8,FALSE),0)</f>
        <v>0</v>
      </c>
      <c r="I80" s="10">
        <f>IFERROR(VLOOKUP(A80,'Centre DW14'!$A$7:$N$160,9,FALSE),0)+
IFERROR(VLOOKUP(A80,'Centre WP14'!$A$7:$N$163,9,FALSE),0)+
IFERROR(VLOOKUP(A80,'Centre WR14'!$A$7:$N$160,9,FALSE),0)</f>
        <v>0</v>
      </c>
      <c r="J80" s="24">
        <f>IFERROR(VLOOKUP(A80,'Centre DW14'!$A$7:$N$160,10,FALSE),0)+
IFERROR(VLOOKUP(A80,'Centre WP14'!$A$7:$N$163,10,FALSE),0)+
IFERROR(VLOOKUP(A80,'Centre WR14'!$A$7:$N$160,10,FALSE),0)</f>
        <v>0</v>
      </c>
      <c r="K80" s="10">
        <f>IFERROR(VLOOKUP(A80,'Centre DW14'!$A$7:$N$160,11,FALSE),0)+
IFERROR(VLOOKUP(A80,'Centre WP14'!$A$7:$N$163,11,FALSE),0)+
IFERROR(VLOOKUP(A80,'Centre WR14'!$A$7:$N$160,11,FALSE),0)</f>
        <v>0</v>
      </c>
      <c r="L80" s="10">
        <f>IFERROR(VLOOKUP(A80,'Centre DW14'!$A$7:$N$160,12,FALSE),0)+
IFERROR(VLOOKUP(A80,'Centre WP14'!$A$7:$N$163,12,FALSE),0)+
IFERROR(VLOOKUP(A80,'Centre WR14'!$A$7:$N$160,12,FALSE),0)</f>
        <v>0</v>
      </c>
      <c r="M80" s="10">
        <f>IFERROR(VLOOKUP(A80,'Centre DW14'!$A$7:$N$160,13,FALSE),0)+
IFERROR(VLOOKUP(A80,'Centre WP14'!$A$7:$N$163,13,FALSE),0)+
IFERROR(VLOOKUP(A80,'Centre WR14'!$A$7:$N$160,13,FALSE),0)</f>
        <v>0</v>
      </c>
      <c r="N80" s="10">
        <f>IFERROR(VLOOKUP(A80,'Centre DW14'!$A$7:$N$160,14,FALSE),0)+
IFERROR(VLOOKUP(A80,'Centre WP14'!$A$7:$N$163,14,FALSE),0)+
IFERROR(VLOOKUP(A80,'Centre WR14'!$A$7:$N$160,14,FALSE),0)</f>
        <v>0</v>
      </c>
    </row>
    <row r="81" spans="1:14" hidden="1" outlineLevel="1" x14ac:dyDescent="0.2">
      <c r="A81" s="9" t="s">
        <v>175</v>
      </c>
      <c r="B81" s="1" t="s">
        <v>176</v>
      </c>
      <c r="C81" s="10">
        <f>IFERROR(VLOOKUP(A81,'Centre DW14'!$A$7:$N$160,3,FALSE),0)+
IFERROR(VLOOKUP(A81,'Centre WP14'!$A$7:$N$163,3,FALSE),0)+
IFERROR(VLOOKUP(A81,'Centre WR14'!$A$7:$N$160,3,FALSE),0)</f>
        <v>10.3</v>
      </c>
      <c r="D81" s="10">
        <f>IFERROR(VLOOKUP(A81,'Centre DW14'!$A$7:$N$160,4,FALSE),0)+
IFERROR(VLOOKUP(A81,'Centre WP14'!$A$7:$N$163,4,FALSE),0)+
IFERROR(VLOOKUP(A81,'Centre WR14'!$A$7:$N$160,4,FALSE),0)</f>
        <v>10.3</v>
      </c>
      <c r="E81" s="10">
        <f>IFERROR(VLOOKUP(A81,'Centre DW14'!$A$7:$N$160,5,FALSE),0)+
IFERROR(VLOOKUP(A81,'Centre WP14'!$A$7:$N$163,5,FALSE),0)+
IFERROR(VLOOKUP(A81,'Centre WR14'!$A$7:$N$160,5,FALSE),0)</f>
        <v>10.3</v>
      </c>
      <c r="F81" s="10">
        <f>IFERROR(VLOOKUP(A81,'Centre DW14'!$A$7:$N$160,6,FALSE),0)+
IFERROR(VLOOKUP(A81,'Centre WP14'!$A$7:$N$163,6,FALSE),0)+
IFERROR(VLOOKUP(A81,'Centre WR14'!$A$7:$N$160,6,FALSE),0)</f>
        <v>10.3</v>
      </c>
      <c r="G81" s="10">
        <f>IFERROR(VLOOKUP(A81,'Centre DW14'!$A$7:$N$160,7,FALSE),0)+
IFERROR(VLOOKUP(A81,'Centre WP14'!$A$7:$N$163,7,FALSE),0)+
IFERROR(VLOOKUP(A81,'Centre WR14'!$A$7:$N$160,7,FALSE),0)</f>
        <v>10.3</v>
      </c>
      <c r="H81" s="10">
        <f>IFERROR(VLOOKUP(A81,'Centre DW14'!$A$7:$N$160,8,FALSE),0)+
IFERROR(VLOOKUP(A81,'Centre WP14'!$A$7:$N$163,8,FALSE),0)+
IFERROR(VLOOKUP(A81,'Centre WR14'!$A$7:$N$160,8,FALSE),0)</f>
        <v>10.3</v>
      </c>
      <c r="I81" s="10">
        <f>IFERROR(VLOOKUP(A81,'Centre DW14'!$A$7:$N$160,9,FALSE),0)+
IFERROR(VLOOKUP(A81,'Centre WP14'!$A$7:$N$163,9,FALSE),0)+
IFERROR(VLOOKUP(A81,'Centre WR14'!$A$7:$N$160,9,FALSE),0)</f>
        <v>10.3</v>
      </c>
      <c r="J81" s="24">
        <f>IFERROR(VLOOKUP(A81,'Centre DW14'!$A$7:$N$160,10,FALSE),0)+
IFERROR(VLOOKUP(A81,'Centre WP14'!$A$7:$N$163,10,FALSE),0)+
IFERROR(VLOOKUP(A81,'Centre WR14'!$A$7:$N$160,10,FALSE),0)</f>
        <v>10.3</v>
      </c>
      <c r="K81" s="10">
        <f>IFERROR(VLOOKUP(A81,'Centre DW14'!$A$7:$N$160,11,FALSE),0)+
IFERROR(VLOOKUP(A81,'Centre WP14'!$A$7:$N$163,11,FALSE),0)+
IFERROR(VLOOKUP(A81,'Centre WR14'!$A$7:$N$160,11,FALSE),0)</f>
        <v>10.3</v>
      </c>
      <c r="L81" s="10">
        <f>IFERROR(VLOOKUP(A81,'Centre DW14'!$A$7:$N$160,12,FALSE),0)+
IFERROR(VLOOKUP(A81,'Centre WP14'!$A$7:$N$163,12,FALSE),0)+
IFERROR(VLOOKUP(A81,'Centre WR14'!$A$7:$N$160,12,FALSE),0)</f>
        <v>10.3</v>
      </c>
      <c r="M81" s="10">
        <f>IFERROR(VLOOKUP(A81,'Centre DW14'!$A$7:$N$160,13,FALSE),0)+
IFERROR(VLOOKUP(A81,'Centre WP14'!$A$7:$N$163,13,FALSE),0)+
IFERROR(VLOOKUP(A81,'Centre WR14'!$A$7:$N$160,13,FALSE),0)</f>
        <v>10.3</v>
      </c>
      <c r="N81" s="10">
        <f>IFERROR(VLOOKUP(A81,'Centre DW14'!$A$7:$N$160,14,FALSE),0)+
IFERROR(VLOOKUP(A81,'Centre WP14'!$A$7:$N$163,14,FALSE),0)+
IFERROR(VLOOKUP(A81,'Centre WR14'!$A$7:$N$160,14,FALSE),0)</f>
        <v>10.3</v>
      </c>
    </row>
    <row r="82" spans="1:14" hidden="1" outlineLevel="1" x14ac:dyDescent="0.2">
      <c r="A82" s="9" t="s">
        <v>177</v>
      </c>
      <c r="B82" s="1" t="s">
        <v>178</v>
      </c>
      <c r="C82" s="10">
        <f>IFERROR(VLOOKUP(A82,'Centre DW14'!$A$7:$N$160,3,FALSE),0)+
IFERROR(VLOOKUP(A82,'Centre WP14'!$A$7:$N$163,3,FALSE),0)+
IFERROR(VLOOKUP(A82,'Centre WR14'!$A$7:$N$160,3,FALSE),0)</f>
        <v>0.7</v>
      </c>
      <c r="D82" s="10">
        <f>IFERROR(VLOOKUP(A82,'Centre DW14'!$A$7:$N$160,4,FALSE),0)+
IFERROR(VLOOKUP(A82,'Centre WP14'!$A$7:$N$163,4,FALSE),0)+
IFERROR(VLOOKUP(A82,'Centre WR14'!$A$7:$N$160,4,FALSE),0)</f>
        <v>0.7</v>
      </c>
      <c r="E82" s="10">
        <f>IFERROR(VLOOKUP(A82,'Centre DW14'!$A$7:$N$160,5,FALSE),0)+
IFERROR(VLOOKUP(A82,'Centre WP14'!$A$7:$N$163,5,FALSE),0)+
IFERROR(VLOOKUP(A82,'Centre WR14'!$A$7:$N$160,5,FALSE),0)</f>
        <v>0.7</v>
      </c>
      <c r="F82" s="10">
        <f>IFERROR(VLOOKUP(A82,'Centre DW14'!$A$7:$N$160,6,FALSE),0)+
IFERROR(VLOOKUP(A82,'Centre WP14'!$A$7:$N$163,6,FALSE),0)+
IFERROR(VLOOKUP(A82,'Centre WR14'!$A$7:$N$160,6,FALSE),0)</f>
        <v>0.7</v>
      </c>
      <c r="G82" s="10">
        <f>IFERROR(VLOOKUP(A82,'Centre DW14'!$A$7:$N$160,7,FALSE),0)+
IFERROR(VLOOKUP(A82,'Centre WP14'!$A$7:$N$163,7,FALSE),0)+
IFERROR(VLOOKUP(A82,'Centre WR14'!$A$7:$N$160,7,FALSE),0)</f>
        <v>0.7</v>
      </c>
      <c r="H82" s="10">
        <f>IFERROR(VLOOKUP(A82,'Centre DW14'!$A$7:$N$160,8,FALSE),0)+
IFERROR(VLOOKUP(A82,'Centre WP14'!$A$7:$N$163,8,FALSE),0)+
IFERROR(VLOOKUP(A82,'Centre WR14'!$A$7:$N$160,8,FALSE),0)</f>
        <v>0.7</v>
      </c>
      <c r="I82" s="10">
        <f>IFERROR(VLOOKUP(A82,'Centre DW14'!$A$7:$N$160,9,FALSE),0)+
IFERROR(VLOOKUP(A82,'Centre WP14'!$A$7:$N$163,9,FALSE),0)+
IFERROR(VLOOKUP(A82,'Centre WR14'!$A$7:$N$160,9,FALSE),0)</f>
        <v>0.7</v>
      </c>
      <c r="J82" s="24">
        <f>IFERROR(VLOOKUP(A82,'Centre DW14'!$A$7:$N$160,10,FALSE),0)+
IFERROR(VLOOKUP(A82,'Centre WP14'!$A$7:$N$163,10,FALSE),0)+
IFERROR(VLOOKUP(A82,'Centre WR14'!$A$7:$N$160,10,FALSE),0)</f>
        <v>0.7</v>
      </c>
      <c r="K82" s="10">
        <f>IFERROR(VLOOKUP(A82,'Centre DW14'!$A$7:$N$160,11,FALSE),0)+
IFERROR(VLOOKUP(A82,'Centre WP14'!$A$7:$N$163,11,FALSE),0)+
IFERROR(VLOOKUP(A82,'Centre WR14'!$A$7:$N$160,11,FALSE),0)</f>
        <v>0.8</v>
      </c>
      <c r="L82" s="10">
        <f>IFERROR(VLOOKUP(A82,'Centre DW14'!$A$7:$N$160,12,FALSE),0)+
IFERROR(VLOOKUP(A82,'Centre WP14'!$A$7:$N$163,12,FALSE),0)+
IFERROR(VLOOKUP(A82,'Centre WR14'!$A$7:$N$160,12,FALSE),0)</f>
        <v>0.7</v>
      </c>
      <c r="M82" s="10">
        <f>IFERROR(VLOOKUP(A82,'Centre DW14'!$A$7:$N$160,13,FALSE),0)+
IFERROR(VLOOKUP(A82,'Centre WP14'!$A$7:$N$163,13,FALSE),0)+
IFERROR(VLOOKUP(A82,'Centre WR14'!$A$7:$N$160,13,FALSE),0)</f>
        <v>0.8</v>
      </c>
      <c r="N82" s="10">
        <f>IFERROR(VLOOKUP(A82,'Centre DW14'!$A$7:$N$160,14,FALSE),0)+
IFERROR(VLOOKUP(A82,'Centre WP14'!$A$7:$N$163,14,FALSE),0)+
IFERROR(VLOOKUP(A82,'Centre WR14'!$A$7:$N$160,14,FALSE),0)</f>
        <v>0.8</v>
      </c>
    </row>
    <row r="83" spans="1:14" hidden="1" outlineLevel="1" x14ac:dyDescent="0.2">
      <c r="A83" s="9" t="s">
        <v>179</v>
      </c>
      <c r="B83" s="1" t="s">
        <v>180</v>
      </c>
      <c r="C83" s="10">
        <f>IFERROR(VLOOKUP(A83,'Centre DW14'!$A$7:$N$160,3,FALSE),0)+
IFERROR(VLOOKUP(A83,'Centre WP14'!$A$7:$N$163,3,FALSE),0)+
IFERROR(VLOOKUP(A83,'Centre WR14'!$A$7:$N$160,3,FALSE),0)</f>
        <v>0</v>
      </c>
      <c r="D83" s="10">
        <f>IFERROR(VLOOKUP(A83,'Centre DW14'!$A$7:$N$160,4,FALSE),0)+
IFERROR(VLOOKUP(A83,'Centre WP14'!$A$7:$N$163,4,FALSE),0)+
IFERROR(VLOOKUP(A83,'Centre WR14'!$A$7:$N$160,4,FALSE),0)</f>
        <v>0</v>
      </c>
      <c r="E83" s="10">
        <f>IFERROR(VLOOKUP(A83,'Centre DW14'!$A$7:$N$160,5,FALSE),0)+
IFERROR(VLOOKUP(A83,'Centre WP14'!$A$7:$N$163,5,FALSE),0)+
IFERROR(VLOOKUP(A83,'Centre WR14'!$A$7:$N$160,5,FALSE),0)</f>
        <v>0</v>
      </c>
      <c r="F83" s="10">
        <f>IFERROR(VLOOKUP(A83,'Centre DW14'!$A$7:$N$160,6,FALSE),0)+
IFERROR(VLOOKUP(A83,'Centre WP14'!$A$7:$N$163,6,FALSE),0)+
IFERROR(VLOOKUP(A83,'Centre WR14'!$A$7:$N$160,6,FALSE),0)</f>
        <v>0</v>
      </c>
      <c r="G83" s="10">
        <f>IFERROR(VLOOKUP(A83,'Centre DW14'!$A$7:$N$160,7,FALSE),0)+
IFERROR(VLOOKUP(A83,'Centre WP14'!$A$7:$N$163,7,FALSE),0)+
IFERROR(VLOOKUP(A83,'Centre WR14'!$A$7:$N$160,7,FALSE),0)</f>
        <v>0</v>
      </c>
      <c r="H83" s="10">
        <f>IFERROR(VLOOKUP(A83,'Centre DW14'!$A$7:$N$160,8,FALSE),0)+
IFERROR(VLOOKUP(A83,'Centre WP14'!$A$7:$N$163,8,FALSE),0)+
IFERROR(VLOOKUP(A83,'Centre WR14'!$A$7:$N$160,8,FALSE),0)</f>
        <v>0</v>
      </c>
      <c r="I83" s="10">
        <f>IFERROR(VLOOKUP(A83,'Centre DW14'!$A$7:$N$160,9,FALSE),0)+
IFERROR(VLOOKUP(A83,'Centre WP14'!$A$7:$N$163,9,FALSE),0)+
IFERROR(VLOOKUP(A83,'Centre WR14'!$A$7:$N$160,9,FALSE),0)</f>
        <v>0</v>
      </c>
      <c r="J83" s="24">
        <f>IFERROR(VLOOKUP(A83,'Centre DW14'!$A$7:$N$160,10,FALSE),0)+
IFERROR(VLOOKUP(A83,'Centre WP14'!$A$7:$N$163,10,FALSE),0)+
IFERROR(VLOOKUP(A83,'Centre WR14'!$A$7:$N$160,10,FALSE),0)</f>
        <v>0</v>
      </c>
      <c r="K83" s="10">
        <f>IFERROR(VLOOKUP(A83,'Centre DW14'!$A$7:$N$160,11,FALSE),0)+
IFERROR(VLOOKUP(A83,'Centre WP14'!$A$7:$N$163,11,FALSE),0)+
IFERROR(VLOOKUP(A83,'Centre WR14'!$A$7:$N$160,11,FALSE),0)</f>
        <v>0</v>
      </c>
      <c r="L83" s="10">
        <f>IFERROR(VLOOKUP(A83,'Centre DW14'!$A$7:$N$160,12,FALSE),0)+
IFERROR(VLOOKUP(A83,'Centre WP14'!$A$7:$N$163,12,FALSE),0)+
IFERROR(VLOOKUP(A83,'Centre WR14'!$A$7:$N$160,12,FALSE),0)</f>
        <v>0</v>
      </c>
      <c r="M83" s="10">
        <f>IFERROR(VLOOKUP(A83,'Centre DW14'!$A$7:$N$160,13,FALSE),0)+
IFERROR(VLOOKUP(A83,'Centre WP14'!$A$7:$N$163,13,FALSE),0)+
IFERROR(VLOOKUP(A83,'Centre WR14'!$A$7:$N$160,13,FALSE),0)</f>
        <v>0</v>
      </c>
      <c r="N83" s="10">
        <f>IFERROR(VLOOKUP(A83,'Centre DW14'!$A$7:$N$160,14,FALSE),0)+
IFERROR(VLOOKUP(A83,'Centre WP14'!$A$7:$N$163,14,FALSE),0)+
IFERROR(VLOOKUP(A83,'Centre WR14'!$A$7:$N$160,14,FALSE),0)</f>
        <v>0</v>
      </c>
    </row>
    <row r="84" spans="1:14" collapsed="1" x14ac:dyDescent="0.2">
      <c r="A84" s="48" t="s">
        <v>200</v>
      </c>
      <c r="B84" s="49" t="s">
        <v>201</v>
      </c>
      <c r="C84" s="50">
        <f>SUM(C85:C88)</f>
        <v>1.1000000000000001</v>
      </c>
      <c r="D84" s="50">
        <f t="shared" ref="D84:N84" si="18">SUM(D85:D88)</f>
        <v>1.1000000000000001</v>
      </c>
      <c r="E84" s="50">
        <f t="shared" si="18"/>
        <v>1.1000000000000001</v>
      </c>
      <c r="F84" s="50">
        <f t="shared" si="18"/>
        <v>1.1000000000000001</v>
      </c>
      <c r="G84" s="50">
        <f t="shared" si="18"/>
        <v>1.1000000000000001</v>
      </c>
      <c r="H84" s="50">
        <f t="shared" si="18"/>
        <v>1.1000000000000001</v>
      </c>
      <c r="I84" s="50">
        <f t="shared" si="18"/>
        <v>1.1000000000000001</v>
      </c>
      <c r="J84" s="50">
        <f t="shared" si="18"/>
        <v>1.1000000000000001</v>
      </c>
      <c r="K84" s="50">
        <f t="shared" si="18"/>
        <v>1.1000000000000001</v>
      </c>
      <c r="L84" s="50">
        <f t="shared" si="18"/>
        <v>1.1000000000000001</v>
      </c>
      <c r="M84" s="50">
        <f t="shared" si="18"/>
        <v>1.1000000000000001</v>
      </c>
      <c r="N84" s="50">
        <f t="shared" si="18"/>
        <v>1.1000000000000001</v>
      </c>
    </row>
    <row r="85" spans="1:14" hidden="1" outlineLevel="1" x14ac:dyDescent="0.2">
      <c r="A85" s="9" t="s">
        <v>218</v>
      </c>
      <c r="B85" s="1" t="s">
        <v>219</v>
      </c>
      <c r="C85" s="10">
        <f>IFERROR(VLOOKUP(A85,'Centre DW14'!$A$7:$N$160,3,FALSE),0)+
IFERROR(VLOOKUP(A85,'Centre WP14'!$A$7:$N$163,3,FALSE),0)+
IFERROR(VLOOKUP(A85,'Centre WR14'!$A$7:$N$160,3,FALSE),0)</f>
        <v>1.1000000000000001</v>
      </c>
      <c r="D85" s="10">
        <f>IFERROR(VLOOKUP(A85,'Centre DW14'!$A$7:$N$160,4,FALSE),0)+
IFERROR(VLOOKUP(A85,'Centre WP14'!$A$7:$N$163,4,FALSE),0)+
IFERROR(VLOOKUP(A85,'Centre WR14'!$A$7:$N$160,4,FALSE),0)</f>
        <v>1.1000000000000001</v>
      </c>
      <c r="E85" s="10">
        <f>IFERROR(VLOOKUP(A85,'Centre DW14'!$A$7:$N$160,5,FALSE),0)+
IFERROR(VLOOKUP(A85,'Centre WP14'!$A$7:$N$163,5,FALSE),0)+
IFERROR(VLOOKUP(A85,'Centre WR14'!$A$7:$N$160,5,FALSE),0)</f>
        <v>1.1000000000000001</v>
      </c>
      <c r="F85" s="10">
        <f>IFERROR(VLOOKUP(A85,'Centre DW14'!$A$7:$N$160,6,FALSE),0)+
IFERROR(VLOOKUP(A85,'Centre WP14'!$A$7:$N$163,6,FALSE),0)+
IFERROR(VLOOKUP(A85,'Centre WR14'!$A$7:$N$160,6,FALSE),0)</f>
        <v>1.1000000000000001</v>
      </c>
      <c r="G85" s="10">
        <f>IFERROR(VLOOKUP(A85,'Centre DW14'!$A$7:$N$160,7,FALSE),0)+
IFERROR(VLOOKUP(A85,'Centre WP14'!$A$7:$N$163,7,FALSE),0)+
IFERROR(VLOOKUP(A85,'Centre WR14'!$A$7:$N$160,7,FALSE),0)</f>
        <v>1.1000000000000001</v>
      </c>
      <c r="H85" s="10">
        <f>IFERROR(VLOOKUP(A85,'Centre DW14'!$A$7:$N$160,8,FALSE),0)+
IFERROR(VLOOKUP(A85,'Centre WP14'!$A$7:$N$163,8,FALSE),0)+
IFERROR(VLOOKUP(A85,'Centre WR14'!$A$7:$N$160,8,FALSE),0)</f>
        <v>1.1000000000000001</v>
      </c>
      <c r="I85" s="10">
        <f>IFERROR(VLOOKUP(A85,'Centre DW14'!$A$7:$N$160,9,FALSE),0)+
IFERROR(VLOOKUP(A85,'Centre WP14'!$A$7:$N$163,9,FALSE),0)+
IFERROR(VLOOKUP(A85,'Centre WR14'!$A$7:$N$160,9,FALSE),0)</f>
        <v>1.1000000000000001</v>
      </c>
      <c r="J85" s="24">
        <f>IFERROR(VLOOKUP(A85,'Centre DW14'!$A$7:$N$160,10,FALSE),0)+
IFERROR(VLOOKUP(A85,'Centre WP14'!$A$7:$N$163,10,FALSE),0)+
IFERROR(VLOOKUP(A85,'Centre WR14'!$A$7:$N$160,10,FALSE),0)</f>
        <v>1.1000000000000001</v>
      </c>
      <c r="K85" s="10">
        <f>IFERROR(VLOOKUP(A85,'Centre DW14'!$A$7:$N$160,11,FALSE),0)+
IFERROR(VLOOKUP(A85,'Centre WP14'!$A$7:$N$163,11,FALSE),0)+
IFERROR(VLOOKUP(A85,'Centre WR14'!$A$7:$N$160,11,FALSE),0)</f>
        <v>1.1000000000000001</v>
      </c>
      <c r="L85" s="10">
        <f>IFERROR(VLOOKUP(A85,'Centre DW14'!$A$7:$N$160,12,FALSE),0)+
IFERROR(VLOOKUP(A85,'Centre WP14'!$A$7:$N$163,12,FALSE),0)+
IFERROR(VLOOKUP(A85,'Centre WR14'!$A$7:$N$160,12,FALSE),0)</f>
        <v>1.1000000000000001</v>
      </c>
      <c r="M85" s="10">
        <f>IFERROR(VLOOKUP(A85,'Centre DW14'!$A$7:$N$160,13,FALSE),0)+
IFERROR(VLOOKUP(A85,'Centre WP14'!$A$7:$N$163,13,FALSE),0)+
IFERROR(VLOOKUP(A85,'Centre WR14'!$A$7:$N$160,13,FALSE),0)</f>
        <v>1.1000000000000001</v>
      </c>
      <c r="N85" s="10">
        <f>IFERROR(VLOOKUP(A85,'Centre DW14'!$A$7:$N$160,14,FALSE),0)+
IFERROR(VLOOKUP(A85,'Centre WP14'!$A$7:$N$163,14,FALSE),0)+
IFERROR(VLOOKUP(A85,'Centre WR14'!$A$7:$N$160,14,FALSE),0)</f>
        <v>1.1000000000000001</v>
      </c>
    </row>
    <row r="86" spans="1:14" hidden="1" outlineLevel="1" x14ac:dyDescent="0.2">
      <c r="A86" s="9" t="s">
        <v>220</v>
      </c>
      <c r="B86" s="1" t="s">
        <v>221</v>
      </c>
      <c r="C86" s="10">
        <f>IFERROR(VLOOKUP(A86,'Centre DW14'!$A$7:$N$160,3,FALSE),0)+
IFERROR(VLOOKUP(A86,'Centre WP14'!$A$7:$N$163,3,FALSE),0)+
IFERROR(VLOOKUP(A86,'Centre WR14'!$A$7:$N$160,3,FALSE),0)</f>
        <v>0</v>
      </c>
      <c r="D86" s="10">
        <f>IFERROR(VLOOKUP(A86,'Centre DW14'!$A$7:$N$160,4,FALSE),0)+
IFERROR(VLOOKUP(A86,'Centre WP14'!$A$7:$N$163,4,FALSE),0)+
IFERROR(VLOOKUP(A86,'Centre WR14'!$A$7:$N$160,4,FALSE),0)</f>
        <v>0</v>
      </c>
      <c r="E86" s="10">
        <f>IFERROR(VLOOKUP(A86,'Centre DW14'!$A$7:$N$160,5,FALSE),0)+
IFERROR(VLOOKUP(A86,'Centre WP14'!$A$7:$N$163,5,FALSE),0)+
IFERROR(VLOOKUP(A86,'Centre WR14'!$A$7:$N$160,5,FALSE),0)</f>
        <v>0</v>
      </c>
      <c r="F86" s="10">
        <f>IFERROR(VLOOKUP(A86,'Centre DW14'!$A$7:$N$160,6,FALSE),0)+
IFERROR(VLOOKUP(A86,'Centre WP14'!$A$7:$N$163,6,FALSE),0)+
IFERROR(VLOOKUP(A86,'Centre WR14'!$A$7:$N$160,6,FALSE),0)</f>
        <v>0</v>
      </c>
      <c r="G86" s="10">
        <f>IFERROR(VLOOKUP(A86,'Centre DW14'!$A$7:$N$160,7,FALSE),0)+
IFERROR(VLOOKUP(A86,'Centre WP14'!$A$7:$N$163,7,FALSE),0)+
IFERROR(VLOOKUP(A86,'Centre WR14'!$A$7:$N$160,7,FALSE),0)</f>
        <v>0</v>
      </c>
      <c r="H86" s="10">
        <f>IFERROR(VLOOKUP(A86,'Centre DW14'!$A$7:$N$160,8,FALSE),0)+
IFERROR(VLOOKUP(A86,'Centre WP14'!$A$7:$N$163,8,FALSE),0)+
IFERROR(VLOOKUP(A86,'Centre WR14'!$A$7:$N$160,8,FALSE),0)</f>
        <v>0</v>
      </c>
      <c r="I86" s="10">
        <f>IFERROR(VLOOKUP(A86,'Centre DW14'!$A$7:$N$160,9,FALSE),0)+
IFERROR(VLOOKUP(A86,'Centre WP14'!$A$7:$N$163,9,FALSE),0)+
IFERROR(VLOOKUP(A86,'Centre WR14'!$A$7:$N$160,9,FALSE),0)</f>
        <v>0</v>
      </c>
      <c r="J86" s="24">
        <f>IFERROR(VLOOKUP(A86,'Centre DW14'!$A$7:$N$160,10,FALSE),0)+
IFERROR(VLOOKUP(A86,'Centre WP14'!$A$7:$N$163,10,FALSE),0)+
IFERROR(VLOOKUP(A86,'Centre WR14'!$A$7:$N$160,10,FALSE),0)</f>
        <v>0</v>
      </c>
      <c r="K86" s="10">
        <f>IFERROR(VLOOKUP(A86,'Centre DW14'!$A$7:$N$160,11,FALSE),0)+
IFERROR(VLOOKUP(A86,'Centre WP14'!$A$7:$N$163,11,FALSE),0)+
IFERROR(VLOOKUP(A86,'Centre WR14'!$A$7:$N$160,11,FALSE),0)</f>
        <v>0</v>
      </c>
      <c r="L86" s="10">
        <f>IFERROR(VLOOKUP(A86,'Centre DW14'!$A$7:$N$160,12,FALSE),0)+
IFERROR(VLOOKUP(A86,'Centre WP14'!$A$7:$N$163,12,FALSE),0)+
IFERROR(VLOOKUP(A86,'Centre WR14'!$A$7:$N$160,12,FALSE),0)</f>
        <v>0</v>
      </c>
      <c r="M86" s="10">
        <f>IFERROR(VLOOKUP(A86,'Centre DW14'!$A$7:$N$160,13,FALSE),0)+
IFERROR(VLOOKUP(A86,'Centre WP14'!$A$7:$N$163,13,FALSE),0)+
IFERROR(VLOOKUP(A86,'Centre WR14'!$A$7:$N$160,13,FALSE),0)</f>
        <v>0</v>
      </c>
      <c r="N86" s="10">
        <f>IFERROR(VLOOKUP(A86,'Centre DW14'!$A$7:$N$160,14,FALSE),0)+
IFERROR(VLOOKUP(A86,'Centre WP14'!$A$7:$N$163,14,FALSE),0)+
IFERROR(VLOOKUP(A86,'Centre WR14'!$A$7:$N$160,14,FALSE),0)</f>
        <v>0</v>
      </c>
    </row>
    <row r="87" spans="1:14" hidden="1" outlineLevel="1" x14ac:dyDescent="0.2">
      <c r="A87" s="9" t="s">
        <v>222</v>
      </c>
      <c r="B87" s="1" t="s">
        <v>223</v>
      </c>
      <c r="C87" s="10">
        <f>IFERROR(VLOOKUP(A87,'Centre DW14'!$A$7:$N$160,3,FALSE),0)+
IFERROR(VLOOKUP(A87,'Centre WP14'!$A$7:$N$163,3,FALSE),0)+
IFERROR(VLOOKUP(A87,'Centre WR14'!$A$7:$N$160,3,FALSE),0)</f>
        <v>0</v>
      </c>
      <c r="D87" s="10">
        <f>IFERROR(VLOOKUP(A87,'Centre DW14'!$A$7:$N$160,4,FALSE),0)+
IFERROR(VLOOKUP(A87,'Centre WP14'!$A$7:$N$163,4,FALSE),0)+
IFERROR(VLOOKUP(A87,'Centre WR14'!$A$7:$N$160,4,FALSE),0)</f>
        <v>0</v>
      </c>
      <c r="E87" s="10">
        <f>IFERROR(VLOOKUP(A87,'Centre DW14'!$A$7:$N$160,5,FALSE),0)+
IFERROR(VLOOKUP(A87,'Centre WP14'!$A$7:$N$163,5,FALSE),0)+
IFERROR(VLOOKUP(A87,'Centre WR14'!$A$7:$N$160,5,FALSE),0)</f>
        <v>0</v>
      </c>
      <c r="F87" s="10">
        <f>IFERROR(VLOOKUP(A87,'Centre DW14'!$A$7:$N$160,6,FALSE),0)+
IFERROR(VLOOKUP(A87,'Centre WP14'!$A$7:$N$163,6,FALSE),0)+
IFERROR(VLOOKUP(A87,'Centre WR14'!$A$7:$N$160,6,FALSE),0)</f>
        <v>0</v>
      </c>
      <c r="G87" s="10">
        <f>IFERROR(VLOOKUP(A87,'Centre DW14'!$A$7:$N$160,7,FALSE),0)+
IFERROR(VLOOKUP(A87,'Centre WP14'!$A$7:$N$163,7,FALSE),0)+
IFERROR(VLOOKUP(A87,'Centre WR14'!$A$7:$N$160,7,FALSE),0)</f>
        <v>0</v>
      </c>
      <c r="H87" s="10">
        <f>IFERROR(VLOOKUP(A87,'Centre DW14'!$A$7:$N$160,8,FALSE),0)+
IFERROR(VLOOKUP(A87,'Centre WP14'!$A$7:$N$163,8,FALSE),0)+
IFERROR(VLOOKUP(A87,'Centre WR14'!$A$7:$N$160,8,FALSE),0)</f>
        <v>0</v>
      </c>
      <c r="I87" s="10">
        <f>IFERROR(VLOOKUP(A87,'Centre DW14'!$A$7:$N$160,9,FALSE),0)+
IFERROR(VLOOKUP(A87,'Centre WP14'!$A$7:$N$163,9,FALSE),0)+
IFERROR(VLOOKUP(A87,'Centre WR14'!$A$7:$N$160,9,FALSE),0)</f>
        <v>0</v>
      </c>
      <c r="J87" s="24">
        <f>IFERROR(VLOOKUP(A87,'Centre DW14'!$A$7:$N$160,10,FALSE),0)+
IFERROR(VLOOKUP(A87,'Centre WP14'!$A$7:$N$163,10,FALSE),0)+
IFERROR(VLOOKUP(A87,'Centre WR14'!$A$7:$N$160,10,FALSE),0)</f>
        <v>0</v>
      </c>
      <c r="K87" s="10">
        <f>IFERROR(VLOOKUP(A87,'Centre DW14'!$A$7:$N$160,11,FALSE),0)+
IFERROR(VLOOKUP(A87,'Centre WP14'!$A$7:$N$163,11,FALSE),0)+
IFERROR(VLOOKUP(A87,'Centre WR14'!$A$7:$N$160,11,FALSE),0)</f>
        <v>0</v>
      </c>
      <c r="L87" s="10">
        <f>IFERROR(VLOOKUP(A87,'Centre DW14'!$A$7:$N$160,12,FALSE),0)+
IFERROR(VLOOKUP(A87,'Centre WP14'!$A$7:$N$163,12,FALSE),0)+
IFERROR(VLOOKUP(A87,'Centre WR14'!$A$7:$N$160,12,FALSE),0)</f>
        <v>0</v>
      </c>
      <c r="M87" s="10">
        <f>IFERROR(VLOOKUP(A87,'Centre DW14'!$A$7:$N$160,13,FALSE),0)+
IFERROR(VLOOKUP(A87,'Centre WP14'!$A$7:$N$163,13,FALSE),0)+
IFERROR(VLOOKUP(A87,'Centre WR14'!$A$7:$N$160,13,FALSE),0)</f>
        <v>0</v>
      </c>
      <c r="N87" s="10">
        <f>IFERROR(VLOOKUP(A87,'Centre DW14'!$A$7:$N$160,14,FALSE),0)+
IFERROR(VLOOKUP(A87,'Centre WP14'!$A$7:$N$163,14,FALSE),0)+
IFERROR(VLOOKUP(A87,'Centre WR14'!$A$7:$N$160,14,FALSE),0)</f>
        <v>0</v>
      </c>
    </row>
    <row r="88" spans="1:14" hidden="1" outlineLevel="1" x14ac:dyDescent="0.2">
      <c r="A88" s="9" t="s">
        <v>224</v>
      </c>
      <c r="B88" s="1" t="s">
        <v>225</v>
      </c>
      <c r="C88" s="10">
        <f>IFERROR(VLOOKUP(A88,'Centre DW14'!$A$7:$N$160,3,FALSE),0)+
IFERROR(VLOOKUP(A88,'Centre WP14'!$A$7:$N$163,3,FALSE),0)+
IFERROR(VLOOKUP(A88,'Centre WR14'!$A$7:$N$160,3,FALSE),0)</f>
        <v>0</v>
      </c>
      <c r="D88" s="10">
        <f>IFERROR(VLOOKUP(A88,'Centre DW14'!$A$7:$N$160,4,FALSE),0)+
IFERROR(VLOOKUP(A88,'Centre WP14'!$A$7:$N$163,4,FALSE),0)+
IFERROR(VLOOKUP(A88,'Centre WR14'!$A$7:$N$160,4,FALSE),0)</f>
        <v>0</v>
      </c>
      <c r="E88" s="10">
        <f>IFERROR(VLOOKUP(A88,'Centre DW14'!$A$7:$N$160,5,FALSE),0)+
IFERROR(VLOOKUP(A88,'Centre WP14'!$A$7:$N$163,5,FALSE),0)+
IFERROR(VLOOKUP(A88,'Centre WR14'!$A$7:$N$160,5,FALSE),0)</f>
        <v>0</v>
      </c>
      <c r="F88" s="10">
        <f>IFERROR(VLOOKUP(A88,'Centre DW14'!$A$7:$N$160,6,FALSE),0)+
IFERROR(VLOOKUP(A88,'Centre WP14'!$A$7:$N$163,6,FALSE),0)+
IFERROR(VLOOKUP(A88,'Centre WR14'!$A$7:$N$160,6,FALSE),0)</f>
        <v>0</v>
      </c>
      <c r="G88" s="10">
        <f>IFERROR(VLOOKUP(A88,'Centre DW14'!$A$7:$N$160,7,FALSE),0)+
IFERROR(VLOOKUP(A88,'Centre WP14'!$A$7:$N$163,7,FALSE),0)+
IFERROR(VLOOKUP(A88,'Centre WR14'!$A$7:$N$160,7,FALSE),0)</f>
        <v>0</v>
      </c>
      <c r="H88" s="10">
        <f>IFERROR(VLOOKUP(A88,'Centre DW14'!$A$7:$N$160,8,FALSE),0)+
IFERROR(VLOOKUP(A88,'Centre WP14'!$A$7:$N$163,8,FALSE),0)+
IFERROR(VLOOKUP(A88,'Centre WR14'!$A$7:$N$160,8,FALSE),0)</f>
        <v>0</v>
      </c>
      <c r="I88" s="10">
        <f>IFERROR(VLOOKUP(A88,'Centre DW14'!$A$7:$N$160,9,FALSE),0)+
IFERROR(VLOOKUP(A88,'Centre WP14'!$A$7:$N$163,9,FALSE),0)+
IFERROR(VLOOKUP(A88,'Centre WR14'!$A$7:$N$160,9,FALSE),0)</f>
        <v>0</v>
      </c>
      <c r="J88" s="24">
        <f>IFERROR(VLOOKUP(A88,'Centre DW14'!$A$7:$N$160,10,FALSE),0)+
IFERROR(VLOOKUP(A88,'Centre WP14'!$A$7:$N$163,10,FALSE),0)+
IFERROR(VLOOKUP(A88,'Centre WR14'!$A$7:$N$160,10,FALSE),0)</f>
        <v>0</v>
      </c>
      <c r="K88" s="10">
        <f>IFERROR(VLOOKUP(A88,'Centre DW14'!$A$7:$N$160,11,FALSE),0)+
IFERROR(VLOOKUP(A88,'Centre WP14'!$A$7:$N$163,11,FALSE),0)+
IFERROR(VLOOKUP(A88,'Centre WR14'!$A$7:$N$160,11,FALSE),0)</f>
        <v>0</v>
      </c>
      <c r="L88" s="10">
        <f>IFERROR(VLOOKUP(A88,'Centre DW14'!$A$7:$N$160,12,FALSE),0)+
IFERROR(VLOOKUP(A88,'Centre WP14'!$A$7:$N$163,12,FALSE),0)+
IFERROR(VLOOKUP(A88,'Centre WR14'!$A$7:$N$160,12,FALSE),0)</f>
        <v>0</v>
      </c>
      <c r="M88" s="10">
        <f>IFERROR(VLOOKUP(A88,'Centre DW14'!$A$7:$N$160,13,FALSE),0)+
IFERROR(VLOOKUP(A88,'Centre WP14'!$A$7:$N$163,13,FALSE),0)+
IFERROR(VLOOKUP(A88,'Centre WR14'!$A$7:$N$160,13,FALSE),0)</f>
        <v>0</v>
      </c>
      <c r="N88" s="10">
        <f>IFERROR(VLOOKUP(A88,'Centre DW14'!$A$7:$N$160,14,FALSE),0)+
IFERROR(VLOOKUP(A88,'Centre WP14'!$A$7:$N$163,14,FALSE),0)+
IFERROR(VLOOKUP(A88,'Centre WR14'!$A$7:$N$160,14,FALSE),0)</f>
        <v>0</v>
      </c>
    </row>
    <row r="89" spans="1:14" collapsed="1" x14ac:dyDescent="0.2">
      <c r="A89" s="48" t="s">
        <v>226</v>
      </c>
      <c r="B89" s="49" t="s">
        <v>227</v>
      </c>
      <c r="C89" s="50">
        <f>IFERROR(VLOOKUP(A89,'Centre DW14'!$A$7:$N$160,3,FALSE),0)+
IFERROR(VLOOKUP(A89,'Centre WP14'!$A$7:$N$163,3,FALSE),0)+
IFERROR(VLOOKUP(A89,'Centre WR14'!$A$7:$N$160,3,FALSE),0)</f>
        <v>0</v>
      </c>
      <c r="D89" s="50">
        <f>IFERROR(VLOOKUP(A89,'Centre DW14'!$A$7:$N$160,4,FALSE),0)+
IFERROR(VLOOKUP(A89,'Centre WP14'!$A$7:$N$163,4,FALSE),0)+
IFERROR(VLOOKUP(A89,'Centre WR14'!$A$7:$N$160,4,FALSE),0)</f>
        <v>0</v>
      </c>
      <c r="E89" s="50">
        <f>IFERROR(VLOOKUP(A89,'Centre DW14'!$A$7:$N$160,5,FALSE),0)+
IFERROR(VLOOKUP(A89,'Centre WP14'!$A$7:$N$163,5,FALSE),0)+
IFERROR(VLOOKUP(A89,'Centre WR14'!$A$7:$N$160,5,FALSE),0)</f>
        <v>0</v>
      </c>
      <c r="F89" s="50">
        <f>IFERROR(VLOOKUP(A89,'Centre DW14'!$A$7:$N$160,6,FALSE),0)+
IFERROR(VLOOKUP(A89,'Centre WP14'!$A$7:$N$163,6,FALSE),0)+
IFERROR(VLOOKUP(A89,'Centre WR14'!$A$7:$N$160,6,FALSE),0)</f>
        <v>0</v>
      </c>
      <c r="G89" s="50">
        <f>IFERROR(VLOOKUP(A89,'Centre DW14'!$A$7:$N$160,7,FALSE),0)+
IFERROR(VLOOKUP(A89,'Centre WP14'!$A$7:$N$163,7,FALSE),0)+
IFERROR(VLOOKUP(A89,'Centre WR14'!$A$7:$N$160,7,FALSE),0)</f>
        <v>0</v>
      </c>
      <c r="H89" s="50">
        <f>IFERROR(VLOOKUP(A89,'Centre DW14'!$A$7:$N$160,8,FALSE),0)+
IFERROR(VLOOKUP(A89,'Centre WP14'!$A$7:$N$163,8,FALSE),0)+
IFERROR(VLOOKUP(A89,'Centre WR14'!$A$7:$N$160,8,FALSE),0)</f>
        <v>0</v>
      </c>
      <c r="I89" s="50">
        <f>IFERROR(VLOOKUP(A89,'Centre DW14'!$A$7:$N$160,9,FALSE),0)+
IFERROR(VLOOKUP(A89,'Centre WP14'!$A$7:$N$163,9,FALSE),0)+
IFERROR(VLOOKUP(A89,'Centre WR14'!$A$7:$N$160,9,FALSE),0)</f>
        <v>0</v>
      </c>
      <c r="J89" s="50">
        <f>IFERROR(VLOOKUP(A89,'Centre DW14'!$A$7:$N$160,10,FALSE),0)+
IFERROR(VLOOKUP(A89,'Centre WP14'!$A$7:$N$163,10,FALSE),0)+
IFERROR(VLOOKUP(A89,'Centre WR14'!$A$7:$N$160,10,FALSE),0)</f>
        <v>0</v>
      </c>
      <c r="K89" s="50">
        <f>IFERROR(VLOOKUP(A89,'Centre DW14'!$A$7:$N$160,11,FALSE),0)+
IFERROR(VLOOKUP(A89,'Centre WP14'!$A$7:$N$163,11,FALSE),0)+
IFERROR(VLOOKUP(A89,'Centre WR14'!$A$7:$N$160,11,FALSE),0)</f>
        <v>0</v>
      </c>
      <c r="L89" s="50">
        <f>IFERROR(VLOOKUP(A89,'Centre DW14'!$A$7:$N$160,12,FALSE),0)+
IFERROR(VLOOKUP(A89,'Centre WP14'!$A$7:$N$163,12,FALSE),0)+
IFERROR(VLOOKUP(A89,'Centre WR14'!$A$7:$N$160,12,FALSE),0)</f>
        <v>0</v>
      </c>
      <c r="M89" s="50">
        <f>IFERROR(VLOOKUP(A89,'Centre DW14'!$A$7:$N$160,13,FALSE),0)+
IFERROR(VLOOKUP(A89,'Centre WP14'!$A$7:$N$163,13,FALSE),0)+
IFERROR(VLOOKUP(A89,'Centre WR14'!$A$7:$N$160,13,FALSE),0)</f>
        <v>0</v>
      </c>
      <c r="N89" s="50">
        <f>IFERROR(VLOOKUP(A89,'Centre DW14'!$A$7:$N$160,14,FALSE),0)+
IFERROR(VLOOKUP(A89,'Centre WP14'!$A$7:$N$163,14,FALSE),0)+
IFERROR(VLOOKUP(A89,'Centre WR14'!$A$7:$N$160,14,FALSE),0)</f>
        <v>0</v>
      </c>
    </row>
    <row r="90" spans="1:14" x14ac:dyDescent="0.2">
      <c r="A90" s="48" t="s">
        <v>228</v>
      </c>
      <c r="B90" s="49" t="s">
        <v>229</v>
      </c>
      <c r="C90" s="50">
        <f>IFERROR(VLOOKUP(A90,'Centre DW14'!$A$7:$N$160,3,FALSE),0)+
IFERROR(VLOOKUP(A90,'Centre WP14'!$A$7:$N$163,3,FALSE),0)+
IFERROR(VLOOKUP(A90,'Centre WR14'!$A$7:$N$160,3,FALSE),0)</f>
        <v>0</v>
      </c>
      <c r="D90" s="50">
        <f>IFERROR(VLOOKUP(A90,'Centre DW14'!$A$7:$N$160,4,FALSE),0)+
IFERROR(VLOOKUP(A90,'Centre WP14'!$A$7:$N$163,4,FALSE),0)+
IFERROR(VLOOKUP(A90,'Centre WR14'!$A$7:$N$160,4,FALSE),0)</f>
        <v>0</v>
      </c>
      <c r="E90" s="50">
        <f>IFERROR(VLOOKUP(A90,'Centre DW14'!$A$7:$N$160,5,FALSE),0)+
IFERROR(VLOOKUP(A90,'Centre WP14'!$A$7:$N$163,5,FALSE),0)+
IFERROR(VLOOKUP(A90,'Centre WR14'!$A$7:$N$160,5,FALSE),0)</f>
        <v>0</v>
      </c>
      <c r="F90" s="50">
        <f>IFERROR(VLOOKUP(A90,'Centre DW14'!$A$7:$N$160,6,FALSE),0)+
IFERROR(VLOOKUP(A90,'Centre WP14'!$A$7:$N$163,6,FALSE),0)+
IFERROR(VLOOKUP(A90,'Centre WR14'!$A$7:$N$160,6,FALSE),0)</f>
        <v>0</v>
      </c>
      <c r="G90" s="50">
        <f>IFERROR(VLOOKUP(A90,'Centre DW14'!$A$7:$N$160,7,FALSE),0)+
IFERROR(VLOOKUP(A90,'Centre WP14'!$A$7:$N$163,7,FALSE),0)+
IFERROR(VLOOKUP(A90,'Centre WR14'!$A$7:$N$160,7,FALSE),0)</f>
        <v>0</v>
      </c>
      <c r="H90" s="50">
        <f>IFERROR(VLOOKUP(A90,'Centre DW14'!$A$7:$N$160,8,FALSE),0)+
IFERROR(VLOOKUP(A90,'Centre WP14'!$A$7:$N$163,8,FALSE),0)+
IFERROR(VLOOKUP(A90,'Centre WR14'!$A$7:$N$160,8,FALSE),0)</f>
        <v>0</v>
      </c>
      <c r="I90" s="50">
        <f>IFERROR(VLOOKUP(A90,'Centre DW14'!$A$7:$N$160,9,FALSE),0)+
IFERROR(VLOOKUP(A90,'Centre WP14'!$A$7:$N$163,9,FALSE),0)+
IFERROR(VLOOKUP(A90,'Centre WR14'!$A$7:$N$160,9,FALSE),0)</f>
        <v>0</v>
      </c>
      <c r="J90" s="50">
        <f>IFERROR(VLOOKUP(A90,'Centre DW14'!$A$7:$N$160,10,FALSE),0)+
IFERROR(VLOOKUP(A90,'Centre WP14'!$A$7:$N$163,10,FALSE),0)+
IFERROR(VLOOKUP(A90,'Centre WR14'!$A$7:$N$160,10,FALSE),0)</f>
        <v>0</v>
      </c>
      <c r="K90" s="50">
        <f>IFERROR(VLOOKUP(A90,'Centre DW14'!$A$7:$N$160,11,FALSE),0)+
IFERROR(VLOOKUP(A90,'Centre WP14'!$A$7:$N$163,11,FALSE),0)+
IFERROR(VLOOKUP(A90,'Centre WR14'!$A$7:$N$160,11,FALSE),0)</f>
        <v>0</v>
      </c>
      <c r="L90" s="50">
        <f>IFERROR(VLOOKUP(A90,'Centre DW14'!$A$7:$N$160,12,FALSE),0)+
IFERROR(VLOOKUP(A90,'Centre WP14'!$A$7:$N$163,12,FALSE),0)+
IFERROR(VLOOKUP(A90,'Centre WR14'!$A$7:$N$160,12,FALSE),0)</f>
        <v>0</v>
      </c>
      <c r="M90" s="50">
        <f>IFERROR(VLOOKUP(A90,'Centre DW14'!$A$7:$N$160,13,FALSE),0)+
IFERROR(VLOOKUP(A90,'Centre WP14'!$A$7:$N$163,13,FALSE),0)+
IFERROR(VLOOKUP(A90,'Centre WR14'!$A$7:$N$160,13,FALSE),0)</f>
        <v>0</v>
      </c>
      <c r="N90" s="50">
        <f>IFERROR(VLOOKUP(A90,'Centre DW14'!$A$7:$N$160,14,FALSE),0)+
IFERROR(VLOOKUP(A90,'Centre WP14'!$A$7:$N$163,14,FALSE),0)+
IFERROR(VLOOKUP(A90,'Centre WR14'!$A$7:$N$160,14,FALSE),0)</f>
        <v>0</v>
      </c>
    </row>
    <row r="91" spans="1:14" x14ac:dyDescent="0.2">
      <c r="A91" s="48" t="s">
        <v>230</v>
      </c>
      <c r="B91" s="49" t="s">
        <v>231</v>
      </c>
      <c r="C91" s="50">
        <f>SUM(C92:C93)</f>
        <v>5.9</v>
      </c>
      <c r="D91" s="50">
        <f t="shared" ref="D91:N91" si="19">SUM(D92:D93)</f>
        <v>5.9</v>
      </c>
      <c r="E91" s="50">
        <f t="shared" si="19"/>
        <v>5.9</v>
      </c>
      <c r="F91" s="50">
        <f t="shared" si="19"/>
        <v>5.9</v>
      </c>
      <c r="G91" s="50">
        <f t="shared" si="19"/>
        <v>5.9</v>
      </c>
      <c r="H91" s="50">
        <f t="shared" si="19"/>
        <v>5.9</v>
      </c>
      <c r="I91" s="50">
        <f t="shared" si="19"/>
        <v>5.9</v>
      </c>
      <c r="J91" s="50">
        <f t="shared" si="19"/>
        <v>5.9</v>
      </c>
      <c r="K91" s="50">
        <f t="shared" si="19"/>
        <v>5.9</v>
      </c>
      <c r="L91" s="50">
        <f t="shared" si="19"/>
        <v>5.5</v>
      </c>
      <c r="M91" s="50">
        <f t="shared" si="19"/>
        <v>5.9</v>
      </c>
      <c r="N91" s="50">
        <f t="shared" si="19"/>
        <v>5.9</v>
      </c>
    </row>
    <row r="92" spans="1:14" hidden="1" outlineLevel="1" x14ac:dyDescent="0.2">
      <c r="A92" s="9" t="s">
        <v>232</v>
      </c>
      <c r="B92" s="1" t="s">
        <v>233</v>
      </c>
      <c r="C92" s="10">
        <f>IFERROR(VLOOKUP(A92,'Centre DW14'!$A$7:$N$160,3,FALSE),0)+
IFERROR(VLOOKUP(A92,'Centre WP14'!$A$7:$N$163,3,FALSE),0)+
IFERROR(VLOOKUP(A92,'Centre WR14'!$A$7:$N$160,3,FALSE),0)</f>
        <v>5.9</v>
      </c>
      <c r="D92" s="10">
        <f>IFERROR(VLOOKUP(A92,'Centre DW14'!$A$7:$N$160,4,FALSE),0)+
IFERROR(VLOOKUP(A92,'Centre WP14'!$A$7:$N$163,4,FALSE),0)+
IFERROR(VLOOKUP(A92,'Centre WR14'!$A$7:$N$160,4,FALSE),0)</f>
        <v>5.9</v>
      </c>
      <c r="E92" s="10">
        <f>IFERROR(VLOOKUP(A92,'Centre DW14'!$A$7:$N$160,5,FALSE),0)+
IFERROR(VLOOKUP(A92,'Centre WP14'!$A$7:$N$163,5,FALSE),0)+
IFERROR(VLOOKUP(A92,'Centre WR14'!$A$7:$N$160,5,FALSE),0)</f>
        <v>5.9</v>
      </c>
      <c r="F92" s="10">
        <f>IFERROR(VLOOKUP(A92,'Centre DW14'!$A$7:$N$160,6,FALSE),0)+
IFERROR(VLOOKUP(A92,'Centre WP14'!$A$7:$N$163,6,FALSE),0)+
IFERROR(VLOOKUP(A92,'Centre WR14'!$A$7:$N$160,6,FALSE),0)</f>
        <v>5.9</v>
      </c>
      <c r="G92" s="10">
        <f>IFERROR(VLOOKUP(A92,'Centre DW14'!$A$7:$N$160,7,FALSE),0)+
IFERROR(VLOOKUP(A92,'Centre WP14'!$A$7:$N$163,7,FALSE),0)+
IFERROR(VLOOKUP(A92,'Centre WR14'!$A$7:$N$160,7,FALSE),0)</f>
        <v>5.9</v>
      </c>
      <c r="H92" s="10">
        <f>IFERROR(VLOOKUP(A92,'Centre DW14'!$A$7:$N$160,8,FALSE),0)+
IFERROR(VLOOKUP(A92,'Centre WP14'!$A$7:$N$163,8,FALSE),0)+
IFERROR(VLOOKUP(A92,'Centre WR14'!$A$7:$N$160,8,FALSE),0)</f>
        <v>5.9</v>
      </c>
      <c r="I92" s="10">
        <f>IFERROR(VLOOKUP(A92,'Centre DW14'!$A$7:$N$160,9,FALSE),0)+
IFERROR(VLOOKUP(A92,'Centre WP14'!$A$7:$N$163,9,FALSE),0)+
IFERROR(VLOOKUP(A92,'Centre WR14'!$A$7:$N$160,9,FALSE),0)</f>
        <v>5.9</v>
      </c>
      <c r="J92" s="24">
        <f>IFERROR(VLOOKUP(A92,'Centre DW14'!$A$7:$N$160,10,FALSE),0)+
IFERROR(VLOOKUP(A92,'Centre WP14'!$A$7:$N$163,10,FALSE),0)+
IFERROR(VLOOKUP(A92,'Centre WR14'!$A$7:$N$160,10,FALSE),0)</f>
        <v>5.9</v>
      </c>
      <c r="K92" s="10">
        <f>IFERROR(VLOOKUP(A92,'Centre DW14'!$A$7:$N$160,11,FALSE),0)+
IFERROR(VLOOKUP(A92,'Centre WP14'!$A$7:$N$163,11,FALSE),0)+
IFERROR(VLOOKUP(A92,'Centre WR14'!$A$7:$N$160,11,FALSE),0)</f>
        <v>5.9</v>
      </c>
      <c r="L92" s="10">
        <f>IFERROR(VLOOKUP(A92,'Centre DW14'!$A$7:$N$160,12,FALSE),0)+
IFERROR(VLOOKUP(A92,'Centre WP14'!$A$7:$N$163,12,FALSE),0)+
IFERROR(VLOOKUP(A92,'Centre WR14'!$A$7:$N$160,12,FALSE),0)</f>
        <v>5.9</v>
      </c>
      <c r="M92" s="10">
        <f>IFERROR(VLOOKUP(A92,'Centre DW14'!$A$7:$N$160,13,FALSE),0)+
IFERROR(VLOOKUP(A92,'Centre WP14'!$A$7:$N$163,13,FALSE),0)+
IFERROR(VLOOKUP(A92,'Centre WR14'!$A$7:$N$160,13,FALSE),0)</f>
        <v>5.9</v>
      </c>
      <c r="N92" s="10">
        <f>IFERROR(VLOOKUP(A92,'Centre DW14'!$A$7:$N$160,14,FALSE),0)+
IFERROR(VLOOKUP(A92,'Centre WP14'!$A$7:$N$163,14,FALSE),0)+
IFERROR(VLOOKUP(A92,'Centre WR14'!$A$7:$N$160,14,FALSE),0)</f>
        <v>5.9</v>
      </c>
    </row>
    <row r="93" spans="1:14" hidden="1" outlineLevel="1" x14ac:dyDescent="0.2">
      <c r="A93" s="9" t="s">
        <v>234</v>
      </c>
      <c r="B93" s="1" t="s">
        <v>235</v>
      </c>
      <c r="C93" s="10">
        <f>IFERROR(VLOOKUP(A93,'Centre DW14'!$A$7:$N$160,3,FALSE),0)+
IFERROR(VLOOKUP(A93,'Centre WP14'!$A$7:$N$163,3,FALSE),0)+
IFERROR(VLOOKUP(A93,'Centre WR14'!$A$7:$N$160,3,FALSE),0)</f>
        <v>0</v>
      </c>
      <c r="D93" s="10">
        <f>IFERROR(VLOOKUP(A93,'Centre DW14'!$A$7:$N$160,4,FALSE),0)+
IFERROR(VLOOKUP(A93,'Centre WP14'!$A$7:$N$163,4,FALSE),0)+
IFERROR(VLOOKUP(A93,'Centre WR14'!$A$7:$N$160,4,FALSE),0)</f>
        <v>0</v>
      </c>
      <c r="E93" s="10">
        <f>IFERROR(VLOOKUP(A93,'Centre DW14'!$A$7:$N$160,5,FALSE),0)+
IFERROR(VLOOKUP(A93,'Centre WP14'!$A$7:$N$163,5,FALSE),0)+
IFERROR(VLOOKUP(A93,'Centre WR14'!$A$7:$N$160,5,FALSE),0)</f>
        <v>0</v>
      </c>
      <c r="F93" s="10">
        <f>IFERROR(VLOOKUP(A93,'Centre DW14'!$A$7:$N$160,6,FALSE),0)+
IFERROR(VLOOKUP(A93,'Centre WP14'!$A$7:$N$163,6,FALSE),0)+
IFERROR(VLOOKUP(A93,'Centre WR14'!$A$7:$N$160,6,FALSE),0)</f>
        <v>0</v>
      </c>
      <c r="G93" s="10">
        <f>IFERROR(VLOOKUP(A93,'Centre DW14'!$A$7:$N$160,7,FALSE),0)+
IFERROR(VLOOKUP(A93,'Centre WP14'!$A$7:$N$163,7,FALSE),0)+
IFERROR(VLOOKUP(A93,'Centre WR14'!$A$7:$N$160,7,FALSE),0)</f>
        <v>0</v>
      </c>
      <c r="H93" s="10">
        <f>IFERROR(VLOOKUP(A93,'Centre DW14'!$A$7:$N$160,8,FALSE),0)+
IFERROR(VLOOKUP(A93,'Centre WP14'!$A$7:$N$163,8,FALSE),0)+
IFERROR(VLOOKUP(A93,'Centre WR14'!$A$7:$N$160,8,FALSE),0)</f>
        <v>0</v>
      </c>
      <c r="I93" s="10">
        <f>IFERROR(VLOOKUP(A93,'Centre DW14'!$A$7:$N$160,9,FALSE),0)+
IFERROR(VLOOKUP(A93,'Centre WP14'!$A$7:$N$163,9,FALSE),0)+
IFERROR(VLOOKUP(A93,'Centre WR14'!$A$7:$N$160,9,FALSE),0)</f>
        <v>0</v>
      </c>
      <c r="J93" s="24">
        <f>IFERROR(VLOOKUP(A93,'Centre DW14'!$A$7:$N$160,10,FALSE),0)+
IFERROR(VLOOKUP(A93,'Centre WP14'!$A$7:$N$163,10,FALSE),0)+
IFERROR(VLOOKUP(A93,'Centre WR14'!$A$7:$N$160,10,FALSE),0)</f>
        <v>0</v>
      </c>
      <c r="K93" s="10">
        <f>IFERROR(VLOOKUP(A93,'Centre DW14'!$A$7:$N$160,11,FALSE),0)+
IFERROR(VLOOKUP(A93,'Centre WP14'!$A$7:$N$163,11,FALSE),0)+
IFERROR(VLOOKUP(A93,'Centre WR14'!$A$7:$N$160,11,FALSE),0)</f>
        <v>0</v>
      </c>
      <c r="L93" s="10">
        <f>IFERROR(VLOOKUP(A93,'Centre DW14'!$A$7:$N$160,12,FALSE),0)+
IFERROR(VLOOKUP(A93,'Centre WP14'!$A$7:$N$163,12,FALSE),0)+
IFERROR(VLOOKUP(A93,'Centre WR14'!$A$7:$N$160,12,FALSE),0)</f>
        <v>-0.4</v>
      </c>
      <c r="M93" s="10">
        <f>IFERROR(VLOOKUP(A93,'Centre DW14'!$A$7:$N$160,13,FALSE),0)+
IFERROR(VLOOKUP(A93,'Centre WP14'!$A$7:$N$163,13,FALSE),0)+
IFERROR(VLOOKUP(A93,'Centre WR14'!$A$7:$N$160,13,FALSE),0)</f>
        <v>0</v>
      </c>
      <c r="N93" s="10">
        <f>IFERROR(VLOOKUP(A93,'Centre DW14'!$A$7:$N$160,14,FALSE),0)+
IFERROR(VLOOKUP(A93,'Centre WP14'!$A$7:$N$163,14,FALSE),0)+
IFERROR(VLOOKUP(A93,'Centre WR14'!$A$7:$N$160,14,FALSE),0)</f>
        <v>0</v>
      </c>
    </row>
    <row r="94" spans="1:14" collapsed="1" x14ac:dyDescent="0.2">
      <c r="A94" s="52"/>
      <c r="B94" s="52" t="s">
        <v>236</v>
      </c>
      <c r="C94" s="53">
        <f t="shared" ref="C94:N94" si="20">+C77+C84+C89+C90+C91</f>
        <v>19.7</v>
      </c>
      <c r="D94" s="53">
        <f t="shared" si="20"/>
        <v>19.7</v>
      </c>
      <c r="E94" s="53">
        <f t="shared" si="20"/>
        <v>19.7</v>
      </c>
      <c r="F94" s="53">
        <f t="shared" si="20"/>
        <v>19.7</v>
      </c>
      <c r="G94" s="53">
        <f t="shared" si="20"/>
        <v>19.7</v>
      </c>
      <c r="H94" s="53">
        <f t="shared" si="20"/>
        <v>19.7</v>
      </c>
      <c r="I94" s="53">
        <f t="shared" si="20"/>
        <v>19.7</v>
      </c>
      <c r="J94" s="53">
        <f t="shared" si="20"/>
        <v>19.7</v>
      </c>
      <c r="K94" s="53">
        <f t="shared" si="20"/>
        <v>23.700000000000003</v>
      </c>
      <c r="L94" s="53">
        <f t="shared" si="20"/>
        <v>19.299999999999997</v>
      </c>
      <c r="M94" s="53">
        <f t="shared" si="20"/>
        <v>23.700000000000003</v>
      </c>
      <c r="N94" s="53">
        <f t="shared" si="20"/>
        <v>23.700000000000003</v>
      </c>
    </row>
    <row r="95" spans="1:14" x14ac:dyDescent="0.2">
      <c r="A95" s="51"/>
      <c r="B95" s="51" t="s">
        <v>237</v>
      </c>
      <c r="C95" s="25">
        <f t="shared" ref="C95:N95" si="21">+C76-C94</f>
        <v>38.030000000000015</v>
      </c>
      <c r="D95" s="25">
        <f t="shared" si="21"/>
        <v>9.0300000000000047</v>
      </c>
      <c r="E95" s="25">
        <f t="shared" si="21"/>
        <v>37.63000000000001</v>
      </c>
      <c r="F95" s="25">
        <f t="shared" si="21"/>
        <v>27.530000000000005</v>
      </c>
      <c r="G95" s="25">
        <f t="shared" si="21"/>
        <v>34.53</v>
      </c>
      <c r="H95" s="25">
        <f t="shared" si="21"/>
        <v>10.730000000000008</v>
      </c>
      <c r="I95" s="25">
        <f t="shared" si="21"/>
        <v>-6.1699999999999982</v>
      </c>
      <c r="J95" s="25">
        <f t="shared" si="21"/>
        <v>26.530000000000005</v>
      </c>
      <c r="K95" s="25">
        <f t="shared" si="21"/>
        <v>6.2299999999999969</v>
      </c>
      <c r="L95" s="25">
        <f t="shared" si="21"/>
        <v>16.830000000000013</v>
      </c>
      <c r="M95" s="25">
        <f t="shared" si="21"/>
        <v>15.030000000000008</v>
      </c>
      <c r="N95" s="25">
        <f t="shared" si="21"/>
        <v>14.180000000000007</v>
      </c>
    </row>
    <row r="96" spans="1:14" x14ac:dyDescent="0.2">
      <c r="A96" s="48" t="s">
        <v>238</v>
      </c>
      <c r="B96" s="49" t="s">
        <v>239</v>
      </c>
      <c r="C96" s="50">
        <f>IFERROR(VLOOKUP(A96,'Centre DW14'!$A$7:$N$160,3,FALSE),0)+
IFERROR(VLOOKUP(A96,'Centre WP14'!$A$7:$N$163,3,FALSE),0)+
IFERROR(VLOOKUP(A96,'Centre WR14'!$A$7:$N$160,3,FALSE),0)</f>
        <v>0.55000000000000004</v>
      </c>
      <c r="D96" s="50">
        <f>IFERROR(VLOOKUP(A96,'Centre DW14'!$A$7:$N$160,4,FALSE),0)+
IFERROR(VLOOKUP(A96,'Centre WP14'!$A$7:$N$163,4,FALSE),0)+
IFERROR(VLOOKUP(A96,'Centre WR14'!$A$7:$N$160,4,FALSE),0)</f>
        <v>0.55000000000000004</v>
      </c>
      <c r="E96" s="50">
        <f>IFERROR(VLOOKUP(A96,'Centre DW14'!$A$7:$N$160,5,FALSE),0)+
IFERROR(VLOOKUP(A96,'Centre WP14'!$A$7:$N$163,5,FALSE),0)+
IFERROR(VLOOKUP(A96,'Centre WR14'!$A$7:$N$160,5,FALSE),0)</f>
        <v>0.55000000000000004</v>
      </c>
      <c r="F96" s="50">
        <f>IFERROR(VLOOKUP(A96,'Centre DW14'!$A$7:$N$160,6,FALSE),0)+
IFERROR(VLOOKUP(A96,'Centre WP14'!$A$7:$N$163,6,FALSE),0)+
IFERROR(VLOOKUP(A96,'Centre WR14'!$A$7:$N$160,6,FALSE),0)</f>
        <v>0.55000000000000004</v>
      </c>
      <c r="G96" s="50">
        <f>IFERROR(VLOOKUP(A96,'Centre DW14'!$A$7:$N$160,7,FALSE),0)+
IFERROR(VLOOKUP(A96,'Centre WP14'!$A$7:$N$163,7,FALSE),0)+
IFERROR(VLOOKUP(A96,'Centre WR14'!$A$7:$N$160,7,FALSE),0)</f>
        <v>0.55000000000000004</v>
      </c>
      <c r="H96" s="50">
        <f>IFERROR(VLOOKUP(A96,'Centre DW14'!$A$7:$N$160,8,FALSE),0)+
IFERROR(VLOOKUP(A96,'Centre WP14'!$A$7:$N$163,8,FALSE),0)+
IFERROR(VLOOKUP(A96,'Centre WR14'!$A$7:$N$160,8,FALSE),0)</f>
        <v>0.55000000000000004</v>
      </c>
      <c r="I96" s="50">
        <f>IFERROR(VLOOKUP(A96,'Centre DW14'!$A$7:$N$160,9,FALSE),0)+
IFERROR(VLOOKUP(A96,'Centre WP14'!$A$7:$N$163,9,FALSE),0)+
IFERROR(VLOOKUP(A96,'Centre WR14'!$A$7:$N$160,9,FALSE),0)</f>
        <v>0.55000000000000004</v>
      </c>
      <c r="J96" s="50">
        <f>IFERROR(VLOOKUP(A96,'Centre DW14'!$A$7:$N$160,10,FALSE),0)+
IFERROR(VLOOKUP(A96,'Centre WP14'!$A$7:$N$163,10,FALSE),0)+
IFERROR(VLOOKUP(A96,'Centre WR14'!$A$7:$N$160,10,FALSE),0)</f>
        <v>0.55000000000000004</v>
      </c>
      <c r="K96" s="50">
        <f>IFERROR(VLOOKUP(A96,'Centre DW14'!$A$7:$N$160,11,FALSE),0)+
IFERROR(VLOOKUP(A96,'Centre WP14'!$A$7:$N$163,11,FALSE),0)+
IFERROR(VLOOKUP(A96,'Centre WR14'!$A$7:$N$160,11,FALSE),0)</f>
        <v>0.55000000000000004</v>
      </c>
      <c r="L96" s="50">
        <f>IFERROR(VLOOKUP(A96,'Centre DW14'!$A$7:$N$160,12,FALSE),0)+
IFERROR(VLOOKUP(A96,'Centre WP14'!$A$7:$N$163,12,FALSE),0)+
IFERROR(VLOOKUP(A96,'Centre WR14'!$A$7:$N$160,12,FALSE),0)</f>
        <v>0.55000000000000004</v>
      </c>
      <c r="M96" s="50">
        <f>IFERROR(VLOOKUP(A96,'Centre DW14'!$A$7:$N$160,13,FALSE),0)+
IFERROR(VLOOKUP(A96,'Centre WP14'!$A$7:$N$163,13,FALSE),0)+
IFERROR(VLOOKUP(A96,'Centre WR14'!$A$7:$N$160,13,FALSE),0)</f>
        <v>0.55000000000000004</v>
      </c>
      <c r="N96" s="50">
        <f>IFERROR(VLOOKUP(A96,'Centre DW14'!$A$7:$N$160,14,FALSE),0)+
IFERROR(VLOOKUP(A96,'Centre WP14'!$A$7:$N$163,14,FALSE),0)+
IFERROR(VLOOKUP(A96,'Centre WR14'!$A$7:$N$160,14,FALSE),0)</f>
        <v>0.55000000000000004</v>
      </c>
    </row>
    <row r="97" spans="1:14" hidden="1" outlineLevel="1" x14ac:dyDescent="0.2">
      <c r="A97" s="9" t="s">
        <v>240</v>
      </c>
      <c r="B97" s="1" t="s">
        <v>241</v>
      </c>
      <c r="C97" s="10">
        <f>IFERROR(VLOOKUP(A97,'Centre DW14'!$A$7:$N$160,3,FALSE),0)+
IFERROR(VLOOKUP(A97,'Centre WP14'!$A$7:$N$163,3,FALSE),0)+
IFERROR(VLOOKUP(A97,'Centre WR14'!$A$7:$N$160,3,FALSE),0)</f>
        <v>0.55000000000000004</v>
      </c>
      <c r="D97" s="10">
        <f>IFERROR(VLOOKUP(A97,'Centre DW14'!$A$7:$N$160,4,FALSE),0)+
IFERROR(VLOOKUP(A97,'Centre WP14'!$A$7:$N$163,4,FALSE),0)+
IFERROR(VLOOKUP(A97,'Centre WR14'!$A$7:$N$160,4,FALSE),0)</f>
        <v>0.55000000000000004</v>
      </c>
      <c r="E97" s="10">
        <f>IFERROR(VLOOKUP(A97,'Centre DW14'!$A$7:$N$160,5,FALSE),0)+
IFERROR(VLOOKUP(A97,'Centre WP14'!$A$7:$N$163,5,FALSE),0)+
IFERROR(VLOOKUP(A97,'Centre WR14'!$A$7:$N$160,5,FALSE),0)</f>
        <v>0.55000000000000004</v>
      </c>
      <c r="F97" s="10">
        <f>IFERROR(VLOOKUP(A97,'Centre DW14'!$A$7:$N$160,6,FALSE),0)+
IFERROR(VLOOKUP(A97,'Centre WP14'!$A$7:$N$163,6,FALSE),0)+
IFERROR(VLOOKUP(A97,'Centre WR14'!$A$7:$N$160,6,FALSE),0)</f>
        <v>0.55000000000000004</v>
      </c>
      <c r="G97" s="10">
        <f>IFERROR(VLOOKUP(A97,'Centre DW14'!$A$7:$N$160,7,FALSE),0)+
IFERROR(VLOOKUP(A97,'Centre WP14'!$A$7:$N$163,7,FALSE),0)+
IFERROR(VLOOKUP(A97,'Centre WR14'!$A$7:$N$160,7,FALSE),0)</f>
        <v>0.55000000000000004</v>
      </c>
      <c r="H97" s="10">
        <f>IFERROR(VLOOKUP(A97,'Centre DW14'!$A$7:$N$160,8,FALSE),0)+
IFERROR(VLOOKUP(A97,'Centre WP14'!$A$7:$N$163,8,FALSE),0)+
IFERROR(VLOOKUP(A97,'Centre WR14'!$A$7:$N$160,8,FALSE),0)</f>
        <v>0.55000000000000004</v>
      </c>
      <c r="I97" s="10">
        <f>IFERROR(VLOOKUP(A97,'Centre DW14'!$A$7:$N$160,9,FALSE),0)+
IFERROR(VLOOKUP(A97,'Centre WP14'!$A$7:$N$163,9,FALSE),0)+
IFERROR(VLOOKUP(A97,'Centre WR14'!$A$7:$N$160,9,FALSE),0)</f>
        <v>0.55000000000000004</v>
      </c>
      <c r="J97" s="24">
        <f>IFERROR(VLOOKUP(A97,'Centre DW14'!$A$7:$N$160,10,FALSE),0)+
IFERROR(VLOOKUP(A97,'Centre WP14'!$A$7:$N$163,10,FALSE),0)+
IFERROR(VLOOKUP(A97,'Centre WR14'!$A$7:$N$160,10,FALSE),0)</f>
        <v>0.55000000000000004</v>
      </c>
      <c r="K97" s="10">
        <f>IFERROR(VLOOKUP(A97,'Centre DW14'!$A$7:$N$160,11,FALSE),0)+
IFERROR(VLOOKUP(A97,'Centre WP14'!$A$7:$N$163,11,FALSE),0)+
IFERROR(VLOOKUP(A97,'Centre WR14'!$A$7:$N$160,11,FALSE),0)</f>
        <v>0.55000000000000004</v>
      </c>
      <c r="L97" s="10">
        <f>IFERROR(VLOOKUP(A97,'Centre DW14'!$A$7:$N$160,12,FALSE),0)+
IFERROR(VLOOKUP(A97,'Centre WP14'!$A$7:$N$163,12,FALSE),0)+
IFERROR(VLOOKUP(A97,'Centre WR14'!$A$7:$N$160,12,FALSE),0)</f>
        <v>0.55000000000000004</v>
      </c>
      <c r="M97" s="10">
        <f>IFERROR(VLOOKUP(A97,'Centre DW14'!$A$7:$N$160,13,FALSE),0)+
IFERROR(VLOOKUP(A97,'Centre WP14'!$A$7:$N$163,13,FALSE),0)+
IFERROR(VLOOKUP(A97,'Centre WR14'!$A$7:$N$160,13,FALSE),0)</f>
        <v>0.55000000000000004</v>
      </c>
      <c r="N97" s="10">
        <f>IFERROR(VLOOKUP(A97,'Centre DW14'!$A$7:$N$160,14,FALSE),0)+
IFERROR(VLOOKUP(A97,'Centre WP14'!$A$7:$N$163,14,FALSE),0)+
IFERROR(VLOOKUP(A97,'Centre WR14'!$A$7:$N$160,14,FALSE),0)</f>
        <v>0.55000000000000004</v>
      </c>
    </row>
    <row r="98" spans="1:14" hidden="1" outlineLevel="1" x14ac:dyDescent="0.2">
      <c r="A98" s="9" t="s">
        <v>242</v>
      </c>
      <c r="B98" s="1" t="s">
        <v>243</v>
      </c>
      <c r="C98" s="10">
        <f>IFERROR(VLOOKUP(A98,'Centre DW14'!$A$7:$N$160,3,FALSE),0)+
IFERROR(VLOOKUP(A98,'Centre WP14'!$A$7:$N$163,3,FALSE),0)+
IFERROR(VLOOKUP(A98,'Centre WR14'!$A$7:$N$160,3,FALSE),0)</f>
        <v>0</v>
      </c>
      <c r="D98" s="10">
        <f>IFERROR(VLOOKUP(A98,'Centre DW14'!$A$7:$N$160,4,FALSE),0)+
IFERROR(VLOOKUP(A98,'Centre WP14'!$A$7:$N$163,4,FALSE),0)+
IFERROR(VLOOKUP(A98,'Centre WR14'!$A$7:$N$160,4,FALSE),0)</f>
        <v>0</v>
      </c>
      <c r="E98" s="10">
        <f>IFERROR(VLOOKUP(A98,'Centre DW14'!$A$7:$N$160,5,FALSE),0)+
IFERROR(VLOOKUP(A98,'Centre WP14'!$A$7:$N$163,5,FALSE),0)+
IFERROR(VLOOKUP(A98,'Centre WR14'!$A$7:$N$160,5,FALSE),0)</f>
        <v>0</v>
      </c>
      <c r="F98" s="10">
        <f>IFERROR(VLOOKUP(A98,'Centre DW14'!$A$7:$N$160,6,FALSE),0)+
IFERROR(VLOOKUP(A98,'Centre WP14'!$A$7:$N$163,6,FALSE),0)+
IFERROR(VLOOKUP(A98,'Centre WR14'!$A$7:$N$160,6,FALSE),0)</f>
        <v>0</v>
      </c>
      <c r="G98" s="10">
        <f>IFERROR(VLOOKUP(A98,'Centre DW14'!$A$7:$N$160,7,FALSE),0)+
IFERROR(VLOOKUP(A98,'Centre WP14'!$A$7:$N$163,7,FALSE),0)+
IFERROR(VLOOKUP(A98,'Centre WR14'!$A$7:$N$160,7,FALSE),0)</f>
        <v>0</v>
      </c>
      <c r="H98" s="10">
        <f>IFERROR(VLOOKUP(A98,'Centre DW14'!$A$7:$N$160,8,FALSE),0)+
IFERROR(VLOOKUP(A98,'Centre WP14'!$A$7:$N$163,8,FALSE),0)+
IFERROR(VLOOKUP(A98,'Centre WR14'!$A$7:$N$160,8,FALSE),0)</f>
        <v>0</v>
      </c>
      <c r="I98" s="10">
        <f>IFERROR(VLOOKUP(A98,'Centre DW14'!$A$7:$N$160,9,FALSE),0)+
IFERROR(VLOOKUP(A98,'Centre WP14'!$A$7:$N$163,9,FALSE),0)+
IFERROR(VLOOKUP(A98,'Centre WR14'!$A$7:$N$160,9,FALSE),0)</f>
        <v>0</v>
      </c>
      <c r="J98" s="24">
        <f>IFERROR(VLOOKUP(A98,'Centre DW14'!$A$7:$N$160,10,FALSE),0)+
IFERROR(VLOOKUP(A98,'Centre WP14'!$A$7:$N$163,10,FALSE),0)+
IFERROR(VLOOKUP(A98,'Centre WR14'!$A$7:$N$160,10,FALSE),0)</f>
        <v>0</v>
      </c>
      <c r="K98" s="10">
        <f>IFERROR(VLOOKUP(A98,'Centre DW14'!$A$7:$N$160,11,FALSE),0)+
IFERROR(VLOOKUP(A98,'Centre WP14'!$A$7:$N$163,11,FALSE),0)+
IFERROR(VLOOKUP(A98,'Centre WR14'!$A$7:$N$160,11,FALSE),0)</f>
        <v>0</v>
      </c>
      <c r="L98" s="10">
        <f>IFERROR(VLOOKUP(A98,'Centre DW14'!$A$7:$N$160,12,FALSE),0)+
IFERROR(VLOOKUP(A98,'Centre WP14'!$A$7:$N$163,12,FALSE),0)+
IFERROR(VLOOKUP(A98,'Centre WR14'!$A$7:$N$160,12,FALSE),0)</f>
        <v>0</v>
      </c>
      <c r="M98" s="10">
        <f>IFERROR(VLOOKUP(A98,'Centre DW14'!$A$7:$N$160,13,FALSE),0)+
IFERROR(VLOOKUP(A98,'Centre WP14'!$A$7:$N$163,13,FALSE),0)+
IFERROR(VLOOKUP(A98,'Centre WR14'!$A$7:$N$160,13,FALSE),0)</f>
        <v>0</v>
      </c>
      <c r="N98" s="10">
        <f>IFERROR(VLOOKUP(A98,'Centre DW14'!$A$7:$N$160,14,FALSE),0)+
IFERROR(VLOOKUP(A98,'Centre WP14'!$A$7:$N$163,14,FALSE),0)+
IFERROR(VLOOKUP(A98,'Centre WR14'!$A$7:$N$160,14,FALSE),0)</f>
        <v>0</v>
      </c>
    </row>
    <row r="99" spans="1:14" hidden="1" outlineLevel="1" x14ac:dyDescent="0.2">
      <c r="A99" s="9" t="s">
        <v>359</v>
      </c>
      <c r="B99" s="1" t="s">
        <v>360</v>
      </c>
      <c r="C99" s="10">
        <f>IFERROR(VLOOKUP(A99,'Centre DW14'!$A$7:$N$160,3,FALSE),0)+
IFERROR(VLOOKUP(A99,'Centre WP14'!$A$7:$N$163,3,FALSE),0)+
IFERROR(VLOOKUP(A99,'Centre WR14'!$A$7:$N$160,3,FALSE),0)</f>
        <v>0</v>
      </c>
      <c r="D99" s="10">
        <f>IFERROR(VLOOKUP(A99,'Centre DW14'!$A$7:$N$160,4,FALSE),0)+
IFERROR(VLOOKUP(A99,'Centre WP14'!$A$7:$N$163,4,FALSE),0)+
IFERROR(VLOOKUP(A99,'Centre WR14'!$A$7:$N$160,4,FALSE),0)</f>
        <v>0</v>
      </c>
      <c r="E99" s="10">
        <f>IFERROR(VLOOKUP(A99,'Centre DW14'!$A$7:$N$160,5,FALSE),0)+
IFERROR(VLOOKUP(A99,'Centre WP14'!$A$7:$N$163,5,FALSE),0)+
IFERROR(VLOOKUP(A99,'Centre WR14'!$A$7:$N$160,5,FALSE),0)</f>
        <v>0</v>
      </c>
      <c r="F99" s="10">
        <f>IFERROR(VLOOKUP(A99,'Centre DW14'!$A$7:$N$160,6,FALSE),0)+
IFERROR(VLOOKUP(A99,'Centre WP14'!$A$7:$N$163,6,FALSE),0)+
IFERROR(VLOOKUP(A99,'Centre WR14'!$A$7:$N$160,6,FALSE),0)</f>
        <v>0</v>
      </c>
      <c r="G99" s="10">
        <f>IFERROR(VLOOKUP(A99,'Centre DW14'!$A$7:$N$160,7,FALSE),0)+
IFERROR(VLOOKUP(A99,'Centre WP14'!$A$7:$N$163,7,FALSE),0)+
IFERROR(VLOOKUP(A99,'Centre WR14'!$A$7:$N$160,7,FALSE),0)</f>
        <v>0</v>
      </c>
      <c r="H99" s="10">
        <f>IFERROR(VLOOKUP(A99,'Centre DW14'!$A$7:$N$160,8,FALSE),0)+
IFERROR(VLOOKUP(A99,'Centre WP14'!$A$7:$N$163,8,FALSE),0)+
IFERROR(VLOOKUP(A99,'Centre WR14'!$A$7:$N$160,8,FALSE),0)</f>
        <v>0</v>
      </c>
      <c r="I99" s="10">
        <f>IFERROR(VLOOKUP(A99,'Centre DW14'!$A$7:$N$160,9,FALSE),0)+
IFERROR(VLOOKUP(A99,'Centre WP14'!$A$7:$N$163,9,FALSE),0)+
IFERROR(VLOOKUP(A99,'Centre WR14'!$A$7:$N$160,9,FALSE),0)</f>
        <v>0</v>
      </c>
      <c r="J99" s="24">
        <f>IFERROR(VLOOKUP(A99,'Centre DW14'!$A$7:$N$160,10,FALSE),0)+
IFERROR(VLOOKUP(A99,'Centre WP14'!$A$7:$N$163,10,FALSE),0)+
IFERROR(VLOOKUP(A99,'Centre WR14'!$A$7:$N$160,10,FALSE),0)</f>
        <v>0</v>
      </c>
      <c r="K99" s="10">
        <f>IFERROR(VLOOKUP(A99,'Centre DW14'!$A$7:$N$160,11,FALSE),0)+
IFERROR(VLOOKUP(A99,'Centre WP14'!$A$7:$N$163,11,FALSE),0)+
IFERROR(VLOOKUP(A99,'Centre WR14'!$A$7:$N$160,11,FALSE),0)</f>
        <v>0</v>
      </c>
      <c r="L99" s="10">
        <f>IFERROR(VLOOKUP(A99,'Centre DW14'!$A$7:$N$160,12,FALSE),0)+
IFERROR(VLOOKUP(A99,'Centre WP14'!$A$7:$N$163,12,FALSE),0)+
IFERROR(VLOOKUP(A99,'Centre WR14'!$A$7:$N$160,12,FALSE),0)</f>
        <v>0</v>
      </c>
      <c r="M99" s="10">
        <f>IFERROR(VLOOKUP(A99,'Centre DW14'!$A$7:$N$160,13,FALSE),0)+
IFERROR(VLOOKUP(A99,'Centre WP14'!$A$7:$N$163,13,FALSE),0)+
IFERROR(VLOOKUP(A99,'Centre WR14'!$A$7:$N$160,13,FALSE),0)</f>
        <v>0</v>
      </c>
      <c r="N99" s="10">
        <f>IFERROR(VLOOKUP(A99,'Centre DW14'!$A$7:$N$160,14,FALSE),0)+
IFERROR(VLOOKUP(A99,'Centre WP14'!$A$7:$N$163,14,FALSE),0)+
IFERROR(VLOOKUP(A99,'Centre WR14'!$A$7:$N$160,14,FALSE),0)</f>
        <v>0</v>
      </c>
    </row>
    <row r="100" spans="1:14" hidden="1" outlineLevel="1" x14ac:dyDescent="0.2">
      <c r="A100" s="9" t="s">
        <v>361</v>
      </c>
      <c r="B100" s="1" t="s">
        <v>362</v>
      </c>
      <c r="C100" s="10">
        <f>IFERROR(VLOOKUP(A100,'Centre DW14'!$A$7:$N$160,3,FALSE),0)+
IFERROR(VLOOKUP(A100,'Centre WP14'!$A$7:$N$163,3,FALSE),0)+
IFERROR(VLOOKUP(A100,'Centre WR14'!$A$7:$N$160,3,FALSE),0)</f>
        <v>0</v>
      </c>
      <c r="D100" s="10">
        <f>IFERROR(VLOOKUP(A100,'Centre DW14'!$A$7:$N$160,4,FALSE),0)+
IFERROR(VLOOKUP(A100,'Centre WP14'!$A$7:$N$163,4,FALSE),0)+
IFERROR(VLOOKUP(A100,'Centre WR14'!$A$7:$N$160,4,FALSE),0)</f>
        <v>0</v>
      </c>
      <c r="E100" s="10">
        <f>IFERROR(VLOOKUP(A100,'Centre DW14'!$A$7:$N$160,5,FALSE),0)+
IFERROR(VLOOKUP(A100,'Centre WP14'!$A$7:$N$163,5,FALSE),0)+
IFERROR(VLOOKUP(A100,'Centre WR14'!$A$7:$N$160,5,FALSE),0)</f>
        <v>0</v>
      </c>
      <c r="F100" s="10">
        <f>IFERROR(VLOOKUP(A100,'Centre DW14'!$A$7:$N$160,6,FALSE),0)+
IFERROR(VLOOKUP(A100,'Centre WP14'!$A$7:$N$163,6,FALSE),0)+
IFERROR(VLOOKUP(A100,'Centre WR14'!$A$7:$N$160,6,FALSE),0)</f>
        <v>0</v>
      </c>
      <c r="G100" s="10">
        <f>IFERROR(VLOOKUP(A100,'Centre DW14'!$A$7:$N$160,7,FALSE),0)+
IFERROR(VLOOKUP(A100,'Centre WP14'!$A$7:$N$163,7,FALSE),0)+
IFERROR(VLOOKUP(A100,'Centre WR14'!$A$7:$N$160,7,FALSE),0)</f>
        <v>0</v>
      </c>
      <c r="H100" s="10">
        <f>IFERROR(VLOOKUP(A100,'Centre DW14'!$A$7:$N$160,8,FALSE),0)+
IFERROR(VLOOKUP(A100,'Centre WP14'!$A$7:$N$163,8,FALSE),0)+
IFERROR(VLOOKUP(A100,'Centre WR14'!$A$7:$N$160,8,FALSE),0)</f>
        <v>0</v>
      </c>
      <c r="I100" s="10">
        <f>IFERROR(VLOOKUP(A100,'Centre DW14'!$A$7:$N$160,9,FALSE),0)+
IFERROR(VLOOKUP(A100,'Centre WP14'!$A$7:$N$163,9,FALSE),0)+
IFERROR(VLOOKUP(A100,'Centre WR14'!$A$7:$N$160,9,FALSE),0)</f>
        <v>0</v>
      </c>
      <c r="J100" s="24">
        <f>IFERROR(VLOOKUP(A100,'Centre DW14'!$A$7:$N$160,10,FALSE),0)+
IFERROR(VLOOKUP(A100,'Centre WP14'!$A$7:$N$163,10,FALSE),0)+
IFERROR(VLOOKUP(A100,'Centre WR14'!$A$7:$N$160,10,FALSE),0)</f>
        <v>0</v>
      </c>
      <c r="K100" s="10">
        <f>IFERROR(VLOOKUP(A100,'Centre DW14'!$A$7:$N$160,11,FALSE),0)+
IFERROR(VLOOKUP(A100,'Centre WP14'!$A$7:$N$163,11,FALSE),0)+
IFERROR(VLOOKUP(A100,'Centre WR14'!$A$7:$N$160,11,FALSE),0)</f>
        <v>0</v>
      </c>
      <c r="L100" s="10">
        <f>IFERROR(VLOOKUP(A100,'Centre DW14'!$A$7:$N$160,12,FALSE),0)+
IFERROR(VLOOKUP(A100,'Centre WP14'!$A$7:$N$163,12,FALSE),0)+
IFERROR(VLOOKUP(A100,'Centre WR14'!$A$7:$N$160,12,FALSE),0)</f>
        <v>0</v>
      </c>
      <c r="M100" s="10">
        <f>IFERROR(VLOOKUP(A100,'Centre DW14'!$A$7:$N$160,13,FALSE),0)+
IFERROR(VLOOKUP(A100,'Centre WP14'!$A$7:$N$163,13,FALSE),0)+
IFERROR(VLOOKUP(A100,'Centre WR14'!$A$7:$N$160,13,FALSE),0)</f>
        <v>0</v>
      </c>
      <c r="N100" s="10">
        <f>IFERROR(VLOOKUP(A100,'Centre DW14'!$A$7:$N$160,14,FALSE),0)+
IFERROR(VLOOKUP(A100,'Centre WP14'!$A$7:$N$163,14,FALSE),0)+
IFERROR(VLOOKUP(A100,'Centre WR14'!$A$7:$N$160,14,FALSE),0)</f>
        <v>0</v>
      </c>
    </row>
    <row r="101" spans="1:14" collapsed="1" x14ac:dyDescent="0.2">
      <c r="A101" s="48" t="s">
        <v>244</v>
      </c>
      <c r="B101" s="49" t="s">
        <v>245</v>
      </c>
      <c r="C101" s="50">
        <f>IFERROR(VLOOKUP(A101,'Centre DW14'!$A$7:$N$160,3,FALSE),0)+
IFERROR(VLOOKUP(A101,'Centre WP14'!$A$7:$N$163,3,FALSE),0)+
IFERROR(VLOOKUP(A101,'Centre WR14'!$A$7:$N$160,3,FALSE),0)</f>
        <v>0</v>
      </c>
      <c r="D101" s="50">
        <f>IFERROR(VLOOKUP(A101,'Centre DW14'!$A$7:$N$160,4,FALSE),0)+
IFERROR(VLOOKUP(A101,'Centre WP14'!$A$7:$N$163,4,FALSE),0)+
IFERROR(VLOOKUP(A101,'Centre WR14'!$A$7:$N$160,4,FALSE),0)</f>
        <v>0</v>
      </c>
      <c r="E101" s="50">
        <f>IFERROR(VLOOKUP(A101,'Centre DW14'!$A$7:$N$160,5,FALSE),0)+
IFERROR(VLOOKUP(A101,'Centre WP14'!$A$7:$N$163,5,FALSE),0)+
IFERROR(VLOOKUP(A101,'Centre WR14'!$A$7:$N$160,5,FALSE),0)</f>
        <v>0</v>
      </c>
      <c r="F101" s="50">
        <f>IFERROR(VLOOKUP(A101,'Centre DW14'!$A$7:$N$160,6,FALSE),0)+
IFERROR(VLOOKUP(A101,'Centre WP14'!$A$7:$N$163,6,FALSE),0)+
IFERROR(VLOOKUP(A101,'Centre WR14'!$A$7:$N$160,6,FALSE),0)</f>
        <v>0</v>
      </c>
      <c r="G101" s="50">
        <f>IFERROR(VLOOKUP(A101,'Centre DW14'!$A$7:$N$160,7,FALSE),0)+
IFERROR(VLOOKUP(A101,'Centre WP14'!$A$7:$N$163,7,FALSE),0)+
IFERROR(VLOOKUP(A101,'Centre WR14'!$A$7:$N$160,7,FALSE),0)</f>
        <v>0</v>
      </c>
      <c r="H101" s="50">
        <f>IFERROR(VLOOKUP(A101,'Centre DW14'!$A$7:$N$160,8,FALSE),0)+
IFERROR(VLOOKUP(A101,'Centre WP14'!$A$7:$N$163,8,FALSE),0)+
IFERROR(VLOOKUP(A101,'Centre WR14'!$A$7:$N$160,8,FALSE),0)</f>
        <v>0</v>
      </c>
      <c r="I101" s="50">
        <f>IFERROR(VLOOKUP(A101,'Centre DW14'!$A$7:$N$160,9,FALSE),0)+
IFERROR(VLOOKUP(A101,'Centre WP14'!$A$7:$N$163,9,FALSE),0)+
IFERROR(VLOOKUP(A101,'Centre WR14'!$A$7:$N$160,9,FALSE),0)</f>
        <v>0</v>
      </c>
      <c r="J101" s="50">
        <f>IFERROR(VLOOKUP(A101,'Centre DW14'!$A$7:$N$160,10,FALSE),0)+
IFERROR(VLOOKUP(A101,'Centre WP14'!$A$7:$N$163,10,FALSE),0)+
IFERROR(VLOOKUP(A101,'Centre WR14'!$A$7:$N$160,10,FALSE),0)</f>
        <v>0</v>
      </c>
      <c r="K101" s="50">
        <f>IFERROR(VLOOKUP(A101,'Centre DW14'!$A$7:$N$160,11,FALSE),0)+
IFERROR(VLOOKUP(A101,'Centre WP14'!$A$7:$N$163,11,FALSE),0)+
IFERROR(VLOOKUP(A101,'Centre WR14'!$A$7:$N$160,11,FALSE),0)</f>
        <v>0</v>
      </c>
      <c r="L101" s="50">
        <f>IFERROR(VLOOKUP(A101,'Centre DW14'!$A$7:$N$160,12,FALSE),0)+
IFERROR(VLOOKUP(A101,'Centre WP14'!$A$7:$N$163,12,FALSE),0)+
IFERROR(VLOOKUP(A101,'Centre WR14'!$A$7:$N$160,12,FALSE),0)</f>
        <v>0</v>
      </c>
      <c r="M101" s="50">
        <f>IFERROR(VLOOKUP(A101,'Centre DW14'!$A$7:$N$160,13,FALSE),0)+
IFERROR(VLOOKUP(A101,'Centre WP14'!$A$7:$N$163,13,FALSE),0)+
IFERROR(VLOOKUP(A101,'Centre WR14'!$A$7:$N$160,13,FALSE),0)</f>
        <v>0</v>
      </c>
      <c r="N101" s="50">
        <f>IFERROR(VLOOKUP(A101,'Centre DW14'!$A$7:$N$160,14,FALSE),0)+
IFERROR(VLOOKUP(A101,'Centre WP14'!$A$7:$N$163,14,FALSE),0)+
IFERROR(VLOOKUP(A101,'Centre WR14'!$A$7:$N$160,14,FALSE),0)</f>
        <v>0</v>
      </c>
    </row>
    <row r="102" spans="1:14" x14ac:dyDescent="0.2">
      <c r="A102" s="51"/>
      <c r="B102" s="51" t="s">
        <v>246</v>
      </c>
      <c r="C102" s="19">
        <f t="shared" ref="C102:N102" si="22">+C95-(C96+C101)</f>
        <v>37.480000000000018</v>
      </c>
      <c r="D102" s="19">
        <f t="shared" si="22"/>
        <v>8.480000000000004</v>
      </c>
      <c r="E102" s="19">
        <f t="shared" si="22"/>
        <v>37.080000000000013</v>
      </c>
      <c r="F102" s="19">
        <f t="shared" si="22"/>
        <v>26.980000000000004</v>
      </c>
      <c r="G102" s="19">
        <f t="shared" si="22"/>
        <v>33.980000000000004</v>
      </c>
      <c r="H102" s="19">
        <f t="shared" si="22"/>
        <v>10.180000000000007</v>
      </c>
      <c r="I102" s="19">
        <f t="shared" si="22"/>
        <v>-6.719999999999998</v>
      </c>
      <c r="J102" s="19">
        <f t="shared" si="22"/>
        <v>25.980000000000004</v>
      </c>
      <c r="K102" s="19">
        <f t="shared" si="22"/>
        <v>5.6799999999999971</v>
      </c>
      <c r="L102" s="19">
        <f t="shared" si="22"/>
        <v>16.280000000000012</v>
      </c>
      <c r="M102" s="19">
        <f t="shared" si="22"/>
        <v>14.480000000000008</v>
      </c>
      <c r="N102" s="19">
        <f t="shared" si="22"/>
        <v>13.630000000000006</v>
      </c>
    </row>
    <row r="103" spans="1:14" x14ac:dyDescent="0.2">
      <c r="A103" s="9" t="s">
        <v>74</v>
      </c>
      <c r="B103" s="1" t="s">
        <v>74</v>
      </c>
      <c r="C103" s="13" t="s">
        <v>74</v>
      </c>
      <c r="D103" s="13" t="s">
        <v>74</v>
      </c>
      <c r="E103" s="13" t="s">
        <v>74</v>
      </c>
      <c r="F103" s="13" t="s">
        <v>74</v>
      </c>
      <c r="G103" s="13" t="s">
        <v>74</v>
      </c>
      <c r="H103" s="13" t="s">
        <v>74</v>
      </c>
      <c r="I103" s="13" t="s">
        <v>74</v>
      </c>
      <c r="J103" s="13" t="s">
        <v>74</v>
      </c>
      <c r="K103" s="13" t="s">
        <v>74</v>
      </c>
      <c r="L103" s="13" t="s">
        <v>74</v>
      </c>
      <c r="M103" s="13" t="s">
        <v>74</v>
      </c>
      <c r="N103" s="13" t="s">
        <v>74</v>
      </c>
    </row>
    <row r="104" spans="1:14" x14ac:dyDescent="0.2">
      <c r="A104" s="12"/>
      <c r="B104" s="12" t="s">
        <v>247</v>
      </c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</row>
    <row r="105" spans="1:14" x14ac:dyDescent="0.2">
      <c r="A105" s="9" t="s">
        <v>248</v>
      </c>
      <c r="B105" s="1" t="s">
        <v>249</v>
      </c>
      <c r="C105" s="13">
        <v>1</v>
      </c>
      <c r="D105" s="13">
        <v>2</v>
      </c>
      <c r="E105" s="13">
        <v>2</v>
      </c>
      <c r="F105" s="13">
        <v>2</v>
      </c>
      <c r="G105" s="13">
        <v>2</v>
      </c>
      <c r="H105" s="13">
        <v>3</v>
      </c>
      <c r="I105" s="13">
        <v>3</v>
      </c>
      <c r="J105" s="13">
        <v>2</v>
      </c>
      <c r="K105" s="13">
        <v>2</v>
      </c>
      <c r="L105" s="13">
        <v>2</v>
      </c>
      <c r="M105" s="13">
        <v>3</v>
      </c>
      <c r="N105" s="13">
        <v>3</v>
      </c>
    </row>
    <row r="106" spans="1:14" hidden="1" outlineLevel="1" x14ac:dyDescent="0.2">
      <c r="A106" s="9" t="s">
        <v>250</v>
      </c>
      <c r="B106" s="1" t="s">
        <v>251</v>
      </c>
      <c r="C106" s="13">
        <v>1</v>
      </c>
      <c r="D106" s="13">
        <v>2</v>
      </c>
      <c r="E106" s="13">
        <v>2</v>
      </c>
      <c r="F106" s="13">
        <v>2</v>
      </c>
      <c r="G106" s="13">
        <v>2</v>
      </c>
      <c r="H106" s="13">
        <v>3</v>
      </c>
      <c r="I106" s="13">
        <v>3</v>
      </c>
      <c r="J106" s="13">
        <v>2</v>
      </c>
      <c r="K106" s="13">
        <v>2</v>
      </c>
      <c r="L106" s="13">
        <v>2</v>
      </c>
      <c r="M106" s="13">
        <v>3</v>
      </c>
      <c r="N106" s="13">
        <v>3</v>
      </c>
    </row>
    <row r="107" spans="1:14" collapsed="1" x14ac:dyDescent="0.2">
      <c r="A107" s="9" t="s">
        <v>252</v>
      </c>
      <c r="B107" s="1" t="s">
        <v>253</v>
      </c>
      <c r="C107" s="13">
        <v>1</v>
      </c>
      <c r="D107" s="13">
        <v>4</v>
      </c>
      <c r="E107" s="13">
        <v>4</v>
      </c>
      <c r="F107" s="13">
        <v>4.5</v>
      </c>
      <c r="G107" s="13">
        <v>4.4000000000000004</v>
      </c>
      <c r="H107" s="13">
        <v>5.4</v>
      </c>
      <c r="I107" s="13">
        <v>5.4</v>
      </c>
      <c r="J107" s="13">
        <v>4</v>
      </c>
      <c r="K107" s="13">
        <v>4.5</v>
      </c>
      <c r="L107" s="13">
        <v>4.4000000000000004</v>
      </c>
      <c r="M107" s="13">
        <v>5.4</v>
      </c>
      <c r="N107" s="13">
        <v>5.4</v>
      </c>
    </row>
    <row r="108" spans="1:14" hidden="1" outlineLevel="1" x14ac:dyDescent="0.2">
      <c r="A108" s="9" t="s">
        <v>254</v>
      </c>
      <c r="B108" s="1" t="s">
        <v>255</v>
      </c>
      <c r="C108" s="13">
        <v>1</v>
      </c>
      <c r="D108" s="13">
        <v>4</v>
      </c>
      <c r="E108" s="13">
        <v>4</v>
      </c>
      <c r="F108" s="13">
        <v>4.5</v>
      </c>
      <c r="G108" s="13">
        <v>4.4000000000000004</v>
      </c>
      <c r="H108" s="13">
        <v>5.4</v>
      </c>
      <c r="I108" s="13">
        <v>5.4</v>
      </c>
      <c r="J108" s="13">
        <v>4</v>
      </c>
      <c r="K108" s="13">
        <v>4.5</v>
      </c>
      <c r="L108" s="13">
        <v>4.4000000000000004</v>
      </c>
      <c r="M108" s="13">
        <v>5.4</v>
      </c>
      <c r="N108" s="13">
        <v>5.4</v>
      </c>
    </row>
    <row r="109" spans="1:14" collapsed="1" x14ac:dyDescent="0.2">
      <c r="A109" s="9" t="s">
        <v>256</v>
      </c>
      <c r="B109" s="1" t="s">
        <v>257</v>
      </c>
      <c r="C109" s="13">
        <v>0</v>
      </c>
      <c r="D109" s="13">
        <v>0</v>
      </c>
      <c r="E109" s="13">
        <v>0</v>
      </c>
      <c r="F109" s="13">
        <v>0.6</v>
      </c>
      <c r="G109" s="13">
        <v>0.4</v>
      </c>
      <c r="H109" s="13">
        <v>0.4</v>
      </c>
      <c r="I109" s="13">
        <v>0.4</v>
      </c>
      <c r="J109" s="13">
        <v>0</v>
      </c>
      <c r="K109" s="13">
        <v>0.6</v>
      </c>
      <c r="L109" s="13">
        <v>0.4</v>
      </c>
      <c r="M109" s="13">
        <v>0.4</v>
      </c>
      <c r="N109" s="13">
        <v>0.4</v>
      </c>
    </row>
    <row r="110" spans="1:14" hidden="1" outlineLevel="1" x14ac:dyDescent="0.2">
      <c r="A110" s="9" t="s">
        <v>258</v>
      </c>
      <c r="B110" s="1" t="s">
        <v>259</v>
      </c>
      <c r="C110" s="13">
        <v>0</v>
      </c>
      <c r="D110" s="13">
        <v>0</v>
      </c>
      <c r="E110" s="13">
        <v>0</v>
      </c>
      <c r="F110" s="13">
        <v>0.6</v>
      </c>
      <c r="G110" s="13">
        <v>0.4</v>
      </c>
      <c r="H110" s="13">
        <v>0.4</v>
      </c>
      <c r="I110" s="13">
        <v>0.4</v>
      </c>
      <c r="J110" s="13">
        <v>0</v>
      </c>
      <c r="K110" s="13">
        <v>0.6</v>
      </c>
      <c r="L110" s="13">
        <v>0.4</v>
      </c>
      <c r="M110" s="13">
        <v>0.4</v>
      </c>
      <c r="N110" s="13">
        <v>0.4</v>
      </c>
    </row>
    <row r="111" spans="1:14" collapsed="1" x14ac:dyDescent="0.2">
      <c r="A111" s="9" t="s">
        <v>260</v>
      </c>
      <c r="B111" s="1" t="s">
        <v>261</v>
      </c>
      <c r="C111" s="13">
        <v>0</v>
      </c>
      <c r="D111" s="13">
        <v>2</v>
      </c>
      <c r="E111" s="13">
        <v>2</v>
      </c>
      <c r="F111" s="13">
        <v>2</v>
      </c>
      <c r="G111" s="13">
        <v>2</v>
      </c>
      <c r="H111" s="13">
        <v>3</v>
      </c>
      <c r="I111" s="13">
        <v>3</v>
      </c>
      <c r="J111" s="13">
        <v>2</v>
      </c>
      <c r="K111" s="13">
        <v>2</v>
      </c>
      <c r="L111" s="13">
        <v>2</v>
      </c>
      <c r="M111" s="13">
        <v>3</v>
      </c>
      <c r="N111" s="13">
        <v>3</v>
      </c>
    </row>
    <row r="112" spans="1:14" hidden="1" outlineLevel="1" x14ac:dyDescent="0.2">
      <c r="A112" s="9" t="s">
        <v>262</v>
      </c>
      <c r="B112" s="1" t="s">
        <v>263</v>
      </c>
      <c r="C112" s="13">
        <v>0</v>
      </c>
      <c r="D112" s="13">
        <v>2</v>
      </c>
      <c r="E112" s="13">
        <v>2</v>
      </c>
      <c r="F112" s="13">
        <v>2</v>
      </c>
      <c r="G112" s="13">
        <v>2</v>
      </c>
      <c r="H112" s="13">
        <v>3</v>
      </c>
      <c r="I112" s="13">
        <v>3</v>
      </c>
      <c r="J112" s="13">
        <v>2</v>
      </c>
      <c r="K112" s="13">
        <v>2</v>
      </c>
      <c r="L112" s="13">
        <v>2</v>
      </c>
      <c r="M112" s="13">
        <v>3</v>
      </c>
      <c r="N112" s="13">
        <v>3</v>
      </c>
    </row>
    <row r="113" spans="1:14" collapsed="1" x14ac:dyDescent="0.2">
      <c r="A113" s="9" t="s">
        <v>264</v>
      </c>
      <c r="B113" s="1" t="s">
        <v>265</v>
      </c>
      <c r="C113" s="13">
        <v>0</v>
      </c>
      <c r="D113" s="13">
        <v>2</v>
      </c>
      <c r="E113" s="13">
        <v>2</v>
      </c>
      <c r="F113" s="13">
        <v>2</v>
      </c>
      <c r="G113" s="13">
        <v>2</v>
      </c>
      <c r="H113" s="13">
        <v>2</v>
      </c>
      <c r="I113" s="13">
        <v>2</v>
      </c>
      <c r="J113" s="13">
        <v>2</v>
      </c>
      <c r="K113" s="13">
        <v>2</v>
      </c>
      <c r="L113" s="13">
        <v>2</v>
      </c>
      <c r="M113" s="13">
        <v>2</v>
      </c>
      <c r="N113" s="13">
        <v>2</v>
      </c>
    </row>
    <row r="114" spans="1:14" hidden="1" outlineLevel="1" x14ac:dyDescent="0.2">
      <c r="A114" s="9" t="s">
        <v>266</v>
      </c>
      <c r="B114" s="1" t="s">
        <v>267</v>
      </c>
      <c r="C114" s="13">
        <v>0</v>
      </c>
      <c r="D114" s="13">
        <v>2</v>
      </c>
      <c r="E114" s="13">
        <v>2</v>
      </c>
      <c r="F114" s="13">
        <v>2</v>
      </c>
      <c r="G114" s="13">
        <v>2</v>
      </c>
      <c r="H114" s="13">
        <v>2</v>
      </c>
      <c r="I114" s="13">
        <v>2</v>
      </c>
      <c r="J114" s="13">
        <v>2</v>
      </c>
      <c r="K114" s="13">
        <v>2</v>
      </c>
      <c r="L114" s="13">
        <v>2</v>
      </c>
      <c r="M114" s="13">
        <v>2</v>
      </c>
      <c r="N114" s="13">
        <v>2</v>
      </c>
    </row>
    <row r="115" spans="1:14" collapsed="1" x14ac:dyDescent="0.2">
      <c r="A115" s="9" t="s">
        <v>268</v>
      </c>
      <c r="B115" s="1" t="s">
        <v>269</v>
      </c>
      <c r="C115" s="13">
        <v>0</v>
      </c>
      <c r="D115" s="13">
        <v>0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2">
      <c r="A116" s="9" t="s">
        <v>270</v>
      </c>
      <c r="B116" s="1" t="s">
        <v>271</v>
      </c>
      <c r="C116" s="13">
        <v>0</v>
      </c>
      <c r="D116" s="13">
        <v>0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2">
      <c r="A117" s="9" t="s">
        <v>272</v>
      </c>
      <c r="B117" s="1" t="s">
        <v>273</v>
      </c>
      <c r="C117" s="13">
        <v>0</v>
      </c>
      <c r="D117" s="13">
        <v>0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2">
      <c r="A118" s="9" t="s">
        <v>274</v>
      </c>
      <c r="B118" s="1" t="s">
        <v>275</v>
      </c>
      <c r="C118" s="13">
        <v>0</v>
      </c>
      <c r="D118" s="13">
        <v>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2">
      <c r="A119" s="9" t="s">
        <v>276</v>
      </c>
      <c r="B119" s="1" t="s">
        <v>277</v>
      </c>
      <c r="C119" s="13">
        <v>500</v>
      </c>
      <c r="D119" s="13">
        <v>500</v>
      </c>
      <c r="E119" s="13">
        <v>500</v>
      </c>
      <c r="F119" s="13">
        <v>500</v>
      </c>
      <c r="G119" s="13">
        <v>500</v>
      </c>
      <c r="H119" s="13">
        <v>500</v>
      </c>
      <c r="I119" s="13">
        <v>500</v>
      </c>
      <c r="J119" s="13">
        <v>500</v>
      </c>
      <c r="K119" s="13">
        <v>500</v>
      </c>
      <c r="L119" s="13">
        <v>500</v>
      </c>
      <c r="M119" s="13">
        <v>500</v>
      </c>
      <c r="N119" s="13">
        <v>500</v>
      </c>
    </row>
    <row r="120" spans="1:14" hidden="1" outlineLevel="1" x14ac:dyDescent="0.2">
      <c r="A120" s="9" t="s">
        <v>278</v>
      </c>
      <c r="B120" s="1" t="s">
        <v>279</v>
      </c>
      <c r="C120" s="13">
        <v>500</v>
      </c>
      <c r="D120" s="13">
        <v>500</v>
      </c>
      <c r="E120" s="13">
        <v>500</v>
      </c>
      <c r="F120" s="13">
        <v>500</v>
      </c>
      <c r="G120" s="13">
        <v>500</v>
      </c>
      <c r="H120" s="13">
        <v>500</v>
      </c>
      <c r="I120" s="13">
        <v>500</v>
      </c>
      <c r="J120" s="13">
        <v>500</v>
      </c>
      <c r="K120" s="13">
        <v>500</v>
      </c>
      <c r="L120" s="13">
        <v>500</v>
      </c>
      <c r="M120" s="13">
        <v>500</v>
      </c>
      <c r="N120" s="13">
        <v>500</v>
      </c>
    </row>
    <row r="121" spans="1:14" collapsed="1" x14ac:dyDescent="0.2">
      <c r="A121" s="9" t="s">
        <v>280</v>
      </c>
      <c r="B121" s="1" t="s">
        <v>281</v>
      </c>
      <c r="C121" s="13">
        <v>500</v>
      </c>
      <c r="D121" s="13">
        <v>500</v>
      </c>
      <c r="E121" s="13">
        <v>500</v>
      </c>
      <c r="F121" s="13">
        <v>500</v>
      </c>
      <c r="G121" s="13">
        <v>500</v>
      </c>
      <c r="H121" s="13">
        <v>500</v>
      </c>
      <c r="I121" s="13">
        <v>500</v>
      </c>
      <c r="J121" s="13">
        <v>500</v>
      </c>
      <c r="K121" s="13">
        <v>500</v>
      </c>
      <c r="L121" s="13">
        <v>500</v>
      </c>
      <c r="M121" s="13">
        <v>500</v>
      </c>
      <c r="N121" s="13">
        <v>500</v>
      </c>
    </row>
    <row r="122" spans="1:14" hidden="1" outlineLevel="1" x14ac:dyDescent="0.2">
      <c r="A122" s="9" t="s">
        <v>282</v>
      </c>
      <c r="B122" s="1" t="s">
        <v>283</v>
      </c>
      <c r="C122" s="13">
        <v>500</v>
      </c>
      <c r="D122" s="13">
        <v>500</v>
      </c>
      <c r="E122" s="13">
        <v>500</v>
      </c>
      <c r="F122" s="13">
        <v>500</v>
      </c>
      <c r="G122" s="13">
        <v>500</v>
      </c>
      <c r="H122" s="13">
        <v>500</v>
      </c>
      <c r="I122" s="13">
        <v>500</v>
      </c>
      <c r="J122" s="13">
        <v>500</v>
      </c>
      <c r="K122" s="13">
        <v>500</v>
      </c>
      <c r="L122" s="13">
        <v>500</v>
      </c>
      <c r="M122" s="13">
        <v>500</v>
      </c>
      <c r="N122" s="13">
        <v>500</v>
      </c>
    </row>
    <row r="123" spans="1:14" collapsed="1" x14ac:dyDescent="0.2">
      <c r="A123" s="9" t="s">
        <v>284</v>
      </c>
      <c r="B123" s="1" t="s">
        <v>285</v>
      </c>
      <c r="C123" s="13">
        <v>0</v>
      </c>
      <c r="D123" s="13">
        <v>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2">
      <c r="A124" s="9" t="s">
        <v>288</v>
      </c>
      <c r="B124" s="1" t="s">
        <v>289</v>
      </c>
      <c r="C124" s="13">
        <v>0</v>
      </c>
      <c r="D124" s="13">
        <v>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2">
      <c r="A125" s="3"/>
      <c r="B125" s="3" t="s">
        <v>290</v>
      </c>
      <c r="C125" s="15">
        <v>60.3</v>
      </c>
      <c r="D125" s="15">
        <v>18.899999999999999</v>
      </c>
      <c r="E125" s="15">
        <v>15.3</v>
      </c>
      <c r="F125" s="15">
        <v>15.3</v>
      </c>
      <c r="G125" s="15">
        <v>15.2</v>
      </c>
      <c r="H125" s="15">
        <v>14.2</v>
      </c>
      <c r="I125" s="15">
        <v>15.2</v>
      </c>
      <c r="J125" s="15">
        <v>15.3</v>
      </c>
      <c r="K125" s="15">
        <v>15.3</v>
      </c>
      <c r="L125" s="15">
        <v>15.2</v>
      </c>
      <c r="M125" s="15">
        <v>14.2</v>
      </c>
      <c r="N125" s="15">
        <v>15.2</v>
      </c>
    </row>
    <row r="126" spans="1:14" x14ac:dyDescent="0.2">
      <c r="A126" s="3"/>
      <c r="B126" s="3" t="s">
        <v>291</v>
      </c>
      <c r="C126" s="15" t="s">
        <v>292</v>
      </c>
      <c r="D126" s="15" t="s">
        <v>292</v>
      </c>
      <c r="E126" s="15" t="s">
        <v>292</v>
      </c>
      <c r="F126" s="15" t="s">
        <v>292</v>
      </c>
      <c r="G126" s="15" t="s">
        <v>292</v>
      </c>
      <c r="H126" s="15" t="s">
        <v>292</v>
      </c>
      <c r="I126" s="15" t="s">
        <v>292</v>
      </c>
      <c r="J126" s="15" t="s">
        <v>292</v>
      </c>
      <c r="K126" s="15" t="s">
        <v>292</v>
      </c>
      <c r="L126" s="15" t="s">
        <v>292</v>
      </c>
      <c r="M126" s="15" t="s">
        <v>292</v>
      </c>
      <c r="N126" s="15" t="s">
        <v>292</v>
      </c>
    </row>
    <row r="127" spans="1:14" x14ac:dyDescent="0.2">
      <c r="A127" s="3"/>
      <c r="B127" s="3" t="s">
        <v>293</v>
      </c>
      <c r="C127" s="15" t="s">
        <v>292</v>
      </c>
      <c r="D127" s="15" t="s">
        <v>292</v>
      </c>
      <c r="E127" s="15" t="s">
        <v>292</v>
      </c>
      <c r="F127" s="15" t="s">
        <v>292</v>
      </c>
      <c r="G127" s="15" t="s">
        <v>292</v>
      </c>
      <c r="H127" s="15" t="s">
        <v>292</v>
      </c>
      <c r="I127" s="15" t="s">
        <v>292</v>
      </c>
      <c r="J127" s="15" t="s">
        <v>292</v>
      </c>
      <c r="K127" s="15" t="s">
        <v>292</v>
      </c>
      <c r="L127" s="15" t="s">
        <v>292</v>
      </c>
      <c r="M127" s="15" t="s">
        <v>292</v>
      </c>
      <c r="N127" s="15" t="s">
        <v>292</v>
      </c>
    </row>
    <row r="128" spans="1:14" x14ac:dyDescent="0.2">
      <c r="A128" s="3"/>
      <c r="B128" s="3" t="s">
        <v>294</v>
      </c>
      <c r="C128" s="15">
        <v>0</v>
      </c>
      <c r="D128" s="15">
        <v>0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</row>
    <row r="129" spans="1:14" x14ac:dyDescent="0.2">
      <c r="A129" s="12"/>
      <c r="B129" s="12" t="s">
        <v>295</v>
      </c>
      <c r="C129" s="14" t="s">
        <v>292</v>
      </c>
      <c r="D129" s="14" t="s">
        <v>292</v>
      </c>
      <c r="E129" s="14" t="s">
        <v>292</v>
      </c>
      <c r="F129" s="14" t="s">
        <v>292</v>
      </c>
      <c r="G129" s="14" t="s">
        <v>292</v>
      </c>
      <c r="H129" s="14" t="s">
        <v>292</v>
      </c>
      <c r="I129" s="14" t="s">
        <v>292</v>
      </c>
      <c r="J129" s="14" t="s">
        <v>292</v>
      </c>
      <c r="K129" s="14" t="s">
        <v>292</v>
      </c>
      <c r="L129" s="14" t="s">
        <v>292</v>
      </c>
      <c r="M129" s="14" t="s">
        <v>292</v>
      </c>
      <c r="N129" s="14" t="s">
        <v>292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77BD4-C866-4024-84C0-C9A040A0E9A9}">
  <sheetPr codeName="Hoja70">
    <tabColor theme="9" tint="-0.249977111117893"/>
  </sheetPr>
  <dimension ref="A1:N85"/>
  <sheetViews>
    <sheetView zoomScale="70" zoomScaleNormal="70" workbookViewId="0">
      <pane ySplit="6" topLeftCell="A37" activePane="bottomLeft" state="frozen"/>
      <selection activeCell="O1" sqref="O1:O1048576"/>
      <selection pane="bottomLeft" activeCell="A19" sqref="A19:B19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3.4257812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392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SUM(C8:C10)</f>
        <v>19</v>
      </c>
      <c r="D7" s="50">
        <f t="shared" ref="D7:N7" si="0">SUM(D8:D10)</f>
        <v>14</v>
      </c>
      <c r="E7" s="50">
        <f t="shared" si="0"/>
        <v>15</v>
      </c>
      <c r="F7" s="50">
        <f t="shared" si="0"/>
        <v>14</v>
      </c>
      <c r="G7" s="50">
        <f t="shared" si="0"/>
        <v>14</v>
      </c>
      <c r="H7" s="50">
        <f t="shared" si="0"/>
        <v>17</v>
      </c>
      <c r="I7" s="50">
        <f t="shared" si="0"/>
        <v>20</v>
      </c>
      <c r="J7" s="50">
        <f t="shared" si="0"/>
        <v>12</v>
      </c>
      <c r="K7" s="50">
        <f t="shared" si="0"/>
        <v>17</v>
      </c>
      <c r="L7" s="50">
        <f t="shared" si="0"/>
        <v>13</v>
      </c>
      <c r="M7" s="50">
        <f t="shared" si="0"/>
        <v>17</v>
      </c>
      <c r="N7" s="50">
        <f t="shared" si="0"/>
        <v>21</v>
      </c>
    </row>
    <row r="8" spans="1:14" hidden="1" outlineLevel="1" x14ac:dyDescent="0.2">
      <c r="A8" s="9" t="s">
        <v>29</v>
      </c>
      <c r="B8" s="1" t="s">
        <v>30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31</v>
      </c>
      <c r="B9" s="1" t="s">
        <v>32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</row>
    <row r="10" spans="1:14" hidden="1" outlineLevel="1" x14ac:dyDescent="0.2">
      <c r="A10" s="9" t="s">
        <v>33</v>
      </c>
      <c r="B10" s="1" t="s">
        <v>34</v>
      </c>
      <c r="C10" s="28">
        <v>19</v>
      </c>
      <c r="D10" s="28">
        <v>14</v>
      </c>
      <c r="E10" s="28">
        <v>15</v>
      </c>
      <c r="F10" s="28">
        <v>14</v>
      </c>
      <c r="G10" s="28">
        <v>14</v>
      </c>
      <c r="H10" s="28">
        <v>17</v>
      </c>
      <c r="I10" s="28">
        <v>20</v>
      </c>
      <c r="J10" s="28">
        <v>12</v>
      </c>
      <c r="K10" s="28">
        <v>17</v>
      </c>
      <c r="L10" s="28">
        <v>13</v>
      </c>
      <c r="M10" s="28">
        <v>17</v>
      </c>
      <c r="N10" s="28">
        <v>21</v>
      </c>
    </row>
    <row r="11" spans="1:14" collapsed="1" x14ac:dyDescent="0.2">
      <c r="A11" s="48" t="s">
        <v>37</v>
      </c>
      <c r="B11" s="49" t="s">
        <v>38</v>
      </c>
      <c r="C11" s="50">
        <v>0</v>
      </c>
      <c r="D11" s="50">
        <v>0</v>
      </c>
      <c r="E11" s="50">
        <v>0</v>
      </c>
      <c r="F11" s="50">
        <v>0</v>
      </c>
      <c r="G11" s="50">
        <v>0</v>
      </c>
      <c r="H11" s="50">
        <v>0</v>
      </c>
      <c r="I11" s="50">
        <v>0</v>
      </c>
      <c r="J11" s="50">
        <v>0</v>
      </c>
      <c r="K11" s="50">
        <v>0</v>
      </c>
      <c r="L11" s="50">
        <v>0</v>
      </c>
      <c r="M11" s="50">
        <v>0</v>
      </c>
      <c r="N11" s="50">
        <v>0</v>
      </c>
    </row>
    <row r="12" spans="1:14" x14ac:dyDescent="0.2">
      <c r="A12" s="48" t="s">
        <v>39</v>
      </c>
      <c r="B12" s="49" t="s">
        <v>40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41</v>
      </c>
      <c r="B13" s="49" t="s">
        <v>42</v>
      </c>
      <c r="C13" s="50">
        <f>+C14</f>
        <v>0</v>
      </c>
      <c r="D13" s="50">
        <f t="shared" ref="D13:N13" si="1">+D14</f>
        <v>0</v>
      </c>
      <c r="E13" s="50">
        <f t="shared" si="1"/>
        <v>0</v>
      </c>
      <c r="F13" s="50">
        <f t="shared" si="1"/>
        <v>0</v>
      </c>
      <c r="G13" s="50">
        <f t="shared" si="1"/>
        <v>0</v>
      </c>
      <c r="H13" s="50">
        <f t="shared" si="1"/>
        <v>0</v>
      </c>
      <c r="I13" s="50">
        <f t="shared" si="1"/>
        <v>0</v>
      </c>
      <c r="J13" s="50">
        <f t="shared" si="1"/>
        <v>0</v>
      </c>
      <c r="K13" s="50">
        <f t="shared" si="1"/>
        <v>0</v>
      </c>
      <c r="L13" s="50">
        <f t="shared" si="1"/>
        <v>0</v>
      </c>
      <c r="M13" s="50">
        <f t="shared" si="1"/>
        <v>0</v>
      </c>
      <c r="N13" s="50">
        <f t="shared" si="1"/>
        <v>0</v>
      </c>
    </row>
    <row r="14" spans="1:14" hidden="1" outlineLevel="1" x14ac:dyDescent="0.2">
      <c r="A14" s="9" t="s">
        <v>43</v>
      </c>
      <c r="B14" s="1" t="s">
        <v>44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</row>
    <row r="15" spans="1:14" collapsed="1" x14ac:dyDescent="0.2">
      <c r="A15" s="48" t="s">
        <v>45</v>
      </c>
      <c r="B15" s="49" t="s">
        <v>46</v>
      </c>
      <c r="C15" s="50">
        <v>0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50">
        <v>0</v>
      </c>
      <c r="J15" s="50">
        <v>0</v>
      </c>
      <c r="K15" s="50">
        <v>0</v>
      </c>
      <c r="L15" s="50">
        <v>0</v>
      </c>
      <c r="M15" s="50">
        <v>0</v>
      </c>
      <c r="N15" s="50">
        <v>0</v>
      </c>
    </row>
    <row r="16" spans="1:14" x14ac:dyDescent="0.2">
      <c r="A16" s="51"/>
      <c r="B16" s="51" t="s">
        <v>47</v>
      </c>
      <c r="C16" s="19">
        <f>+C7+C11+C12+C13+C15</f>
        <v>19</v>
      </c>
      <c r="D16" s="19">
        <f t="shared" ref="D16:N16" si="2">+D7+D11+D12+D13+D15</f>
        <v>14</v>
      </c>
      <c r="E16" s="19">
        <f t="shared" si="2"/>
        <v>15</v>
      </c>
      <c r="F16" s="19">
        <f t="shared" si="2"/>
        <v>14</v>
      </c>
      <c r="G16" s="19">
        <f t="shared" si="2"/>
        <v>14</v>
      </c>
      <c r="H16" s="19">
        <f t="shared" si="2"/>
        <v>17</v>
      </c>
      <c r="I16" s="19">
        <f t="shared" si="2"/>
        <v>20</v>
      </c>
      <c r="J16" s="19">
        <f t="shared" si="2"/>
        <v>12</v>
      </c>
      <c r="K16" s="19">
        <f t="shared" si="2"/>
        <v>17</v>
      </c>
      <c r="L16" s="19">
        <f t="shared" si="2"/>
        <v>13</v>
      </c>
      <c r="M16" s="19">
        <f t="shared" si="2"/>
        <v>17</v>
      </c>
      <c r="N16" s="19">
        <f t="shared" si="2"/>
        <v>21</v>
      </c>
    </row>
    <row r="17" spans="1:14" x14ac:dyDescent="0.2">
      <c r="A17" s="48" t="s">
        <v>48</v>
      </c>
      <c r="B17" s="49" t="s">
        <v>49</v>
      </c>
      <c r="C17" s="50">
        <f t="shared" ref="C17:N17" si="3">SUM(C18:C20)</f>
        <v>16</v>
      </c>
      <c r="D17" s="50">
        <f t="shared" si="3"/>
        <v>9</v>
      </c>
      <c r="E17" s="50">
        <f t="shared" si="3"/>
        <v>10</v>
      </c>
      <c r="F17" s="50">
        <f t="shared" si="3"/>
        <v>9</v>
      </c>
      <c r="G17" s="50">
        <f t="shared" si="3"/>
        <v>10</v>
      </c>
      <c r="H17" s="50">
        <f t="shared" si="3"/>
        <v>13</v>
      </c>
      <c r="I17" s="50">
        <f t="shared" si="3"/>
        <v>14</v>
      </c>
      <c r="J17" s="50">
        <f t="shared" si="3"/>
        <v>13</v>
      </c>
      <c r="K17" s="50">
        <f t="shared" si="3"/>
        <v>12</v>
      </c>
      <c r="L17" s="50">
        <f t="shared" si="3"/>
        <v>9</v>
      </c>
      <c r="M17" s="50">
        <f t="shared" si="3"/>
        <v>14</v>
      </c>
      <c r="N17" s="50">
        <f t="shared" si="3"/>
        <v>11</v>
      </c>
    </row>
    <row r="18" spans="1:14" hidden="1" outlineLevel="1" x14ac:dyDescent="0.2">
      <c r="A18" s="9" t="s">
        <v>54</v>
      </c>
      <c r="B18" s="1" t="s">
        <v>55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</row>
    <row r="19" spans="1:14" hidden="1" outlineLevel="1" x14ac:dyDescent="0.2">
      <c r="A19" s="9" t="s">
        <v>56</v>
      </c>
      <c r="B19" s="1" t="s">
        <v>51</v>
      </c>
      <c r="C19" s="28">
        <v>10</v>
      </c>
      <c r="D19" s="28">
        <v>9</v>
      </c>
      <c r="E19" s="28">
        <v>10</v>
      </c>
      <c r="F19" s="28">
        <v>9</v>
      </c>
      <c r="G19" s="28">
        <v>10</v>
      </c>
      <c r="H19" s="28">
        <v>13</v>
      </c>
      <c r="I19" s="28">
        <v>14</v>
      </c>
      <c r="J19" s="28">
        <v>13</v>
      </c>
      <c r="K19" s="28">
        <v>12</v>
      </c>
      <c r="L19" s="28">
        <v>9</v>
      </c>
      <c r="M19" s="28">
        <v>14</v>
      </c>
      <c r="N19" s="28">
        <v>11</v>
      </c>
    </row>
    <row r="20" spans="1:14" hidden="1" outlineLevel="1" x14ac:dyDescent="0.2">
      <c r="A20" s="9" t="s">
        <v>57</v>
      </c>
      <c r="B20" s="1" t="s">
        <v>58</v>
      </c>
      <c r="C20" s="10">
        <v>6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</row>
    <row r="21" spans="1:14" collapsed="1" x14ac:dyDescent="0.2">
      <c r="A21" s="48" t="s">
        <v>60</v>
      </c>
      <c r="B21" s="49" t="s">
        <v>61</v>
      </c>
      <c r="C21" s="50">
        <v>0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</row>
    <row r="22" spans="1:14" x14ac:dyDescent="0.2">
      <c r="A22" s="48" t="s">
        <v>62</v>
      </c>
      <c r="B22" s="49" t="s">
        <v>63</v>
      </c>
      <c r="C22" s="50">
        <v>0</v>
      </c>
      <c r="D22" s="50">
        <v>0</v>
      </c>
      <c r="E22" s="50">
        <v>0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</row>
    <row r="23" spans="1:14" x14ac:dyDescent="0.2">
      <c r="A23" s="48" t="s">
        <v>64</v>
      </c>
      <c r="B23" s="49" t="s">
        <v>65</v>
      </c>
      <c r="C23" s="50">
        <f t="shared" ref="C23:N23" si="4">+C24</f>
        <v>6.5</v>
      </c>
      <c r="D23" s="50">
        <f t="shared" si="4"/>
        <v>6.5</v>
      </c>
      <c r="E23" s="50">
        <f t="shared" si="4"/>
        <v>6.5</v>
      </c>
      <c r="F23" s="50">
        <f t="shared" si="4"/>
        <v>6.5</v>
      </c>
      <c r="G23" s="50">
        <f t="shared" si="4"/>
        <v>6.5</v>
      </c>
      <c r="H23" s="50">
        <f t="shared" si="4"/>
        <v>6.5</v>
      </c>
      <c r="I23" s="50">
        <f t="shared" si="4"/>
        <v>6.5</v>
      </c>
      <c r="J23" s="50">
        <f t="shared" si="4"/>
        <v>6.5</v>
      </c>
      <c r="K23" s="50">
        <f t="shared" si="4"/>
        <v>6.5</v>
      </c>
      <c r="L23" s="50">
        <f t="shared" si="4"/>
        <v>6.5</v>
      </c>
      <c r="M23" s="50">
        <f t="shared" si="4"/>
        <v>6.5</v>
      </c>
      <c r="N23" s="50">
        <f t="shared" si="4"/>
        <v>6.5</v>
      </c>
    </row>
    <row r="24" spans="1:14" hidden="1" outlineLevel="1" x14ac:dyDescent="0.2">
      <c r="A24" s="9" t="s">
        <v>66</v>
      </c>
      <c r="B24" s="1" t="s">
        <v>67</v>
      </c>
      <c r="C24" s="28">
        <v>6.5</v>
      </c>
      <c r="D24" s="28">
        <v>6.5</v>
      </c>
      <c r="E24" s="28">
        <v>6.5</v>
      </c>
      <c r="F24" s="28">
        <v>6.5</v>
      </c>
      <c r="G24" s="28">
        <v>6.5</v>
      </c>
      <c r="H24" s="28">
        <v>6.5</v>
      </c>
      <c r="I24" s="28">
        <v>6.5</v>
      </c>
      <c r="J24" s="28">
        <v>6.5</v>
      </c>
      <c r="K24" s="28">
        <v>6.5</v>
      </c>
      <c r="L24" s="28">
        <v>6.5</v>
      </c>
      <c r="M24" s="28">
        <v>6.5</v>
      </c>
      <c r="N24" s="28">
        <v>6.5</v>
      </c>
    </row>
    <row r="25" spans="1:14" collapsed="1" x14ac:dyDescent="0.2">
      <c r="A25" s="48" t="s">
        <v>68</v>
      </c>
      <c r="B25" s="49" t="s">
        <v>69</v>
      </c>
      <c r="C25" s="50">
        <f t="shared" ref="C25:N25" si="5">+C26</f>
        <v>1.1000000000000001</v>
      </c>
      <c r="D25" s="50">
        <f t="shared" si="5"/>
        <v>1.1000000000000001</v>
      </c>
      <c r="E25" s="50">
        <f t="shared" si="5"/>
        <v>1.1000000000000001</v>
      </c>
      <c r="F25" s="50">
        <f t="shared" si="5"/>
        <v>1.1000000000000001</v>
      </c>
      <c r="G25" s="50">
        <f t="shared" si="5"/>
        <v>1.1000000000000001</v>
      </c>
      <c r="H25" s="50">
        <f t="shared" si="5"/>
        <v>1.1000000000000001</v>
      </c>
      <c r="I25" s="50">
        <f t="shared" si="5"/>
        <v>1.1000000000000001</v>
      </c>
      <c r="J25" s="50">
        <f t="shared" si="5"/>
        <v>1.1000000000000001</v>
      </c>
      <c r="K25" s="50">
        <f t="shared" si="5"/>
        <v>1.1000000000000001</v>
      </c>
      <c r="L25" s="50">
        <f t="shared" si="5"/>
        <v>1.1000000000000001</v>
      </c>
      <c r="M25" s="50">
        <f t="shared" si="5"/>
        <v>1.1000000000000001</v>
      </c>
      <c r="N25" s="50">
        <f t="shared" si="5"/>
        <v>1.1000000000000001</v>
      </c>
    </row>
    <row r="26" spans="1:14" hidden="1" outlineLevel="1" x14ac:dyDescent="0.2">
      <c r="A26" s="9" t="s">
        <v>70</v>
      </c>
      <c r="B26" s="1" t="s">
        <v>71</v>
      </c>
      <c r="C26" s="28">
        <v>1.1000000000000001</v>
      </c>
      <c r="D26" s="28">
        <v>1.1000000000000001</v>
      </c>
      <c r="E26" s="28">
        <v>1.1000000000000001</v>
      </c>
      <c r="F26" s="28">
        <v>1.1000000000000001</v>
      </c>
      <c r="G26" s="28">
        <v>1.1000000000000001</v>
      </c>
      <c r="H26" s="28">
        <v>1.1000000000000001</v>
      </c>
      <c r="I26" s="28">
        <v>1.1000000000000001</v>
      </c>
      <c r="J26" s="28">
        <v>1.1000000000000001</v>
      </c>
      <c r="K26" s="28">
        <v>1.1000000000000001</v>
      </c>
      <c r="L26" s="28">
        <v>1.1000000000000001</v>
      </c>
      <c r="M26" s="28">
        <v>1.1000000000000001</v>
      </c>
      <c r="N26" s="28">
        <v>1.1000000000000001</v>
      </c>
    </row>
    <row r="27" spans="1:14" collapsed="1" x14ac:dyDescent="0.2">
      <c r="A27" s="52"/>
      <c r="B27" s="52" t="s">
        <v>72</v>
      </c>
      <c r="C27" s="53">
        <f t="shared" ref="C27:N27" si="6">+C17+C21+C22+C23+C25</f>
        <v>23.6</v>
      </c>
      <c r="D27" s="53">
        <f t="shared" si="6"/>
        <v>16.600000000000001</v>
      </c>
      <c r="E27" s="53">
        <f t="shared" si="6"/>
        <v>17.600000000000001</v>
      </c>
      <c r="F27" s="53">
        <f t="shared" si="6"/>
        <v>16.600000000000001</v>
      </c>
      <c r="G27" s="53">
        <f t="shared" si="6"/>
        <v>17.600000000000001</v>
      </c>
      <c r="H27" s="53">
        <f t="shared" si="6"/>
        <v>20.6</v>
      </c>
      <c r="I27" s="53">
        <f t="shared" si="6"/>
        <v>21.6</v>
      </c>
      <c r="J27" s="53">
        <f t="shared" si="6"/>
        <v>20.6</v>
      </c>
      <c r="K27" s="53">
        <f t="shared" si="6"/>
        <v>19.600000000000001</v>
      </c>
      <c r="L27" s="53">
        <f t="shared" si="6"/>
        <v>16.600000000000001</v>
      </c>
      <c r="M27" s="53">
        <f t="shared" si="6"/>
        <v>21.6</v>
      </c>
      <c r="N27" s="53">
        <f t="shared" si="6"/>
        <v>18.600000000000001</v>
      </c>
    </row>
    <row r="28" spans="1:14" x14ac:dyDescent="0.2">
      <c r="A28" s="51"/>
      <c r="B28" s="51" t="s">
        <v>73</v>
      </c>
      <c r="C28" s="19">
        <f t="shared" ref="C28:N28" si="7">+C16-C27</f>
        <v>-4.6000000000000014</v>
      </c>
      <c r="D28" s="19">
        <f t="shared" si="7"/>
        <v>-2.6000000000000014</v>
      </c>
      <c r="E28" s="19">
        <f t="shared" si="7"/>
        <v>-2.6000000000000014</v>
      </c>
      <c r="F28" s="19">
        <f t="shared" si="7"/>
        <v>-2.6000000000000014</v>
      </c>
      <c r="G28" s="19">
        <f t="shared" si="7"/>
        <v>-3.6000000000000014</v>
      </c>
      <c r="H28" s="19">
        <f t="shared" si="7"/>
        <v>-3.6000000000000014</v>
      </c>
      <c r="I28" s="19">
        <f t="shared" si="7"/>
        <v>-1.6000000000000014</v>
      </c>
      <c r="J28" s="19">
        <f t="shared" si="7"/>
        <v>-8.6000000000000014</v>
      </c>
      <c r="K28" s="19">
        <f t="shared" si="7"/>
        <v>-2.6000000000000014</v>
      </c>
      <c r="L28" s="19">
        <f t="shared" si="7"/>
        <v>-3.6000000000000014</v>
      </c>
      <c r="M28" s="19">
        <f t="shared" si="7"/>
        <v>-4.6000000000000014</v>
      </c>
      <c r="N28" s="19">
        <f t="shared" si="7"/>
        <v>2.3999999999999986</v>
      </c>
    </row>
    <row r="29" spans="1:14" x14ac:dyDescent="0.2">
      <c r="A29" s="10" t="s">
        <v>74</v>
      </c>
      <c r="B29" s="10" t="s">
        <v>74</v>
      </c>
      <c r="C29" s="10" t="s">
        <v>74</v>
      </c>
      <c r="D29" s="10" t="s">
        <v>74</v>
      </c>
      <c r="E29" s="10" t="s">
        <v>74</v>
      </c>
      <c r="F29" s="10" t="s">
        <v>74</v>
      </c>
      <c r="G29" s="16"/>
      <c r="H29" s="10" t="s">
        <v>74</v>
      </c>
      <c r="I29" s="10" t="s">
        <v>74</v>
      </c>
      <c r="J29" s="10" t="s">
        <v>74</v>
      </c>
      <c r="K29" s="10" t="s">
        <v>74</v>
      </c>
      <c r="L29" s="10" t="s">
        <v>74</v>
      </c>
      <c r="M29" s="10" t="s">
        <v>74</v>
      </c>
      <c r="N29" s="10" t="s">
        <v>74</v>
      </c>
    </row>
    <row r="30" spans="1:14" x14ac:dyDescent="0.2">
      <c r="A30" s="48" t="s">
        <v>75</v>
      </c>
      <c r="B30" s="49" t="s">
        <v>76</v>
      </c>
      <c r="C30" s="50">
        <f t="shared" ref="C30:N30" si="8">+C31</f>
        <v>0</v>
      </c>
      <c r="D30" s="50">
        <f t="shared" si="8"/>
        <v>0</v>
      </c>
      <c r="E30" s="50">
        <f t="shared" si="8"/>
        <v>0</v>
      </c>
      <c r="F30" s="50">
        <f t="shared" si="8"/>
        <v>0</v>
      </c>
      <c r="G30" s="50">
        <f t="shared" si="8"/>
        <v>0</v>
      </c>
      <c r="H30" s="50">
        <f t="shared" si="8"/>
        <v>0</v>
      </c>
      <c r="I30" s="50">
        <f t="shared" si="8"/>
        <v>0.1</v>
      </c>
      <c r="J30" s="50">
        <f t="shared" si="8"/>
        <v>0.1</v>
      </c>
      <c r="K30" s="50">
        <f t="shared" si="8"/>
        <v>0.1</v>
      </c>
      <c r="L30" s="50">
        <f t="shared" si="8"/>
        <v>0</v>
      </c>
      <c r="M30" s="50">
        <f t="shared" si="8"/>
        <v>0.1</v>
      </c>
      <c r="N30" s="50">
        <f t="shared" si="8"/>
        <v>0.15</v>
      </c>
    </row>
    <row r="31" spans="1:14" hidden="1" outlineLevel="1" x14ac:dyDescent="0.2">
      <c r="A31" s="9" t="s">
        <v>97</v>
      </c>
      <c r="B31" s="1" t="s">
        <v>98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0.1</v>
      </c>
      <c r="J31" s="10">
        <v>0.1</v>
      </c>
      <c r="K31" s="10">
        <v>0.1</v>
      </c>
      <c r="L31" s="10">
        <v>0</v>
      </c>
      <c r="M31" s="10">
        <v>0.1</v>
      </c>
      <c r="N31" s="10">
        <v>0.15</v>
      </c>
    </row>
    <row r="32" spans="1:14" collapsed="1" x14ac:dyDescent="0.2">
      <c r="A32" s="48" t="s">
        <v>111</v>
      </c>
      <c r="B32" s="49" t="s">
        <v>112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</row>
    <row r="33" spans="1:14" x14ac:dyDescent="0.2">
      <c r="A33" s="48" t="s">
        <v>119</v>
      </c>
      <c r="B33" s="49" t="s">
        <v>120</v>
      </c>
      <c r="C33" s="50">
        <v>0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50">
        <v>0</v>
      </c>
      <c r="L33" s="50">
        <v>0</v>
      </c>
      <c r="M33" s="50">
        <v>0</v>
      </c>
      <c r="N33" s="50">
        <v>0</v>
      </c>
    </row>
    <row r="34" spans="1:14" x14ac:dyDescent="0.2">
      <c r="A34" s="48" t="s">
        <v>127</v>
      </c>
      <c r="B34" s="49" t="s">
        <v>128</v>
      </c>
      <c r="C34" s="50">
        <f t="shared" ref="C34:N34" si="9">+C35</f>
        <v>0</v>
      </c>
      <c r="D34" s="50">
        <f t="shared" si="9"/>
        <v>0</v>
      </c>
      <c r="E34" s="50">
        <f t="shared" si="9"/>
        <v>0</v>
      </c>
      <c r="F34" s="50">
        <f t="shared" si="9"/>
        <v>0</v>
      </c>
      <c r="G34" s="50">
        <f t="shared" si="9"/>
        <v>0</v>
      </c>
      <c r="H34" s="50">
        <f t="shared" si="9"/>
        <v>0</v>
      </c>
      <c r="I34" s="50">
        <f t="shared" si="9"/>
        <v>0.1</v>
      </c>
      <c r="J34" s="50">
        <f t="shared" si="9"/>
        <v>0</v>
      </c>
      <c r="K34" s="50">
        <f t="shared" si="9"/>
        <v>0</v>
      </c>
      <c r="L34" s="50">
        <f t="shared" si="9"/>
        <v>0</v>
      </c>
      <c r="M34" s="50">
        <f t="shared" si="9"/>
        <v>0</v>
      </c>
      <c r="N34" s="50">
        <f t="shared" si="9"/>
        <v>0</v>
      </c>
    </row>
    <row r="35" spans="1:14" hidden="1" outlineLevel="1" x14ac:dyDescent="0.2">
      <c r="A35" s="9" t="s">
        <v>129</v>
      </c>
      <c r="B35" s="1" t="s">
        <v>130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0.1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</row>
    <row r="36" spans="1:14" collapsed="1" x14ac:dyDescent="0.2">
      <c r="A36" s="48" t="s">
        <v>133</v>
      </c>
      <c r="B36" s="49" t="s">
        <v>134</v>
      </c>
      <c r="C36" s="50">
        <v>0</v>
      </c>
      <c r="D36" s="50">
        <v>0</v>
      </c>
      <c r="E36" s="50">
        <v>0</v>
      </c>
      <c r="F36" s="50">
        <v>0</v>
      </c>
      <c r="G36" s="50">
        <v>0</v>
      </c>
      <c r="H36" s="50">
        <v>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</row>
    <row r="37" spans="1:14" x14ac:dyDescent="0.2">
      <c r="A37" s="48" t="s">
        <v>137</v>
      </c>
      <c r="B37" s="49" t="s">
        <v>138</v>
      </c>
      <c r="C37" s="50">
        <v>0</v>
      </c>
      <c r="D37" s="50">
        <v>0</v>
      </c>
      <c r="E37" s="50">
        <v>0</v>
      </c>
      <c r="F37" s="50">
        <v>0</v>
      </c>
      <c r="G37" s="50">
        <v>0</v>
      </c>
      <c r="H37" s="50">
        <v>0</v>
      </c>
      <c r="I37" s="50">
        <v>0</v>
      </c>
      <c r="J37" s="50">
        <v>0</v>
      </c>
      <c r="K37" s="50">
        <v>0</v>
      </c>
      <c r="L37" s="50">
        <v>0</v>
      </c>
      <c r="M37" s="50">
        <v>0</v>
      </c>
      <c r="N37" s="50">
        <v>0</v>
      </c>
    </row>
    <row r="38" spans="1:14" x14ac:dyDescent="0.2">
      <c r="A38" s="48" t="s">
        <v>139</v>
      </c>
      <c r="B38" s="49" t="s">
        <v>140</v>
      </c>
      <c r="C38" s="50">
        <v>0</v>
      </c>
      <c r="D38" s="50">
        <v>0</v>
      </c>
      <c r="E38" s="50">
        <v>0</v>
      </c>
      <c r="F38" s="50">
        <v>0</v>
      </c>
      <c r="G38" s="50">
        <v>0</v>
      </c>
      <c r="H38" s="50">
        <v>0</v>
      </c>
      <c r="I38" s="50">
        <v>0</v>
      </c>
      <c r="J38" s="50">
        <v>0</v>
      </c>
      <c r="K38" s="50">
        <v>0</v>
      </c>
      <c r="L38" s="50">
        <v>0</v>
      </c>
      <c r="M38" s="50">
        <v>0</v>
      </c>
      <c r="N38" s="50">
        <v>0</v>
      </c>
    </row>
    <row r="39" spans="1:14" x14ac:dyDescent="0.2">
      <c r="A39" s="48" t="s">
        <v>141</v>
      </c>
      <c r="B39" s="49" t="s">
        <v>142</v>
      </c>
      <c r="C39" s="50">
        <v>0</v>
      </c>
      <c r="D39" s="50">
        <v>0</v>
      </c>
      <c r="E39" s="50">
        <v>0</v>
      </c>
      <c r="F39" s="50">
        <v>0</v>
      </c>
      <c r="G39" s="50">
        <v>0</v>
      </c>
      <c r="H39" s="50">
        <v>0</v>
      </c>
      <c r="I39" s="50">
        <v>0</v>
      </c>
      <c r="J39" s="50">
        <v>0</v>
      </c>
      <c r="K39" s="50">
        <v>0</v>
      </c>
      <c r="L39" s="50">
        <v>0</v>
      </c>
      <c r="M39" s="50">
        <v>0</v>
      </c>
      <c r="N39" s="50">
        <v>0</v>
      </c>
    </row>
    <row r="40" spans="1:14" x14ac:dyDescent="0.2">
      <c r="A40" s="48" t="s">
        <v>143</v>
      </c>
      <c r="B40" s="49" t="s">
        <v>144</v>
      </c>
      <c r="C40" s="50">
        <f t="shared" ref="C40:N40" si="10">+C41</f>
        <v>0</v>
      </c>
      <c r="D40" s="50">
        <f t="shared" si="10"/>
        <v>0</v>
      </c>
      <c r="E40" s="50">
        <f t="shared" si="10"/>
        <v>0</v>
      </c>
      <c r="F40" s="50">
        <f t="shared" si="10"/>
        <v>0</v>
      </c>
      <c r="G40" s="50">
        <f t="shared" si="10"/>
        <v>0</v>
      </c>
      <c r="H40" s="50">
        <f t="shared" si="10"/>
        <v>0</v>
      </c>
      <c r="I40" s="50">
        <f t="shared" si="10"/>
        <v>0.7</v>
      </c>
      <c r="J40" s="50">
        <f t="shared" si="10"/>
        <v>0</v>
      </c>
      <c r="K40" s="50">
        <f t="shared" si="10"/>
        <v>0</v>
      </c>
      <c r="L40" s="50">
        <f t="shared" si="10"/>
        <v>0</v>
      </c>
      <c r="M40" s="50">
        <f t="shared" si="10"/>
        <v>0</v>
      </c>
      <c r="N40" s="50">
        <f t="shared" si="10"/>
        <v>0</v>
      </c>
    </row>
    <row r="41" spans="1:14" hidden="1" outlineLevel="1" x14ac:dyDescent="0.2">
      <c r="A41" s="9" t="s">
        <v>145</v>
      </c>
      <c r="B41" s="1" t="s">
        <v>146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0.7</v>
      </c>
      <c r="J41" s="10"/>
      <c r="K41" s="10"/>
      <c r="L41" s="10"/>
      <c r="M41" s="10"/>
      <c r="N41" s="10"/>
    </row>
    <row r="42" spans="1:14" collapsed="1" x14ac:dyDescent="0.2">
      <c r="A42" s="48" t="s">
        <v>157</v>
      </c>
      <c r="B42" s="49" t="s">
        <v>158</v>
      </c>
      <c r="C42" s="50">
        <f t="shared" ref="C42:N42" si="11">+C43</f>
        <v>0.5</v>
      </c>
      <c r="D42" s="50">
        <f t="shared" si="11"/>
        <v>0.5</v>
      </c>
      <c r="E42" s="50">
        <f t="shared" si="11"/>
        <v>0.5</v>
      </c>
      <c r="F42" s="50">
        <f t="shared" si="11"/>
        <v>0.5</v>
      </c>
      <c r="G42" s="50">
        <f t="shared" si="11"/>
        <v>0.5</v>
      </c>
      <c r="H42" s="50">
        <f t="shared" si="11"/>
        <v>0.5</v>
      </c>
      <c r="I42" s="50">
        <f t="shared" si="11"/>
        <v>0.5</v>
      </c>
      <c r="J42" s="50">
        <f t="shared" si="11"/>
        <v>0.5</v>
      </c>
      <c r="K42" s="50">
        <f t="shared" si="11"/>
        <v>0.5</v>
      </c>
      <c r="L42" s="50">
        <f t="shared" si="11"/>
        <v>0.5</v>
      </c>
      <c r="M42" s="50">
        <f t="shared" si="11"/>
        <v>0.5</v>
      </c>
      <c r="N42" s="50">
        <f t="shared" si="11"/>
        <v>0.5</v>
      </c>
    </row>
    <row r="43" spans="1:14" hidden="1" outlineLevel="1" x14ac:dyDescent="0.2">
      <c r="A43" s="9" t="s">
        <v>159</v>
      </c>
      <c r="B43" s="1" t="s">
        <v>160</v>
      </c>
      <c r="C43" s="28">
        <v>0.5</v>
      </c>
      <c r="D43" s="28">
        <v>0.5</v>
      </c>
      <c r="E43" s="28">
        <v>0.5</v>
      </c>
      <c r="F43" s="28">
        <v>0.5</v>
      </c>
      <c r="G43" s="28">
        <v>0.5</v>
      </c>
      <c r="H43" s="28">
        <v>0.5</v>
      </c>
      <c r="I43" s="28">
        <v>0.5</v>
      </c>
      <c r="J43" s="28">
        <v>0.5</v>
      </c>
      <c r="K43" s="28">
        <v>0.5</v>
      </c>
      <c r="L43" s="28">
        <v>0.5</v>
      </c>
      <c r="M43" s="28">
        <v>0.5</v>
      </c>
      <c r="N43" s="28">
        <v>0.5</v>
      </c>
    </row>
    <row r="44" spans="1:14" collapsed="1" x14ac:dyDescent="0.2">
      <c r="A44" s="52"/>
      <c r="B44" s="52" t="s">
        <v>165</v>
      </c>
      <c r="C44" s="53">
        <f t="shared" ref="C44:N44" si="12">+C30+C32+C33+C34+C36+C37+C38+C39+C40+C42</f>
        <v>0.5</v>
      </c>
      <c r="D44" s="53">
        <f t="shared" si="12"/>
        <v>0.5</v>
      </c>
      <c r="E44" s="53">
        <f t="shared" si="12"/>
        <v>0.5</v>
      </c>
      <c r="F44" s="53">
        <f t="shared" si="12"/>
        <v>0.5</v>
      </c>
      <c r="G44" s="53">
        <f t="shared" si="12"/>
        <v>0.5</v>
      </c>
      <c r="H44" s="53">
        <f t="shared" si="12"/>
        <v>0.5</v>
      </c>
      <c r="I44" s="53">
        <f t="shared" si="12"/>
        <v>1.4</v>
      </c>
      <c r="J44" s="53">
        <f t="shared" si="12"/>
        <v>0.6</v>
      </c>
      <c r="K44" s="53">
        <f t="shared" si="12"/>
        <v>0.6</v>
      </c>
      <c r="L44" s="53">
        <f t="shared" si="12"/>
        <v>0.5</v>
      </c>
      <c r="M44" s="53">
        <f t="shared" si="12"/>
        <v>0.6</v>
      </c>
      <c r="N44" s="53">
        <f t="shared" si="12"/>
        <v>0.65</v>
      </c>
    </row>
    <row r="45" spans="1:14" x14ac:dyDescent="0.2">
      <c r="A45" s="51"/>
      <c r="B45" s="51" t="s">
        <v>166</v>
      </c>
      <c r="C45" s="19">
        <f t="shared" ref="C45:N45" si="13">+C28-C44</f>
        <v>-5.1000000000000014</v>
      </c>
      <c r="D45" s="19">
        <f t="shared" si="13"/>
        <v>-3.1000000000000014</v>
      </c>
      <c r="E45" s="19">
        <f t="shared" si="13"/>
        <v>-3.1000000000000014</v>
      </c>
      <c r="F45" s="19">
        <f t="shared" si="13"/>
        <v>-3.1000000000000014</v>
      </c>
      <c r="G45" s="19">
        <f t="shared" si="13"/>
        <v>-4.1000000000000014</v>
      </c>
      <c r="H45" s="19">
        <f t="shared" si="13"/>
        <v>-4.1000000000000014</v>
      </c>
      <c r="I45" s="19">
        <f t="shared" si="13"/>
        <v>-3.0000000000000013</v>
      </c>
      <c r="J45" s="19">
        <f t="shared" si="13"/>
        <v>-9.2000000000000011</v>
      </c>
      <c r="K45" s="19">
        <f t="shared" si="13"/>
        <v>-3.2000000000000015</v>
      </c>
      <c r="L45" s="19">
        <f t="shared" si="13"/>
        <v>-4.1000000000000014</v>
      </c>
      <c r="M45" s="19">
        <f t="shared" si="13"/>
        <v>-5.2000000000000011</v>
      </c>
      <c r="N45" s="19">
        <f t="shared" si="13"/>
        <v>1.7499999999999987</v>
      </c>
    </row>
    <row r="46" spans="1:14" x14ac:dyDescent="0.2">
      <c r="A46" s="48" t="s">
        <v>167</v>
      </c>
      <c r="B46" s="49" t="s">
        <v>168</v>
      </c>
      <c r="C46" s="50">
        <f t="shared" ref="C46:N46" si="14">SUM(C47:C49)</f>
        <v>0</v>
      </c>
      <c r="D46" s="50">
        <f t="shared" si="14"/>
        <v>0</v>
      </c>
      <c r="E46" s="50">
        <f t="shared" si="14"/>
        <v>0</v>
      </c>
      <c r="F46" s="50">
        <f t="shared" si="14"/>
        <v>0</v>
      </c>
      <c r="G46" s="50">
        <f t="shared" si="14"/>
        <v>0</v>
      </c>
      <c r="H46" s="50">
        <f t="shared" si="14"/>
        <v>0</v>
      </c>
      <c r="I46" s="50">
        <f t="shared" si="14"/>
        <v>0</v>
      </c>
      <c r="J46" s="50">
        <f t="shared" si="14"/>
        <v>0</v>
      </c>
      <c r="K46" s="50">
        <f t="shared" si="14"/>
        <v>0</v>
      </c>
      <c r="L46" s="50">
        <f t="shared" si="14"/>
        <v>0</v>
      </c>
      <c r="M46" s="50">
        <f t="shared" si="14"/>
        <v>0</v>
      </c>
      <c r="N46" s="50">
        <f t="shared" si="14"/>
        <v>0</v>
      </c>
    </row>
    <row r="47" spans="1:14" hidden="1" outlineLevel="1" x14ac:dyDescent="0.2">
      <c r="A47" s="9" t="s">
        <v>173</v>
      </c>
      <c r="B47" s="1" t="s">
        <v>174</v>
      </c>
      <c r="C47" s="10">
        <v>0</v>
      </c>
      <c r="D47" s="10">
        <v>0</v>
      </c>
      <c r="E47" s="10">
        <v>0</v>
      </c>
      <c r="F47" s="10">
        <v>0</v>
      </c>
      <c r="G47" s="10">
        <v>0</v>
      </c>
      <c r="H47" s="10">
        <v>0</v>
      </c>
      <c r="I47" s="10">
        <v>0</v>
      </c>
      <c r="J47" s="10">
        <v>0</v>
      </c>
      <c r="K47" s="10">
        <v>0</v>
      </c>
      <c r="L47" s="10">
        <v>0</v>
      </c>
      <c r="M47" s="10">
        <v>0</v>
      </c>
      <c r="N47" s="10">
        <v>0</v>
      </c>
    </row>
    <row r="48" spans="1:14" hidden="1" outlineLevel="1" x14ac:dyDescent="0.2">
      <c r="A48" s="9" t="s">
        <v>175</v>
      </c>
      <c r="B48" s="1" t="s">
        <v>176</v>
      </c>
      <c r="C48" s="10">
        <v>0</v>
      </c>
      <c r="D48" s="10">
        <v>0</v>
      </c>
      <c r="E48" s="10">
        <v>0</v>
      </c>
      <c r="F48" s="10">
        <v>0</v>
      </c>
      <c r="G48" s="10">
        <v>0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0">
        <v>0</v>
      </c>
    </row>
    <row r="49" spans="1:14" hidden="1" outlineLevel="1" x14ac:dyDescent="0.2">
      <c r="A49" s="9" t="s">
        <v>179</v>
      </c>
      <c r="B49" s="1" t="s">
        <v>180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collapsed="1" x14ac:dyDescent="0.2">
      <c r="A50" s="48" t="s">
        <v>200</v>
      </c>
      <c r="B50" s="49" t="s">
        <v>201</v>
      </c>
      <c r="C50" s="50">
        <f t="shared" ref="C50:N50" si="15">SUM(C51:C53)</f>
        <v>0</v>
      </c>
      <c r="D50" s="50">
        <f t="shared" si="15"/>
        <v>0</v>
      </c>
      <c r="E50" s="50">
        <f t="shared" si="15"/>
        <v>0</v>
      </c>
      <c r="F50" s="50">
        <f t="shared" si="15"/>
        <v>0</v>
      </c>
      <c r="G50" s="50">
        <f t="shared" si="15"/>
        <v>0</v>
      </c>
      <c r="H50" s="50">
        <f t="shared" si="15"/>
        <v>0</v>
      </c>
      <c r="I50" s="50">
        <f t="shared" si="15"/>
        <v>0</v>
      </c>
      <c r="J50" s="50">
        <f t="shared" si="15"/>
        <v>0</v>
      </c>
      <c r="K50" s="50">
        <f t="shared" si="15"/>
        <v>0</v>
      </c>
      <c r="L50" s="50">
        <f t="shared" si="15"/>
        <v>0</v>
      </c>
      <c r="M50" s="50">
        <f t="shared" si="15"/>
        <v>0</v>
      </c>
      <c r="N50" s="50">
        <f t="shared" si="15"/>
        <v>0</v>
      </c>
    </row>
    <row r="51" spans="1:14" hidden="1" outlineLevel="1" x14ac:dyDescent="0.2">
      <c r="A51" s="9" t="s">
        <v>218</v>
      </c>
      <c r="B51" s="1" t="s">
        <v>219</v>
      </c>
      <c r="C51" s="10">
        <v>0</v>
      </c>
      <c r="D51" s="10">
        <v>0</v>
      </c>
      <c r="E51" s="10">
        <v>0</v>
      </c>
      <c r="F51" s="10">
        <v>0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hidden="1" outlineLevel="1" x14ac:dyDescent="0.2">
      <c r="A52" s="9" t="s">
        <v>220</v>
      </c>
      <c r="B52" s="1" t="s">
        <v>221</v>
      </c>
      <c r="C52" s="10">
        <v>0</v>
      </c>
      <c r="D52" s="10">
        <v>0</v>
      </c>
      <c r="E52" s="10">
        <v>0</v>
      </c>
      <c r="F52" s="10">
        <v>0</v>
      </c>
      <c r="G52" s="10">
        <v>0</v>
      </c>
      <c r="H52" s="10">
        <v>0</v>
      </c>
      <c r="I52" s="10">
        <v>0</v>
      </c>
      <c r="J52" s="10">
        <v>0</v>
      </c>
      <c r="K52" s="10">
        <v>0</v>
      </c>
      <c r="L52" s="10">
        <v>0</v>
      </c>
      <c r="M52" s="10">
        <v>0</v>
      </c>
      <c r="N52" s="10">
        <v>0</v>
      </c>
    </row>
    <row r="53" spans="1:14" hidden="1" outlineLevel="1" x14ac:dyDescent="0.2">
      <c r="A53" s="9" t="s">
        <v>224</v>
      </c>
      <c r="B53" s="1" t="s">
        <v>225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</v>
      </c>
      <c r="J53" s="10">
        <v>0</v>
      </c>
      <c r="K53" s="10">
        <v>0</v>
      </c>
      <c r="L53" s="10">
        <v>0</v>
      </c>
      <c r="M53" s="10">
        <v>0</v>
      </c>
      <c r="N53" s="10">
        <v>0</v>
      </c>
    </row>
    <row r="54" spans="1:14" collapsed="1" x14ac:dyDescent="0.2">
      <c r="A54" s="48" t="s">
        <v>226</v>
      </c>
      <c r="B54" s="49" t="s">
        <v>227</v>
      </c>
      <c r="C54" s="50">
        <v>0</v>
      </c>
      <c r="D54" s="50">
        <v>0</v>
      </c>
      <c r="E54" s="50">
        <v>0</v>
      </c>
      <c r="F54" s="50">
        <v>0</v>
      </c>
      <c r="G54" s="50">
        <v>0</v>
      </c>
      <c r="H54" s="50">
        <v>0</v>
      </c>
      <c r="I54" s="50">
        <v>0</v>
      </c>
      <c r="J54" s="50">
        <v>0</v>
      </c>
      <c r="K54" s="50">
        <v>0</v>
      </c>
      <c r="L54" s="50">
        <v>0</v>
      </c>
      <c r="M54" s="50">
        <v>0</v>
      </c>
      <c r="N54" s="50">
        <v>0</v>
      </c>
    </row>
    <row r="55" spans="1:14" x14ac:dyDescent="0.2">
      <c r="A55" s="48" t="s">
        <v>228</v>
      </c>
      <c r="B55" s="49" t="s">
        <v>229</v>
      </c>
      <c r="C55" s="50">
        <v>0</v>
      </c>
      <c r="D55" s="50">
        <v>0</v>
      </c>
      <c r="E55" s="50">
        <v>0</v>
      </c>
      <c r="F55" s="50">
        <v>0</v>
      </c>
      <c r="G55" s="50">
        <v>0</v>
      </c>
      <c r="H55" s="50">
        <v>0</v>
      </c>
      <c r="I55" s="50">
        <v>0</v>
      </c>
      <c r="J55" s="50">
        <v>0</v>
      </c>
      <c r="K55" s="50">
        <v>0</v>
      </c>
      <c r="L55" s="50">
        <v>0</v>
      </c>
      <c r="M55" s="50">
        <v>0</v>
      </c>
      <c r="N55" s="50">
        <v>0</v>
      </c>
    </row>
    <row r="56" spans="1:14" x14ac:dyDescent="0.2">
      <c r="A56" s="48" t="s">
        <v>230</v>
      </c>
      <c r="B56" s="49" t="s">
        <v>231</v>
      </c>
      <c r="C56" s="50">
        <f t="shared" ref="C56:N56" si="16">+C57+C58</f>
        <v>0</v>
      </c>
      <c r="D56" s="50">
        <f t="shared" si="16"/>
        <v>0</v>
      </c>
      <c r="E56" s="50">
        <f t="shared" si="16"/>
        <v>0</v>
      </c>
      <c r="F56" s="50">
        <f t="shared" si="16"/>
        <v>0</v>
      </c>
      <c r="G56" s="50">
        <f t="shared" si="16"/>
        <v>0</v>
      </c>
      <c r="H56" s="50">
        <f t="shared" si="16"/>
        <v>0</v>
      </c>
      <c r="I56" s="50">
        <f t="shared" si="16"/>
        <v>0</v>
      </c>
      <c r="J56" s="50">
        <f t="shared" si="16"/>
        <v>0</v>
      </c>
      <c r="K56" s="50">
        <f t="shared" si="16"/>
        <v>0</v>
      </c>
      <c r="L56" s="50">
        <f t="shared" si="16"/>
        <v>0</v>
      </c>
      <c r="M56" s="50">
        <f t="shared" si="16"/>
        <v>0</v>
      </c>
      <c r="N56" s="50">
        <f t="shared" si="16"/>
        <v>0</v>
      </c>
    </row>
    <row r="57" spans="1:14" hidden="1" outlineLevel="1" x14ac:dyDescent="0.2">
      <c r="A57" s="9" t="s">
        <v>232</v>
      </c>
      <c r="B57" s="1" t="s">
        <v>233</v>
      </c>
      <c r="C57" s="10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</row>
    <row r="58" spans="1:14" hidden="1" outlineLevel="1" x14ac:dyDescent="0.2">
      <c r="A58" s="9" t="s">
        <v>234</v>
      </c>
      <c r="B58" s="1" t="s">
        <v>235</v>
      </c>
      <c r="C58" s="10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</row>
    <row r="59" spans="1:14" collapsed="1" x14ac:dyDescent="0.2">
      <c r="A59" s="52"/>
      <c r="B59" s="52" t="s">
        <v>236</v>
      </c>
      <c r="C59" s="53">
        <f t="shared" ref="C59:N59" si="17">+C46+C50+C54+C55+C56</f>
        <v>0</v>
      </c>
      <c r="D59" s="53">
        <f t="shared" si="17"/>
        <v>0</v>
      </c>
      <c r="E59" s="53">
        <f t="shared" si="17"/>
        <v>0</v>
      </c>
      <c r="F59" s="53">
        <f t="shared" si="17"/>
        <v>0</v>
      </c>
      <c r="G59" s="53">
        <f t="shared" si="17"/>
        <v>0</v>
      </c>
      <c r="H59" s="53">
        <f t="shared" si="17"/>
        <v>0</v>
      </c>
      <c r="I59" s="53">
        <f t="shared" si="17"/>
        <v>0</v>
      </c>
      <c r="J59" s="53">
        <f t="shared" si="17"/>
        <v>0</v>
      </c>
      <c r="K59" s="53">
        <f t="shared" si="17"/>
        <v>0</v>
      </c>
      <c r="L59" s="53">
        <f t="shared" si="17"/>
        <v>0</v>
      </c>
      <c r="M59" s="53">
        <f t="shared" si="17"/>
        <v>0</v>
      </c>
      <c r="N59" s="53">
        <f t="shared" si="17"/>
        <v>0</v>
      </c>
    </row>
    <row r="60" spans="1:14" x14ac:dyDescent="0.2">
      <c r="A60" s="51"/>
      <c r="B60" s="51" t="s">
        <v>237</v>
      </c>
      <c r="C60" s="19">
        <f t="shared" ref="C60:N60" si="18">+C45-C59</f>
        <v>-5.1000000000000014</v>
      </c>
      <c r="D60" s="19">
        <f t="shared" si="18"/>
        <v>-3.1000000000000014</v>
      </c>
      <c r="E60" s="19">
        <f t="shared" si="18"/>
        <v>-3.1000000000000014</v>
      </c>
      <c r="F60" s="19">
        <f t="shared" si="18"/>
        <v>-3.1000000000000014</v>
      </c>
      <c r="G60" s="19">
        <f t="shared" si="18"/>
        <v>-4.1000000000000014</v>
      </c>
      <c r="H60" s="19">
        <f t="shared" si="18"/>
        <v>-4.1000000000000014</v>
      </c>
      <c r="I60" s="19">
        <f t="shared" si="18"/>
        <v>-3.0000000000000013</v>
      </c>
      <c r="J60" s="19">
        <f t="shared" si="18"/>
        <v>-9.2000000000000011</v>
      </c>
      <c r="K60" s="19">
        <f t="shared" si="18"/>
        <v>-3.2000000000000015</v>
      </c>
      <c r="L60" s="19">
        <f t="shared" si="18"/>
        <v>-4.1000000000000014</v>
      </c>
      <c r="M60" s="19">
        <f t="shared" si="18"/>
        <v>-5.2000000000000011</v>
      </c>
      <c r="N60" s="19">
        <f t="shared" si="18"/>
        <v>1.7499999999999987</v>
      </c>
    </row>
    <row r="61" spans="1:14" x14ac:dyDescent="0.2">
      <c r="A61" s="48" t="s">
        <v>238</v>
      </c>
      <c r="B61" s="49" t="s">
        <v>239</v>
      </c>
      <c r="C61" s="50">
        <f t="shared" ref="C61:N61" si="19">+C62+C63</f>
        <v>0.1</v>
      </c>
      <c r="D61" s="50">
        <f t="shared" si="19"/>
        <v>0.1</v>
      </c>
      <c r="E61" s="50">
        <f t="shared" si="19"/>
        <v>0.1</v>
      </c>
      <c r="F61" s="50">
        <f t="shared" si="19"/>
        <v>0.1</v>
      </c>
      <c r="G61" s="50">
        <f t="shared" si="19"/>
        <v>0.1</v>
      </c>
      <c r="H61" s="50">
        <f t="shared" si="19"/>
        <v>0.1</v>
      </c>
      <c r="I61" s="50">
        <f t="shared" si="19"/>
        <v>0.1</v>
      </c>
      <c r="J61" s="50">
        <f t="shared" si="19"/>
        <v>0.1</v>
      </c>
      <c r="K61" s="50">
        <f t="shared" si="19"/>
        <v>0.1</v>
      </c>
      <c r="L61" s="50">
        <f t="shared" si="19"/>
        <v>0.1</v>
      </c>
      <c r="M61" s="50">
        <f t="shared" si="19"/>
        <v>0.1</v>
      </c>
      <c r="N61" s="50">
        <f t="shared" si="19"/>
        <v>0.1</v>
      </c>
    </row>
    <row r="62" spans="1:14" hidden="1" outlineLevel="1" x14ac:dyDescent="0.2">
      <c r="A62" s="9" t="s">
        <v>240</v>
      </c>
      <c r="B62" s="1" t="s">
        <v>241</v>
      </c>
      <c r="C62" s="10">
        <v>0.1</v>
      </c>
      <c r="D62" s="10">
        <v>0.1</v>
      </c>
      <c r="E62" s="10">
        <v>0.1</v>
      </c>
      <c r="F62" s="10">
        <v>0.1</v>
      </c>
      <c r="G62" s="10">
        <v>0.1</v>
      </c>
      <c r="H62" s="10">
        <v>0.1</v>
      </c>
      <c r="I62" s="10">
        <v>0.1</v>
      </c>
      <c r="J62" s="10">
        <v>0.1</v>
      </c>
      <c r="K62" s="10">
        <v>0.1</v>
      </c>
      <c r="L62" s="10">
        <v>0.1</v>
      </c>
      <c r="M62" s="10">
        <v>0.1</v>
      </c>
      <c r="N62" s="10">
        <v>0.1</v>
      </c>
    </row>
    <row r="63" spans="1:14" hidden="1" outlineLevel="1" x14ac:dyDescent="0.2">
      <c r="A63" s="9" t="s">
        <v>242</v>
      </c>
      <c r="B63" s="1" t="s">
        <v>243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</row>
    <row r="64" spans="1:14" collapsed="1" x14ac:dyDescent="0.2">
      <c r="A64" s="48" t="s">
        <v>244</v>
      </c>
      <c r="B64" s="49" t="s">
        <v>245</v>
      </c>
      <c r="C64" s="50">
        <v>0</v>
      </c>
      <c r="D64" s="50">
        <v>0</v>
      </c>
      <c r="E64" s="50">
        <v>0</v>
      </c>
      <c r="F64" s="50">
        <v>0</v>
      </c>
      <c r="G64" s="50">
        <v>0</v>
      </c>
      <c r="H64" s="50">
        <v>0</v>
      </c>
      <c r="I64" s="50">
        <v>0</v>
      </c>
      <c r="J64" s="50">
        <v>0</v>
      </c>
      <c r="K64" s="50">
        <v>0</v>
      </c>
      <c r="L64" s="50">
        <v>0</v>
      </c>
      <c r="M64" s="50">
        <v>0</v>
      </c>
      <c r="N64" s="50">
        <v>0</v>
      </c>
    </row>
    <row r="65" spans="1:14" x14ac:dyDescent="0.2">
      <c r="A65" s="51"/>
      <c r="B65" s="51" t="s">
        <v>246</v>
      </c>
      <c r="C65" s="19">
        <f t="shared" ref="C65:N65" si="20">+C60-(C61+C64)</f>
        <v>-5.2000000000000011</v>
      </c>
      <c r="D65" s="19">
        <f t="shared" si="20"/>
        <v>-3.2000000000000015</v>
      </c>
      <c r="E65" s="19">
        <f t="shared" si="20"/>
        <v>-3.2000000000000015</v>
      </c>
      <c r="F65" s="19">
        <f t="shared" si="20"/>
        <v>-3.2000000000000015</v>
      </c>
      <c r="G65" s="19">
        <f t="shared" si="20"/>
        <v>-4.2000000000000011</v>
      </c>
      <c r="H65" s="19">
        <f t="shared" si="20"/>
        <v>-4.2000000000000011</v>
      </c>
      <c r="I65" s="19">
        <f t="shared" si="20"/>
        <v>-3.1000000000000014</v>
      </c>
      <c r="J65" s="19">
        <f t="shared" si="20"/>
        <v>-9.3000000000000007</v>
      </c>
      <c r="K65" s="19">
        <f t="shared" si="20"/>
        <v>-3.3000000000000016</v>
      </c>
      <c r="L65" s="19">
        <f t="shared" si="20"/>
        <v>-4.2000000000000011</v>
      </c>
      <c r="M65" s="19">
        <f t="shared" si="20"/>
        <v>-5.3000000000000007</v>
      </c>
      <c r="N65" s="19">
        <f t="shared" si="20"/>
        <v>1.6499999999999986</v>
      </c>
    </row>
    <row r="66" spans="1:14" x14ac:dyDescent="0.2">
      <c r="A66" s="9" t="s">
        <v>74</v>
      </c>
      <c r="B66" s="1" t="s">
        <v>74</v>
      </c>
      <c r="C66" s="13" t="s">
        <v>74</v>
      </c>
      <c r="D66" s="13" t="s">
        <v>74</v>
      </c>
      <c r="E66" s="13" t="s">
        <v>74</v>
      </c>
      <c r="F66" s="13" t="s">
        <v>74</v>
      </c>
      <c r="G66" s="13" t="s">
        <v>74</v>
      </c>
      <c r="H66" s="13" t="s">
        <v>74</v>
      </c>
      <c r="I66" s="13" t="s">
        <v>74</v>
      </c>
      <c r="J66" s="13" t="s">
        <v>74</v>
      </c>
      <c r="K66" s="13" t="s">
        <v>74</v>
      </c>
      <c r="L66" s="13" t="s">
        <v>74</v>
      </c>
      <c r="M66" s="13" t="s">
        <v>74</v>
      </c>
      <c r="N66" s="13" t="s">
        <v>74</v>
      </c>
    </row>
    <row r="67" spans="1:14" x14ac:dyDescent="0.2">
      <c r="A67" s="12"/>
      <c r="B67" s="12" t="s">
        <v>247</v>
      </c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1:14" x14ac:dyDescent="0.2">
      <c r="A68" s="9" t="s">
        <v>248</v>
      </c>
      <c r="B68" s="1" t="s">
        <v>249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252</v>
      </c>
      <c r="B69" s="1" t="s">
        <v>253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256</v>
      </c>
      <c r="B70" s="1" t="s">
        <v>257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260</v>
      </c>
      <c r="B71" s="1" t="s">
        <v>261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9" t="s">
        <v>264</v>
      </c>
      <c r="B72" s="1" t="s">
        <v>265</v>
      </c>
      <c r="C72" s="13">
        <v>0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2">
      <c r="A73" s="9" t="s">
        <v>268</v>
      </c>
      <c r="B73" s="1" t="s">
        <v>269</v>
      </c>
      <c r="C73" s="13">
        <v>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2">
      <c r="A74" s="9" t="s">
        <v>270</v>
      </c>
      <c r="B74" s="1" t="s">
        <v>271</v>
      </c>
      <c r="C74" s="13">
        <v>0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2">
      <c r="A75" s="9" t="s">
        <v>272</v>
      </c>
      <c r="B75" s="1" t="s">
        <v>273</v>
      </c>
      <c r="C75" s="13">
        <v>0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2">
      <c r="A76" s="9" t="s">
        <v>274</v>
      </c>
      <c r="B76" s="1" t="s">
        <v>275</v>
      </c>
      <c r="C76" s="13">
        <v>0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2">
      <c r="A77" s="9" t="s">
        <v>276</v>
      </c>
      <c r="B77" s="1" t="s">
        <v>277</v>
      </c>
      <c r="C77" s="13">
        <v>0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2">
      <c r="A78" s="9" t="s">
        <v>280</v>
      </c>
      <c r="B78" s="1" t="s">
        <v>281</v>
      </c>
      <c r="C78" s="13">
        <v>0</v>
      </c>
      <c r="D78" s="13">
        <v>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2">
      <c r="A79" s="9" t="s">
        <v>284</v>
      </c>
      <c r="B79" s="1" t="s">
        <v>285</v>
      </c>
      <c r="C79" s="13">
        <v>0</v>
      </c>
      <c r="D79" s="13">
        <v>0</v>
      </c>
      <c r="E79" s="13">
        <v>0</v>
      </c>
      <c r="F79" s="13">
        <v>0</v>
      </c>
      <c r="G79" s="13">
        <v>0</v>
      </c>
      <c r="H79" s="13">
        <v>0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2">
      <c r="A80" s="9" t="s">
        <v>288</v>
      </c>
      <c r="B80" s="1" t="s">
        <v>289</v>
      </c>
      <c r="C80" s="13">
        <v>0</v>
      </c>
      <c r="D80" s="13">
        <v>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2">
      <c r="A81" s="3"/>
      <c r="B81" s="3" t="s">
        <v>290</v>
      </c>
      <c r="C81" s="15" t="s">
        <v>292</v>
      </c>
      <c r="D81" s="15" t="s">
        <v>292</v>
      </c>
      <c r="E81" s="15" t="s">
        <v>292</v>
      </c>
      <c r="F81" s="15" t="s">
        <v>292</v>
      </c>
      <c r="G81" s="15" t="s">
        <v>292</v>
      </c>
      <c r="H81" s="15" t="s">
        <v>292</v>
      </c>
      <c r="I81" s="15" t="s">
        <v>292</v>
      </c>
      <c r="J81" s="15" t="s">
        <v>292</v>
      </c>
      <c r="K81" s="15" t="s">
        <v>292</v>
      </c>
      <c r="L81" s="15" t="s">
        <v>292</v>
      </c>
      <c r="M81" s="15" t="s">
        <v>292</v>
      </c>
      <c r="N81" s="15" t="s">
        <v>292</v>
      </c>
    </row>
    <row r="82" spans="1:14" x14ac:dyDescent="0.2">
      <c r="A82" s="3"/>
      <c r="B82" s="3" t="s">
        <v>291</v>
      </c>
      <c r="C82" s="15" t="s">
        <v>292</v>
      </c>
      <c r="D82" s="15" t="s">
        <v>292</v>
      </c>
      <c r="E82" s="15" t="s">
        <v>292</v>
      </c>
      <c r="F82" s="15" t="s">
        <v>292</v>
      </c>
      <c r="G82" s="15" t="s">
        <v>292</v>
      </c>
      <c r="H82" s="15" t="s">
        <v>292</v>
      </c>
      <c r="I82" s="15" t="s">
        <v>292</v>
      </c>
      <c r="J82" s="15" t="s">
        <v>292</v>
      </c>
      <c r="K82" s="15" t="s">
        <v>292</v>
      </c>
      <c r="L82" s="15" t="s">
        <v>292</v>
      </c>
      <c r="M82" s="15" t="s">
        <v>292</v>
      </c>
      <c r="N82" s="15" t="s">
        <v>292</v>
      </c>
    </row>
    <row r="83" spans="1:14" x14ac:dyDescent="0.2">
      <c r="A83" s="3"/>
      <c r="B83" s="3" t="s">
        <v>293</v>
      </c>
      <c r="C83" s="15" t="s">
        <v>292</v>
      </c>
      <c r="D83" s="15" t="s">
        <v>292</v>
      </c>
      <c r="E83" s="15" t="s">
        <v>292</v>
      </c>
      <c r="F83" s="15" t="s">
        <v>292</v>
      </c>
      <c r="G83" s="15" t="s">
        <v>292</v>
      </c>
      <c r="H83" s="15" t="s">
        <v>292</v>
      </c>
      <c r="I83" s="15" t="s">
        <v>292</v>
      </c>
      <c r="J83" s="15" t="s">
        <v>292</v>
      </c>
      <c r="K83" s="15" t="s">
        <v>292</v>
      </c>
      <c r="L83" s="15" t="s">
        <v>292</v>
      </c>
      <c r="M83" s="15" t="s">
        <v>292</v>
      </c>
      <c r="N83" s="15" t="s">
        <v>292</v>
      </c>
    </row>
    <row r="84" spans="1:14" x14ac:dyDescent="0.2">
      <c r="A84" s="3"/>
      <c r="B84" s="3" t="s">
        <v>294</v>
      </c>
      <c r="C84" s="15" t="s">
        <v>292</v>
      </c>
      <c r="D84" s="15" t="s">
        <v>292</v>
      </c>
      <c r="E84" s="15" t="s">
        <v>292</v>
      </c>
      <c r="F84" s="15" t="s">
        <v>292</v>
      </c>
      <c r="G84" s="15" t="s">
        <v>292</v>
      </c>
      <c r="H84" s="15" t="s">
        <v>292</v>
      </c>
      <c r="I84" s="15" t="s">
        <v>292</v>
      </c>
      <c r="J84" s="15" t="s">
        <v>292</v>
      </c>
      <c r="K84" s="15" t="s">
        <v>292</v>
      </c>
      <c r="L84" s="15" t="s">
        <v>292</v>
      </c>
      <c r="M84" s="15" t="s">
        <v>292</v>
      </c>
      <c r="N84" s="15" t="s">
        <v>292</v>
      </c>
    </row>
    <row r="85" spans="1:14" x14ac:dyDescent="0.2">
      <c r="A85" s="12"/>
      <c r="B85" s="12" t="s">
        <v>295</v>
      </c>
      <c r="C85" s="14" t="s">
        <v>292</v>
      </c>
      <c r="D85" s="14" t="s">
        <v>292</v>
      </c>
      <c r="E85" s="14" t="s">
        <v>292</v>
      </c>
      <c r="F85" s="14" t="s">
        <v>292</v>
      </c>
      <c r="G85" s="14" t="s">
        <v>292</v>
      </c>
      <c r="H85" s="14" t="s">
        <v>292</v>
      </c>
      <c r="I85" s="14" t="s">
        <v>292</v>
      </c>
      <c r="J85" s="14" t="s">
        <v>292</v>
      </c>
      <c r="K85" s="14" t="s">
        <v>292</v>
      </c>
      <c r="L85" s="14" t="s">
        <v>292</v>
      </c>
      <c r="M85" s="14" t="s">
        <v>292</v>
      </c>
      <c r="N85" s="14" t="s">
        <v>292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CFD2-8AFF-43C2-BD16-86E83C041C38}">
  <sheetPr codeName="Hoja68">
    <tabColor theme="9" tint="-0.249977111117893"/>
  </sheetPr>
  <dimension ref="A1:N110"/>
  <sheetViews>
    <sheetView zoomScale="55" zoomScaleNormal="55" workbookViewId="0">
      <pane ySplit="6" topLeftCell="A7" activePane="bottomLeft" state="frozen"/>
      <selection activeCell="I54" sqref="I54"/>
      <selection pane="bottomLeft" activeCell="C17" sqref="C17:N17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 t="s">
        <v>1</v>
      </c>
      <c r="F2" s="4"/>
      <c r="G2" s="3" t="s">
        <v>2</v>
      </c>
      <c r="H2" s="4"/>
      <c r="I2" s="4"/>
      <c r="J2" s="4"/>
      <c r="K2" s="4"/>
      <c r="L2" s="4"/>
      <c r="M2" s="3" t="s">
        <v>3</v>
      </c>
      <c r="N2" s="4"/>
    </row>
    <row r="3" spans="1:14" x14ac:dyDescent="0.2">
      <c r="A3" s="2" t="s">
        <v>390</v>
      </c>
      <c r="G3" s="2" t="s">
        <v>5</v>
      </c>
      <c r="M3" s="2" t="s">
        <v>6</v>
      </c>
    </row>
    <row r="4" spans="1:14" x14ac:dyDescent="0.2">
      <c r="A4" s="5"/>
      <c r="B4" s="5"/>
      <c r="C4" s="5"/>
      <c r="D4" s="5"/>
      <c r="E4" s="5"/>
      <c r="F4" s="5"/>
      <c r="G4" s="6" t="s">
        <v>7</v>
      </c>
      <c r="H4" s="5"/>
      <c r="I4" s="5"/>
      <c r="J4" s="5"/>
      <c r="K4" s="5"/>
      <c r="L4" s="5"/>
      <c r="M4" s="6" t="s">
        <v>8</v>
      </c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SUM(C8:C10)</f>
        <v>53</v>
      </c>
      <c r="D7" s="50">
        <f t="shared" ref="D7:N7" si="0">SUM(D8:D10)</f>
        <v>30</v>
      </c>
      <c r="E7" s="50">
        <f t="shared" si="0"/>
        <v>53</v>
      </c>
      <c r="F7" s="50">
        <f t="shared" si="0"/>
        <v>43</v>
      </c>
      <c r="G7" s="50">
        <f t="shared" si="0"/>
        <v>48</v>
      </c>
      <c r="H7" s="50">
        <f t="shared" si="0"/>
        <v>42</v>
      </c>
      <c r="I7" s="50">
        <f t="shared" si="0"/>
        <v>30</v>
      </c>
      <c r="J7" s="50">
        <f t="shared" si="0"/>
        <v>57</v>
      </c>
      <c r="K7" s="50">
        <f t="shared" si="0"/>
        <v>35</v>
      </c>
      <c r="L7" s="50">
        <f t="shared" si="0"/>
        <v>31</v>
      </c>
      <c r="M7" s="50">
        <f t="shared" si="0"/>
        <v>33</v>
      </c>
      <c r="N7" s="50">
        <f t="shared" si="0"/>
        <v>45</v>
      </c>
    </row>
    <row r="8" spans="1:14" hidden="1" outlineLevel="1" x14ac:dyDescent="0.2">
      <c r="A8" s="9" t="s">
        <v>31</v>
      </c>
      <c r="B8" s="1" t="s">
        <v>32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33</v>
      </c>
      <c r="B9" s="1" t="s">
        <v>34</v>
      </c>
      <c r="C9" s="28">
        <v>53</v>
      </c>
      <c r="D9" s="28">
        <v>30</v>
      </c>
      <c r="E9" s="28">
        <v>53</v>
      </c>
      <c r="F9" s="28">
        <v>43</v>
      </c>
      <c r="G9" s="28">
        <v>48</v>
      </c>
      <c r="H9" s="28">
        <v>42</v>
      </c>
      <c r="I9" s="28">
        <v>30</v>
      </c>
      <c r="J9" s="28">
        <v>57</v>
      </c>
      <c r="K9" s="28">
        <v>35</v>
      </c>
      <c r="L9" s="28">
        <v>31</v>
      </c>
      <c r="M9" s="28">
        <v>33</v>
      </c>
      <c r="N9" s="28">
        <v>45</v>
      </c>
    </row>
    <row r="10" spans="1:14" hidden="1" outlineLevel="1" x14ac:dyDescent="0.2">
      <c r="A10" s="9" t="s">
        <v>35</v>
      </c>
      <c r="B10" s="1" t="s">
        <v>36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collapsed="1" x14ac:dyDescent="0.2">
      <c r="A11" s="48" t="s">
        <v>37</v>
      </c>
      <c r="B11" s="49" t="s">
        <v>38</v>
      </c>
      <c r="C11" s="50">
        <v>0</v>
      </c>
      <c r="D11" s="50">
        <v>0</v>
      </c>
      <c r="E11" s="50">
        <v>0</v>
      </c>
      <c r="F11" s="50">
        <v>0</v>
      </c>
      <c r="G11" s="50">
        <v>0</v>
      </c>
      <c r="H11" s="50">
        <v>0</v>
      </c>
      <c r="I11" s="50">
        <v>0</v>
      </c>
      <c r="J11" s="50">
        <v>0</v>
      </c>
      <c r="K11" s="50">
        <v>0</v>
      </c>
      <c r="L11" s="50">
        <v>0</v>
      </c>
      <c r="M11" s="50">
        <v>0</v>
      </c>
      <c r="N11" s="50">
        <v>0</v>
      </c>
    </row>
    <row r="12" spans="1:14" x14ac:dyDescent="0.2">
      <c r="A12" s="48" t="s">
        <v>39</v>
      </c>
      <c r="B12" s="49" t="s">
        <v>40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41</v>
      </c>
      <c r="B13" s="49" t="s">
        <v>42</v>
      </c>
      <c r="C13" s="50">
        <f>+C14</f>
        <v>0.4</v>
      </c>
      <c r="D13" s="50">
        <f t="shared" ref="D13:N13" si="1">+D14</f>
        <v>0.4</v>
      </c>
      <c r="E13" s="50">
        <f t="shared" si="1"/>
        <v>0.4</v>
      </c>
      <c r="F13" s="50">
        <f t="shared" si="1"/>
        <v>0.4</v>
      </c>
      <c r="G13" s="50">
        <f t="shared" si="1"/>
        <v>0.4</v>
      </c>
      <c r="H13" s="50">
        <f t="shared" si="1"/>
        <v>0.4</v>
      </c>
      <c r="I13" s="50">
        <f t="shared" si="1"/>
        <v>0.4</v>
      </c>
      <c r="J13" s="50">
        <f t="shared" si="1"/>
        <v>0.4</v>
      </c>
      <c r="K13" s="50">
        <f t="shared" si="1"/>
        <v>0.4</v>
      </c>
      <c r="L13" s="50">
        <f t="shared" si="1"/>
        <v>0.4</v>
      </c>
      <c r="M13" s="50">
        <f t="shared" si="1"/>
        <v>0.4</v>
      </c>
      <c r="N13" s="50">
        <f t="shared" si="1"/>
        <v>0.4</v>
      </c>
    </row>
    <row r="14" spans="1:14" x14ac:dyDescent="0.2">
      <c r="A14" s="9" t="s">
        <v>43</v>
      </c>
      <c r="B14" s="1" t="s">
        <v>44</v>
      </c>
      <c r="C14" s="10">
        <v>0.4</v>
      </c>
      <c r="D14" s="10">
        <v>0.4</v>
      </c>
      <c r="E14" s="10">
        <v>0.4</v>
      </c>
      <c r="F14" s="10">
        <v>0.4</v>
      </c>
      <c r="G14" s="10">
        <v>0.4</v>
      </c>
      <c r="H14" s="10">
        <v>0.4</v>
      </c>
      <c r="I14" s="10">
        <v>0.4</v>
      </c>
      <c r="J14" s="10">
        <v>0.4</v>
      </c>
      <c r="K14" s="10">
        <v>0.4</v>
      </c>
      <c r="L14" s="10">
        <v>0.4</v>
      </c>
      <c r="M14" s="10">
        <v>0.4</v>
      </c>
      <c r="N14" s="10">
        <v>0.4</v>
      </c>
    </row>
    <row r="15" spans="1:14" x14ac:dyDescent="0.2">
      <c r="A15" s="48" t="s">
        <v>45</v>
      </c>
      <c r="B15" s="49" t="s">
        <v>46</v>
      </c>
      <c r="C15" s="50">
        <v>0.1</v>
      </c>
      <c r="D15" s="50">
        <v>0.1</v>
      </c>
      <c r="E15" s="50">
        <v>0.1</v>
      </c>
      <c r="F15" s="50">
        <v>0.1</v>
      </c>
      <c r="G15" s="50">
        <v>0.1</v>
      </c>
      <c r="H15" s="50">
        <v>0.1</v>
      </c>
      <c r="I15" s="50">
        <v>0.1</v>
      </c>
      <c r="J15" s="50">
        <v>0.1</v>
      </c>
      <c r="K15" s="50">
        <v>0.1</v>
      </c>
      <c r="L15" s="50">
        <v>0.1</v>
      </c>
      <c r="M15" s="50">
        <v>0.1</v>
      </c>
      <c r="N15" s="50">
        <v>0.1</v>
      </c>
    </row>
    <row r="16" spans="1:14" x14ac:dyDescent="0.2">
      <c r="A16" s="51"/>
      <c r="B16" s="51" t="s">
        <v>47</v>
      </c>
      <c r="C16" s="19">
        <f t="shared" ref="C16:N16" si="2">+C7+C11+C12+C13+C15</f>
        <v>53.5</v>
      </c>
      <c r="D16" s="19">
        <f t="shared" si="2"/>
        <v>30.5</v>
      </c>
      <c r="E16" s="19">
        <f t="shared" si="2"/>
        <v>53.5</v>
      </c>
      <c r="F16" s="19">
        <f t="shared" si="2"/>
        <v>43.5</v>
      </c>
      <c r="G16" s="19">
        <f t="shared" si="2"/>
        <v>48.5</v>
      </c>
      <c r="H16" s="19">
        <f t="shared" si="2"/>
        <v>42.5</v>
      </c>
      <c r="I16" s="19">
        <f t="shared" si="2"/>
        <v>30.5</v>
      </c>
      <c r="J16" s="19">
        <f t="shared" si="2"/>
        <v>57.5</v>
      </c>
      <c r="K16" s="19">
        <f t="shared" si="2"/>
        <v>35.5</v>
      </c>
      <c r="L16" s="19">
        <f t="shared" si="2"/>
        <v>31.5</v>
      </c>
      <c r="M16" s="19">
        <f t="shared" si="2"/>
        <v>33.5</v>
      </c>
      <c r="N16" s="19">
        <f t="shared" si="2"/>
        <v>45.5</v>
      </c>
    </row>
    <row r="17" spans="1:14" x14ac:dyDescent="0.2">
      <c r="A17" s="48" t="s">
        <v>48</v>
      </c>
      <c r="B17" s="49" t="s">
        <v>49</v>
      </c>
      <c r="C17" s="24">
        <f>+C18</f>
        <v>0.1</v>
      </c>
      <c r="D17" s="24">
        <f t="shared" ref="D17:N17" si="3">+D18</f>
        <v>0.1</v>
      </c>
      <c r="E17" s="24">
        <f t="shared" si="3"/>
        <v>0.1</v>
      </c>
      <c r="F17" s="24">
        <f t="shared" si="3"/>
        <v>0.1</v>
      </c>
      <c r="G17" s="24">
        <f t="shared" si="3"/>
        <v>0.1</v>
      </c>
      <c r="H17" s="24">
        <f t="shared" si="3"/>
        <v>0.1</v>
      </c>
      <c r="I17" s="24">
        <f t="shared" si="3"/>
        <v>0.1</v>
      </c>
      <c r="J17" s="24">
        <f t="shared" si="3"/>
        <v>0.1</v>
      </c>
      <c r="K17" s="24">
        <f t="shared" si="3"/>
        <v>0.1</v>
      </c>
      <c r="L17" s="24">
        <f t="shared" si="3"/>
        <v>0.1</v>
      </c>
      <c r="M17" s="24">
        <f t="shared" si="3"/>
        <v>0.1</v>
      </c>
      <c r="N17" s="24">
        <f t="shared" si="3"/>
        <v>0.1</v>
      </c>
    </row>
    <row r="18" spans="1:14" x14ac:dyDescent="0.2">
      <c r="A18" s="9" t="s">
        <v>56</v>
      </c>
      <c r="B18" s="1" t="s">
        <v>51</v>
      </c>
      <c r="C18" s="24">
        <v>0.1</v>
      </c>
      <c r="D18" s="24">
        <v>0.1</v>
      </c>
      <c r="E18" s="24">
        <v>0.1</v>
      </c>
      <c r="F18" s="24">
        <v>0.1</v>
      </c>
      <c r="G18" s="24">
        <v>0.1</v>
      </c>
      <c r="H18" s="24">
        <v>0.1</v>
      </c>
      <c r="I18" s="24">
        <v>0.1</v>
      </c>
      <c r="J18" s="24">
        <v>0.1</v>
      </c>
      <c r="K18" s="24">
        <v>0.1</v>
      </c>
      <c r="L18" s="24">
        <v>0.1</v>
      </c>
      <c r="M18" s="24">
        <v>0.1</v>
      </c>
      <c r="N18" s="24">
        <v>0.1</v>
      </c>
    </row>
    <row r="19" spans="1:14" x14ac:dyDescent="0.2">
      <c r="A19" s="48" t="s">
        <v>60</v>
      </c>
      <c r="B19" s="49" t="s">
        <v>61</v>
      </c>
      <c r="C19" s="24">
        <v>0</v>
      </c>
      <c r="D19" s="24">
        <v>0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K19" s="24">
        <v>0</v>
      </c>
      <c r="L19" s="24">
        <v>0</v>
      </c>
      <c r="M19" s="24">
        <v>0</v>
      </c>
      <c r="N19" s="24">
        <v>0</v>
      </c>
    </row>
    <row r="20" spans="1:14" x14ac:dyDescent="0.2">
      <c r="A20" s="48" t="s">
        <v>62</v>
      </c>
      <c r="B20" s="49" t="s">
        <v>63</v>
      </c>
      <c r="C20" s="24">
        <v>0</v>
      </c>
      <c r="D20" s="24">
        <v>0</v>
      </c>
      <c r="E20" s="24">
        <v>0</v>
      </c>
      <c r="F20" s="24">
        <v>0</v>
      </c>
      <c r="G20" s="24">
        <v>0</v>
      </c>
      <c r="H20" s="24">
        <v>0</v>
      </c>
      <c r="I20" s="24">
        <v>0</v>
      </c>
      <c r="J20" s="24">
        <v>0</v>
      </c>
      <c r="K20" s="24">
        <v>0</v>
      </c>
      <c r="L20" s="24">
        <v>0</v>
      </c>
      <c r="M20" s="24">
        <v>0</v>
      </c>
      <c r="N20" s="24">
        <v>0</v>
      </c>
    </row>
    <row r="21" spans="1:14" x14ac:dyDescent="0.2">
      <c r="A21" s="48" t="s">
        <v>64</v>
      </c>
      <c r="B21" s="49" t="s">
        <v>65</v>
      </c>
      <c r="C21" s="24">
        <f>+C22</f>
        <v>0.15</v>
      </c>
      <c r="D21" s="24">
        <f t="shared" ref="D21:N21" si="4">+D22</f>
        <v>0.15</v>
      </c>
      <c r="E21" s="24">
        <f t="shared" si="4"/>
        <v>0.15</v>
      </c>
      <c r="F21" s="24">
        <f t="shared" si="4"/>
        <v>0.15</v>
      </c>
      <c r="G21" s="24">
        <f t="shared" si="4"/>
        <v>0.15</v>
      </c>
      <c r="H21" s="24">
        <f t="shared" si="4"/>
        <v>0.15</v>
      </c>
      <c r="I21" s="24">
        <f t="shared" si="4"/>
        <v>0.15</v>
      </c>
      <c r="J21" s="24">
        <f t="shared" si="4"/>
        <v>0.15</v>
      </c>
      <c r="K21" s="24">
        <f t="shared" si="4"/>
        <v>0.15</v>
      </c>
      <c r="L21" s="24">
        <f t="shared" si="4"/>
        <v>0.15</v>
      </c>
      <c r="M21" s="24">
        <f t="shared" si="4"/>
        <v>0.15</v>
      </c>
      <c r="N21" s="24">
        <f t="shared" si="4"/>
        <v>0.15</v>
      </c>
    </row>
    <row r="22" spans="1:14" x14ac:dyDescent="0.2">
      <c r="A22" s="9" t="s">
        <v>66</v>
      </c>
      <c r="B22" s="1" t="s">
        <v>67</v>
      </c>
      <c r="C22" s="24">
        <v>0.15</v>
      </c>
      <c r="D22" s="24">
        <v>0.15</v>
      </c>
      <c r="E22" s="24">
        <v>0.15</v>
      </c>
      <c r="F22" s="24">
        <v>0.15</v>
      </c>
      <c r="G22" s="24">
        <v>0.15</v>
      </c>
      <c r="H22" s="24">
        <v>0.15</v>
      </c>
      <c r="I22" s="24">
        <v>0.15</v>
      </c>
      <c r="J22" s="24">
        <v>0.15</v>
      </c>
      <c r="K22" s="24">
        <v>0.15</v>
      </c>
      <c r="L22" s="24">
        <v>0.15</v>
      </c>
      <c r="M22" s="24">
        <v>0.15</v>
      </c>
      <c r="N22" s="24">
        <v>0.15</v>
      </c>
    </row>
    <row r="23" spans="1:14" x14ac:dyDescent="0.2">
      <c r="A23" s="48" t="s">
        <v>68</v>
      </c>
      <c r="B23" s="49" t="s">
        <v>69</v>
      </c>
      <c r="C23" s="24">
        <v>0</v>
      </c>
      <c r="D23" s="24">
        <v>0</v>
      </c>
      <c r="E23" s="24">
        <v>0</v>
      </c>
      <c r="F23" s="24">
        <v>0</v>
      </c>
      <c r="G23" s="24">
        <v>0</v>
      </c>
      <c r="H23" s="24">
        <v>0</v>
      </c>
      <c r="I23" s="24">
        <v>0</v>
      </c>
      <c r="J23" s="24">
        <v>0</v>
      </c>
      <c r="K23" s="24">
        <v>0</v>
      </c>
      <c r="L23" s="24">
        <v>0</v>
      </c>
      <c r="M23" s="24">
        <v>0</v>
      </c>
      <c r="N23" s="24">
        <v>0</v>
      </c>
    </row>
    <row r="24" spans="1:14" x14ac:dyDescent="0.2">
      <c r="A24" s="52"/>
      <c r="B24" s="52" t="s">
        <v>72</v>
      </c>
      <c r="C24" s="53">
        <f t="shared" ref="C24:N24" si="5">+C17+C19+C20+C21+C23</f>
        <v>0.25</v>
      </c>
      <c r="D24" s="53">
        <f t="shared" si="5"/>
        <v>0.25</v>
      </c>
      <c r="E24" s="53">
        <f t="shared" si="5"/>
        <v>0.25</v>
      </c>
      <c r="F24" s="53">
        <f t="shared" si="5"/>
        <v>0.25</v>
      </c>
      <c r="G24" s="53">
        <f t="shared" si="5"/>
        <v>0.25</v>
      </c>
      <c r="H24" s="53">
        <f t="shared" si="5"/>
        <v>0.25</v>
      </c>
      <c r="I24" s="53">
        <f t="shared" si="5"/>
        <v>0.25</v>
      </c>
      <c r="J24" s="53">
        <f t="shared" si="5"/>
        <v>0.25</v>
      </c>
      <c r="K24" s="53">
        <f t="shared" si="5"/>
        <v>0.25</v>
      </c>
      <c r="L24" s="53">
        <f t="shared" si="5"/>
        <v>0.25</v>
      </c>
      <c r="M24" s="53">
        <f t="shared" si="5"/>
        <v>0.25</v>
      </c>
      <c r="N24" s="53">
        <f t="shared" si="5"/>
        <v>0.25</v>
      </c>
    </row>
    <row r="25" spans="1:14" x14ac:dyDescent="0.2">
      <c r="A25" s="51"/>
      <c r="B25" s="51" t="s">
        <v>73</v>
      </c>
      <c r="C25" s="19">
        <f t="shared" ref="C25:N25" si="6">+C16-C24</f>
        <v>53.25</v>
      </c>
      <c r="D25" s="19">
        <f t="shared" si="6"/>
        <v>30.25</v>
      </c>
      <c r="E25" s="19">
        <f t="shared" si="6"/>
        <v>53.25</v>
      </c>
      <c r="F25" s="19">
        <f t="shared" si="6"/>
        <v>43.25</v>
      </c>
      <c r="G25" s="19">
        <f t="shared" si="6"/>
        <v>48.25</v>
      </c>
      <c r="H25" s="19">
        <f t="shared" si="6"/>
        <v>42.25</v>
      </c>
      <c r="I25" s="19">
        <f t="shared" si="6"/>
        <v>30.25</v>
      </c>
      <c r="J25" s="19">
        <f t="shared" si="6"/>
        <v>57.25</v>
      </c>
      <c r="K25" s="19">
        <f t="shared" si="6"/>
        <v>35.25</v>
      </c>
      <c r="L25" s="19">
        <f t="shared" si="6"/>
        <v>31.25</v>
      </c>
      <c r="M25" s="19">
        <f t="shared" si="6"/>
        <v>33.25</v>
      </c>
      <c r="N25" s="19">
        <f t="shared" si="6"/>
        <v>45.25</v>
      </c>
    </row>
    <row r="26" spans="1:14" x14ac:dyDescent="0.2">
      <c r="A26" s="9" t="s">
        <v>74</v>
      </c>
      <c r="B26" s="1" t="s">
        <v>74</v>
      </c>
      <c r="C26" s="10" t="s">
        <v>74</v>
      </c>
      <c r="D26" s="10" t="s">
        <v>74</v>
      </c>
      <c r="E26" s="10" t="s">
        <v>74</v>
      </c>
      <c r="F26" s="10" t="s">
        <v>74</v>
      </c>
      <c r="G26" s="10" t="s">
        <v>74</v>
      </c>
      <c r="H26" s="10" t="s">
        <v>74</v>
      </c>
      <c r="I26" s="10" t="s">
        <v>74</v>
      </c>
      <c r="J26" s="10" t="s">
        <v>74</v>
      </c>
      <c r="K26" s="10" t="s">
        <v>74</v>
      </c>
      <c r="L26" s="10" t="s">
        <v>74</v>
      </c>
      <c r="M26" s="10" t="s">
        <v>74</v>
      </c>
      <c r="N26" s="10" t="s">
        <v>74</v>
      </c>
    </row>
    <row r="27" spans="1:14" x14ac:dyDescent="0.2">
      <c r="A27" s="48" t="s">
        <v>75</v>
      </c>
      <c r="B27" s="49" t="s">
        <v>76</v>
      </c>
      <c r="C27" s="50">
        <f>SUM(C28:C42)</f>
        <v>11.269999999999998</v>
      </c>
      <c r="D27" s="50">
        <f t="shared" ref="D27:N27" si="7">SUM(D28:D42)</f>
        <v>8.8699999999999992</v>
      </c>
      <c r="E27" s="50">
        <f t="shared" si="7"/>
        <v>14.469999999999999</v>
      </c>
      <c r="F27" s="50">
        <f t="shared" si="7"/>
        <v>5.3699999999999992</v>
      </c>
      <c r="G27" s="50">
        <f t="shared" si="7"/>
        <v>7.4699999999999989</v>
      </c>
      <c r="H27" s="50">
        <f t="shared" si="7"/>
        <v>15.27</v>
      </c>
      <c r="I27" s="50">
        <f t="shared" si="7"/>
        <v>18.07</v>
      </c>
      <c r="J27" s="50">
        <f t="shared" si="7"/>
        <v>5.3699999999999992</v>
      </c>
      <c r="K27" s="50">
        <f t="shared" si="7"/>
        <v>7.4699999999999989</v>
      </c>
      <c r="L27" s="50">
        <f t="shared" si="7"/>
        <v>5.3699999999999992</v>
      </c>
      <c r="M27" s="50">
        <f t="shared" si="7"/>
        <v>7.4699999999999989</v>
      </c>
      <c r="N27" s="50">
        <f t="shared" si="7"/>
        <v>15.27</v>
      </c>
    </row>
    <row r="28" spans="1:14" hidden="1" outlineLevel="1" x14ac:dyDescent="0.2">
      <c r="A28" s="9" t="s">
        <v>77</v>
      </c>
      <c r="B28" s="1" t="s">
        <v>78</v>
      </c>
      <c r="C28" s="28">
        <v>4.5</v>
      </c>
      <c r="D28" s="28">
        <v>4.5</v>
      </c>
      <c r="E28" s="28">
        <v>4.5</v>
      </c>
      <c r="F28" s="28">
        <v>4.5</v>
      </c>
      <c r="G28" s="28">
        <v>4.5</v>
      </c>
      <c r="H28" s="28">
        <v>4.5</v>
      </c>
      <c r="I28" s="28">
        <v>4.5</v>
      </c>
      <c r="J28" s="28">
        <v>4.5</v>
      </c>
      <c r="K28" s="28">
        <v>4.5</v>
      </c>
      <c r="L28" s="28">
        <v>4.5</v>
      </c>
      <c r="M28" s="28">
        <v>4.5</v>
      </c>
      <c r="N28" s="28">
        <v>4.5</v>
      </c>
    </row>
    <row r="29" spans="1:14" hidden="1" outlineLevel="1" x14ac:dyDescent="0.2">
      <c r="A29" s="9" t="s">
        <v>79</v>
      </c>
      <c r="B29" s="1" t="s">
        <v>80</v>
      </c>
      <c r="C29" s="10">
        <v>0</v>
      </c>
      <c r="D29" s="10">
        <v>0</v>
      </c>
      <c r="E29" s="10">
        <v>0</v>
      </c>
      <c r="F29" s="10">
        <v>0.4</v>
      </c>
      <c r="G29" s="10">
        <v>0.2</v>
      </c>
      <c r="H29" s="10">
        <v>0.2</v>
      </c>
      <c r="I29" s="10">
        <v>0.1</v>
      </c>
      <c r="J29" s="10">
        <v>0.4</v>
      </c>
      <c r="K29" s="10">
        <v>0.2</v>
      </c>
      <c r="L29" s="10">
        <v>0.4</v>
      </c>
      <c r="M29" s="10">
        <v>0.2</v>
      </c>
      <c r="N29" s="10">
        <v>0.2</v>
      </c>
    </row>
    <row r="30" spans="1:14" hidden="1" outlineLevel="1" x14ac:dyDescent="0.2">
      <c r="A30" s="9" t="s">
        <v>81</v>
      </c>
      <c r="B30" s="1" t="s">
        <v>82</v>
      </c>
      <c r="C30" s="28">
        <v>0.8</v>
      </c>
      <c r="D30" s="28">
        <v>0.8</v>
      </c>
      <c r="E30" s="28">
        <v>0.8</v>
      </c>
      <c r="F30" s="28">
        <v>0.8</v>
      </c>
      <c r="G30" s="28">
        <v>0.8</v>
      </c>
      <c r="H30" s="28">
        <v>0.8</v>
      </c>
      <c r="I30" s="28">
        <v>0.8</v>
      </c>
      <c r="J30" s="28">
        <v>0.8</v>
      </c>
      <c r="K30" s="28">
        <v>0.8</v>
      </c>
      <c r="L30" s="28">
        <v>0.8</v>
      </c>
      <c r="M30" s="28">
        <v>0.8</v>
      </c>
      <c r="N30" s="28">
        <v>0.8</v>
      </c>
    </row>
    <row r="31" spans="1:14" hidden="1" outlineLevel="1" x14ac:dyDescent="0.2">
      <c r="A31" s="9" t="s">
        <v>83</v>
      </c>
      <c r="B31" s="1" t="s">
        <v>84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hidden="1" outlineLevel="1" x14ac:dyDescent="0.2">
      <c r="A32" s="9" t="s">
        <v>85</v>
      </c>
      <c r="B32" s="1" t="s">
        <v>86</v>
      </c>
      <c r="C32" s="10">
        <v>0.1</v>
      </c>
      <c r="D32" s="10">
        <v>0</v>
      </c>
      <c r="E32" s="10">
        <v>0.1</v>
      </c>
      <c r="F32" s="10">
        <v>0</v>
      </c>
      <c r="G32" s="10">
        <v>0.1</v>
      </c>
      <c r="H32" s="10">
        <v>0.4</v>
      </c>
      <c r="I32" s="10">
        <v>0.8</v>
      </c>
      <c r="J32" s="10">
        <v>0</v>
      </c>
      <c r="K32" s="10">
        <v>0.1</v>
      </c>
      <c r="L32" s="10">
        <v>0</v>
      </c>
      <c r="M32" s="10">
        <v>0.1</v>
      </c>
      <c r="N32" s="10">
        <v>0.4</v>
      </c>
    </row>
    <row r="33" spans="1:14" hidden="1" outlineLevel="1" x14ac:dyDescent="0.2">
      <c r="A33" s="9" t="s">
        <v>87</v>
      </c>
      <c r="B33" s="1" t="s">
        <v>88</v>
      </c>
      <c r="C33" s="28">
        <v>0.3</v>
      </c>
      <c r="D33" s="28">
        <v>0.3</v>
      </c>
      <c r="E33" s="28">
        <v>0.3</v>
      </c>
      <c r="F33" s="28">
        <v>0.3</v>
      </c>
      <c r="G33" s="28">
        <v>0.3</v>
      </c>
      <c r="H33" s="28">
        <v>0.3</v>
      </c>
      <c r="I33" s="28">
        <v>0.3</v>
      </c>
      <c r="J33" s="28">
        <v>0.3</v>
      </c>
      <c r="K33" s="28">
        <v>0.3</v>
      </c>
      <c r="L33" s="28">
        <v>0.3</v>
      </c>
      <c r="M33" s="28">
        <v>0.3</v>
      </c>
      <c r="N33" s="28">
        <v>0.3</v>
      </c>
    </row>
    <row r="34" spans="1:14" hidden="1" outlineLevel="1" x14ac:dyDescent="0.2">
      <c r="A34" s="9" t="s">
        <v>89</v>
      </c>
      <c r="B34" s="1" t="s">
        <v>90</v>
      </c>
      <c r="C34" s="28">
        <v>0.6</v>
      </c>
      <c r="D34" s="28">
        <v>0.6</v>
      </c>
      <c r="E34" s="28">
        <v>0.6</v>
      </c>
      <c r="F34" s="28">
        <v>0.6</v>
      </c>
      <c r="G34" s="28">
        <v>0.6</v>
      </c>
      <c r="H34" s="28">
        <v>0.6</v>
      </c>
      <c r="I34" s="28">
        <v>0.6</v>
      </c>
      <c r="J34" s="28">
        <v>0.6</v>
      </c>
      <c r="K34" s="28">
        <v>0.6</v>
      </c>
      <c r="L34" s="28">
        <v>0.6</v>
      </c>
      <c r="M34" s="28">
        <v>0.6</v>
      </c>
      <c r="N34" s="28">
        <v>0.6</v>
      </c>
    </row>
    <row r="35" spans="1:14" hidden="1" outlineLevel="1" x14ac:dyDescent="0.2">
      <c r="A35" s="9" t="s">
        <v>93</v>
      </c>
      <c r="B35" s="1" t="s">
        <v>94</v>
      </c>
      <c r="C35" s="10">
        <v>0.3</v>
      </c>
      <c r="D35" s="10">
        <v>0.2</v>
      </c>
      <c r="E35" s="10">
        <v>0.2</v>
      </c>
      <c r="F35" s="10">
        <v>1</v>
      </c>
      <c r="G35" s="10">
        <v>0.4</v>
      </c>
      <c r="H35" s="10">
        <v>0.5</v>
      </c>
      <c r="I35" s="10">
        <v>0.9</v>
      </c>
      <c r="J35" s="10">
        <v>1</v>
      </c>
      <c r="K35" s="10">
        <v>0.4</v>
      </c>
      <c r="L35" s="10">
        <v>1</v>
      </c>
      <c r="M35" s="10">
        <v>0.4</v>
      </c>
      <c r="N35" s="10">
        <v>0.5</v>
      </c>
    </row>
    <row r="36" spans="1:14" hidden="1" outlineLevel="1" x14ac:dyDescent="0.2">
      <c r="A36" s="9" t="s">
        <v>95</v>
      </c>
      <c r="B36" s="1" t="s">
        <v>96</v>
      </c>
      <c r="C36" s="10">
        <v>0</v>
      </c>
      <c r="D36" s="10">
        <v>0</v>
      </c>
      <c r="E36" s="10">
        <v>0</v>
      </c>
      <c r="F36" s="10">
        <v>0.2</v>
      </c>
      <c r="G36" s="10">
        <v>0.1</v>
      </c>
      <c r="H36" s="10">
        <v>0</v>
      </c>
      <c r="I36" s="10">
        <v>0.1</v>
      </c>
      <c r="J36" s="10">
        <v>0.2</v>
      </c>
      <c r="K36" s="10">
        <v>0.1</v>
      </c>
      <c r="L36" s="10">
        <v>0.2</v>
      </c>
      <c r="M36" s="10">
        <v>0.1</v>
      </c>
      <c r="N36" s="10">
        <v>0</v>
      </c>
    </row>
    <row r="37" spans="1:14" hidden="1" outlineLevel="1" x14ac:dyDescent="0.2">
      <c r="A37" s="9" t="s">
        <v>97</v>
      </c>
      <c r="B37" s="1" t="s">
        <v>98</v>
      </c>
      <c r="C37" s="28">
        <v>0.17</v>
      </c>
      <c r="D37" s="28">
        <v>0.17</v>
      </c>
      <c r="E37" s="28">
        <v>0.17</v>
      </c>
      <c r="F37" s="28">
        <v>0.17</v>
      </c>
      <c r="G37" s="28">
        <v>0.17</v>
      </c>
      <c r="H37" s="28">
        <v>0.17</v>
      </c>
      <c r="I37" s="28">
        <v>0.17</v>
      </c>
      <c r="J37" s="28">
        <v>0.17</v>
      </c>
      <c r="K37" s="28">
        <v>0.17</v>
      </c>
      <c r="L37" s="28">
        <v>0.17</v>
      </c>
      <c r="M37" s="28">
        <v>0.17</v>
      </c>
      <c r="N37" s="28">
        <v>0.17</v>
      </c>
    </row>
    <row r="38" spans="1:14" hidden="1" outlineLevel="1" x14ac:dyDescent="0.2">
      <c r="A38" s="9" t="s">
        <v>99</v>
      </c>
      <c r="B38" s="1" t="s">
        <v>100</v>
      </c>
      <c r="C38" s="10">
        <v>0</v>
      </c>
      <c r="D38" s="10">
        <v>0</v>
      </c>
      <c r="E38" s="10">
        <v>0</v>
      </c>
      <c r="F38" s="10">
        <v>0</v>
      </c>
      <c r="G38" s="10">
        <v>0</v>
      </c>
      <c r="H38" s="10">
        <v>0</v>
      </c>
      <c r="I38" s="10">
        <v>0</v>
      </c>
      <c r="J38" s="10">
        <v>0</v>
      </c>
      <c r="K38" s="10">
        <v>0</v>
      </c>
      <c r="L38" s="10">
        <v>0</v>
      </c>
      <c r="M38" s="10">
        <v>0</v>
      </c>
      <c r="N38" s="10">
        <v>0</v>
      </c>
    </row>
    <row r="39" spans="1:14" hidden="1" outlineLevel="1" x14ac:dyDescent="0.2">
      <c r="A39" s="9" t="s">
        <v>101</v>
      </c>
      <c r="B39" s="1" t="s">
        <v>102</v>
      </c>
      <c r="C39" s="10">
        <v>0</v>
      </c>
      <c r="D39" s="10">
        <v>0</v>
      </c>
      <c r="E39" s="10">
        <v>0</v>
      </c>
      <c r="F39" s="10">
        <v>0</v>
      </c>
      <c r="G39" s="10">
        <v>0.1</v>
      </c>
      <c r="H39" s="10">
        <v>0</v>
      </c>
      <c r="I39" s="10">
        <v>0</v>
      </c>
      <c r="J39" s="10">
        <v>0</v>
      </c>
      <c r="K39" s="10">
        <v>0.1</v>
      </c>
      <c r="L39" s="10">
        <v>0</v>
      </c>
      <c r="M39" s="10">
        <v>0.1</v>
      </c>
      <c r="N39" s="10">
        <v>0</v>
      </c>
    </row>
    <row r="40" spans="1:14" hidden="1" outlineLevel="1" x14ac:dyDescent="0.2">
      <c r="A40" s="9" t="s">
        <v>103</v>
      </c>
      <c r="B40" s="1" t="s">
        <v>104</v>
      </c>
      <c r="C40" s="10">
        <v>0</v>
      </c>
      <c r="D40" s="10">
        <v>0.2</v>
      </c>
      <c r="E40" s="10">
        <v>0.2</v>
      </c>
      <c r="F40" s="10">
        <v>0.2</v>
      </c>
      <c r="G40" s="10">
        <v>0.2</v>
      </c>
      <c r="H40" s="10">
        <v>0.5</v>
      </c>
      <c r="I40" s="10">
        <v>0.5</v>
      </c>
      <c r="J40" s="10">
        <v>0.2</v>
      </c>
      <c r="K40" s="10">
        <v>0.2</v>
      </c>
      <c r="L40" s="10">
        <v>0.2</v>
      </c>
      <c r="M40" s="10">
        <v>0.2</v>
      </c>
      <c r="N40" s="10">
        <v>0.5</v>
      </c>
    </row>
    <row r="41" spans="1:14" hidden="1" outlineLevel="1" x14ac:dyDescent="0.2">
      <c r="A41" s="9" t="s">
        <v>105</v>
      </c>
      <c r="B41" s="1" t="s">
        <v>106</v>
      </c>
      <c r="C41" s="10">
        <v>4.3</v>
      </c>
      <c r="D41" s="10">
        <v>2</v>
      </c>
      <c r="E41" s="10">
        <v>7.6</v>
      </c>
      <c r="F41" s="10">
        <v>-2.9</v>
      </c>
      <c r="G41" s="10">
        <v>-0.1</v>
      </c>
      <c r="H41" s="10">
        <v>6.8</v>
      </c>
      <c r="I41" s="10">
        <v>8.8000000000000007</v>
      </c>
      <c r="J41" s="10">
        <v>-2.9</v>
      </c>
      <c r="K41" s="10">
        <v>-0.1</v>
      </c>
      <c r="L41" s="10">
        <v>-2.9</v>
      </c>
      <c r="M41" s="10">
        <v>-0.1</v>
      </c>
      <c r="N41" s="10">
        <v>6.8</v>
      </c>
    </row>
    <row r="42" spans="1:14" hidden="1" outlineLevel="1" x14ac:dyDescent="0.2">
      <c r="A42" s="9" t="s">
        <v>107</v>
      </c>
      <c r="B42" s="1" t="s">
        <v>108</v>
      </c>
      <c r="C42" s="10">
        <v>0.2</v>
      </c>
      <c r="D42" s="10">
        <v>0.1</v>
      </c>
      <c r="E42" s="10">
        <v>0</v>
      </c>
      <c r="F42" s="10">
        <v>0.1</v>
      </c>
      <c r="G42" s="10">
        <v>0.1</v>
      </c>
      <c r="H42" s="10">
        <v>0.5</v>
      </c>
      <c r="I42" s="10">
        <v>0.5</v>
      </c>
      <c r="J42" s="10">
        <v>0.1</v>
      </c>
      <c r="K42" s="10">
        <v>0.1</v>
      </c>
      <c r="L42" s="10">
        <v>0.1</v>
      </c>
      <c r="M42" s="10">
        <v>0.1</v>
      </c>
      <c r="N42" s="10">
        <v>0.5</v>
      </c>
    </row>
    <row r="43" spans="1:14" collapsed="1" x14ac:dyDescent="0.2">
      <c r="A43" s="48" t="s">
        <v>111</v>
      </c>
      <c r="B43" s="49" t="s">
        <v>112</v>
      </c>
      <c r="C43" s="50">
        <f>SUM(C44:C46)</f>
        <v>0.75</v>
      </c>
      <c r="D43" s="50">
        <f t="shared" ref="D43:N43" si="8">SUM(D44:D46)</f>
        <v>0.75</v>
      </c>
      <c r="E43" s="50">
        <f t="shared" si="8"/>
        <v>0.75</v>
      </c>
      <c r="F43" s="50">
        <f t="shared" si="8"/>
        <v>0.75</v>
      </c>
      <c r="G43" s="50">
        <f t="shared" si="8"/>
        <v>0.75</v>
      </c>
      <c r="H43" s="50">
        <f t="shared" si="8"/>
        <v>0.75</v>
      </c>
      <c r="I43" s="50">
        <f t="shared" si="8"/>
        <v>0.75</v>
      </c>
      <c r="J43" s="50">
        <f t="shared" si="8"/>
        <v>0.75</v>
      </c>
      <c r="K43" s="50">
        <f t="shared" si="8"/>
        <v>0.75</v>
      </c>
      <c r="L43" s="50">
        <f t="shared" si="8"/>
        <v>0.75</v>
      </c>
      <c r="M43" s="50">
        <f t="shared" si="8"/>
        <v>0.75</v>
      </c>
      <c r="N43" s="50">
        <f t="shared" si="8"/>
        <v>0.75</v>
      </c>
    </row>
    <row r="44" spans="1:14" hidden="1" outlineLevel="1" x14ac:dyDescent="0.2">
      <c r="A44" s="9" t="s">
        <v>113</v>
      </c>
      <c r="B44" s="1" t="s">
        <v>114</v>
      </c>
      <c r="C44" s="28">
        <v>0.1</v>
      </c>
      <c r="D44" s="28">
        <v>0.1</v>
      </c>
      <c r="E44" s="28">
        <v>0.1</v>
      </c>
      <c r="F44" s="28">
        <v>0.1</v>
      </c>
      <c r="G44" s="28">
        <v>0.1</v>
      </c>
      <c r="H44" s="28">
        <v>0.1</v>
      </c>
      <c r="I44" s="28">
        <v>0.1</v>
      </c>
      <c r="J44" s="28">
        <v>0.1</v>
      </c>
      <c r="K44" s="28">
        <v>0.1</v>
      </c>
      <c r="L44" s="28">
        <v>0.1</v>
      </c>
      <c r="M44" s="28">
        <v>0.1</v>
      </c>
      <c r="N44" s="28">
        <v>0.1</v>
      </c>
    </row>
    <row r="45" spans="1:14" hidden="1" outlineLevel="1" x14ac:dyDescent="0.2">
      <c r="A45" s="9" t="s">
        <v>311</v>
      </c>
      <c r="B45" s="1" t="s">
        <v>312</v>
      </c>
      <c r="C45" s="10">
        <v>0</v>
      </c>
      <c r="D45" s="10">
        <v>0</v>
      </c>
      <c r="E45" s="10">
        <v>0</v>
      </c>
      <c r="F45" s="10">
        <v>0</v>
      </c>
      <c r="G45" s="10">
        <v>0</v>
      </c>
      <c r="H45" s="10">
        <v>0</v>
      </c>
      <c r="I45" s="10">
        <v>0</v>
      </c>
      <c r="J45" s="10">
        <v>0</v>
      </c>
      <c r="K45" s="10">
        <v>0</v>
      </c>
      <c r="L45" s="10">
        <v>0</v>
      </c>
      <c r="M45" s="10">
        <v>0</v>
      </c>
      <c r="N45" s="10">
        <v>0</v>
      </c>
    </row>
    <row r="46" spans="1:14" hidden="1" outlineLevel="1" x14ac:dyDescent="0.2">
      <c r="A46" s="9" t="s">
        <v>117</v>
      </c>
      <c r="B46" s="1" t="s">
        <v>118</v>
      </c>
      <c r="C46" s="28">
        <v>0.65</v>
      </c>
      <c r="D46" s="28">
        <v>0.65</v>
      </c>
      <c r="E46" s="28">
        <v>0.65</v>
      </c>
      <c r="F46" s="28">
        <v>0.65</v>
      </c>
      <c r="G46" s="28">
        <v>0.65</v>
      </c>
      <c r="H46" s="28">
        <v>0.65</v>
      </c>
      <c r="I46" s="28">
        <v>0.65</v>
      </c>
      <c r="J46" s="28">
        <v>0.65</v>
      </c>
      <c r="K46" s="28">
        <v>0.65</v>
      </c>
      <c r="L46" s="28">
        <v>0.65</v>
      </c>
      <c r="M46" s="28">
        <v>0.65</v>
      </c>
      <c r="N46" s="28">
        <v>0.65</v>
      </c>
    </row>
    <row r="47" spans="1:14" collapsed="1" x14ac:dyDescent="0.2">
      <c r="A47" s="48" t="s">
        <v>119</v>
      </c>
      <c r="B47" s="49" t="s">
        <v>120</v>
      </c>
      <c r="C47" s="50">
        <f>+C48+C49</f>
        <v>0.1</v>
      </c>
      <c r="D47" s="50">
        <f t="shared" ref="D47:N47" si="9">+D48+D49</f>
        <v>0.1</v>
      </c>
      <c r="E47" s="50">
        <f t="shared" si="9"/>
        <v>0.1</v>
      </c>
      <c r="F47" s="50">
        <f t="shared" si="9"/>
        <v>0.1</v>
      </c>
      <c r="G47" s="50">
        <f t="shared" si="9"/>
        <v>0.1</v>
      </c>
      <c r="H47" s="50">
        <f t="shared" si="9"/>
        <v>0.1</v>
      </c>
      <c r="I47" s="50">
        <f t="shared" si="9"/>
        <v>0.1</v>
      </c>
      <c r="J47" s="50">
        <f t="shared" si="9"/>
        <v>0.1</v>
      </c>
      <c r="K47" s="50">
        <f t="shared" si="9"/>
        <v>0.1</v>
      </c>
      <c r="L47" s="50">
        <f t="shared" si="9"/>
        <v>0.1</v>
      </c>
      <c r="M47" s="50">
        <f t="shared" si="9"/>
        <v>0.1</v>
      </c>
      <c r="N47" s="50">
        <f t="shared" si="9"/>
        <v>0.1</v>
      </c>
    </row>
    <row r="48" spans="1:14" hidden="1" outlineLevel="1" x14ac:dyDescent="0.2">
      <c r="A48" s="9" t="s">
        <v>123</v>
      </c>
      <c r="B48" s="1" t="s">
        <v>124</v>
      </c>
      <c r="C48" s="10">
        <v>0.1</v>
      </c>
      <c r="D48" s="10">
        <v>0.1</v>
      </c>
      <c r="E48" s="10">
        <v>0.1</v>
      </c>
      <c r="F48" s="10">
        <v>0.1</v>
      </c>
      <c r="G48" s="10">
        <v>0.1</v>
      </c>
      <c r="H48" s="10">
        <v>0.1</v>
      </c>
      <c r="I48" s="10">
        <v>0.1</v>
      </c>
      <c r="J48" s="10">
        <v>0.1</v>
      </c>
      <c r="K48" s="10">
        <v>0.1</v>
      </c>
      <c r="L48" s="10">
        <v>0.1</v>
      </c>
      <c r="M48" s="10">
        <v>0.1</v>
      </c>
      <c r="N48" s="10">
        <v>0.1</v>
      </c>
    </row>
    <row r="49" spans="1:14" hidden="1" outlineLevel="1" x14ac:dyDescent="0.2">
      <c r="A49" s="9" t="s">
        <v>125</v>
      </c>
      <c r="B49" s="1" t="s">
        <v>126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collapsed="1" x14ac:dyDescent="0.2">
      <c r="A50" s="48" t="s">
        <v>127</v>
      </c>
      <c r="B50" s="49" t="s">
        <v>128</v>
      </c>
      <c r="C50" s="50">
        <f>SUM(C51:C53)</f>
        <v>0.2</v>
      </c>
      <c r="D50" s="50">
        <f t="shared" ref="D50:N50" si="10">SUM(D51:D53)</f>
        <v>0.2</v>
      </c>
      <c r="E50" s="50">
        <f t="shared" si="10"/>
        <v>0.2</v>
      </c>
      <c r="F50" s="50">
        <f t="shared" si="10"/>
        <v>0.30000000000000004</v>
      </c>
      <c r="G50" s="50">
        <f t="shared" si="10"/>
        <v>0.2</v>
      </c>
      <c r="H50" s="50">
        <f t="shared" si="10"/>
        <v>0.2</v>
      </c>
      <c r="I50" s="50">
        <f t="shared" si="10"/>
        <v>0.4</v>
      </c>
      <c r="J50" s="50">
        <f t="shared" si="10"/>
        <v>0.2</v>
      </c>
      <c r="K50" s="50">
        <f t="shared" si="10"/>
        <v>0.4</v>
      </c>
      <c r="L50" s="50">
        <f t="shared" si="10"/>
        <v>0.2</v>
      </c>
      <c r="M50" s="50">
        <f t="shared" si="10"/>
        <v>0.2</v>
      </c>
      <c r="N50" s="50">
        <f t="shared" si="10"/>
        <v>0.4</v>
      </c>
    </row>
    <row r="51" spans="1:14" hidden="1" outlineLevel="1" x14ac:dyDescent="0.2">
      <c r="A51" s="9" t="s">
        <v>317</v>
      </c>
      <c r="B51" s="1" t="s">
        <v>318</v>
      </c>
      <c r="C51" s="10">
        <v>0</v>
      </c>
      <c r="D51" s="10">
        <v>0</v>
      </c>
      <c r="E51" s="10">
        <v>0</v>
      </c>
      <c r="F51" s="10">
        <v>0.1</v>
      </c>
      <c r="G51" s="10">
        <v>0</v>
      </c>
      <c r="H51" s="10">
        <v>0</v>
      </c>
      <c r="I51" s="10">
        <v>0</v>
      </c>
      <c r="J51" s="10">
        <v>0</v>
      </c>
      <c r="K51" s="10">
        <v>0</v>
      </c>
      <c r="L51" s="10">
        <v>0</v>
      </c>
      <c r="M51" s="10">
        <v>0</v>
      </c>
      <c r="N51" s="10">
        <v>0</v>
      </c>
    </row>
    <row r="52" spans="1:14" hidden="1" outlineLevel="1" x14ac:dyDescent="0.2">
      <c r="A52" s="9" t="s">
        <v>129</v>
      </c>
      <c r="B52" s="1" t="s">
        <v>130</v>
      </c>
      <c r="C52" s="28">
        <v>0.2</v>
      </c>
      <c r="D52" s="28">
        <v>0.2</v>
      </c>
      <c r="E52" s="28">
        <v>0.2</v>
      </c>
      <c r="F52" s="28">
        <v>0.2</v>
      </c>
      <c r="G52" s="28">
        <v>0.2</v>
      </c>
      <c r="H52" s="28">
        <v>0.2</v>
      </c>
      <c r="I52" s="28">
        <v>0.2</v>
      </c>
      <c r="J52" s="28">
        <v>0.2</v>
      </c>
      <c r="K52" s="28">
        <v>0.2</v>
      </c>
      <c r="L52" s="28">
        <v>0.2</v>
      </c>
      <c r="M52" s="28">
        <v>0.2</v>
      </c>
      <c r="N52" s="28">
        <v>0.2</v>
      </c>
    </row>
    <row r="53" spans="1:14" hidden="1" outlineLevel="1" x14ac:dyDescent="0.2">
      <c r="A53" s="9" t="s">
        <v>319</v>
      </c>
      <c r="B53" s="1" t="s">
        <v>320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0">
        <v>0</v>
      </c>
      <c r="I53" s="10">
        <v>0.2</v>
      </c>
      <c r="J53" s="10">
        <v>0</v>
      </c>
      <c r="K53" s="10">
        <v>0.2</v>
      </c>
      <c r="L53" s="10">
        <v>0</v>
      </c>
      <c r="M53" s="10">
        <v>0</v>
      </c>
      <c r="N53" s="10">
        <v>0.2</v>
      </c>
    </row>
    <row r="54" spans="1:14" collapsed="1" x14ac:dyDescent="0.2">
      <c r="A54" s="48" t="s">
        <v>133</v>
      </c>
      <c r="B54" s="49" t="s">
        <v>134</v>
      </c>
      <c r="C54" s="50">
        <f>+C55</f>
        <v>0.7</v>
      </c>
      <c r="D54" s="50">
        <f t="shared" ref="D54:N54" si="11">+D55</f>
        <v>1.1000000000000001</v>
      </c>
      <c r="E54" s="50">
        <f t="shared" si="11"/>
        <v>-1.1000000000000001</v>
      </c>
      <c r="F54" s="50">
        <f t="shared" si="11"/>
        <v>0</v>
      </c>
      <c r="G54" s="50">
        <f t="shared" si="11"/>
        <v>0</v>
      </c>
      <c r="H54" s="50">
        <f t="shared" si="11"/>
        <v>1</v>
      </c>
      <c r="I54" s="50">
        <f t="shared" si="11"/>
        <v>1</v>
      </c>
      <c r="J54" s="50">
        <f t="shared" si="11"/>
        <v>1</v>
      </c>
      <c r="K54" s="50">
        <f t="shared" si="11"/>
        <v>1</v>
      </c>
      <c r="L54" s="50">
        <f t="shared" si="11"/>
        <v>1</v>
      </c>
      <c r="M54" s="50">
        <f t="shared" si="11"/>
        <v>1</v>
      </c>
      <c r="N54" s="50">
        <f t="shared" si="11"/>
        <v>1</v>
      </c>
    </row>
    <row r="55" spans="1:14" hidden="1" outlineLevel="1" x14ac:dyDescent="0.2">
      <c r="A55" s="9" t="s">
        <v>335</v>
      </c>
      <c r="B55" s="1" t="s">
        <v>336</v>
      </c>
      <c r="C55" s="10">
        <v>0.7</v>
      </c>
      <c r="D55" s="10">
        <v>1.1000000000000001</v>
      </c>
      <c r="E55" s="10">
        <v>-1.1000000000000001</v>
      </c>
      <c r="F55" s="10">
        <v>0</v>
      </c>
      <c r="G55" s="10">
        <v>0</v>
      </c>
      <c r="H55" s="10">
        <v>1</v>
      </c>
      <c r="I55" s="10">
        <v>1</v>
      </c>
      <c r="J55" s="10">
        <v>1</v>
      </c>
      <c r="K55" s="10">
        <v>1</v>
      </c>
      <c r="L55" s="10">
        <v>1</v>
      </c>
      <c r="M55" s="10">
        <v>1</v>
      </c>
      <c r="N55" s="10">
        <v>1</v>
      </c>
    </row>
    <row r="56" spans="1:14" collapsed="1" x14ac:dyDescent="0.2">
      <c r="A56" s="48" t="s">
        <v>137</v>
      </c>
      <c r="B56" s="49" t="s">
        <v>138</v>
      </c>
      <c r="C56" s="50">
        <v>0</v>
      </c>
      <c r="D56" s="50">
        <v>0</v>
      </c>
      <c r="E56" s="50">
        <v>0</v>
      </c>
      <c r="F56" s="50">
        <v>0</v>
      </c>
      <c r="G56" s="50">
        <v>0</v>
      </c>
      <c r="H56" s="50">
        <v>0</v>
      </c>
      <c r="I56" s="50">
        <v>0</v>
      </c>
      <c r="J56" s="50">
        <v>0</v>
      </c>
      <c r="K56" s="50">
        <v>0</v>
      </c>
      <c r="L56" s="50">
        <v>0</v>
      </c>
      <c r="M56" s="50">
        <v>0</v>
      </c>
      <c r="N56" s="50">
        <v>0</v>
      </c>
    </row>
    <row r="57" spans="1:14" x14ac:dyDescent="0.2">
      <c r="A57" s="48" t="s">
        <v>139</v>
      </c>
      <c r="B57" s="49" t="s">
        <v>140</v>
      </c>
      <c r="C57" s="50">
        <v>0</v>
      </c>
      <c r="D57" s="50">
        <v>0</v>
      </c>
      <c r="E57" s="50">
        <v>0</v>
      </c>
      <c r="F57" s="50">
        <v>0</v>
      </c>
      <c r="G57" s="50">
        <v>0</v>
      </c>
      <c r="H57" s="50">
        <v>0</v>
      </c>
      <c r="I57" s="50">
        <v>0</v>
      </c>
      <c r="J57" s="50">
        <v>0</v>
      </c>
      <c r="K57" s="50">
        <v>0</v>
      </c>
      <c r="L57" s="50">
        <v>0</v>
      </c>
      <c r="M57" s="50">
        <v>0</v>
      </c>
      <c r="N57" s="50">
        <v>0</v>
      </c>
    </row>
    <row r="58" spans="1:14" x14ac:dyDescent="0.2">
      <c r="A58" s="48" t="s">
        <v>141</v>
      </c>
      <c r="B58" s="49" t="s">
        <v>142</v>
      </c>
      <c r="C58" s="50">
        <v>0</v>
      </c>
      <c r="D58" s="50">
        <v>0</v>
      </c>
      <c r="E58" s="50">
        <v>0</v>
      </c>
      <c r="F58" s="50">
        <v>0</v>
      </c>
      <c r="G58" s="50">
        <v>0</v>
      </c>
      <c r="H58" s="50">
        <v>0</v>
      </c>
      <c r="I58" s="50">
        <v>0</v>
      </c>
      <c r="J58" s="50">
        <v>0</v>
      </c>
      <c r="K58" s="50">
        <v>0</v>
      </c>
      <c r="L58" s="50">
        <v>0</v>
      </c>
      <c r="M58" s="50">
        <v>0</v>
      </c>
      <c r="N58" s="50">
        <v>0</v>
      </c>
    </row>
    <row r="59" spans="1:14" x14ac:dyDescent="0.2">
      <c r="A59" s="48" t="s">
        <v>143</v>
      </c>
      <c r="B59" s="49" t="s">
        <v>144</v>
      </c>
      <c r="C59" s="50">
        <f>+C60</f>
        <v>3</v>
      </c>
      <c r="D59" s="50">
        <f t="shared" ref="D59:N59" si="12">+D60</f>
        <v>3</v>
      </c>
      <c r="E59" s="50">
        <f t="shared" si="12"/>
        <v>3</v>
      </c>
      <c r="F59" s="50">
        <f t="shared" si="12"/>
        <v>3</v>
      </c>
      <c r="G59" s="50">
        <f t="shared" si="12"/>
        <v>3</v>
      </c>
      <c r="H59" s="50">
        <f t="shared" si="12"/>
        <v>3</v>
      </c>
      <c r="I59" s="50">
        <f t="shared" si="12"/>
        <v>3</v>
      </c>
      <c r="J59" s="50">
        <f t="shared" si="12"/>
        <v>3</v>
      </c>
      <c r="K59" s="50">
        <f t="shared" si="12"/>
        <v>3</v>
      </c>
      <c r="L59" s="50">
        <f t="shared" si="12"/>
        <v>3</v>
      </c>
      <c r="M59" s="50">
        <f t="shared" si="12"/>
        <v>3</v>
      </c>
      <c r="N59" s="50">
        <f t="shared" si="12"/>
        <v>3</v>
      </c>
    </row>
    <row r="60" spans="1:14" hidden="1" outlineLevel="1" x14ac:dyDescent="0.2">
      <c r="A60" s="9" t="s">
        <v>355</v>
      </c>
      <c r="B60" s="1" t="s">
        <v>356</v>
      </c>
      <c r="C60" s="28">
        <v>3</v>
      </c>
      <c r="D60" s="28">
        <v>3</v>
      </c>
      <c r="E60" s="28">
        <v>3</v>
      </c>
      <c r="F60" s="28">
        <v>3</v>
      </c>
      <c r="G60" s="28">
        <v>3</v>
      </c>
      <c r="H60" s="28">
        <v>3</v>
      </c>
      <c r="I60" s="28">
        <v>3</v>
      </c>
      <c r="J60" s="28">
        <v>3</v>
      </c>
      <c r="K60" s="28">
        <v>3</v>
      </c>
      <c r="L60" s="28">
        <v>3</v>
      </c>
      <c r="M60" s="28">
        <v>3</v>
      </c>
      <c r="N60" s="28">
        <v>3</v>
      </c>
    </row>
    <row r="61" spans="1:14" collapsed="1" x14ac:dyDescent="0.2">
      <c r="A61" s="48" t="s">
        <v>157</v>
      </c>
      <c r="B61" s="49" t="s">
        <v>158</v>
      </c>
      <c r="C61" s="50">
        <f>+C62</f>
        <v>0.3</v>
      </c>
      <c r="D61" s="50">
        <f t="shared" ref="D61:N61" si="13">+D62</f>
        <v>0.3</v>
      </c>
      <c r="E61" s="50">
        <f t="shared" si="13"/>
        <v>0.3</v>
      </c>
      <c r="F61" s="50">
        <f t="shared" si="13"/>
        <v>0.3</v>
      </c>
      <c r="G61" s="50">
        <f t="shared" si="13"/>
        <v>0.3</v>
      </c>
      <c r="H61" s="50">
        <f t="shared" si="13"/>
        <v>0.3</v>
      </c>
      <c r="I61" s="50">
        <f t="shared" si="13"/>
        <v>0.3</v>
      </c>
      <c r="J61" s="50">
        <f t="shared" si="13"/>
        <v>0.3</v>
      </c>
      <c r="K61" s="50">
        <f t="shared" si="13"/>
        <v>0.3</v>
      </c>
      <c r="L61" s="50">
        <f t="shared" si="13"/>
        <v>0.3</v>
      </c>
      <c r="M61" s="50">
        <f t="shared" si="13"/>
        <v>0.3</v>
      </c>
      <c r="N61" s="50">
        <f t="shared" si="13"/>
        <v>0.3</v>
      </c>
    </row>
    <row r="62" spans="1:14" hidden="1" outlineLevel="1" x14ac:dyDescent="0.2">
      <c r="A62" s="9" t="s">
        <v>159</v>
      </c>
      <c r="B62" s="1" t="s">
        <v>160</v>
      </c>
      <c r="C62" s="28">
        <v>0.3</v>
      </c>
      <c r="D62" s="28">
        <v>0.3</v>
      </c>
      <c r="E62" s="28">
        <v>0.3</v>
      </c>
      <c r="F62" s="28">
        <v>0.3</v>
      </c>
      <c r="G62" s="28">
        <v>0.3</v>
      </c>
      <c r="H62" s="28">
        <v>0.3</v>
      </c>
      <c r="I62" s="28">
        <v>0.3</v>
      </c>
      <c r="J62" s="28">
        <v>0.3</v>
      </c>
      <c r="K62" s="28">
        <v>0.3</v>
      </c>
      <c r="L62" s="28">
        <v>0.3</v>
      </c>
      <c r="M62" s="28">
        <v>0.3</v>
      </c>
      <c r="N62" s="28">
        <v>0.3</v>
      </c>
    </row>
    <row r="63" spans="1:14" collapsed="1" x14ac:dyDescent="0.2">
      <c r="A63" s="52"/>
      <c r="B63" s="52" t="s">
        <v>165</v>
      </c>
      <c r="C63" s="53">
        <f>+C27+C43+C47+C50+C54+C56+C57+C58+C59+C61</f>
        <v>16.319999999999997</v>
      </c>
      <c r="D63" s="53">
        <f t="shared" ref="D63:N63" si="14">+D27+D43+D47+D50+D54+D56+D57+D58+D59+D61</f>
        <v>14.319999999999999</v>
      </c>
      <c r="E63" s="53">
        <f t="shared" si="14"/>
        <v>17.72</v>
      </c>
      <c r="F63" s="53">
        <f t="shared" si="14"/>
        <v>9.82</v>
      </c>
      <c r="G63" s="53">
        <f t="shared" si="14"/>
        <v>11.819999999999999</v>
      </c>
      <c r="H63" s="53">
        <f t="shared" si="14"/>
        <v>20.62</v>
      </c>
      <c r="I63" s="53">
        <f t="shared" si="14"/>
        <v>23.62</v>
      </c>
      <c r="J63" s="53">
        <f t="shared" si="14"/>
        <v>10.719999999999999</v>
      </c>
      <c r="K63" s="53">
        <f t="shared" si="14"/>
        <v>13.02</v>
      </c>
      <c r="L63" s="53">
        <f t="shared" si="14"/>
        <v>10.719999999999999</v>
      </c>
      <c r="M63" s="53">
        <f t="shared" si="14"/>
        <v>12.819999999999999</v>
      </c>
      <c r="N63" s="53">
        <f t="shared" si="14"/>
        <v>20.82</v>
      </c>
    </row>
    <row r="64" spans="1:14" x14ac:dyDescent="0.2">
      <c r="A64" s="51"/>
      <c r="B64" s="51" t="s">
        <v>166</v>
      </c>
      <c r="C64" s="19">
        <f>+C25-C63</f>
        <v>36.930000000000007</v>
      </c>
      <c r="D64" s="19">
        <f t="shared" ref="D64:N64" si="15">+D25-D63</f>
        <v>15.930000000000001</v>
      </c>
      <c r="E64" s="19">
        <f t="shared" si="15"/>
        <v>35.53</v>
      </c>
      <c r="F64" s="19">
        <f t="shared" si="15"/>
        <v>33.43</v>
      </c>
      <c r="G64" s="19">
        <f t="shared" si="15"/>
        <v>36.43</v>
      </c>
      <c r="H64" s="19">
        <f t="shared" si="15"/>
        <v>21.63</v>
      </c>
      <c r="I64" s="19">
        <f t="shared" si="15"/>
        <v>6.629999999999999</v>
      </c>
      <c r="J64" s="19">
        <f t="shared" si="15"/>
        <v>46.53</v>
      </c>
      <c r="K64" s="19">
        <f t="shared" si="15"/>
        <v>22.23</v>
      </c>
      <c r="L64" s="19">
        <f t="shared" si="15"/>
        <v>20.53</v>
      </c>
      <c r="M64" s="19">
        <f t="shared" si="15"/>
        <v>20.43</v>
      </c>
      <c r="N64" s="19">
        <f t="shared" si="15"/>
        <v>24.43</v>
      </c>
    </row>
    <row r="65" spans="1:14" x14ac:dyDescent="0.2">
      <c r="A65" s="48" t="s">
        <v>167</v>
      </c>
      <c r="B65" s="49" t="s">
        <v>168</v>
      </c>
      <c r="C65" s="50">
        <f>SUM(C66:C69)</f>
        <v>12.7</v>
      </c>
      <c r="D65" s="50">
        <f t="shared" ref="D65:N65" si="16">SUM(D66:D69)</f>
        <v>12.7</v>
      </c>
      <c r="E65" s="50">
        <f t="shared" si="16"/>
        <v>12.7</v>
      </c>
      <c r="F65" s="50">
        <f t="shared" si="16"/>
        <v>12.7</v>
      </c>
      <c r="G65" s="50">
        <f t="shared" si="16"/>
        <v>12.7</v>
      </c>
      <c r="H65" s="50">
        <f t="shared" si="16"/>
        <v>12.7</v>
      </c>
      <c r="I65" s="50">
        <f t="shared" si="16"/>
        <v>12.7</v>
      </c>
      <c r="J65" s="50">
        <f t="shared" si="16"/>
        <v>12.7</v>
      </c>
      <c r="K65" s="50">
        <f t="shared" si="16"/>
        <v>16.700000000000003</v>
      </c>
      <c r="L65" s="50">
        <f t="shared" si="16"/>
        <v>12.7</v>
      </c>
      <c r="M65" s="50">
        <f t="shared" si="16"/>
        <v>16.700000000000003</v>
      </c>
      <c r="N65" s="50">
        <f t="shared" si="16"/>
        <v>16.700000000000003</v>
      </c>
    </row>
    <row r="66" spans="1:14" hidden="1" outlineLevel="1" x14ac:dyDescent="0.2">
      <c r="A66" s="9" t="s">
        <v>169</v>
      </c>
      <c r="B66" s="1" t="s">
        <v>170</v>
      </c>
      <c r="C66" s="28">
        <v>0.7</v>
      </c>
      <c r="D66" s="28">
        <v>0.7</v>
      </c>
      <c r="E66" s="28">
        <v>0.7</v>
      </c>
      <c r="F66" s="28">
        <v>0.7</v>
      </c>
      <c r="G66" s="28">
        <v>0.7</v>
      </c>
      <c r="H66" s="28">
        <v>0.7</v>
      </c>
      <c r="I66" s="28">
        <v>0.7</v>
      </c>
      <c r="J66" s="28">
        <v>0.7</v>
      </c>
      <c r="K66" s="28">
        <v>0.7</v>
      </c>
      <c r="L66" s="28">
        <v>0.7</v>
      </c>
      <c r="M66" s="28">
        <v>0.7</v>
      </c>
      <c r="N66" s="28">
        <v>0.7</v>
      </c>
    </row>
    <row r="67" spans="1:14" hidden="1" outlineLevel="1" x14ac:dyDescent="0.2">
      <c r="A67" s="9" t="s">
        <v>171</v>
      </c>
      <c r="B67" s="1" t="s">
        <v>172</v>
      </c>
      <c r="C67" s="10">
        <v>1</v>
      </c>
      <c r="D67" s="10">
        <v>1</v>
      </c>
      <c r="E67" s="10">
        <v>1</v>
      </c>
      <c r="F67" s="10">
        <v>1</v>
      </c>
      <c r="G67" s="10">
        <v>1</v>
      </c>
      <c r="H67" s="10">
        <v>1</v>
      </c>
      <c r="I67" s="10">
        <v>1</v>
      </c>
      <c r="J67" s="10">
        <v>1</v>
      </c>
      <c r="K67" s="10">
        <v>4.9000000000000004</v>
      </c>
      <c r="L67" s="10">
        <v>1</v>
      </c>
      <c r="M67" s="10">
        <v>4.9000000000000004</v>
      </c>
      <c r="N67" s="10">
        <v>4.9000000000000004</v>
      </c>
    </row>
    <row r="68" spans="1:14" hidden="1" outlineLevel="1" x14ac:dyDescent="0.2">
      <c r="A68" s="9" t="s">
        <v>175</v>
      </c>
      <c r="B68" s="1" t="s">
        <v>176</v>
      </c>
      <c r="C68" s="28">
        <v>10.3</v>
      </c>
      <c r="D68" s="28">
        <v>10.3</v>
      </c>
      <c r="E68" s="28">
        <v>10.3</v>
      </c>
      <c r="F68" s="28">
        <v>10.3</v>
      </c>
      <c r="G68" s="28">
        <v>10.3</v>
      </c>
      <c r="H68" s="28">
        <v>10.3</v>
      </c>
      <c r="I68" s="28">
        <v>10.3</v>
      </c>
      <c r="J68" s="28">
        <v>10.3</v>
      </c>
      <c r="K68" s="28">
        <v>10.3</v>
      </c>
      <c r="L68" s="28">
        <v>10.3</v>
      </c>
      <c r="M68" s="28">
        <v>10.3</v>
      </c>
      <c r="N68" s="28">
        <v>10.3</v>
      </c>
    </row>
    <row r="69" spans="1:14" hidden="1" outlineLevel="1" x14ac:dyDescent="0.2">
      <c r="A69" s="9" t="s">
        <v>177</v>
      </c>
      <c r="B69" s="1" t="s">
        <v>178</v>
      </c>
      <c r="C69" s="10">
        <v>0.7</v>
      </c>
      <c r="D69" s="10">
        <v>0.7</v>
      </c>
      <c r="E69" s="10">
        <v>0.7</v>
      </c>
      <c r="F69" s="10">
        <v>0.7</v>
      </c>
      <c r="G69" s="10">
        <v>0.7</v>
      </c>
      <c r="H69" s="10">
        <v>0.7</v>
      </c>
      <c r="I69" s="10">
        <v>0.7</v>
      </c>
      <c r="J69" s="10">
        <v>0.7</v>
      </c>
      <c r="K69" s="10">
        <v>0.8</v>
      </c>
      <c r="L69" s="10">
        <v>0.7</v>
      </c>
      <c r="M69" s="10">
        <v>0.8</v>
      </c>
      <c r="N69" s="10">
        <v>0.8</v>
      </c>
    </row>
    <row r="70" spans="1:14" collapsed="1" x14ac:dyDescent="0.2">
      <c r="A70" s="48" t="s">
        <v>200</v>
      </c>
      <c r="B70" s="49" t="s">
        <v>201</v>
      </c>
      <c r="C70" s="50">
        <f>SUM(C71:C72)</f>
        <v>1.1000000000000001</v>
      </c>
      <c r="D70" s="50">
        <f t="shared" ref="D70:N70" si="17">SUM(D71:D72)</f>
        <v>1.1000000000000001</v>
      </c>
      <c r="E70" s="50">
        <f t="shared" si="17"/>
        <v>1.1000000000000001</v>
      </c>
      <c r="F70" s="50">
        <f t="shared" si="17"/>
        <v>1.1000000000000001</v>
      </c>
      <c r="G70" s="50">
        <f t="shared" si="17"/>
        <v>1.1000000000000001</v>
      </c>
      <c r="H70" s="50">
        <f t="shared" si="17"/>
        <v>1.1000000000000001</v>
      </c>
      <c r="I70" s="50">
        <f t="shared" si="17"/>
        <v>1.1000000000000001</v>
      </c>
      <c r="J70" s="50">
        <f t="shared" si="17"/>
        <v>1.1000000000000001</v>
      </c>
      <c r="K70" s="50">
        <f t="shared" si="17"/>
        <v>1.1000000000000001</v>
      </c>
      <c r="L70" s="50">
        <f t="shared" si="17"/>
        <v>1.1000000000000001</v>
      </c>
      <c r="M70" s="50">
        <f t="shared" si="17"/>
        <v>1.1000000000000001</v>
      </c>
      <c r="N70" s="50">
        <f t="shared" si="17"/>
        <v>1.1000000000000001</v>
      </c>
    </row>
    <row r="71" spans="1:14" hidden="1" outlineLevel="1" x14ac:dyDescent="0.2">
      <c r="A71" s="9" t="s">
        <v>218</v>
      </c>
      <c r="B71" s="1" t="s">
        <v>219</v>
      </c>
      <c r="C71" s="28">
        <v>1.1000000000000001</v>
      </c>
      <c r="D71" s="28">
        <v>1.1000000000000001</v>
      </c>
      <c r="E71" s="28">
        <v>1.1000000000000001</v>
      </c>
      <c r="F71" s="28">
        <v>1.1000000000000001</v>
      </c>
      <c r="G71" s="28">
        <v>1.1000000000000001</v>
      </c>
      <c r="H71" s="28">
        <v>1.1000000000000001</v>
      </c>
      <c r="I71" s="28">
        <v>1.1000000000000001</v>
      </c>
      <c r="J71" s="28">
        <v>1.1000000000000001</v>
      </c>
      <c r="K71" s="28">
        <v>1.1000000000000001</v>
      </c>
      <c r="L71" s="28">
        <v>1.1000000000000001</v>
      </c>
      <c r="M71" s="28">
        <v>1.1000000000000001</v>
      </c>
      <c r="N71" s="28">
        <v>1.1000000000000001</v>
      </c>
    </row>
    <row r="72" spans="1:14" hidden="1" outlineLevel="1" x14ac:dyDescent="0.2">
      <c r="A72" s="9" t="s">
        <v>220</v>
      </c>
      <c r="B72" s="1" t="s">
        <v>221</v>
      </c>
      <c r="C72" s="10">
        <v>0</v>
      </c>
      <c r="D72" s="10">
        <v>0</v>
      </c>
      <c r="E72" s="10">
        <v>0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0</v>
      </c>
      <c r="L72" s="10">
        <v>0</v>
      </c>
      <c r="M72" s="10">
        <v>0</v>
      </c>
      <c r="N72" s="10">
        <v>0</v>
      </c>
    </row>
    <row r="73" spans="1:14" collapsed="1" x14ac:dyDescent="0.2">
      <c r="A73" s="48" t="s">
        <v>226</v>
      </c>
      <c r="B73" s="49" t="s">
        <v>227</v>
      </c>
      <c r="C73" s="50">
        <v>0</v>
      </c>
      <c r="D73" s="50">
        <v>0</v>
      </c>
      <c r="E73" s="50">
        <v>0</v>
      </c>
      <c r="F73" s="50">
        <v>0</v>
      </c>
      <c r="G73" s="50">
        <v>0</v>
      </c>
      <c r="H73" s="50">
        <v>0</v>
      </c>
      <c r="I73" s="50">
        <v>0</v>
      </c>
      <c r="J73" s="50">
        <v>0</v>
      </c>
      <c r="K73" s="50">
        <v>0</v>
      </c>
      <c r="L73" s="50">
        <v>0</v>
      </c>
      <c r="M73" s="50">
        <v>0</v>
      </c>
      <c r="N73" s="50">
        <v>0</v>
      </c>
    </row>
    <row r="74" spans="1:14" x14ac:dyDescent="0.2">
      <c r="A74" s="48" t="s">
        <v>228</v>
      </c>
      <c r="B74" s="49" t="s">
        <v>229</v>
      </c>
      <c r="C74" s="50">
        <v>0</v>
      </c>
      <c r="D74" s="50">
        <v>0</v>
      </c>
      <c r="E74" s="50">
        <v>0</v>
      </c>
      <c r="F74" s="50">
        <v>0</v>
      </c>
      <c r="G74" s="50">
        <v>0</v>
      </c>
      <c r="H74" s="50">
        <v>0</v>
      </c>
      <c r="I74" s="50">
        <v>0</v>
      </c>
      <c r="J74" s="50">
        <v>0</v>
      </c>
      <c r="K74" s="50">
        <v>0</v>
      </c>
      <c r="L74" s="50">
        <v>0</v>
      </c>
      <c r="M74" s="50">
        <v>0</v>
      </c>
      <c r="N74" s="50">
        <v>0</v>
      </c>
    </row>
    <row r="75" spans="1:14" x14ac:dyDescent="0.2">
      <c r="A75" s="48" t="s">
        <v>230</v>
      </c>
      <c r="B75" s="49" t="s">
        <v>231</v>
      </c>
      <c r="C75" s="50">
        <f>+C76+C77</f>
        <v>5.9</v>
      </c>
      <c r="D75" s="50">
        <f t="shared" ref="D75:N75" si="18">+D76+D77</f>
        <v>5.9</v>
      </c>
      <c r="E75" s="50">
        <f t="shared" si="18"/>
        <v>5.9</v>
      </c>
      <c r="F75" s="50">
        <f t="shared" si="18"/>
        <v>5.9</v>
      </c>
      <c r="G75" s="50">
        <f t="shared" si="18"/>
        <v>5.9</v>
      </c>
      <c r="H75" s="50">
        <f t="shared" si="18"/>
        <v>5.9</v>
      </c>
      <c r="I75" s="50">
        <f t="shared" si="18"/>
        <v>5.9</v>
      </c>
      <c r="J75" s="50">
        <f t="shared" si="18"/>
        <v>5.9</v>
      </c>
      <c r="K75" s="50">
        <f t="shared" si="18"/>
        <v>5.9</v>
      </c>
      <c r="L75" s="50">
        <f t="shared" si="18"/>
        <v>5.5</v>
      </c>
      <c r="M75" s="50">
        <f t="shared" si="18"/>
        <v>5.9</v>
      </c>
      <c r="N75" s="50">
        <f t="shared" si="18"/>
        <v>5.9</v>
      </c>
    </row>
    <row r="76" spans="1:14" hidden="1" outlineLevel="1" x14ac:dyDescent="0.2">
      <c r="A76" s="9" t="s">
        <v>232</v>
      </c>
      <c r="B76" s="1" t="s">
        <v>233</v>
      </c>
      <c r="C76" s="28">
        <v>5.9</v>
      </c>
      <c r="D76" s="28">
        <v>5.9</v>
      </c>
      <c r="E76" s="28">
        <v>5.9</v>
      </c>
      <c r="F76" s="28">
        <v>5.9</v>
      </c>
      <c r="G76" s="28">
        <v>5.9</v>
      </c>
      <c r="H76" s="28">
        <v>5.9</v>
      </c>
      <c r="I76" s="28">
        <v>5.9</v>
      </c>
      <c r="J76" s="28">
        <v>5.9</v>
      </c>
      <c r="K76" s="28">
        <v>5.9</v>
      </c>
      <c r="L76" s="28">
        <v>5.9</v>
      </c>
      <c r="M76" s="28">
        <v>5.9</v>
      </c>
      <c r="N76" s="28">
        <v>5.9</v>
      </c>
    </row>
    <row r="77" spans="1:14" hidden="1" outlineLevel="1" x14ac:dyDescent="0.2">
      <c r="A77" s="9" t="s">
        <v>234</v>
      </c>
      <c r="B77" s="1" t="s">
        <v>235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-0.4</v>
      </c>
      <c r="M77" s="10">
        <v>0</v>
      </c>
      <c r="N77" s="10">
        <v>0</v>
      </c>
    </row>
    <row r="78" spans="1:14" collapsed="1" x14ac:dyDescent="0.2">
      <c r="A78" s="52"/>
      <c r="B78" s="52" t="s">
        <v>236</v>
      </c>
      <c r="C78" s="53">
        <f t="shared" ref="C78:N78" si="19">+C65+C70+C73+C74+C75</f>
        <v>19.7</v>
      </c>
      <c r="D78" s="53">
        <f t="shared" si="19"/>
        <v>19.7</v>
      </c>
      <c r="E78" s="53">
        <f t="shared" si="19"/>
        <v>19.7</v>
      </c>
      <c r="F78" s="53">
        <f t="shared" si="19"/>
        <v>19.7</v>
      </c>
      <c r="G78" s="53">
        <f t="shared" si="19"/>
        <v>19.7</v>
      </c>
      <c r="H78" s="53">
        <f t="shared" si="19"/>
        <v>19.7</v>
      </c>
      <c r="I78" s="53">
        <f t="shared" si="19"/>
        <v>19.7</v>
      </c>
      <c r="J78" s="53">
        <f t="shared" si="19"/>
        <v>19.7</v>
      </c>
      <c r="K78" s="53">
        <f t="shared" si="19"/>
        <v>23.700000000000003</v>
      </c>
      <c r="L78" s="53">
        <f t="shared" si="19"/>
        <v>19.299999999999997</v>
      </c>
      <c r="M78" s="53">
        <f t="shared" si="19"/>
        <v>23.700000000000003</v>
      </c>
      <c r="N78" s="53">
        <f t="shared" si="19"/>
        <v>23.700000000000003</v>
      </c>
    </row>
    <row r="79" spans="1:14" x14ac:dyDescent="0.2">
      <c r="A79" s="51"/>
      <c r="B79" s="51" t="s">
        <v>237</v>
      </c>
      <c r="C79" s="19">
        <f t="shared" ref="C79:N79" si="20">+C64-C78</f>
        <v>17.230000000000008</v>
      </c>
      <c r="D79" s="19">
        <f t="shared" si="20"/>
        <v>-3.7699999999999978</v>
      </c>
      <c r="E79" s="19">
        <f t="shared" si="20"/>
        <v>15.830000000000002</v>
      </c>
      <c r="F79" s="19">
        <f t="shared" si="20"/>
        <v>13.73</v>
      </c>
      <c r="G79" s="19">
        <f t="shared" si="20"/>
        <v>16.73</v>
      </c>
      <c r="H79" s="19">
        <f t="shared" si="20"/>
        <v>1.9299999999999997</v>
      </c>
      <c r="I79" s="19">
        <f t="shared" si="20"/>
        <v>-13.07</v>
      </c>
      <c r="J79" s="19">
        <f t="shared" si="20"/>
        <v>26.830000000000002</v>
      </c>
      <c r="K79" s="19">
        <f t="shared" si="20"/>
        <v>-1.4700000000000024</v>
      </c>
      <c r="L79" s="19">
        <f t="shared" si="20"/>
        <v>1.230000000000004</v>
      </c>
      <c r="M79" s="19">
        <f t="shared" si="20"/>
        <v>-3.2700000000000031</v>
      </c>
      <c r="N79" s="19">
        <f t="shared" si="20"/>
        <v>0.72999999999999687</v>
      </c>
    </row>
    <row r="80" spans="1:14" x14ac:dyDescent="0.2">
      <c r="A80" s="48" t="s">
        <v>238</v>
      </c>
      <c r="B80" s="49" t="s">
        <v>239</v>
      </c>
      <c r="C80" s="50">
        <f t="shared" ref="C80:N80" si="21">SUM(C81:C83)</f>
        <v>0.2</v>
      </c>
      <c r="D80" s="50">
        <f t="shared" si="21"/>
        <v>0.2</v>
      </c>
      <c r="E80" s="50">
        <f t="shared" si="21"/>
        <v>0.2</v>
      </c>
      <c r="F80" s="50">
        <f t="shared" si="21"/>
        <v>0.2</v>
      </c>
      <c r="G80" s="50">
        <f t="shared" si="21"/>
        <v>0.2</v>
      </c>
      <c r="H80" s="50">
        <f t="shared" si="21"/>
        <v>0.2</v>
      </c>
      <c r="I80" s="50">
        <f t="shared" si="21"/>
        <v>0.2</v>
      </c>
      <c r="J80" s="50">
        <f t="shared" si="21"/>
        <v>0.2</v>
      </c>
      <c r="K80" s="50">
        <f t="shared" si="21"/>
        <v>0.2</v>
      </c>
      <c r="L80" s="50">
        <f t="shared" si="21"/>
        <v>0.2</v>
      </c>
      <c r="M80" s="50">
        <f t="shared" si="21"/>
        <v>0.2</v>
      </c>
      <c r="N80" s="50">
        <f t="shared" si="21"/>
        <v>0.2</v>
      </c>
    </row>
    <row r="81" spans="1:14" hidden="1" outlineLevel="1" x14ac:dyDescent="0.2">
      <c r="A81" s="9" t="s">
        <v>240</v>
      </c>
      <c r="B81" s="1" t="s">
        <v>241</v>
      </c>
      <c r="C81" s="28">
        <v>0.2</v>
      </c>
      <c r="D81" s="28">
        <v>0.2</v>
      </c>
      <c r="E81" s="28">
        <v>0.2</v>
      </c>
      <c r="F81" s="28">
        <v>0.2</v>
      </c>
      <c r="G81" s="28">
        <v>0.2</v>
      </c>
      <c r="H81" s="28">
        <v>0.2</v>
      </c>
      <c r="I81" s="28">
        <v>0.2</v>
      </c>
      <c r="J81" s="28">
        <v>0.2</v>
      </c>
      <c r="K81" s="28">
        <v>0.2</v>
      </c>
      <c r="L81" s="28">
        <v>0.2</v>
      </c>
      <c r="M81" s="28">
        <v>0.2</v>
      </c>
      <c r="N81" s="28">
        <v>0.2</v>
      </c>
    </row>
    <row r="82" spans="1:14" hidden="1" outlineLevel="1" x14ac:dyDescent="0.2">
      <c r="A82" s="9" t="s">
        <v>359</v>
      </c>
      <c r="B82" s="1" t="s">
        <v>360</v>
      </c>
      <c r="C82" s="10">
        <v>0</v>
      </c>
      <c r="D82" s="10">
        <v>0</v>
      </c>
      <c r="E82" s="10">
        <v>0</v>
      </c>
      <c r="F82" s="10">
        <v>0</v>
      </c>
      <c r="G82" s="10">
        <v>0</v>
      </c>
      <c r="H82" s="10">
        <v>0</v>
      </c>
      <c r="I82" s="10">
        <v>0</v>
      </c>
      <c r="J82" s="10">
        <v>0</v>
      </c>
      <c r="K82" s="10">
        <v>0</v>
      </c>
      <c r="L82" s="10">
        <v>0</v>
      </c>
      <c r="M82" s="10">
        <v>0</v>
      </c>
      <c r="N82" s="10">
        <v>0</v>
      </c>
    </row>
    <row r="83" spans="1:14" hidden="1" outlineLevel="1" x14ac:dyDescent="0.2">
      <c r="A83" s="9" t="s">
        <v>361</v>
      </c>
      <c r="B83" s="1" t="s">
        <v>362</v>
      </c>
      <c r="C83" s="10">
        <v>0</v>
      </c>
      <c r="D83" s="10">
        <v>0</v>
      </c>
      <c r="E83" s="10"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>
        <v>0</v>
      </c>
      <c r="L83" s="10">
        <v>0</v>
      </c>
      <c r="M83" s="10">
        <v>0</v>
      </c>
      <c r="N83" s="10">
        <v>0</v>
      </c>
    </row>
    <row r="84" spans="1:14" collapsed="1" x14ac:dyDescent="0.2">
      <c r="A84" s="48" t="s">
        <v>244</v>
      </c>
      <c r="B84" s="49" t="s">
        <v>245</v>
      </c>
      <c r="C84" s="50">
        <v>0</v>
      </c>
      <c r="D84" s="50">
        <v>0</v>
      </c>
      <c r="E84" s="50">
        <v>0</v>
      </c>
      <c r="F84" s="50">
        <v>0</v>
      </c>
      <c r="G84" s="50">
        <v>0</v>
      </c>
      <c r="H84" s="50">
        <v>0</v>
      </c>
      <c r="I84" s="50">
        <v>0</v>
      </c>
      <c r="J84" s="50">
        <v>0</v>
      </c>
      <c r="K84" s="50">
        <v>0</v>
      </c>
      <c r="L84" s="50">
        <v>0</v>
      </c>
      <c r="M84" s="50">
        <v>0</v>
      </c>
      <c r="N84" s="50">
        <v>0</v>
      </c>
    </row>
    <row r="85" spans="1:14" x14ac:dyDescent="0.2">
      <c r="A85" s="51"/>
      <c r="B85" s="51" t="s">
        <v>246</v>
      </c>
      <c r="C85" s="19">
        <f t="shared" ref="C85:N85" si="22">+C79-(C80+C84)</f>
        <v>17.030000000000008</v>
      </c>
      <c r="D85" s="19">
        <f t="shared" si="22"/>
        <v>-3.969999999999998</v>
      </c>
      <c r="E85" s="19">
        <f t="shared" si="22"/>
        <v>15.630000000000003</v>
      </c>
      <c r="F85" s="19">
        <f t="shared" si="22"/>
        <v>13.530000000000001</v>
      </c>
      <c r="G85" s="19">
        <f t="shared" si="22"/>
        <v>16.53</v>
      </c>
      <c r="H85" s="19">
        <f t="shared" si="22"/>
        <v>1.7299999999999998</v>
      </c>
      <c r="I85" s="19">
        <f t="shared" si="22"/>
        <v>-13.27</v>
      </c>
      <c r="J85" s="19">
        <f t="shared" si="22"/>
        <v>26.630000000000003</v>
      </c>
      <c r="K85" s="19">
        <f t="shared" si="22"/>
        <v>-1.6700000000000024</v>
      </c>
      <c r="L85" s="19">
        <f t="shared" si="22"/>
        <v>1.030000000000004</v>
      </c>
      <c r="M85" s="19">
        <f t="shared" si="22"/>
        <v>-3.4700000000000033</v>
      </c>
      <c r="N85" s="19">
        <f t="shared" si="22"/>
        <v>0.52999999999999692</v>
      </c>
    </row>
    <row r="86" spans="1:14" x14ac:dyDescent="0.2">
      <c r="A86" s="9" t="s">
        <v>74</v>
      </c>
      <c r="B86" s="1" t="s">
        <v>74</v>
      </c>
      <c r="C86" s="13" t="s">
        <v>74</v>
      </c>
      <c r="D86" s="13" t="s">
        <v>74</v>
      </c>
      <c r="E86" s="13" t="s">
        <v>74</v>
      </c>
      <c r="F86" s="13" t="s">
        <v>74</v>
      </c>
      <c r="G86" s="13" t="s">
        <v>74</v>
      </c>
      <c r="H86" s="13" t="s">
        <v>74</v>
      </c>
      <c r="I86" s="13" t="s">
        <v>74</v>
      </c>
      <c r="J86" s="13" t="s">
        <v>74</v>
      </c>
      <c r="K86" s="13" t="s">
        <v>74</v>
      </c>
      <c r="L86" s="13" t="s">
        <v>74</v>
      </c>
      <c r="M86" s="13" t="s">
        <v>74</v>
      </c>
      <c r="N86" s="13" t="s">
        <v>74</v>
      </c>
    </row>
    <row r="87" spans="1:14" x14ac:dyDescent="0.2">
      <c r="A87" s="12"/>
      <c r="B87" s="12" t="s">
        <v>247</v>
      </c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</row>
    <row r="88" spans="1:14" x14ac:dyDescent="0.2">
      <c r="A88" s="9" t="s">
        <v>248</v>
      </c>
      <c r="B88" s="1" t="s">
        <v>249</v>
      </c>
      <c r="C88" s="13">
        <v>1</v>
      </c>
      <c r="D88" s="13">
        <v>2</v>
      </c>
      <c r="E88" s="13">
        <v>2</v>
      </c>
      <c r="F88" s="13">
        <v>2</v>
      </c>
      <c r="G88" s="13">
        <v>2</v>
      </c>
      <c r="H88" s="13">
        <v>3</v>
      </c>
      <c r="I88" s="13">
        <v>3</v>
      </c>
      <c r="J88" s="13">
        <v>2</v>
      </c>
      <c r="K88" s="13">
        <v>2</v>
      </c>
      <c r="L88" s="13">
        <v>2</v>
      </c>
      <c r="M88" s="13">
        <v>3</v>
      </c>
      <c r="N88" s="13">
        <v>3</v>
      </c>
    </row>
    <row r="89" spans="1:14" hidden="1" outlineLevel="1" x14ac:dyDescent="0.2">
      <c r="A89" s="9" t="s">
        <v>250</v>
      </c>
      <c r="B89" s="1" t="s">
        <v>251</v>
      </c>
      <c r="C89" s="13">
        <v>1</v>
      </c>
      <c r="D89" s="13">
        <v>2</v>
      </c>
      <c r="E89" s="13">
        <v>2</v>
      </c>
      <c r="F89" s="13">
        <v>2</v>
      </c>
      <c r="G89" s="13">
        <v>2</v>
      </c>
      <c r="H89" s="13">
        <v>3</v>
      </c>
      <c r="I89" s="13">
        <v>3</v>
      </c>
      <c r="J89" s="13">
        <v>2</v>
      </c>
      <c r="K89" s="13">
        <v>2</v>
      </c>
      <c r="L89" s="13">
        <v>2</v>
      </c>
      <c r="M89" s="13">
        <v>3</v>
      </c>
      <c r="N89" s="13">
        <v>3</v>
      </c>
    </row>
    <row r="90" spans="1:14" collapsed="1" x14ac:dyDescent="0.2">
      <c r="A90" s="9" t="s">
        <v>252</v>
      </c>
      <c r="B90" s="1" t="s">
        <v>253</v>
      </c>
      <c r="C90" s="13">
        <v>1</v>
      </c>
      <c r="D90" s="13">
        <v>4</v>
      </c>
      <c r="E90" s="13">
        <v>4</v>
      </c>
      <c r="F90" s="13">
        <v>4.5</v>
      </c>
      <c r="G90" s="13">
        <v>4.4000000000000004</v>
      </c>
      <c r="H90" s="13">
        <v>5.4</v>
      </c>
      <c r="I90" s="13">
        <v>5.4</v>
      </c>
      <c r="J90" s="13">
        <v>4.5</v>
      </c>
      <c r="K90" s="13">
        <v>4.5</v>
      </c>
      <c r="L90" s="13">
        <v>4.4000000000000004</v>
      </c>
      <c r="M90" s="13">
        <v>5.4</v>
      </c>
      <c r="N90" s="13">
        <v>5.4</v>
      </c>
    </row>
    <row r="91" spans="1:14" hidden="1" outlineLevel="1" x14ac:dyDescent="0.2">
      <c r="A91" s="9" t="s">
        <v>254</v>
      </c>
      <c r="B91" s="1" t="s">
        <v>255</v>
      </c>
      <c r="C91" s="13">
        <v>1</v>
      </c>
      <c r="D91" s="13">
        <v>4</v>
      </c>
      <c r="E91" s="13">
        <v>4</v>
      </c>
      <c r="F91" s="13">
        <v>4.5</v>
      </c>
      <c r="G91" s="13">
        <v>4.4000000000000004</v>
      </c>
      <c r="H91" s="13">
        <v>5.4</v>
      </c>
      <c r="I91" s="13">
        <v>5.4</v>
      </c>
      <c r="J91" s="13">
        <v>4.5</v>
      </c>
      <c r="K91" s="13">
        <v>4.5</v>
      </c>
      <c r="L91" s="13">
        <v>4.4000000000000004</v>
      </c>
      <c r="M91" s="13">
        <v>5.4</v>
      </c>
      <c r="N91" s="13">
        <v>5.4</v>
      </c>
    </row>
    <row r="92" spans="1:14" collapsed="1" x14ac:dyDescent="0.2">
      <c r="A92" s="9" t="s">
        <v>256</v>
      </c>
      <c r="B92" s="1" t="s">
        <v>257</v>
      </c>
      <c r="C92" s="13">
        <v>0</v>
      </c>
      <c r="D92" s="13">
        <v>0</v>
      </c>
      <c r="E92" s="13">
        <v>0</v>
      </c>
      <c r="F92" s="13">
        <v>0.6</v>
      </c>
      <c r="G92" s="13">
        <v>0.4</v>
      </c>
      <c r="H92" s="13">
        <v>0.4</v>
      </c>
      <c r="I92" s="13">
        <v>0.4</v>
      </c>
      <c r="J92" s="13">
        <v>0.6</v>
      </c>
      <c r="K92" s="13">
        <v>0.6</v>
      </c>
      <c r="L92" s="13">
        <v>0.4</v>
      </c>
      <c r="M92" s="13">
        <v>0.4</v>
      </c>
      <c r="N92" s="13">
        <v>0.4</v>
      </c>
    </row>
    <row r="93" spans="1:14" hidden="1" outlineLevel="1" x14ac:dyDescent="0.2">
      <c r="A93" s="9" t="s">
        <v>258</v>
      </c>
      <c r="B93" s="1" t="s">
        <v>259</v>
      </c>
      <c r="C93" s="13">
        <v>0</v>
      </c>
      <c r="D93" s="13">
        <v>0</v>
      </c>
      <c r="E93" s="13">
        <v>0</v>
      </c>
      <c r="F93" s="13">
        <v>0.6</v>
      </c>
      <c r="G93" s="13">
        <v>0.4</v>
      </c>
      <c r="H93" s="13">
        <v>0.4</v>
      </c>
      <c r="I93" s="13">
        <v>0.4</v>
      </c>
      <c r="J93" s="13">
        <v>0.6</v>
      </c>
      <c r="K93" s="13">
        <v>0.6</v>
      </c>
      <c r="L93" s="13">
        <v>0.4</v>
      </c>
      <c r="M93" s="13">
        <v>0.4</v>
      </c>
      <c r="N93" s="13">
        <v>0.4</v>
      </c>
    </row>
    <row r="94" spans="1:14" collapsed="1" x14ac:dyDescent="0.2">
      <c r="A94" s="9" t="s">
        <v>260</v>
      </c>
      <c r="B94" s="1" t="s">
        <v>261</v>
      </c>
      <c r="C94" s="13">
        <v>0</v>
      </c>
      <c r="D94" s="13">
        <v>2</v>
      </c>
      <c r="E94" s="13">
        <v>2</v>
      </c>
      <c r="F94" s="13">
        <v>2</v>
      </c>
      <c r="G94" s="13">
        <v>2</v>
      </c>
      <c r="H94" s="13">
        <v>3</v>
      </c>
      <c r="I94" s="13">
        <v>3</v>
      </c>
      <c r="J94" s="13">
        <v>2</v>
      </c>
      <c r="K94" s="13">
        <v>2</v>
      </c>
      <c r="L94" s="13">
        <v>2</v>
      </c>
      <c r="M94" s="13">
        <v>3</v>
      </c>
      <c r="N94" s="13">
        <v>3</v>
      </c>
    </row>
    <row r="95" spans="1:14" hidden="1" outlineLevel="1" x14ac:dyDescent="0.2">
      <c r="A95" s="9" t="s">
        <v>262</v>
      </c>
      <c r="B95" s="1" t="s">
        <v>263</v>
      </c>
      <c r="C95" s="13">
        <v>0</v>
      </c>
      <c r="D95" s="13">
        <v>2</v>
      </c>
      <c r="E95" s="13">
        <v>2</v>
      </c>
      <c r="F95" s="13">
        <v>2</v>
      </c>
      <c r="G95" s="13">
        <v>2</v>
      </c>
      <c r="H95" s="13">
        <v>3</v>
      </c>
      <c r="I95" s="13">
        <v>3</v>
      </c>
      <c r="J95" s="13">
        <v>2</v>
      </c>
      <c r="K95" s="13">
        <v>2</v>
      </c>
      <c r="L95" s="13">
        <v>2</v>
      </c>
      <c r="M95" s="13">
        <v>3</v>
      </c>
      <c r="N95" s="13">
        <v>3</v>
      </c>
    </row>
    <row r="96" spans="1:14" collapsed="1" x14ac:dyDescent="0.2">
      <c r="A96" s="9" t="s">
        <v>264</v>
      </c>
      <c r="B96" s="1" t="s">
        <v>265</v>
      </c>
      <c r="C96" s="13">
        <v>0</v>
      </c>
      <c r="D96" s="13">
        <v>2</v>
      </c>
      <c r="E96" s="13">
        <v>2</v>
      </c>
      <c r="F96" s="13">
        <v>2</v>
      </c>
      <c r="G96" s="13">
        <v>2</v>
      </c>
      <c r="H96" s="13">
        <v>2</v>
      </c>
      <c r="I96" s="13">
        <v>2</v>
      </c>
      <c r="J96" s="13">
        <v>2</v>
      </c>
      <c r="K96" s="13">
        <v>2</v>
      </c>
      <c r="L96" s="13">
        <v>2</v>
      </c>
      <c r="M96" s="13">
        <v>2</v>
      </c>
      <c r="N96" s="13">
        <v>2</v>
      </c>
    </row>
    <row r="97" spans="1:14" hidden="1" outlineLevel="1" x14ac:dyDescent="0.2">
      <c r="A97" s="9" t="s">
        <v>266</v>
      </c>
      <c r="B97" s="1" t="s">
        <v>267</v>
      </c>
      <c r="C97" s="13">
        <v>0</v>
      </c>
      <c r="D97" s="13">
        <v>2</v>
      </c>
      <c r="E97" s="13">
        <v>2</v>
      </c>
      <c r="F97" s="13">
        <v>2</v>
      </c>
      <c r="G97" s="13">
        <v>2</v>
      </c>
      <c r="H97" s="13">
        <v>2</v>
      </c>
      <c r="I97" s="13">
        <v>2</v>
      </c>
      <c r="J97" s="13">
        <v>2</v>
      </c>
      <c r="K97" s="13">
        <v>2</v>
      </c>
      <c r="L97" s="13">
        <v>2</v>
      </c>
      <c r="M97" s="13">
        <v>2</v>
      </c>
      <c r="N97" s="13">
        <v>2</v>
      </c>
    </row>
    <row r="98" spans="1:14" collapsed="1" x14ac:dyDescent="0.2">
      <c r="A98" s="9" t="s">
        <v>268</v>
      </c>
      <c r="B98" s="1" t="s">
        <v>269</v>
      </c>
      <c r="C98" s="13">
        <v>0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2">
      <c r="A99" s="9" t="s">
        <v>270</v>
      </c>
      <c r="B99" s="1" t="s">
        <v>271</v>
      </c>
      <c r="C99" s="13">
        <v>0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2">
      <c r="A100" s="9" t="s">
        <v>272</v>
      </c>
      <c r="B100" s="1" t="s">
        <v>273</v>
      </c>
      <c r="C100" s="13">
        <v>0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2">
      <c r="A101" s="9" t="s">
        <v>274</v>
      </c>
      <c r="B101" s="1" t="s">
        <v>275</v>
      </c>
      <c r="C101" s="13">
        <v>0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2">
      <c r="A102" s="9" t="s">
        <v>276</v>
      </c>
      <c r="B102" s="1" t="s">
        <v>277</v>
      </c>
      <c r="C102" s="13">
        <v>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2">
      <c r="A103" s="9" t="s">
        <v>280</v>
      </c>
      <c r="B103" s="1" t="s">
        <v>281</v>
      </c>
      <c r="C103" s="13">
        <v>0</v>
      </c>
      <c r="D103" s="13">
        <v>0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2">
      <c r="A104" s="9" t="s">
        <v>284</v>
      </c>
      <c r="B104" s="1" t="s">
        <v>285</v>
      </c>
      <c r="C104" s="13">
        <v>0</v>
      </c>
      <c r="D104" s="13">
        <v>0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2">
      <c r="A105" s="9" t="s">
        <v>288</v>
      </c>
      <c r="B105" s="1" t="s">
        <v>289</v>
      </c>
      <c r="C105" s="13">
        <v>0</v>
      </c>
      <c r="D105" s="13">
        <v>0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2">
      <c r="A106" s="3"/>
      <c r="B106" s="3" t="s">
        <v>290</v>
      </c>
      <c r="C106" s="15">
        <v>24.8</v>
      </c>
      <c r="D106" s="15">
        <v>10.5</v>
      </c>
      <c r="E106" s="15">
        <v>7.2</v>
      </c>
      <c r="F106" s="15">
        <v>7.2</v>
      </c>
      <c r="G106" s="15">
        <v>6.1</v>
      </c>
      <c r="H106" s="15">
        <v>5.8</v>
      </c>
      <c r="I106" s="15">
        <v>5.7</v>
      </c>
      <c r="J106" s="15">
        <v>7.2</v>
      </c>
      <c r="K106" s="15">
        <v>7.2</v>
      </c>
      <c r="L106" s="15">
        <v>6.1</v>
      </c>
      <c r="M106" s="15">
        <v>5.8</v>
      </c>
      <c r="N106" s="15">
        <v>5.7</v>
      </c>
    </row>
    <row r="107" spans="1:14" x14ac:dyDescent="0.2">
      <c r="A107" s="3"/>
      <c r="B107" s="3" t="s">
        <v>291</v>
      </c>
      <c r="C107" s="15" t="s">
        <v>292</v>
      </c>
      <c r="D107" s="15" t="s">
        <v>292</v>
      </c>
      <c r="E107" s="15" t="s">
        <v>292</v>
      </c>
      <c r="F107" s="15" t="s">
        <v>292</v>
      </c>
      <c r="G107" s="15" t="s">
        <v>292</v>
      </c>
      <c r="H107" s="15" t="s">
        <v>292</v>
      </c>
      <c r="I107" s="15" t="s">
        <v>292</v>
      </c>
      <c r="J107" s="15" t="s">
        <v>292</v>
      </c>
      <c r="K107" s="15" t="s">
        <v>292</v>
      </c>
      <c r="L107" s="15" t="s">
        <v>292</v>
      </c>
      <c r="M107" s="15" t="s">
        <v>292</v>
      </c>
      <c r="N107" s="15" t="s">
        <v>292</v>
      </c>
    </row>
    <row r="108" spans="1:14" x14ac:dyDescent="0.2">
      <c r="A108" s="3"/>
      <c r="B108" s="3" t="s">
        <v>293</v>
      </c>
      <c r="C108" s="15" t="s">
        <v>292</v>
      </c>
      <c r="D108" s="15" t="s">
        <v>292</v>
      </c>
      <c r="E108" s="15" t="s">
        <v>292</v>
      </c>
      <c r="F108" s="15" t="s">
        <v>292</v>
      </c>
      <c r="G108" s="15" t="s">
        <v>292</v>
      </c>
      <c r="H108" s="15" t="s">
        <v>292</v>
      </c>
      <c r="I108" s="15" t="s">
        <v>292</v>
      </c>
      <c r="J108" s="15" t="s">
        <v>292</v>
      </c>
      <c r="K108" s="15" t="s">
        <v>292</v>
      </c>
      <c r="L108" s="15" t="s">
        <v>292</v>
      </c>
      <c r="M108" s="15" t="s">
        <v>292</v>
      </c>
      <c r="N108" s="15" t="s">
        <v>292</v>
      </c>
    </row>
    <row r="109" spans="1:14" x14ac:dyDescent="0.2">
      <c r="A109" s="3"/>
      <c r="B109" s="3" t="s">
        <v>294</v>
      </c>
      <c r="C109" s="15">
        <v>0</v>
      </c>
      <c r="D109" s="15">
        <v>0</v>
      </c>
      <c r="E109" s="15">
        <v>0</v>
      </c>
      <c r="F109" s="15">
        <v>0</v>
      </c>
      <c r="G109" s="15">
        <v>0</v>
      </c>
      <c r="H109" s="15">
        <v>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</row>
    <row r="110" spans="1:14" x14ac:dyDescent="0.2">
      <c r="A110" s="12"/>
      <c r="B110" s="12" t="s">
        <v>295</v>
      </c>
      <c r="C110" s="14" t="s">
        <v>292</v>
      </c>
      <c r="D110" s="14" t="s">
        <v>292</v>
      </c>
      <c r="E110" s="14" t="s">
        <v>292</v>
      </c>
      <c r="F110" s="14" t="s">
        <v>292</v>
      </c>
      <c r="G110" s="14" t="s">
        <v>292</v>
      </c>
      <c r="H110" s="14" t="s">
        <v>292</v>
      </c>
      <c r="I110" s="14" t="s">
        <v>292</v>
      </c>
      <c r="J110" s="14" t="s">
        <v>292</v>
      </c>
      <c r="K110" s="14" t="s">
        <v>292</v>
      </c>
      <c r="L110" s="14" t="s">
        <v>292</v>
      </c>
      <c r="M110" s="14" t="s">
        <v>292</v>
      </c>
      <c r="N110" s="14" t="s">
        <v>292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4FE37-D940-482A-8C75-B9D3FFDF5C16}">
  <sheetPr codeName="Hoja69">
    <tabColor theme="9" tint="-0.249977111117893"/>
  </sheetPr>
  <dimension ref="A1:N82"/>
  <sheetViews>
    <sheetView zoomScale="55" zoomScaleNormal="55" workbookViewId="0">
      <pane ySplit="6" topLeftCell="A7" activePane="bottomLeft" state="frozen"/>
      <selection activeCell="I54" sqref="I54"/>
      <selection pane="bottomLeft" activeCell="D29" sqref="A10:D29"/>
    </sheetView>
  </sheetViews>
  <sheetFormatPr baseColWidth="10" defaultRowHeight="12" outlineLevelRow="1" x14ac:dyDescent="0.2"/>
  <cols>
    <col min="1" max="1" width="11.7109375" style="1" customWidth="1"/>
    <col min="2" max="2" width="40.7109375" style="1" customWidth="1"/>
    <col min="3" max="14" width="15.7109375" style="1" customWidth="1"/>
    <col min="15" max="16384" width="11.42578125" style="1"/>
  </cols>
  <sheetData>
    <row r="1" spans="1:14" ht="3.75" customHeight="1" x14ac:dyDescent="0.2"/>
    <row r="2" spans="1:14" x14ac:dyDescent="0.2">
      <c r="A2" s="3" t="s">
        <v>0</v>
      </c>
      <c r="B2" s="4"/>
      <c r="C2" s="4"/>
      <c r="D2" s="4"/>
      <c r="E2" s="3"/>
      <c r="F2" s="4"/>
      <c r="G2" s="3"/>
      <c r="H2" s="4"/>
      <c r="I2" s="4"/>
      <c r="J2" s="4"/>
      <c r="K2" s="4"/>
      <c r="L2" s="4"/>
      <c r="M2" s="3"/>
      <c r="N2" s="4"/>
    </row>
    <row r="3" spans="1:14" x14ac:dyDescent="0.2">
      <c r="A3" s="2" t="s">
        <v>391</v>
      </c>
      <c r="G3" s="2"/>
      <c r="M3" s="2"/>
    </row>
    <row r="4" spans="1:14" x14ac:dyDescent="0.2">
      <c r="A4" s="5"/>
      <c r="B4" s="5"/>
      <c r="C4" s="5"/>
      <c r="D4" s="5"/>
      <c r="E4" s="5"/>
      <c r="F4" s="5"/>
      <c r="G4" s="6"/>
      <c r="H4" s="5"/>
      <c r="I4" s="5"/>
      <c r="J4" s="5"/>
      <c r="K4" s="5"/>
      <c r="L4" s="5"/>
      <c r="M4" s="6"/>
      <c r="N4" s="5"/>
    </row>
    <row r="5" spans="1:14" ht="5.0999999999999996" customHeight="1" x14ac:dyDescent="0.2"/>
    <row r="6" spans="1:14" x14ac:dyDescent="0.2">
      <c r="A6" s="7" t="s">
        <v>9</v>
      </c>
      <c r="B6" s="8" t="s">
        <v>10</v>
      </c>
      <c r="C6" s="8" t="s">
        <v>11</v>
      </c>
      <c r="D6" s="8" t="s">
        <v>12</v>
      </c>
      <c r="E6" s="8" t="s">
        <v>13</v>
      </c>
      <c r="F6" s="8" t="s">
        <v>14</v>
      </c>
      <c r="G6" s="8" t="s">
        <v>15</v>
      </c>
      <c r="H6" s="8" t="s">
        <v>16</v>
      </c>
      <c r="I6" s="8" t="s">
        <v>17</v>
      </c>
      <c r="J6" s="8" t="s">
        <v>18</v>
      </c>
      <c r="K6" s="8" t="s">
        <v>19</v>
      </c>
      <c r="L6" s="8" t="s">
        <v>20</v>
      </c>
      <c r="M6" s="8" t="s">
        <v>21</v>
      </c>
      <c r="N6" s="8" t="s">
        <v>22</v>
      </c>
    </row>
    <row r="7" spans="1:14" x14ac:dyDescent="0.2">
      <c r="A7" s="48" t="s">
        <v>23</v>
      </c>
      <c r="B7" s="49" t="s">
        <v>24</v>
      </c>
      <c r="C7" s="50">
        <f>SUM(C8:C10)</f>
        <v>45</v>
      </c>
      <c r="D7" s="50">
        <f t="shared" ref="D7:N7" si="0">SUM(D8:D10)</f>
        <v>35</v>
      </c>
      <c r="E7" s="50">
        <f t="shared" si="0"/>
        <v>44</v>
      </c>
      <c r="F7" s="50">
        <f t="shared" si="0"/>
        <v>36</v>
      </c>
      <c r="G7" s="50">
        <f t="shared" si="0"/>
        <v>41</v>
      </c>
      <c r="H7" s="50">
        <f t="shared" si="0"/>
        <v>32</v>
      </c>
      <c r="I7" s="50">
        <f t="shared" si="0"/>
        <v>29</v>
      </c>
      <c r="J7" s="50">
        <f t="shared" si="0"/>
        <v>28</v>
      </c>
      <c r="K7" s="50">
        <f t="shared" si="0"/>
        <v>30</v>
      </c>
      <c r="L7" s="50">
        <f t="shared" si="0"/>
        <v>39</v>
      </c>
      <c r="M7" s="50">
        <f t="shared" si="0"/>
        <v>43</v>
      </c>
      <c r="N7" s="50">
        <f t="shared" si="0"/>
        <v>31</v>
      </c>
    </row>
    <row r="8" spans="1:14" hidden="1" outlineLevel="1" x14ac:dyDescent="0.2">
      <c r="A8" s="9" t="s">
        <v>31</v>
      </c>
      <c r="B8" s="1" t="s">
        <v>32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</row>
    <row r="9" spans="1:14" hidden="1" outlineLevel="1" x14ac:dyDescent="0.2">
      <c r="A9" s="9" t="s">
        <v>33</v>
      </c>
      <c r="B9" s="1" t="s">
        <v>34</v>
      </c>
      <c r="C9" s="28">
        <v>45</v>
      </c>
      <c r="D9" s="28">
        <v>35</v>
      </c>
      <c r="E9" s="28">
        <v>44</v>
      </c>
      <c r="F9" s="28">
        <v>36</v>
      </c>
      <c r="G9" s="28">
        <v>41</v>
      </c>
      <c r="H9" s="28">
        <v>32</v>
      </c>
      <c r="I9" s="28">
        <v>29</v>
      </c>
      <c r="J9" s="28">
        <v>28</v>
      </c>
      <c r="K9" s="28">
        <v>30</v>
      </c>
      <c r="L9" s="28">
        <v>39</v>
      </c>
      <c r="M9" s="28">
        <v>43</v>
      </c>
      <c r="N9" s="28">
        <v>31</v>
      </c>
    </row>
    <row r="10" spans="1:14" hidden="1" outlineLevel="1" x14ac:dyDescent="0.2">
      <c r="A10" s="9" t="s">
        <v>35</v>
      </c>
      <c r="B10" s="1" t="s">
        <v>36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</row>
    <row r="11" spans="1:14" collapsed="1" x14ac:dyDescent="0.2">
      <c r="A11" s="48" t="s">
        <v>37</v>
      </c>
      <c r="B11" s="49" t="s">
        <v>38</v>
      </c>
      <c r="C11" s="50">
        <v>0</v>
      </c>
      <c r="D11" s="50">
        <v>0</v>
      </c>
      <c r="E11" s="50">
        <v>0</v>
      </c>
      <c r="F11" s="50">
        <v>0</v>
      </c>
      <c r="G11" s="50">
        <v>0</v>
      </c>
      <c r="H11" s="50">
        <v>0</v>
      </c>
      <c r="I11" s="50">
        <v>0</v>
      </c>
      <c r="J11" s="50">
        <v>0</v>
      </c>
      <c r="K11" s="50">
        <v>0</v>
      </c>
      <c r="L11" s="50">
        <v>0</v>
      </c>
      <c r="M11" s="50">
        <v>0</v>
      </c>
      <c r="N11" s="50">
        <v>0</v>
      </c>
    </row>
    <row r="12" spans="1:14" x14ac:dyDescent="0.2">
      <c r="A12" s="48" t="s">
        <v>39</v>
      </c>
      <c r="B12" s="49" t="s">
        <v>40</v>
      </c>
      <c r="C12" s="50">
        <v>0</v>
      </c>
      <c r="D12" s="50">
        <v>0</v>
      </c>
      <c r="E12" s="50">
        <v>0</v>
      </c>
      <c r="F12" s="50">
        <v>0</v>
      </c>
      <c r="G12" s="50">
        <v>0</v>
      </c>
      <c r="H12" s="50">
        <v>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</row>
    <row r="13" spans="1:14" x14ac:dyDescent="0.2">
      <c r="A13" s="48" t="s">
        <v>41</v>
      </c>
      <c r="B13" s="49" t="s">
        <v>42</v>
      </c>
      <c r="C13" s="50">
        <v>0</v>
      </c>
      <c r="D13" s="50">
        <v>0</v>
      </c>
      <c r="E13" s="50">
        <v>0</v>
      </c>
      <c r="F13" s="50">
        <v>0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</row>
    <row r="14" spans="1:14" x14ac:dyDescent="0.2">
      <c r="A14" s="48" t="s">
        <v>45</v>
      </c>
      <c r="B14" s="49" t="s">
        <v>46</v>
      </c>
      <c r="C14" s="50">
        <v>0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0</v>
      </c>
      <c r="M14" s="50">
        <v>0</v>
      </c>
      <c r="N14" s="50">
        <v>0</v>
      </c>
    </row>
    <row r="15" spans="1:14" x14ac:dyDescent="0.2">
      <c r="A15" s="51"/>
      <c r="B15" s="51" t="s">
        <v>47</v>
      </c>
      <c r="C15" s="19">
        <f>+C7+C11+C12+C13+C14</f>
        <v>45</v>
      </c>
      <c r="D15" s="19">
        <f t="shared" ref="D15:N15" si="1">+D7+D11+D12+D13+D14</f>
        <v>35</v>
      </c>
      <c r="E15" s="19">
        <f t="shared" si="1"/>
        <v>44</v>
      </c>
      <c r="F15" s="19">
        <f t="shared" si="1"/>
        <v>36</v>
      </c>
      <c r="G15" s="19">
        <f t="shared" si="1"/>
        <v>41</v>
      </c>
      <c r="H15" s="19">
        <f t="shared" si="1"/>
        <v>32</v>
      </c>
      <c r="I15" s="19">
        <f t="shared" si="1"/>
        <v>29</v>
      </c>
      <c r="J15" s="19">
        <f t="shared" si="1"/>
        <v>28</v>
      </c>
      <c r="K15" s="19">
        <f t="shared" si="1"/>
        <v>30</v>
      </c>
      <c r="L15" s="19">
        <f t="shared" si="1"/>
        <v>39</v>
      </c>
      <c r="M15" s="19">
        <f t="shared" si="1"/>
        <v>43</v>
      </c>
      <c r="N15" s="19">
        <f t="shared" si="1"/>
        <v>31</v>
      </c>
    </row>
    <row r="16" spans="1:14" x14ac:dyDescent="0.2">
      <c r="A16" s="48" t="s">
        <v>48</v>
      </c>
      <c r="B16" s="49" t="s">
        <v>49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</row>
    <row r="17" spans="1:14" x14ac:dyDescent="0.2">
      <c r="A17" s="48" t="s">
        <v>60</v>
      </c>
      <c r="B17" s="49" t="s">
        <v>61</v>
      </c>
      <c r="C17" s="50">
        <v>0</v>
      </c>
      <c r="D17" s="50">
        <v>0</v>
      </c>
      <c r="E17" s="50">
        <v>0</v>
      </c>
      <c r="F17" s="50">
        <v>0</v>
      </c>
      <c r="G17" s="50">
        <v>0</v>
      </c>
      <c r="H17" s="50">
        <v>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</row>
    <row r="18" spans="1:14" x14ac:dyDescent="0.2">
      <c r="A18" s="48" t="s">
        <v>62</v>
      </c>
      <c r="B18" s="49" t="s">
        <v>63</v>
      </c>
      <c r="C18" s="50">
        <v>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  <c r="K18" s="50">
        <v>0</v>
      </c>
      <c r="L18" s="50">
        <v>0</v>
      </c>
      <c r="M18" s="50">
        <v>0</v>
      </c>
      <c r="N18" s="50">
        <v>0</v>
      </c>
    </row>
    <row r="19" spans="1:14" x14ac:dyDescent="0.2">
      <c r="A19" s="48" t="s">
        <v>64</v>
      </c>
      <c r="B19" s="49" t="s">
        <v>65</v>
      </c>
      <c r="C19" s="50">
        <v>0</v>
      </c>
      <c r="D19" s="50">
        <v>0</v>
      </c>
      <c r="E19" s="50">
        <v>0</v>
      </c>
      <c r="F19" s="50">
        <v>0</v>
      </c>
      <c r="G19" s="50">
        <v>0</v>
      </c>
      <c r="H19" s="50">
        <v>0</v>
      </c>
      <c r="I19" s="50">
        <v>0</v>
      </c>
      <c r="J19" s="50">
        <v>0</v>
      </c>
      <c r="K19" s="50">
        <v>0</v>
      </c>
      <c r="L19" s="50">
        <v>0</v>
      </c>
      <c r="M19" s="50">
        <v>0</v>
      </c>
      <c r="N19" s="50">
        <v>0</v>
      </c>
    </row>
    <row r="20" spans="1:14" x14ac:dyDescent="0.2">
      <c r="A20" s="48" t="s">
        <v>68</v>
      </c>
      <c r="B20" s="49" t="s">
        <v>69</v>
      </c>
      <c r="C20" s="50">
        <v>0</v>
      </c>
      <c r="D20" s="50">
        <v>0</v>
      </c>
      <c r="E20" s="50">
        <v>0</v>
      </c>
      <c r="F20" s="50">
        <v>0</v>
      </c>
      <c r="G20" s="50">
        <v>0</v>
      </c>
      <c r="H20" s="50">
        <v>0</v>
      </c>
      <c r="I20" s="50">
        <v>0</v>
      </c>
      <c r="J20" s="50">
        <v>0</v>
      </c>
      <c r="K20" s="50">
        <v>0</v>
      </c>
      <c r="L20" s="50">
        <v>0</v>
      </c>
      <c r="M20" s="50">
        <v>0</v>
      </c>
      <c r="N20" s="50">
        <v>0</v>
      </c>
    </row>
    <row r="21" spans="1:14" x14ac:dyDescent="0.2">
      <c r="A21" s="52"/>
      <c r="B21" s="52" t="s">
        <v>72</v>
      </c>
      <c r="C21" s="53">
        <f>+C16+C17+C18+C19+C20</f>
        <v>0</v>
      </c>
      <c r="D21" s="53">
        <f t="shared" ref="D21:N21" si="2">+D16+D17+D18+D19+D20</f>
        <v>0</v>
      </c>
      <c r="E21" s="53">
        <f t="shared" si="2"/>
        <v>0</v>
      </c>
      <c r="F21" s="53">
        <f t="shared" si="2"/>
        <v>0</v>
      </c>
      <c r="G21" s="53">
        <f t="shared" si="2"/>
        <v>0</v>
      </c>
      <c r="H21" s="53">
        <f t="shared" si="2"/>
        <v>0</v>
      </c>
      <c r="I21" s="53">
        <f t="shared" si="2"/>
        <v>0</v>
      </c>
      <c r="J21" s="53">
        <f t="shared" si="2"/>
        <v>0</v>
      </c>
      <c r="K21" s="53">
        <f t="shared" si="2"/>
        <v>0</v>
      </c>
      <c r="L21" s="53">
        <f t="shared" si="2"/>
        <v>0</v>
      </c>
      <c r="M21" s="53">
        <f t="shared" si="2"/>
        <v>0</v>
      </c>
      <c r="N21" s="53">
        <f t="shared" si="2"/>
        <v>0</v>
      </c>
    </row>
    <row r="22" spans="1:14" x14ac:dyDescent="0.2">
      <c r="A22" s="51"/>
      <c r="B22" s="51" t="s">
        <v>73</v>
      </c>
      <c r="C22" s="19">
        <f>+C15-C21</f>
        <v>45</v>
      </c>
      <c r="D22" s="19">
        <f t="shared" ref="D22:N22" si="3">+D15-D21</f>
        <v>35</v>
      </c>
      <c r="E22" s="19">
        <f t="shared" si="3"/>
        <v>44</v>
      </c>
      <c r="F22" s="19">
        <f t="shared" si="3"/>
        <v>36</v>
      </c>
      <c r="G22" s="19">
        <f t="shared" si="3"/>
        <v>41</v>
      </c>
      <c r="H22" s="19">
        <f t="shared" si="3"/>
        <v>32</v>
      </c>
      <c r="I22" s="19">
        <f t="shared" si="3"/>
        <v>29</v>
      </c>
      <c r="J22" s="19">
        <f t="shared" si="3"/>
        <v>28</v>
      </c>
      <c r="K22" s="19">
        <f t="shared" si="3"/>
        <v>30</v>
      </c>
      <c r="L22" s="19">
        <f t="shared" si="3"/>
        <v>39</v>
      </c>
      <c r="M22" s="19">
        <f t="shared" si="3"/>
        <v>43</v>
      </c>
      <c r="N22" s="19">
        <f t="shared" si="3"/>
        <v>31</v>
      </c>
    </row>
    <row r="23" spans="1:14" x14ac:dyDescent="0.2">
      <c r="A23" s="10" t="s">
        <v>74</v>
      </c>
      <c r="B23" s="10" t="s">
        <v>74</v>
      </c>
      <c r="C23" s="10" t="s">
        <v>74</v>
      </c>
      <c r="D23" s="10" t="s">
        <v>74</v>
      </c>
      <c r="E23" s="10" t="s">
        <v>74</v>
      </c>
      <c r="F23" s="10" t="s">
        <v>74</v>
      </c>
      <c r="G23" s="10" t="s">
        <v>74</v>
      </c>
      <c r="H23" s="10" t="s">
        <v>74</v>
      </c>
      <c r="I23" s="10" t="s">
        <v>74</v>
      </c>
      <c r="J23" s="10" t="s">
        <v>74</v>
      </c>
      <c r="K23" s="10" t="s">
        <v>74</v>
      </c>
      <c r="L23" s="10" t="s">
        <v>74</v>
      </c>
      <c r="M23" s="10" t="s">
        <v>74</v>
      </c>
      <c r="N23" s="10" t="s">
        <v>74</v>
      </c>
    </row>
    <row r="24" spans="1:14" x14ac:dyDescent="0.2">
      <c r="A24" s="48" t="s">
        <v>75</v>
      </c>
      <c r="B24" s="49" t="s">
        <v>76</v>
      </c>
      <c r="C24" s="50">
        <v>0</v>
      </c>
      <c r="D24" s="50">
        <v>0</v>
      </c>
      <c r="E24" s="50">
        <v>0</v>
      </c>
      <c r="F24" s="50">
        <v>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</row>
    <row r="25" spans="1:14" x14ac:dyDescent="0.2">
      <c r="A25" s="48" t="s">
        <v>111</v>
      </c>
      <c r="B25" s="49" t="s">
        <v>112</v>
      </c>
      <c r="C25" s="50">
        <v>0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50">
        <v>0</v>
      </c>
      <c r="J25" s="50">
        <v>0</v>
      </c>
      <c r="K25" s="50">
        <v>0</v>
      </c>
      <c r="L25" s="50">
        <v>0</v>
      </c>
      <c r="M25" s="50">
        <v>0</v>
      </c>
      <c r="N25" s="50">
        <v>0</v>
      </c>
    </row>
    <row r="26" spans="1:14" x14ac:dyDescent="0.2">
      <c r="A26" s="48" t="s">
        <v>119</v>
      </c>
      <c r="B26" s="49" t="s">
        <v>120</v>
      </c>
      <c r="C26" s="50">
        <v>0</v>
      </c>
      <c r="D26" s="50">
        <v>0</v>
      </c>
      <c r="E26" s="50">
        <v>0</v>
      </c>
      <c r="F26" s="50">
        <v>0</v>
      </c>
      <c r="G26" s="50">
        <v>0</v>
      </c>
      <c r="H26" s="50">
        <v>0</v>
      </c>
      <c r="I26" s="50">
        <v>0</v>
      </c>
      <c r="J26" s="50">
        <v>0</v>
      </c>
      <c r="K26" s="50">
        <v>0</v>
      </c>
      <c r="L26" s="50">
        <v>0</v>
      </c>
      <c r="M26" s="50">
        <v>0</v>
      </c>
      <c r="N26" s="50">
        <v>0</v>
      </c>
    </row>
    <row r="27" spans="1:14" x14ac:dyDescent="0.2">
      <c r="A27" s="48" t="s">
        <v>127</v>
      </c>
      <c r="B27" s="49" t="s">
        <v>128</v>
      </c>
      <c r="C27" s="50">
        <f>+C28</f>
        <v>0</v>
      </c>
      <c r="D27" s="50">
        <f t="shared" ref="D27:N27" si="4">+D28</f>
        <v>0</v>
      </c>
      <c r="E27" s="50">
        <f t="shared" si="4"/>
        <v>0</v>
      </c>
      <c r="F27" s="50">
        <f t="shared" si="4"/>
        <v>0</v>
      </c>
      <c r="G27" s="50">
        <f t="shared" si="4"/>
        <v>0</v>
      </c>
      <c r="H27" s="50">
        <f t="shared" si="4"/>
        <v>0</v>
      </c>
      <c r="I27" s="50">
        <f t="shared" si="4"/>
        <v>0</v>
      </c>
      <c r="J27" s="50">
        <f t="shared" si="4"/>
        <v>0</v>
      </c>
      <c r="K27" s="50">
        <f t="shared" si="4"/>
        <v>0</v>
      </c>
      <c r="L27" s="50">
        <f t="shared" si="4"/>
        <v>0</v>
      </c>
      <c r="M27" s="50">
        <f t="shared" si="4"/>
        <v>0</v>
      </c>
      <c r="N27" s="50">
        <f t="shared" si="4"/>
        <v>0</v>
      </c>
    </row>
    <row r="28" spans="1:14" hidden="1" outlineLevel="1" x14ac:dyDescent="0.2">
      <c r="A28" s="9" t="s">
        <v>129</v>
      </c>
      <c r="B28" s="1" t="s">
        <v>130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</row>
    <row r="29" spans="1:14" collapsed="1" x14ac:dyDescent="0.2">
      <c r="A29" s="48" t="s">
        <v>133</v>
      </c>
      <c r="B29" s="49" t="s">
        <v>134</v>
      </c>
      <c r="C29" s="50">
        <f t="shared" ref="C29:N29" si="5">+C30+C31</f>
        <v>0</v>
      </c>
      <c r="D29" s="50">
        <f t="shared" si="5"/>
        <v>0</v>
      </c>
      <c r="E29" s="50">
        <f t="shared" si="5"/>
        <v>0</v>
      </c>
      <c r="F29" s="50">
        <f t="shared" si="5"/>
        <v>0</v>
      </c>
      <c r="G29" s="50">
        <f t="shared" si="5"/>
        <v>0</v>
      </c>
      <c r="H29" s="50">
        <f t="shared" si="5"/>
        <v>0</v>
      </c>
      <c r="I29" s="50">
        <f t="shared" si="5"/>
        <v>0</v>
      </c>
      <c r="J29" s="50">
        <f t="shared" si="5"/>
        <v>0</v>
      </c>
      <c r="K29" s="50">
        <f t="shared" si="5"/>
        <v>0</v>
      </c>
      <c r="L29" s="50">
        <f t="shared" si="5"/>
        <v>0</v>
      </c>
      <c r="M29" s="50">
        <f t="shared" si="5"/>
        <v>0</v>
      </c>
      <c r="N29" s="50">
        <f t="shared" si="5"/>
        <v>0</v>
      </c>
    </row>
    <row r="30" spans="1:14" hidden="1" outlineLevel="1" x14ac:dyDescent="0.2">
      <c r="A30" s="9" t="s">
        <v>327</v>
      </c>
      <c r="B30" s="1" t="s">
        <v>328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</row>
    <row r="31" spans="1:14" hidden="1" outlineLevel="1" x14ac:dyDescent="0.2">
      <c r="A31" s="9" t="s">
        <v>329</v>
      </c>
      <c r="B31" s="1" t="s">
        <v>330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</row>
    <row r="32" spans="1:14" collapsed="1" x14ac:dyDescent="0.2">
      <c r="A32" s="48" t="s">
        <v>137</v>
      </c>
      <c r="B32" s="49" t="s">
        <v>138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</row>
    <row r="33" spans="1:14" x14ac:dyDescent="0.2">
      <c r="A33" s="48" t="s">
        <v>139</v>
      </c>
      <c r="B33" s="49" t="s">
        <v>140</v>
      </c>
      <c r="C33" s="50">
        <v>0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50">
        <v>0</v>
      </c>
      <c r="J33" s="50">
        <v>0</v>
      </c>
      <c r="K33" s="50">
        <v>0</v>
      </c>
      <c r="L33" s="50">
        <v>0</v>
      </c>
      <c r="M33" s="50">
        <v>0</v>
      </c>
      <c r="N33" s="50">
        <v>0</v>
      </c>
    </row>
    <row r="34" spans="1:14" x14ac:dyDescent="0.2">
      <c r="A34" s="48" t="s">
        <v>141</v>
      </c>
      <c r="B34" s="49" t="s">
        <v>142</v>
      </c>
      <c r="C34" s="50">
        <v>0</v>
      </c>
      <c r="D34" s="50">
        <v>0</v>
      </c>
      <c r="E34" s="50">
        <v>0</v>
      </c>
      <c r="F34" s="50">
        <v>0</v>
      </c>
      <c r="G34" s="50">
        <v>0</v>
      </c>
      <c r="H34" s="50">
        <v>0</v>
      </c>
      <c r="I34" s="50">
        <v>0</v>
      </c>
      <c r="J34" s="50">
        <v>0</v>
      </c>
      <c r="K34" s="50">
        <v>0</v>
      </c>
      <c r="L34" s="50">
        <v>0</v>
      </c>
      <c r="M34" s="50">
        <v>0</v>
      </c>
      <c r="N34" s="50">
        <v>0</v>
      </c>
    </row>
    <row r="35" spans="1:14" x14ac:dyDescent="0.2">
      <c r="A35" s="48" t="s">
        <v>143</v>
      </c>
      <c r="B35" s="49" t="s">
        <v>144</v>
      </c>
      <c r="C35" s="50">
        <f t="shared" ref="C35:N35" si="6">SUM(C36:C42)</f>
        <v>16.599999999999998</v>
      </c>
      <c r="D35" s="50">
        <f t="shared" si="6"/>
        <v>16.599999999999998</v>
      </c>
      <c r="E35" s="50">
        <f t="shared" si="6"/>
        <v>16.599999999999998</v>
      </c>
      <c r="F35" s="50">
        <f t="shared" si="6"/>
        <v>16.599999999999998</v>
      </c>
      <c r="G35" s="50">
        <f t="shared" si="6"/>
        <v>16.599999999999998</v>
      </c>
      <c r="H35" s="50">
        <f t="shared" si="6"/>
        <v>16.599999999999998</v>
      </c>
      <c r="I35" s="50">
        <f t="shared" si="6"/>
        <v>16.599999999999998</v>
      </c>
      <c r="J35" s="50">
        <f t="shared" si="6"/>
        <v>16.599999999999998</v>
      </c>
      <c r="K35" s="50">
        <f t="shared" si="6"/>
        <v>16.599999999999998</v>
      </c>
      <c r="L35" s="50">
        <f t="shared" si="6"/>
        <v>16.799999999999997</v>
      </c>
      <c r="M35" s="50">
        <f t="shared" si="6"/>
        <v>17</v>
      </c>
      <c r="N35" s="50">
        <f t="shared" si="6"/>
        <v>16.799999999999997</v>
      </c>
    </row>
    <row r="36" spans="1:14" hidden="1" outlineLevel="1" x14ac:dyDescent="0.2">
      <c r="A36" s="9" t="s">
        <v>145</v>
      </c>
      <c r="B36" s="1" t="s">
        <v>146</v>
      </c>
      <c r="C36" s="10">
        <v>14</v>
      </c>
      <c r="D36" s="10">
        <v>14</v>
      </c>
      <c r="E36" s="10">
        <v>14</v>
      </c>
      <c r="F36" s="10">
        <v>14</v>
      </c>
      <c r="G36" s="10">
        <v>14</v>
      </c>
      <c r="H36" s="10">
        <v>14</v>
      </c>
      <c r="I36" s="10">
        <v>14</v>
      </c>
      <c r="J36" s="10">
        <v>14</v>
      </c>
      <c r="K36" s="10">
        <v>14</v>
      </c>
      <c r="L36" s="10">
        <v>14</v>
      </c>
      <c r="M36" s="10">
        <v>14</v>
      </c>
      <c r="N36" s="10">
        <v>14</v>
      </c>
    </row>
    <row r="37" spans="1:14" hidden="1" outlineLevel="1" x14ac:dyDescent="0.2">
      <c r="A37" s="9" t="s">
        <v>147</v>
      </c>
      <c r="B37" s="1" t="s">
        <v>148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0.2</v>
      </c>
      <c r="N37" s="10">
        <v>0</v>
      </c>
    </row>
    <row r="38" spans="1:14" hidden="1" outlineLevel="1" x14ac:dyDescent="0.2">
      <c r="A38" s="9" t="s">
        <v>149</v>
      </c>
      <c r="B38" s="1" t="s">
        <v>150</v>
      </c>
      <c r="C38" s="10">
        <v>1.1000000000000001</v>
      </c>
      <c r="D38" s="10">
        <v>1.1000000000000001</v>
      </c>
      <c r="E38" s="10">
        <v>1.1000000000000001</v>
      </c>
      <c r="F38" s="10">
        <v>1.1000000000000001</v>
      </c>
      <c r="G38" s="10">
        <v>1.1000000000000001</v>
      </c>
      <c r="H38" s="10">
        <v>1.1000000000000001</v>
      </c>
      <c r="I38" s="10">
        <v>1.1000000000000001</v>
      </c>
      <c r="J38" s="10">
        <v>1.1000000000000001</v>
      </c>
      <c r="K38" s="10">
        <v>1.1000000000000001</v>
      </c>
      <c r="L38" s="10">
        <v>1.1000000000000001</v>
      </c>
      <c r="M38" s="10">
        <v>1.1000000000000001</v>
      </c>
      <c r="N38" s="10">
        <v>1.1000000000000001</v>
      </c>
    </row>
    <row r="39" spans="1:14" hidden="1" outlineLevel="1" x14ac:dyDescent="0.2">
      <c r="A39" s="9" t="s">
        <v>151</v>
      </c>
      <c r="B39" s="1" t="s">
        <v>152</v>
      </c>
      <c r="C39" s="10">
        <v>0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0</v>
      </c>
      <c r="K39" s="10">
        <v>0</v>
      </c>
      <c r="L39" s="10">
        <v>0.1</v>
      </c>
      <c r="M39" s="10">
        <v>0.1</v>
      </c>
      <c r="N39" s="10">
        <v>0.1</v>
      </c>
    </row>
    <row r="40" spans="1:14" hidden="1" outlineLevel="1" x14ac:dyDescent="0.2">
      <c r="A40" s="9" t="s">
        <v>355</v>
      </c>
      <c r="B40" s="1" t="s">
        <v>356</v>
      </c>
      <c r="C40" s="10">
        <v>0</v>
      </c>
      <c r="D40" s="10">
        <v>0</v>
      </c>
      <c r="E40" s="10">
        <v>0</v>
      </c>
      <c r="F40" s="10">
        <v>0</v>
      </c>
      <c r="G40" s="10">
        <v>0</v>
      </c>
      <c r="H40" s="10">
        <v>0</v>
      </c>
      <c r="I40" s="10">
        <v>0</v>
      </c>
      <c r="J40" s="10">
        <v>0</v>
      </c>
      <c r="K40" s="10">
        <v>0</v>
      </c>
      <c r="L40" s="10">
        <v>0.1</v>
      </c>
      <c r="M40" s="10">
        <v>0.1</v>
      </c>
      <c r="N40" s="10">
        <v>0.1</v>
      </c>
    </row>
    <row r="41" spans="1:14" hidden="1" outlineLevel="1" x14ac:dyDescent="0.2">
      <c r="A41" s="9" t="s">
        <v>153</v>
      </c>
      <c r="B41" s="1" t="s">
        <v>154</v>
      </c>
      <c r="C41" s="10">
        <v>0.7</v>
      </c>
      <c r="D41" s="10">
        <v>0.7</v>
      </c>
      <c r="E41" s="10">
        <v>0.7</v>
      </c>
      <c r="F41" s="10">
        <v>0.7</v>
      </c>
      <c r="G41" s="10">
        <v>0.7</v>
      </c>
      <c r="H41" s="10">
        <v>0.7</v>
      </c>
      <c r="I41" s="10">
        <v>0.7</v>
      </c>
      <c r="J41" s="10">
        <v>0.7</v>
      </c>
      <c r="K41" s="10">
        <v>0.7</v>
      </c>
      <c r="L41" s="10">
        <v>0.7</v>
      </c>
      <c r="M41" s="10">
        <v>0.7</v>
      </c>
      <c r="N41" s="10">
        <v>0.7</v>
      </c>
    </row>
    <row r="42" spans="1:14" hidden="1" outlineLevel="1" x14ac:dyDescent="0.2">
      <c r="A42" s="9" t="s">
        <v>155</v>
      </c>
      <c r="B42" s="1" t="s">
        <v>156</v>
      </c>
      <c r="C42" s="10">
        <v>0.8</v>
      </c>
      <c r="D42" s="10">
        <v>0.8</v>
      </c>
      <c r="E42" s="10">
        <v>0.8</v>
      </c>
      <c r="F42" s="10">
        <v>0.8</v>
      </c>
      <c r="G42" s="10">
        <v>0.8</v>
      </c>
      <c r="H42" s="10">
        <v>0.8</v>
      </c>
      <c r="I42" s="10">
        <v>0.8</v>
      </c>
      <c r="J42" s="10">
        <v>0.8</v>
      </c>
      <c r="K42" s="10">
        <v>0.8</v>
      </c>
      <c r="L42" s="10">
        <v>0.8</v>
      </c>
      <c r="M42" s="10">
        <v>0.8</v>
      </c>
      <c r="N42" s="10">
        <v>0.8</v>
      </c>
    </row>
    <row r="43" spans="1:14" collapsed="1" x14ac:dyDescent="0.2">
      <c r="A43" s="48" t="s">
        <v>157</v>
      </c>
      <c r="B43" s="49" t="s">
        <v>158</v>
      </c>
      <c r="C43" s="50">
        <f t="shared" ref="C43:N43" si="7">+C44</f>
        <v>2.5</v>
      </c>
      <c r="D43" s="50">
        <f t="shared" si="7"/>
        <v>2.5</v>
      </c>
      <c r="E43" s="50">
        <f t="shared" si="7"/>
        <v>2.5</v>
      </c>
      <c r="F43" s="50">
        <f t="shared" si="7"/>
        <v>2.5</v>
      </c>
      <c r="G43" s="50">
        <f t="shared" si="7"/>
        <v>2.5</v>
      </c>
      <c r="H43" s="50">
        <f t="shared" si="7"/>
        <v>2.5</v>
      </c>
      <c r="I43" s="50">
        <f t="shared" si="7"/>
        <v>2.5</v>
      </c>
      <c r="J43" s="50">
        <f t="shared" si="7"/>
        <v>2.5</v>
      </c>
      <c r="K43" s="50">
        <f t="shared" si="7"/>
        <v>2.5</v>
      </c>
      <c r="L43" s="50">
        <f t="shared" si="7"/>
        <v>2.5</v>
      </c>
      <c r="M43" s="50">
        <f t="shared" si="7"/>
        <v>2.5</v>
      </c>
      <c r="N43" s="50">
        <f t="shared" si="7"/>
        <v>2.5</v>
      </c>
    </row>
    <row r="44" spans="1:14" hidden="1" outlineLevel="1" x14ac:dyDescent="0.2">
      <c r="A44" s="9" t="s">
        <v>159</v>
      </c>
      <c r="B44" s="1" t="s">
        <v>160</v>
      </c>
      <c r="C44" s="10">
        <v>2.5</v>
      </c>
      <c r="D44" s="10">
        <v>2.5</v>
      </c>
      <c r="E44" s="10">
        <v>2.5</v>
      </c>
      <c r="F44" s="10">
        <v>2.5</v>
      </c>
      <c r="G44" s="10">
        <v>2.5</v>
      </c>
      <c r="H44" s="10">
        <v>2.5</v>
      </c>
      <c r="I44" s="10">
        <v>2.5</v>
      </c>
      <c r="J44" s="10">
        <v>2.5</v>
      </c>
      <c r="K44" s="10">
        <v>2.5</v>
      </c>
      <c r="L44" s="10">
        <v>2.5</v>
      </c>
      <c r="M44" s="10">
        <v>2.5</v>
      </c>
      <c r="N44" s="10">
        <v>2.5</v>
      </c>
    </row>
    <row r="45" spans="1:14" collapsed="1" x14ac:dyDescent="0.2">
      <c r="A45" s="52"/>
      <c r="B45" s="52" t="s">
        <v>165</v>
      </c>
      <c r="C45" s="53">
        <f>+C24+C25+C26+C27+C29+C32+C33+C34+C35+C43</f>
        <v>19.099999999999998</v>
      </c>
      <c r="D45" s="53">
        <f t="shared" ref="D45:N45" si="8">+D24+D25+D26+D27+D29+D32+D33+D34+D35+D43</f>
        <v>19.099999999999998</v>
      </c>
      <c r="E45" s="53">
        <f t="shared" si="8"/>
        <v>19.099999999999998</v>
      </c>
      <c r="F45" s="53">
        <f t="shared" si="8"/>
        <v>19.099999999999998</v>
      </c>
      <c r="G45" s="53">
        <f t="shared" si="8"/>
        <v>19.099999999999998</v>
      </c>
      <c r="H45" s="53">
        <f t="shared" si="8"/>
        <v>19.099999999999998</v>
      </c>
      <c r="I45" s="53">
        <f t="shared" si="8"/>
        <v>19.099999999999998</v>
      </c>
      <c r="J45" s="53">
        <f t="shared" si="8"/>
        <v>19.099999999999998</v>
      </c>
      <c r="K45" s="53">
        <f t="shared" si="8"/>
        <v>19.099999999999998</v>
      </c>
      <c r="L45" s="53">
        <f t="shared" si="8"/>
        <v>19.299999999999997</v>
      </c>
      <c r="M45" s="53">
        <f t="shared" si="8"/>
        <v>19.5</v>
      </c>
      <c r="N45" s="53">
        <f t="shared" si="8"/>
        <v>19.299999999999997</v>
      </c>
    </row>
    <row r="46" spans="1:14" x14ac:dyDescent="0.2">
      <c r="A46" s="51"/>
      <c r="B46" s="51" t="s">
        <v>166</v>
      </c>
      <c r="C46" s="19">
        <f t="shared" ref="C46:N46" si="9">+C22-C45</f>
        <v>25.900000000000002</v>
      </c>
      <c r="D46" s="19">
        <f t="shared" si="9"/>
        <v>15.900000000000002</v>
      </c>
      <c r="E46" s="19">
        <f t="shared" si="9"/>
        <v>24.900000000000002</v>
      </c>
      <c r="F46" s="19">
        <f t="shared" si="9"/>
        <v>16.900000000000002</v>
      </c>
      <c r="G46" s="19">
        <f t="shared" si="9"/>
        <v>21.900000000000002</v>
      </c>
      <c r="H46" s="19">
        <f t="shared" si="9"/>
        <v>12.900000000000002</v>
      </c>
      <c r="I46" s="19">
        <f t="shared" si="9"/>
        <v>9.9000000000000021</v>
      </c>
      <c r="J46" s="19">
        <f t="shared" si="9"/>
        <v>8.9000000000000021</v>
      </c>
      <c r="K46" s="19">
        <f t="shared" si="9"/>
        <v>10.900000000000002</v>
      </c>
      <c r="L46" s="19">
        <f t="shared" si="9"/>
        <v>19.700000000000003</v>
      </c>
      <c r="M46" s="19">
        <f t="shared" si="9"/>
        <v>23.5</v>
      </c>
      <c r="N46" s="19">
        <f t="shared" si="9"/>
        <v>11.700000000000003</v>
      </c>
    </row>
    <row r="47" spans="1:14" x14ac:dyDescent="0.2">
      <c r="A47" s="48" t="s">
        <v>167</v>
      </c>
      <c r="B47" s="49" t="s">
        <v>168</v>
      </c>
      <c r="C47" s="50">
        <v>0</v>
      </c>
      <c r="D47" s="50">
        <v>0</v>
      </c>
      <c r="E47" s="50">
        <v>0</v>
      </c>
      <c r="F47" s="50">
        <v>0</v>
      </c>
      <c r="G47" s="50">
        <v>0</v>
      </c>
      <c r="H47" s="50">
        <v>0</v>
      </c>
      <c r="I47" s="50">
        <v>0</v>
      </c>
      <c r="J47" s="50">
        <v>0</v>
      </c>
      <c r="K47" s="50">
        <v>0</v>
      </c>
      <c r="L47" s="50">
        <v>0</v>
      </c>
      <c r="M47" s="50">
        <v>0</v>
      </c>
      <c r="N47" s="50">
        <v>0</v>
      </c>
    </row>
    <row r="48" spans="1:14" x14ac:dyDescent="0.2">
      <c r="A48" s="48" t="s">
        <v>200</v>
      </c>
      <c r="B48" s="49" t="s">
        <v>201</v>
      </c>
      <c r="C48" s="50">
        <f t="shared" ref="C48:N48" si="10">SUM(C49:C50)</f>
        <v>0</v>
      </c>
      <c r="D48" s="50">
        <f t="shared" si="10"/>
        <v>0</v>
      </c>
      <c r="E48" s="50">
        <f t="shared" si="10"/>
        <v>0</v>
      </c>
      <c r="F48" s="50">
        <f t="shared" si="10"/>
        <v>0</v>
      </c>
      <c r="G48" s="50">
        <f t="shared" si="10"/>
        <v>0</v>
      </c>
      <c r="H48" s="50">
        <f t="shared" si="10"/>
        <v>0</v>
      </c>
      <c r="I48" s="50">
        <f t="shared" si="10"/>
        <v>0</v>
      </c>
      <c r="J48" s="50">
        <f t="shared" si="10"/>
        <v>0</v>
      </c>
      <c r="K48" s="50">
        <f t="shared" si="10"/>
        <v>0</v>
      </c>
      <c r="L48" s="50">
        <f t="shared" si="10"/>
        <v>0</v>
      </c>
      <c r="M48" s="50">
        <f t="shared" si="10"/>
        <v>0</v>
      </c>
      <c r="N48" s="50">
        <f t="shared" si="10"/>
        <v>0</v>
      </c>
    </row>
    <row r="49" spans="1:14" hidden="1" outlineLevel="1" x14ac:dyDescent="0.2">
      <c r="A49" s="9" t="s">
        <v>220</v>
      </c>
      <c r="B49" s="1" t="s">
        <v>221</v>
      </c>
      <c r="C49" s="10">
        <v>0</v>
      </c>
      <c r="D49" s="10">
        <v>0</v>
      </c>
      <c r="E49" s="10">
        <v>0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0</v>
      </c>
      <c r="L49" s="10">
        <v>0</v>
      </c>
      <c r="M49" s="10">
        <v>0</v>
      </c>
      <c r="N49" s="10">
        <v>0</v>
      </c>
    </row>
    <row r="50" spans="1:14" hidden="1" outlineLevel="1" x14ac:dyDescent="0.2">
      <c r="A50" s="9" t="s">
        <v>222</v>
      </c>
      <c r="B50" s="1" t="s">
        <v>223</v>
      </c>
      <c r="C50" s="10">
        <v>0</v>
      </c>
      <c r="D50" s="10">
        <v>0</v>
      </c>
      <c r="E50" s="10">
        <v>0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</v>
      </c>
      <c r="L50" s="10">
        <v>0</v>
      </c>
      <c r="M50" s="10">
        <v>0</v>
      </c>
      <c r="N50" s="10">
        <v>0</v>
      </c>
    </row>
    <row r="51" spans="1:14" collapsed="1" x14ac:dyDescent="0.2">
      <c r="A51" s="48" t="s">
        <v>226</v>
      </c>
      <c r="B51" s="49" t="s">
        <v>227</v>
      </c>
      <c r="C51" s="50">
        <v>0</v>
      </c>
      <c r="D51" s="50">
        <v>0</v>
      </c>
      <c r="E51" s="50">
        <v>0</v>
      </c>
      <c r="F51" s="50">
        <v>0</v>
      </c>
      <c r="G51" s="50">
        <v>0</v>
      </c>
      <c r="H51" s="50">
        <v>0</v>
      </c>
      <c r="I51" s="50">
        <v>0</v>
      </c>
      <c r="J51" s="50">
        <v>0</v>
      </c>
      <c r="K51" s="50">
        <v>0</v>
      </c>
      <c r="L51" s="50">
        <v>0</v>
      </c>
      <c r="M51" s="50">
        <v>0</v>
      </c>
      <c r="N51" s="50">
        <v>0</v>
      </c>
    </row>
    <row r="52" spans="1:14" x14ac:dyDescent="0.2">
      <c r="A52" s="48" t="s">
        <v>228</v>
      </c>
      <c r="B52" s="49" t="s">
        <v>229</v>
      </c>
      <c r="C52" s="50">
        <v>0</v>
      </c>
      <c r="D52" s="50">
        <v>0</v>
      </c>
      <c r="E52" s="50">
        <v>0</v>
      </c>
      <c r="F52" s="50">
        <v>0</v>
      </c>
      <c r="G52" s="50">
        <v>0</v>
      </c>
      <c r="H52" s="50">
        <v>0</v>
      </c>
      <c r="I52" s="50">
        <v>0</v>
      </c>
      <c r="J52" s="50">
        <v>0</v>
      </c>
      <c r="K52" s="50">
        <v>0</v>
      </c>
      <c r="L52" s="50">
        <v>0</v>
      </c>
      <c r="M52" s="50">
        <v>0</v>
      </c>
      <c r="N52" s="50">
        <v>0</v>
      </c>
    </row>
    <row r="53" spans="1:14" x14ac:dyDescent="0.2">
      <c r="A53" s="48" t="s">
        <v>230</v>
      </c>
      <c r="B53" s="49" t="s">
        <v>231</v>
      </c>
      <c r="C53" s="50">
        <f>+C54</f>
        <v>0</v>
      </c>
      <c r="D53" s="50">
        <f t="shared" ref="D53:N53" si="11">+D54</f>
        <v>0</v>
      </c>
      <c r="E53" s="50">
        <f t="shared" si="11"/>
        <v>0</v>
      </c>
      <c r="F53" s="50">
        <f t="shared" si="11"/>
        <v>0</v>
      </c>
      <c r="G53" s="50">
        <f t="shared" si="11"/>
        <v>0</v>
      </c>
      <c r="H53" s="50">
        <f t="shared" si="11"/>
        <v>0</v>
      </c>
      <c r="I53" s="50">
        <f t="shared" si="11"/>
        <v>0</v>
      </c>
      <c r="J53" s="50">
        <f t="shared" si="11"/>
        <v>0</v>
      </c>
      <c r="K53" s="50">
        <f t="shared" si="11"/>
        <v>0</v>
      </c>
      <c r="L53" s="50">
        <f t="shared" si="11"/>
        <v>0</v>
      </c>
      <c r="M53" s="50">
        <f t="shared" si="11"/>
        <v>0</v>
      </c>
      <c r="N53" s="50">
        <f t="shared" si="11"/>
        <v>0</v>
      </c>
    </row>
    <row r="54" spans="1:14" hidden="1" outlineLevel="1" x14ac:dyDescent="0.2">
      <c r="A54" s="9" t="s">
        <v>232</v>
      </c>
      <c r="B54" s="1" t="s">
        <v>233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</row>
    <row r="55" spans="1:14" collapsed="1" x14ac:dyDescent="0.2">
      <c r="A55" s="52"/>
      <c r="B55" s="52" t="s">
        <v>236</v>
      </c>
      <c r="C55" s="53">
        <f>+C47+C48+C51+C52+C53</f>
        <v>0</v>
      </c>
      <c r="D55" s="53">
        <f t="shared" ref="D55:N55" si="12">+D47+D48+D51+D52+D53</f>
        <v>0</v>
      </c>
      <c r="E55" s="53">
        <f t="shared" si="12"/>
        <v>0</v>
      </c>
      <c r="F55" s="53">
        <f t="shared" si="12"/>
        <v>0</v>
      </c>
      <c r="G55" s="53">
        <f t="shared" si="12"/>
        <v>0</v>
      </c>
      <c r="H55" s="53">
        <f t="shared" si="12"/>
        <v>0</v>
      </c>
      <c r="I55" s="53">
        <f t="shared" si="12"/>
        <v>0</v>
      </c>
      <c r="J55" s="53">
        <f t="shared" si="12"/>
        <v>0</v>
      </c>
      <c r="K55" s="53">
        <f t="shared" si="12"/>
        <v>0</v>
      </c>
      <c r="L55" s="53">
        <f t="shared" si="12"/>
        <v>0</v>
      </c>
      <c r="M55" s="53">
        <f t="shared" si="12"/>
        <v>0</v>
      </c>
      <c r="N55" s="53">
        <f t="shared" si="12"/>
        <v>0</v>
      </c>
    </row>
    <row r="56" spans="1:14" x14ac:dyDescent="0.2">
      <c r="A56" s="51"/>
      <c r="B56" s="51" t="s">
        <v>237</v>
      </c>
      <c r="C56" s="19">
        <f>+C46-C55</f>
        <v>25.900000000000002</v>
      </c>
      <c r="D56" s="19">
        <f t="shared" ref="D56:N56" si="13">+D46-D55</f>
        <v>15.900000000000002</v>
      </c>
      <c r="E56" s="19">
        <f t="shared" si="13"/>
        <v>24.900000000000002</v>
      </c>
      <c r="F56" s="19">
        <f t="shared" si="13"/>
        <v>16.900000000000002</v>
      </c>
      <c r="G56" s="19">
        <f t="shared" si="13"/>
        <v>21.900000000000002</v>
      </c>
      <c r="H56" s="19">
        <f t="shared" si="13"/>
        <v>12.900000000000002</v>
      </c>
      <c r="I56" s="19">
        <f t="shared" si="13"/>
        <v>9.9000000000000021</v>
      </c>
      <c r="J56" s="19">
        <f t="shared" si="13"/>
        <v>8.9000000000000021</v>
      </c>
      <c r="K56" s="19">
        <f t="shared" si="13"/>
        <v>10.900000000000002</v>
      </c>
      <c r="L56" s="19">
        <f t="shared" si="13"/>
        <v>19.700000000000003</v>
      </c>
      <c r="M56" s="19">
        <f t="shared" si="13"/>
        <v>23.5</v>
      </c>
      <c r="N56" s="19">
        <f t="shared" si="13"/>
        <v>11.700000000000003</v>
      </c>
    </row>
    <row r="57" spans="1:14" x14ac:dyDescent="0.2">
      <c r="A57" s="48" t="s">
        <v>238</v>
      </c>
      <c r="B57" s="49" t="s">
        <v>239</v>
      </c>
      <c r="C57" s="50">
        <f t="shared" ref="C57:N57" si="14">+C58</f>
        <v>0.25</v>
      </c>
      <c r="D57" s="50">
        <f t="shared" si="14"/>
        <v>0.25</v>
      </c>
      <c r="E57" s="50">
        <f t="shared" si="14"/>
        <v>0.25</v>
      </c>
      <c r="F57" s="50">
        <f t="shared" si="14"/>
        <v>0.25</v>
      </c>
      <c r="G57" s="50">
        <f t="shared" si="14"/>
        <v>0.25</v>
      </c>
      <c r="H57" s="50">
        <f t="shared" si="14"/>
        <v>0.25</v>
      </c>
      <c r="I57" s="50">
        <f t="shared" si="14"/>
        <v>0.25</v>
      </c>
      <c r="J57" s="50">
        <f t="shared" si="14"/>
        <v>0.25</v>
      </c>
      <c r="K57" s="50">
        <f t="shared" si="14"/>
        <v>0.25</v>
      </c>
      <c r="L57" s="50">
        <f t="shared" si="14"/>
        <v>0.25</v>
      </c>
      <c r="M57" s="50">
        <f t="shared" si="14"/>
        <v>0.25</v>
      </c>
      <c r="N57" s="50">
        <f t="shared" si="14"/>
        <v>0.25</v>
      </c>
    </row>
    <row r="58" spans="1:14" hidden="1" outlineLevel="1" x14ac:dyDescent="0.2">
      <c r="A58" s="9" t="s">
        <v>240</v>
      </c>
      <c r="B58" s="1" t="s">
        <v>241</v>
      </c>
      <c r="C58" s="28">
        <v>0.25</v>
      </c>
      <c r="D58" s="28">
        <v>0.25</v>
      </c>
      <c r="E58" s="28">
        <v>0.25</v>
      </c>
      <c r="F58" s="28">
        <v>0.25</v>
      </c>
      <c r="G58" s="28">
        <v>0.25</v>
      </c>
      <c r="H58" s="28">
        <v>0.25</v>
      </c>
      <c r="I58" s="28">
        <v>0.25</v>
      </c>
      <c r="J58" s="28">
        <v>0.25</v>
      </c>
      <c r="K58" s="28">
        <v>0.25</v>
      </c>
      <c r="L58" s="28">
        <v>0.25</v>
      </c>
      <c r="M58" s="28">
        <v>0.25</v>
      </c>
      <c r="N58" s="28">
        <v>0.25</v>
      </c>
    </row>
    <row r="59" spans="1:14" collapsed="1" x14ac:dyDescent="0.2">
      <c r="A59" s="48" t="s">
        <v>244</v>
      </c>
      <c r="B59" s="49" t="s">
        <v>245</v>
      </c>
      <c r="C59" s="50">
        <v>0</v>
      </c>
      <c r="D59" s="50">
        <v>0</v>
      </c>
      <c r="E59" s="50">
        <v>0</v>
      </c>
      <c r="F59" s="50">
        <v>0</v>
      </c>
      <c r="G59" s="50">
        <v>0</v>
      </c>
      <c r="H59" s="50">
        <v>0</v>
      </c>
      <c r="I59" s="50">
        <v>0</v>
      </c>
      <c r="J59" s="50">
        <v>0</v>
      </c>
      <c r="K59" s="50">
        <v>0</v>
      </c>
      <c r="L59" s="50">
        <v>0</v>
      </c>
      <c r="M59" s="50">
        <v>0</v>
      </c>
      <c r="N59" s="50">
        <v>0</v>
      </c>
    </row>
    <row r="60" spans="1:14" x14ac:dyDescent="0.2">
      <c r="A60" s="51"/>
      <c r="B60" s="51" t="s">
        <v>246</v>
      </c>
      <c r="C60" s="19">
        <f t="shared" ref="C60:N60" si="15">+C56-(C57+C59)</f>
        <v>25.650000000000002</v>
      </c>
      <c r="D60" s="19">
        <f t="shared" si="15"/>
        <v>15.650000000000002</v>
      </c>
      <c r="E60" s="19">
        <f t="shared" si="15"/>
        <v>24.650000000000002</v>
      </c>
      <c r="F60" s="19">
        <f t="shared" si="15"/>
        <v>16.650000000000002</v>
      </c>
      <c r="G60" s="19">
        <f t="shared" si="15"/>
        <v>21.650000000000002</v>
      </c>
      <c r="H60" s="19">
        <f t="shared" si="15"/>
        <v>12.650000000000002</v>
      </c>
      <c r="I60" s="19">
        <f t="shared" si="15"/>
        <v>9.6500000000000021</v>
      </c>
      <c r="J60" s="19">
        <f t="shared" si="15"/>
        <v>8.6500000000000021</v>
      </c>
      <c r="K60" s="19">
        <f t="shared" si="15"/>
        <v>10.650000000000002</v>
      </c>
      <c r="L60" s="19">
        <f t="shared" si="15"/>
        <v>19.450000000000003</v>
      </c>
      <c r="M60" s="19">
        <f t="shared" si="15"/>
        <v>23.25</v>
      </c>
      <c r="N60" s="19">
        <f t="shared" si="15"/>
        <v>11.450000000000003</v>
      </c>
    </row>
    <row r="61" spans="1:14" x14ac:dyDescent="0.2">
      <c r="A61" s="9" t="s">
        <v>74</v>
      </c>
      <c r="B61" s="1" t="s">
        <v>74</v>
      </c>
      <c r="C61" s="13" t="s">
        <v>74</v>
      </c>
      <c r="D61" s="13" t="s">
        <v>74</v>
      </c>
      <c r="E61" s="13" t="s">
        <v>74</v>
      </c>
      <c r="F61" s="13"/>
      <c r="G61" s="13"/>
      <c r="H61" s="13" t="s">
        <v>74</v>
      </c>
      <c r="I61" s="13" t="s">
        <v>74</v>
      </c>
      <c r="J61" s="13" t="s">
        <v>74</v>
      </c>
      <c r="K61" s="13" t="s">
        <v>74</v>
      </c>
      <c r="L61" s="13" t="s">
        <v>74</v>
      </c>
      <c r="M61" s="13" t="s">
        <v>74</v>
      </c>
      <c r="N61" s="13" t="s">
        <v>74</v>
      </c>
    </row>
    <row r="62" spans="1:14" x14ac:dyDescent="0.2">
      <c r="A62" s="12"/>
      <c r="B62" s="12" t="s">
        <v>247</v>
      </c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</row>
    <row r="63" spans="1:14" x14ac:dyDescent="0.2">
      <c r="A63" s="9" t="s">
        <v>248</v>
      </c>
      <c r="B63" s="1" t="s">
        <v>249</v>
      </c>
      <c r="C63" s="13">
        <v>0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2">
      <c r="A64" s="9" t="s">
        <v>252</v>
      </c>
      <c r="B64" s="1" t="s">
        <v>253</v>
      </c>
      <c r="C64" s="13">
        <v>0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2">
      <c r="A65" s="9" t="s">
        <v>256</v>
      </c>
      <c r="B65" s="1" t="s">
        <v>257</v>
      </c>
      <c r="C65" s="13">
        <v>0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2">
      <c r="A66" s="9" t="s">
        <v>260</v>
      </c>
      <c r="B66" s="1" t="s">
        <v>261</v>
      </c>
      <c r="C66" s="13">
        <v>0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2">
      <c r="A67" s="9" t="s">
        <v>264</v>
      </c>
      <c r="B67" s="1" t="s">
        <v>265</v>
      </c>
      <c r="C67" s="13">
        <v>0</v>
      </c>
      <c r="D67" s="13">
        <v>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2">
      <c r="A68" s="9" t="s">
        <v>268</v>
      </c>
      <c r="B68" s="1" t="s">
        <v>269</v>
      </c>
      <c r="C68" s="13">
        <v>0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2">
      <c r="A69" s="9" t="s">
        <v>270</v>
      </c>
      <c r="B69" s="1" t="s">
        <v>271</v>
      </c>
      <c r="C69" s="13">
        <v>0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2">
      <c r="A70" s="9" t="s">
        <v>272</v>
      </c>
      <c r="B70" s="1" t="s">
        <v>273</v>
      </c>
      <c r="C70" s="13">
        <v>0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2">
      <c r="A71" s="9" t="s">
        <v>274</v>
      </c>
      <c r="B71" s="1" t="s">
        <v>275</v>
      </c>
      <c r="C71" s="13">
        <v>0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2">
      <c r="A72" s="9" t="s">
        <v>276</v>
      </c>
      <c r="B72" s="1" t="s">
        <v>277</v>
      </c>
      <c r="C72" s="13">
        <v>500</v>
      </c>
      <c r="D72" s="13">
        <v>500</v>
      </c>
      <c r="E72" s="13">
        <v>500</v>
      </c>
      <c r="F72" s="13">
        <v>500</v>
      </c>
      <c r="G72" s="13">
        <v>500</v>
      </c>
      <c r="H72" s="13">
        <v>500</v>
      </c>
      <c r="I72" s="13">
        <v>500</v>
      </c>
      <c r="J72" s="13">
        <v>500</v>
      </c>
      <c r="K72" s="13">
        <v>500</v>
      </c>
      <c r="L72" s="13">
        <v>500</v>
      </c>
      <c r="M72" s="13">
        <v>500</v>
      </c>
      <c r="N72" s="13">
        <v>500</v>
      </c>
    </row>
    <row r="73" spans="1:14" hidden="1" outlineLevel="1" x14ac:dyDescent="0.2">
      <c r="A73" s="9" t="s">
        <v>278</v>
      </c>
      <c r="B73" s="1" t="s">
        <v>279</v>
      </c>
      <c r="C73" s="13">
        <v>500</v>
      </c>
      <c r="D73" s="13">
        <v>500</v>
      </c>
      <c r="E73" s="13">
        <v>500</v>
      </c>
      <c r="F73" s="13">
        <v>500</v>
      </c>
      <c r="G73" s="13">
        <v>500</v>
      </c>
      <c r="H73" s="13">
        <v>500</v>
      </c>
      <c r="I73" s="13">
        <v>500</v>
      </c>
      <c r="J73" s="13">
        <v>500</v>
      </c>
      <c r="K73" s="13">
        <v>500</v>
      </c>
      <c r="L73" s="13">
        <v>500</v>
      </c>
      <c r="M73" s="13">
        <v>500</v>
      </c>
      <c r="N73" s="13">
        <v>500</v>
      </c>
    </row>
    <row r="74" spans="1:14" collapsed="1" x14ac:dyDescent="0.2">
      <c r="A74" s="9" t="s">
        <v>280</v>
      </c>
      <c r="B74" s="1" t="s">
        <v>281</v>
      </c>
      <c r="C74" s="13">
        <v>500</v>
      </c>
      <c r="D74" s="13">
        <v>500</v>
      </c>
      <c r="E74" s="13">
        <v>500</v>
      </c>
      <c r="F74" s="13">
        <v>500</v>
      </c>
      <c r="G74" s="13">
        <v>500</v>
      </c>
      <c r="H74" s="13">
        <v>500</v>
      </c>
      <c r="I74" s="13">
        <v>500</v>
      </c>
      <c r="J74" s="13">
        <v>500</v>
      </c>
      <c r="K74" s="13">
        <v>500</v>
      </c>
      <c r="L74" s="13">
        <v>500</v>
      </c>
      <c r="M74" s="13">
        <v>500</v>
      </c>
      <c r="N74" s="13">
        <v>500</v>
      </c>
    </row>
    <row r="75" spans="1:14" hidden="1" outlineLevel="1" x14ac:dyDescent="0.2">
      <c r="A75" s="9" t="s">
        <v>282</v>
      </c>
      <c r="B75" s="1" t="s">
        <v>283</v>
      </c>
      <c r="C75" s="13">
        <v>500</v>
      </c>
      <c r="D75" s="13">
        <v>500</v>
      </c>
      <c r="E75" s="13">
        <v>500</v>
      </c>
      <c r="F75" s="13">
        <v>500</v>
      </c>
      <c r="G75" s="13">
        <v>500</v>
      </c>
      <c r="H75" s="13">
        <v>500</v>
      </c>
      <c r="I75" s="13">
        <v>500</v>
      </c>
      <c r="J75" s="13">
        <v>500</v>
      </c>
      <c r="K75" s="13">
        <v>500</v>
      </c>
      <c r="L75" s="13">
        <v>500</v>
      </c>
      <c r="M75" s="13">
        <v>500</v>
      </c>
      <c r="N75" s="13">
        <v>500</v>
      </c>
    </row>
    <row r="76" spans="1:14" collapsed="1" x14ac:dyDescent="0.2">
      <c r="A76" s="9" t="s">
        <v>284</v>
      </c>
      <c r="B76" s="1" t="s">
        <v>285</v>
      </c>
      <c r="C76" s="13">
        <v>0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2">
      <c r="A77" s="9" t="s">
        <v>288</v>
      </c>
      <c r="B77" s="1" t="s">
        <v>289</v>
      </c>
      <c r="C77" s="13">
        <v>0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2">
      <c r="A78" s="3"/>
      <c r="B78" s="3" t="s">
        <v>290</v>
      </c>
      <c r="C78" s="15" t="s">
        <v>292</v>
      </c>
      <c r="D78" s="15" t="s">
        <v>292</v>
      </c>
      <c r="E78" s="15" t="s">
        <v>292</v>
      </c>
      <c r="F78" s="15" t="s">
        <v>292</v>
      </c>
      <c r="G78" s="15" t="s">
        <v>292</v>
      </c>
      <c r="H78" s="15" t="s">
        <v>292</v>
      </c>
      <c r="I78" s="15" t="s">
        <v>292</v>
      </c>
      <c r="J78" s="15" t="s">
        <v>292</v>
      </c>
      <c r="K78" s="15" t="s">
        <v>292</v>
      </c>
      <c r="L78" s="15" t="s">
        <v>292</v>
      </c>
      <c r="M78" s="15" t="s">
        <v>292</v>
      </c>
      <c r="N78" s="15" t="s">
        <v>292</v>
      </c>
    </row>
    <row r="79" spans="1:14" x14ac:dyDescent="0.2">
      <c r="A79" s="3"/>
      <c r="B79" s="3" t="s">
        <v>291</v>
      </c>
      <c r="C79" s="15" t="s">
        <v>292</v>
      </c>
      <c r="D79" s="15" t="s">
        <v>292</v>
      </c>
      <c r="E79" s="15" t="s">
        <v>292</v>
      </c>
      <c r="F79" s="15" t="s">
        <v>292</v>
      </c>
      <c r="G79" s="15" t="s">
        <v>292</v>
      </c>
      <c r="H79" s="15" t="s">
        <v>292</v>
      </c>
      <c r="I79" s="15" t="s">
        <v>292</v>
      </c>
      <c r="J79" s="15" t="s">
        <v>292</v>
      </c>
      <c r="K79" s="15" t="s">
        <v>292</v>
      </c>
      <c r="L79" s="15" t="s">
        <v>292</v>
      </c>
      <c r="M79" s="15" t="s">
        <v>292</v>
      </c>
      <c r="N79" s="15" t="s">
        <v>292</v>
      </c>
    </row>
    <row r="80" spans="1:14" x14ac:dyDescent="0.2">
      <c r="A80" s="3"/>
      <c r="B80" s="3" t="s">
        <v>293</v>
      </c>
      <c r="C80" s="15" t="s">
        <v>292</v>
      </c>
      <c r="D80" s="15" t="s">
        <v>292</v>
      </c>
      <c r="E80" s="15" t="s">
        <v>292</v>
      </c>
      <c r="F80" s="15" t="s">
        <v>292</v>
      </c>
      <c r="G80" s="15" t="s">
        <v>292</v>
      </c>
      <c r="H80" s="15" t="s">
        <v>292</v>
      </c>
      <c r="I80" s="15" t="s">
        <v>292</v>
      </c>
      <c r="J80" s="15" t="s">
        <v>292</v>
      </c>
      <c r="K80" s="15" t="s">
        <v>292</v>
      </c>
      <c r="L80" s="15" t="s">
        <v>292</v>
      </c>
      <c r="M80" s="15" t="s">
        <v>292</v>
      </c>
      <c r="N80" s="15" t="s">
        <v>292</v>
      </c>
    </row>
    <row r="81" spans="1:14" x14ac:dyDescent="0.2">
      <c r="A81" s="3"/>
      <c r="B81" s="3" t="s">
        <v>294</v>
      </c>
      <c r="C81" s="15" t="s">
        <v>292</v>
      </c>
      <c r="D81" s="15" t="s">
        <v>292</v>
      </c>
      <c r="E81" s="15" t="s">
        <v>292</v>
      </c>
      <c r="F81" s="15" t="s">
        <v>292</v>
      </c>
      <c r="G81" s="15" t="s">
        <v>292</v>
      </c>
      <c r="H81" s="15" t="s">
        <v>292</v>
      </c>
      <c r="I81" s="15" t="s">
        <v>292</v>
      </c>
      <c r="J81" s="15" t="s">
        <v>292</v>
      </c>
      <c r="K81" s="15" t="s">
        <v>292</v>
      </c>
      <c r="L81" s="15" t="s">
        <v>292</v>
      </c>
      <c r="M81" s="15" t="s">
        <v>292</v>
      </c>
      <c r="N81" s="15" t="s">
        <v>292</v>
      </c>
    </row>
    <row r="82" spans="1:14" x14ac:dyDescent="0.2">
      <c r="A82" s="12"/>
      <c r="B82" s="12" t="s">
        <v>295</v>
      </c>
      <c r="C82" s="14" t="s">
        <v>292</v>
      </c>
      <c r="D82" s="14" t="s">
        <v>292</v>
      </c>
      <c r="E82" s="14" t="s">
        <v>292</v>
      </c>
      <c r="F82" s="14" t="s">
        <v>292</v>
      </c>
      <c r="G82" s="14" t="s">
        <v>292</v>
      </c>
      <c r="H82" s="14" t="s">
        <v>292</v>
      </c>
      <c r="I82" s="14" t="s">
        <v>292</v>
      </c>
      <c r="J82" s="14" t="s">
        <v>292</v>
      </c>
      <c r="K82" s="14" t="s">
        <v>292</v>
      </c>
      <c r="L82" s="14" t="s">
        <v>292</v>
      </c>
      <c r="M82" s="14" t="s">
        <v>292</v>
      </c>
      <c r="N82" s="14" t="s">
        <v>292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ZARA PE83</vt:lpstr>
      <vt:lpstr>Centre DW1</vt:lpstr>
      <vt:lpstr>Centre WP1</vt:lpstr>
      <vt:lpstr>Centre WR1</vt:lpstr>
      <vt:lpstr>Centre WV1</vt:lpstr>
      <vt:lpstr>APPLE PE83</vt:lpstr>
      <vt:lpstr>Centre DW5</vt:lpstr>
      <vt:lpstr>Centre WP5</vt:lpstr>
      <vt:lpstr>Centre WR5</vt:lpstr>
      <vt:lpstr>LG PE83</vt:lpstr>
      <vt:lpstr>Centre DW11</vt:lpstr>
      <vt:lpstr>Centre WP11</vt:lpstr>
      <vt:lpstr>Centre WR11</vt:lpstr>
      <vt:lpstr>Centre WV11</vt:lpstr>
      <vt:lpstr>BOSCH PE83</vt:lpstr>
      <vt:lpstr>Centre DW13</vt:lpstr>
      <vt:lpstr>Centre WP13</vt:lpstr>
      <vt:lpstr>Centre WR13</vt:lpstr>
      <vt:lpstr>HUAWEI PE83</vt:lpstr>
      <vt:lpstr>Centre DW14</vt:lpstr>
      <vt:lpstr>Centre WP14</vt:lpstr>
      <vt:lpstr>Centre WR14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David Garcia Rodriguez</dc:creator>
  <cp:lastModifiedBy>Ricardo David Garcia Rodriguez</cp:lastModifiedBy>
  <dcterms:created xsi:type="dcterms:W3CDTF">2023-11-03T19:55:30Z</dcterms:created>
  <dcterms:modified xsi:type="dcterms:W3CDTF">2023-11-09T21:13:18Z</dcterms:modified>
</cp:coreProperties>
</file>