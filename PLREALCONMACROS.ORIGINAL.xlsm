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PL EXAMPLES YOUTUBE\LOGISTIC\"/>
    </mc:Choice>
  </mc:AlternateContent>
  <xr:revisionPtr revIDLastSave="0" documentId="13_ncr:1_{6F365D3E-71C4-4F3F-BC84-F35E962169B1}" xr6:coauthVersionLast="47" xr6:coauthVersionMax="47" xr10:uidLastSave="{00000000-0000-0000-0000-000000000000}"/>
  <bookViews>
    <workbookView xWindow="-120" yWindow="-120" windowWidth="20730" windowHeight="11160" tabRatio="911" firstSheet="8" activeTab="1" xr2:uid="{F5EC5EDF-DCB6-4480-AE25-D26697208636}"/>
  </bookViews>
  <sheets>
    <sheet name="ZARA PE83" sheetId="1" r:id="rId1"/>
    <sheet name="Centre DW1" sheetId="2" r:id="rId2"/>
    <sheet name="Centre WP1" sheetId="3" r:id="rId3"/>
    <sheet name="Centre WR1" sheetId="4" r:id="rId4"/>
    <sheet name="Centre WV1" sheetId="5" r:id="rId5"/>
    <sheet name="APPLE PE83" sheetId="6" r:id="rId6"/>
    <sheet name="Centre DW5" sheetId="7" r:id="rId7"/>
    <sheet name="Centre WP5" sheetId="8" r:id="rId8"/>
    <sheet name="Centre WR5" sheetId="9" r:id="rId9"/>
    <sheet name="LG PE83" sheetId="10" r:id="rId10"/>
    <sheet name="Centre DW11" sheetId="11" r:id="rId11"/>
    <sheet name="Centre WP11" sheetId="12" r:id="rId12"/>
    <sheet name="Centre WR11" sheetId="13" r:id="rId13"/>
    <sheet name="Centre WV11" sheetId="14" r:id="rId14"/>
    <sheet name="BOSCH PE83" sheetId="18" r:id="rId15"/>
    <sheet name="Centre DW13" sheetId="16" r:id="rId16"/>
    <sheet name="Centre WR13" sheetId="15" r:id="rId17"/>
    <sheet name="Centre WP13" sheetId="17" r:id="rId18"/>
    <sheet name="HUAWEI PE83" sheetId="19" r:id="rId19"/>
    <sheet name="Centre DW14" sheetId="22" r:id="rId20"/>
    <sheet name="Centre WP14" sheetId="20" r:id="rId21"/>
    <sheet name="Centre WR14" sheetId="21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8" i="1" l="1"/>
  <c r="C48" i="21"/>
  <c r="C55" i="21" s="1"/>
  <c r="D48" i="21"/>
  <c r="D55" i="21" s="1"/>
  <c r="E48" i="21"/>
  <c r="E55" i="21" s="1"/>
  <c r="F48" i="21"/>
  <c r="G48" i="21"/>
  <c r="G55" i="21" s="1"/>
  <c r="H48" i="21"/>
  <c r="H55" i="21" s="1"/>
  <c r="I48" i="21"/>
  <c r="F55" i="21"/>
  <c r="I55" i="21"/>
  <c r="C45" i="21"/>
  <c r="C43" i="21"/>
  <c r="D43" i="21"/>
  <c r="E43" i="21"/>
  <c r="F43" i="21"/>
  <c r="G43" i="21"/>
  <c r="H43" i="21"/>
  <c r="I43" i="21"/>
  <c r="C35" i="21"/>
  <c r="D35" i="21"/>
  <c r="E35" i="21"/>
  <c r="F35" i="21"/>
  <c r="G35" i="21"/>
  <c r="H35" i="21"/>
  <c r="I35" i="21"/>
  <c r="C29" i="21"/>
  <c r="D29" i="21"/>
  <c r="D45" i="21" s="1"/>
  <c r="E29" i="21"/>
  <c r="E45" i="21" s="1"/>
  <c r="F29" i="21"/>
  <c r="F45" i="21" s="1"/>
  <c r="G29" i="21"/>
  <c r="G45" i="21" s="1"/>
  <c r="H29" i="21"/>
  <c r="H45" i="21" s="1"/>
  <c r="I29" i="21"/>
  <c r="I45" i="21" s="1"/>
  <c r="F22" i="21"/>
  <c r="C21" i="21"/>
  <c r="D21" i="21"/>
  <c r="E21" i="21"/>
  <c r="F21" i="21"/>
  <c r="G21" i="21"/>
  <c r="H21" i="21"/>
  <c r="I21" i="21"/>
  <c r="C15" i="21"/>
  <c r="C22" i="21" s="1"/>
  <c r="C46" i="21" s="1"/>
  <c r="F15" i="21"/>
  <c r="H15" i="21"/>
  <c r="H22" i="21" s="1"/>
  <c r="I15" i="21"/>
  <c r="I22" i="21" s="1"/>
  <c r="C7" i="21"/>
  <c r="D7" i="21"/>
  <c r="D15" i="21" s="1"/>
  <c r="D22" i="21" s="1"/>
  <c r="D46" i="21" s="1"/>
  <c r="E7" i="21"/>
  <c r="E15" i="21" s="1"/>
  <c r="E22" i="21" s="1"/>
  <c r="E46" i="21" s="1"/>
  <c r="F7" i="21"/>
  <c r="G7" i="21"/>
  <c r="G15" i="21" s="1"/>
  <c r="G22" i="21" s="1"/>
  <c r="G46" i="21" s="1"/>
  <c r="H7" i="21"/>
  <c r="I7" i="21"/>
  <c r="C77" i="20"/>
  <c r="D77" i="20"/>
  <c r="E77" i="20"/>
  <c r="F77" i="20"/>
  <c r="G77" i="20"/>
  <c r="H77" i="20"/>
  <c r="I77" i="20"/>
  <c r="E75" i="20"/>
  <c r="G75" i="20"/>
  <c r="C72" i="20"/>
  <c r="D72" i="20"/>
  <c r="E72" i="20"/>
  <c r="F72" i="20"/>
  <c r="G72" i="20"/>
  <c r="H72" i="20"/>
  <c r="I72" i="20"/>
  <c r="C67" i="20"/>
  <c r="D67" i="20"/>
  <c r="E67" i="20"/>
  <c r="F67" i="20"/>
  <c r="G67" i="20"/>
  <c r="H67" i="20"/>
  <c r="I67" i="20"/>
  <c r="I75" i="20" s="1"/>
  <c r="C62" i="20"/>
  <c r="C75" i="20" s="1"/>
  <c r="D62" i="20"/>
  <c r="D75" i="20" s="1"/>
  <c r="E62" i="20"/>
  <c r="F62" i="20"/>
  <c r="F75" i="20" s="1"/>
  <c r="G62" i="20"/>
  <c r="H62" i="20"/>
  <c r="H75" i="20" s="1"/>
  <c r="I62" i="20"/>
  <c r="F60" i="20"/>
  <c r="C58" i="20"/>
  <c r="D58" i="20"/>
  <c r="E58" i="20"/>
  <c r="F58" i="20"/>
  <c r="G58" i="20"/>
  <c r="H58" i="20"/>
  <c r="I58" i="20"/>
  <c r="C56" i="20"/>
  <c r="D56" i="20"/>
  <c r="E56" i="20"/>
  <c r="F56" i="20"/>
  <c r="G56" i="20"/>
  <c r="H56" i="20"/>
  <c r="I56" i="20"/>
  <c r="C51" i="20"/>
  <c r="D51" i="20"/>
  <c r="E51" i="20"/>
  <c r="F51" i="20"/>
  <c r="G51" i="20"/>
  <c r="H51" i="20"/>
  <c r="I51" i="20"/>
  <c r="C47" i="20"/>
  <c r="D47" i="20"/>
  <c r="E47" i="20"/>
  <c r="F47" i="20"/>
  <c r="G47" i="20"/>
  <c r="H47" i="20"/>
  <c r="I47" i="20"/>
  <c r="C44" i="20"/>
  <c r="D44" i="20"/>
  <c r="E44" i="20"/>
  <c r="F44" i="20"/>
  <c r="G44" i="20"/>
  <c r="H44" i="20"/>
  <c r="I44" i="20"/>
  <c r="C40" i="20"/>
  <c r="D40" i="20"/>
  <c r="D60" i="20" s="1"/>
  <c r="E40" i="20"/>
  <c r="F40" i="20"/>
  <c r="G40" i="20"/>
  <c r="H40" i="20"/>
  <c r="I40" i="20"/>
  <c r="C24" i="20"/>
  <c r="C60" i="20" s="1"/>
  <c r="D24" i="20"/>
  <c r="E24" i="20"/>
  <c r="E60" i="20" s="1"/>
  <c r="F24" i="20"/>
  <c r="G24" i="20"/>
  <c r="G60" i="20" s="1"/>
  <c r="H24" i="20"/>
  <c r="H60" i="20" s="1"/>
  <c r="I24" i="20"/>
  <c r="I60" i="20" s="1"/>
  <c r="D22" i="20"/>
  <c r="F22" i="20"/>
  <c r="F61" i="20" s="1"/>
  <c r="F76" i="20" s="1"/>
  <c r="F82" i="20" s="1"/>
  <c r="C21" i="20"/>
  <c r="D21" i="20"/>
  <c r="E21" i="20"/>
  <c r="F21" i="20"/>
  <c r="G21" i="20"/>
  <c r="H21" i="20"/>
  <c r="I21" i="20"/>
  <c r="C15" i="20"/>
  <c r="C22" i="20" s="1"/>
  <c r="C61" i="20" s="1"/>
  <c r="C76" i="20" s="1"/>
  <c r="C82" i="20" s="1"/>
  <c r="D15" i="20"/>
  <c r="F15" i="20"/>
  <c r="H15" i="20"/>
  <c r="H22" i="20" s="1"/>
  <c r="C7" i="20"/>
  <c r="D7" i="20"/>
  <c r="E7" i="20"/>
  <c r="E15" i="20" s="1"/>
  <c r="E22" i="20" s="1"/>
  <c r="F7" i="20"/>
  <c r="G7" i="20"/>
  <c r="G15" i="20" s="1"/>
  <c r="G22" i="20" s="1"/>
  <c r="G61" i="20" s="1"/>
  <c r="G76" i="20" s="1"/>
  <c r="G82" i="20" s="1"/>
  <c r="H7" i="20"/>
  <c r="I7" i="20"/>
  <c r="I15" i="20" s="1"/>
  <c r="I22" i="20" s="1"/>
  <c r="I61" i="20" s="1"/>
  <c r="I76" i="20" s="1"/>
  <c r="I82" i="20" s="1"/>
  <c r="J7" i="20"/>
  <c r="K7" i="20"/>
  <c r="M7" i="20"/>
  <c r="N7" i="20"/>
  <c r="L7" i="20"/>
  <c r="C61" i="22"/>
  <c r="D61" i="22"/>
  <c r="E61" i="22"/>
  <c r="F61" i="22"/>
  <c r="G61" i="22"/>
  <c r="H61" i="22"/>
  <c r="I61" i="22"/>
  <c r="C59" i="22"/>
  <c r="E59" i="22"/>
  <c r="F59" i="22"/>
  <c r="C56" i="22"/>
  <c r="D56" i="22"/>
  <c r="E56" i="22"/>
  <c r="F56" i="22"/>
  <c r="G56" i="22"/>
  <c r="H56" i="22"/>
  <c r="I56" i="22"/>
  <c r="C50" i="22"/>
  <c r="D50" i="22"/>
  <c r="E50" i="22"/>
  <c r="F50" i="22"/>
  <c r="G50" i="22"/>
  <c r="H50" i="22"/>
  <c r="I50" i="22"/>
  <c r="C46" i="22"/>
  <c r="D46" i="22"/>
  <c r="D59" i="22" s="1"/>
  <c r="E46" i="22"/>
  <c r="F46" i="22"/>
  <c r="G46" i="22"/>
  <c r="G59" i="22" s="1"/>
  <c r="H46" i="22"/>
  <c r="H59" i="22" s="1"/>
  <c r="I46" i="22"/>
  <c r="I59" i="22" s="1"/>
  <c r="C44" i="22"/>
  <c r="C42" i="22"/>
  <c r="D42" i="22"/>
  <c r="E42" i="22"/>
  <c r="F42" i="22"/>
  <c r="G42" i="22"/>
  <c r="H42" i="22"/>
  <c r="I42" i="22"/>
  <c r="C40" i="22"/>
  <c r="D40" i="22"/>
  <c r="E40" i="22"/>
  <c r="E44" i="22" s="1"/>
  <c r="F40" i="22"/>
  <c r="G40" i="22"/>
  <c r="H40" i="22"/>
  <c r="I40" i="22"/>
  <c r="C34" i="22"/>
  <c r="D34" i="22"/>
  <c r="E34" i="22"/>
  <c r="F34" i="22"/>
  <c r="F44" i="22" s="1"/>
  <c r="G34" i="22"/>
  <c r="H34" i="22"/>
  <c r="I34" i="22"/>
  <c r="C30" i="22"/>
  <c r="D30" i="22"/>
  <c r="D44" i="22" s="1"/>
  <c r="E30" i="22"/>
  <c r="F30" i="22"/>
  <c r="G30" i="22"/>
  <c r="G44" i="22" s="1"/>
  <c r="H30" i="22"/>
  <c r="H44" i="22" s="1"/>
  <c r="I30" i="22"/>
  <c r="I44" i="22" s="1"/>
  <c r="C25" i="22"/>
  <c r="D25" i="22"/>
  <c r="E25" i="22"/>
  <c r="F25" i="22"/>
  <c r="G25" i="22"/>
  <c r="H25" i="22"/>
  <c r="I25" i="22"/>
  <c r="C23" i="22"/>
  <c r="D23" i="22"/>
  <c r="E23" i="22"/>
  <c r="F23" i="22"/>
  <c r="G23" i="22"/>
  <c r="H23" i="22"/>
  <c r="I23" i="22"/>
  <c r="C17" i="22"/>
  <c r="D17" i="22"/>
  <c r="E17" i="22"/>
  <c r="E27" i="22" s="1"/>
  <c r="E28" i="22" s="1"/>
  <c r="F17" i="22"/>
  <c r="G17" i="22"/>
  <c r="H17" i="22"/>
  <c r="I17" i="22"/>
  <c r="K17" i="22"/>
  <c r="L17" i="22"/>
  <c r="M17" i="22"/>
  <c r="N17" i="22"/>
  <c r="F27" i="22"/>
  <c r="E16" i="22"/>
  <c r="C13" i="22"/>
  <c r="D13" i="22"/>
  <c r="E13" i="22"/>
  <c r="F13" i="22"/>
  <c r="G13" i="22"/>
  <c r="H13" i="22"/>
  <c r="H16" i="22" s="1"/>
  <c r="I13" i="22"/>
  <c r="C7" i="22"/>
  <c r="C16" i="22" s="1"/>
  <c r="D7" i="22"/>
  <c r="D16" i="22" s="1"/>
  <c r="E7" i="22"/>
  <c r="F7" i="22"/>
  <c r="F16" i="22" s="1"/>
  <c r="G7" i="22"/>
  <c r="G16" i="22" s="1"/>
  <c r="H7" i="22"/>
  <c r="I7" i="22"/>
  <c r="I16" i="22" s="1"/>
  <c r="C48" i="16"/>
  <c r="D48" i="16"/>
  <c r="E48" i="16"/>
  <c r="F48" i="16"/>
  <c r="G48" i="16"/>
  <c r="H48" i="16"/>
  <c r="I48" i="16"/>
  <c r="K48" i="16"/>
  <c r="L48" i="16"/>
  <c r="M48" i="16"/>
  <c r="N48" i="16"/>
  <c r="J48" i="16"/>
  <c r="N32" i="16"/>
  <c r="M32" i="16"/>
  <c r="C32" i="16"/>
  <c r="C57" i="17"/>
  <c r="D57" i="17"/>
  <c r="E57" i="17"/>
  <c r="F57" i="17"/>
  <c r="G57" i="17"/>
  <c r="I57" i="17"/>
  <c r="J57" i="17"/>
  <c r="K57" i="17"/>
  <c r="L57" i="17"/>
  <c r="M57" i="17"/>
  <c r="N57" i="17"/>
  <c r="D52" i="17"/>
  <c r="E52" i="17"/>
  <c r="F52" i="17"/>
  <c r="G52" i="17"/>
  <c r="H52" i="17"/>
  <c r="I52" i="17"/>
  <c r="J52" i="17"/>
  <c r="K52" i="17"/>
  <c r="L52" i="17"/>
  <c r="M52" i="17"/>
  <c r="N52" i="17"/>
  <c r="C60" i="17"/>
  <c r="D60" i="17"/>
  <c r="E60" i="17"/>
  <c r="F60" i="17"/>
  <c r="G60" i="17"/>
  <c r="H60" i="17"/>
  <c r="I60" i="17"/>
  <c r="J60" i="17"/>
  <c r="K60" i="17"/>
  <c r="L60" i="17"/>
  <c r="M60" i="17"/>
  <c r="H57" i="17"/>
  <c r="C52" i="17"/>
  <c r="C32" i="17"/>
  <c r="D32" i="17"/>
  <c r="E32" i="17"/>
  <c r="F32" i="17"/>
  <c r="G32" i="17"/>
  <c r="H32" i="17"/>
  <c r="I32" i="17"/>
  <c r="J32" i="17"/>
  <c r="K32" i="17"/>
  <c r="L32" i="17"/>
  <c r="M32" i="17"/>
  <c r="C27" i="16"/>
  <c r="D27" i="16"/>
  <c r="E27" i="16"/>
  <c r="F27" i="16"/>
  <c r="G27" i="16"/>
  <c r="H27" i="16"/>
  <c r="I27" i="16"/>
  <c r="J27" i="16"/>
  <c r="K27" i="16"/>
  <c r="L27" i="16"/>
  <c r="M27" i="16"/>
  <c r="C25" i="16"/>
  <c r="D25" i="16"/>
  <c r="E25" i="16"/>
  <c r="F25" i="16"/>
  <c r="G25" i="16"/>
  <c r="H25" i="16"/>
  <c r="I25" i="16"/>
  <c r="J25" i="16"/>
  <c r="K25" i="16"/>
  <c r="L25" i="16"/>
  <c r="M25" i="16"/>
  <c r="C18" i="16"/>
  <c r="D18" i="16"/>
  <c r="E18" i="16"/>
  <c r="F18" i="16"/>
  <c r="G18" i="16"/>
  <c r="H18" i="16"/>
  <c r="I18" i="16"/>
  <c r="C7" i="17"/>
  <c r="D7" i="17"/>
  <c r="D17" i="17" s="1"/>
  <c r="E7" i="17"/>
  <c r="E17" i="17" s="1"/>
  <c r="F7" i="17"/>
  <c r="G7" i="17"/>
  <c r="H7" i="17"/>
  <c r="I7" i="17"/>
  <c r="J7" i="17"/>
  <c r="K7" i="17"/>
  <c r="C25" i="15"/>
  <c r="D25" i="15"/>
  <c r="E25" i="15"/>
  <c r="F25" i="15"/>
  <c r="G25" i="15"/>
  <c r="H25" i="15"/>
  <c r="C7" i="15"/>
  <c r="D7" i="15"/>
  <c r="E7" i="15"/>
  <c r="F7" i="15"/>
  <c r="G7" i="15"/>
  <c r="H7" i="15"/>
  <c r="I7" i="15"/>
  <c r="C7" i="16"/>
  <c r="D7" i="16"/>
  <c r="E7" i="16"/>
  <c r="F7" i="16"/>
  <c r="G7" i="16"/>
  <c r="H7" i="16"/>
  <c r="I7" i="16"/>
  <c r="K7" i="16"/>
  <c r="L7" i="16"/>
  <c r="M7" i="16"/>
  <c r="N7" i="16"/>
  <c r="C91" i="17"/>
  <c r="D91" i="17"/>
  <c r="E91" i="17"/>
  <c r="F91" i="17"/>
  <c r="G91" i="17"/>
  <c r="H91" i="17"/>
  <c r="I91" i="17"/>
  <c r="C86" i="17"/>
  <c r="D86" i="17"/>
  <c r="E86" i="17"/>
  <c r="F86" i="17"/>
  <c r="G86" i="17"/>
  <c r="H86" i="17"/>
  <c r="I86" i="17"/>
  <c r="C79" i="17"/>
  <c r="D79" i="17"/>
  <c r="E79" i="17"/>
  <c r="F79" i="17"/>
  <c r="G79" i="17"/>
  <c r="H79" i="17"/>
  <c r="I79" i="17"/>
  <c r="C74" i="17"/>
  <c r="D74" i="17"/>
  <c r="E74" i="17"/>
  <c r="F74" i="17"/>
  <c r="G74" i="17"/>
  <c r="H74" i="17"/>
  <c r="I74" i="17"/>
  <c r="C70" i="17"/>
  <c r="D70" i="17"/>
  <c r="E70" i="17"/>
  <c r="F70" i="17"/>
  <c r="G70" i="17"/>
  <c r="H70" i="17"/>
  <c r="I70" i="17"/>
  <c r="C65" i="17"/>
  <c r="D65" i="17"/>
  <c r="E65" i="17"/>
  <c r="F65" i="17"/>
  <c r="G65" i="17"/>
  <c r="H65" i="17"/>
  <c r="I65" i="17"/>
  <c r="C63" i="17"/>
  <c r="D63" i="17"/>
  <c r="E63" i="17"/>
  <c r="F63" i="17"/>
  <c r="G63" i="17"/>
  <c r="H63" i="17"/>
  <c r="I63" i="17"/>
  <c r="N32" i="17"/>
  <c r="C27" i="17"/>
  <c r="D27" i="17"/>
  <c r="E27" i="17"/>
  <c r="F27" i="17"/>
  <c r="G27" i="17"/>
  <c r="H27" i="17"/>
  <c r="I27" i="17"/>
  <c r="C25" i="17"/>
  <c r="C29" i="17" s="1"/>
  <c r="D25" i="17"/>
  <c r="E25" i="17"/>
  <c r="E29" i="17" s="1"/>
  <c r="F25" i="17"/>
  <c r="F29" i="17" s="1"/>
  <c r="G25" i="17"/>
  <c r="H25" i="17"/>
  <c r="H29" i="17" s="1"/>
  <c r="I25" i="17"/>
  <c r="C14" i="17"/>
  <c r="D14" i="17"/>
  <c r="E14" i="17"/>
  <c r="F14" i="17"/>
  <c r="G14" i="17"/>
  <c r="H14" i="17"/>
  <c r="I14" i="17"/>
  <c r="L7" i="17"/>
  <c r="M7" i="17"/>
  <c r="N7" i="17"/>
  <c r="C59" i="15"/>
  <c r="D59" i="15"/>
  <c r="E59" i="15"/>
  <c r="F59" i="15"/>
  <c r="G59" i="15"/>
  <c r="H59" i="15"/>
  <c r="I59" i="15"/>
  <c r="C55" i="15"/>
  <c r="D55" i="15"/>
  <c r="E55" i="15"/>
  <c r="F55" i="15"/>
  <c r="G55" i="15"/>
  <c r="H55" i="15"/>
  <c r="I55" i="15"/>
  <c r="C50" i="15"/>
  <c r="C57" i="15" s="1"/>
  <c r="D50" i="15"/>
  <c r="E50" i="15"/>
  <c r="E57" i="15" s="1"/>
  <c r="F50" i="15"/>
  <c r="G50" i="15"/>
  <c r="H50" i="15"/>
  <c r="H57" i="15" s="1"/>
  <c r="I50" i="15"/>
  <c r="I57" i="15" s="1"/>
  <c r="C45" i="15"/>
  <c r="D45" i="15"/>
  <c r="E45" i="15"/>
  <c r="F45" i="15"/>
  <c r="G45" i="15"/>
  <c r="H45" i="15"/>
  <c r="I45" i="15"/>
  <c r="C32" i="15"/>
  <c r="D32" i="15"/>
  <c r="D47" i="15" s="1"/>
  <c r="E32" i="15"/>
  <c r="E47" i="15" s="1"/>
  <c r="F32" i="15"/>
  <c r="F47" i="15" s="1"/>
  <c r="G32" i="15"/>
  <c r="G47" i="15" s="1"/>
  <c r="H32" i="15"/>
  <c r="H47" i="15" s="1"/>
  <c r="I32" i="15"/>
  <c r="I47" i="15" s="1"/>
  <c r="C35" i="15"/>
  <c r="D35" i="15"/>
  <c r="E35" i="15"/>
  <c r="F35" i="15"/>
  <c r="G35" i="15"/>
  <c r="H35" i="15"/>
  <c r="I35" i="15"/>
  <c r="C38" i="15"/>
  <c r="D38" i="15"/>
  <c r="E38" i="15"/>
  <c r="F38" i="15"/>
  <c r="G38" i="15"/>
  <c r="H38" i="15"/>
  <c r="I38" i="15"/>
  <c r="C14" i="15"/>
  <c r="D14" i="15"/>
  <c r="D17" i="15" s="1"/>
  <c r="E14" i="15"/>
  <c r="F14" i="15"/>
  <c r="G14" i="15"/>
  <c r="H14" i="15"/>
  <c r="H17" i="15" s="1"/>
  <c r="C92" i="16"/>
  <c r="D92" i="16"/>
  <c r="E92" i="16"/>
  <c r="F92" i="16"/>
  <c r="G92" i="16"/>
  <c r="H92" i="16"/>
  <c r="I92" i="16"/>
  <c r="C62" i="16"/>
  <c r="D62" i="16"/>
  <c r="E62" i="16"/>
  <c r="F62" i="16"/>
  <c r="G62" i="16"/>
  <c r="H62" i="16"/>
  <c r="I62" i="16"/>
  <c r="C78" i="16"/>
  <c r="D78" i="16"/>
  <c r="E78" i="16"/>
  <c r="F78" i="16"/>
  <c r="G78" i="16"/>
  <c r="H78" i="16"/>
  <c r="I78" i="16"/>
  <c r="C58" i="16"/>
  <c r="D58" i="16"/>
  <c r="E58" i="16"/>
  <c r="F58" i="16"/>
  <c r="G58" i="16"/>
  <c r="H58" i="16"/>
  <c r="I58" i="16"/>
  <c r="C56" i="16"/>
  <c r="D56" i="16"/>
  <c r="E56" i="16"/>
  <c r="F56" i="16"/>
  <c r="G56" i="16"/>
  <c r="H56" i="16"/>
  <c r="I56" i="16"/>
  <c r="D32" i="16"/>
  <c r="E32" i="16"/>
  <c r="E60" i="16" s="1"/>
  <c r="F32" i="16"/>
  <c r="F60" i="16" s="1"/>
  <c r="G32" i="16"/>
  <c r="H32" i="16"/>
  <c r="H60" i="16" s="1"/>
  <c r="I32" i="16"/>
  <c r="I60" i="16" s="1"/>
  <c r="C14" i="16"/>
  <c r="D14" i="16"/>
  <c r="E14" i="16"/>
  <c r="F14" i="16"/>
  <c r="G14" i="16"/>
  <c r="H14" i="16"/>
  <c r="I14" i="16"/>
  <c r="I17" i="12"/>
  <c r="D14" i="12"/>
  <c r="E14" i="12"/>
  <c r="F14" i="12"/>
  <c r="G14" i="12"/>
  <c r="H14" i="12"/>
  <c r="I14" i="12"/>
  <c r="J14" i="12"/>
  <c r="K14" i="12"/>
  <c r="L14" i="12"/>
  <c r="M14" i="12"/>
  <c r="N14" i="12"/>
  <c r="D7" i="12"/>
  <c r="D17" i="12" s="1"/>
  <c r="E7" i="12"/>
  <c r="E17" i="12" s="1"/>
  <c r="F7" i="12"/>
  <c r="F17" i="12" s="1"/>
  <c r="G7" i="12"/>
  <c r="G17" i="12" s="1"/>
  <c r="H7" i="12"/>
  <c r="H17" i="12" s="1"/>
  <c r="I7" i="12"/>
  <c r="J7" i="12"/>
  <c r="K7" i="12"/>
  <c r="L7" i="12"/>
  <c r="M7" i="12"/>
  <c r="N7" i="12"/>
  <c r="D14" i="11"/>
  <c r="E14" i="11"/>
  <c r="F14" i="11"/>
  <c r="G14" i="11"/>
  <c r="H14" i="11"/>
  <c r="I14" i="11"/>
  <c r="I22" i="11" s="1"/>
  <c r="J14" i="11"/>
  <c r="K14" i="11"/>
  <c r="L14" i="11"/>
  <c r="M14" i="11"/>
  <c r="N14" i="11"/>
  <c r="C7" i="11"/>
  <c r="C13" i="11" s="1"/>
  <c r="D7" i="11"/>
  <c r="D13" i="11" s="1"/>
  <c r="E7" i="11"/>
  <c r="E13" i="11" s="1"/>
  <c r="F7" i="11"/>
  <c r="F13" i="11" s="1"/>
  <c r="G7" i="11"/>
  <c r="G13" i="11" s="1"/>
  <c r="H7" i="11"/>
  <c r="H13" i="11" s="1"/>
  <c r="I7" i="11"/>
  <c r="I13" i="11" s="1"/>
  <c r="D54" i="14"/>
  <c r="E54" i="14"/>
  <c r="F54" i="14"/>
  <c r="G54" i="14"/>
  <c r="H54" i="14"/>
  <c r="I54" i="14"/>
  <c r="C45" i="14"/>
  <c r="D45" i="14"/>
  <c r="E45" i="14"/>
  <c r="F45" i="14"/>
  <c r="G45" i="14"/>
  <c r="H45" i="14"/>
  <c r="I45" i="14"/>
  <c r="C33" i="14"/>
  <c r="C57" i="14" s="1"/>
  <c r="D33" i="14"/>
  <c r="E33" i="14"/>
  <c r="F33" i="14"/>
  <c r="G33" i="14"/>
  <c r="G56" i="14" s="1"/>
  <c r="H33" i="14"/>
  <c r="I33" i="14"/>
  <c r="I56" i="14" s="1"/>
  <c r="J33" i="14"/>
  <c r="K33" i="14"/>
  <c r="L33" i="14"/>
  <c r="M33" i="14"/>
  <c r="C18" i="14"/>
  <c r="D18" i="14"/>
  <c r="D19" i="14" s="1"/>
  <c r="E18" i="14"/>
  <c r="F18" i="14"/>
  <c r="G18" i="14"/>
  <c r="H18" i="14"/>
  <c r="I18" i="14"/>
  <c r="J18" i="14"/>
  <c r="K18" i="14"/>
  <c r="L18" i="14"/>
  <c r="L19" i="14" s="1"/>
  <c r="M18" i="14"/>
  <c r="C12" i="14"/>
  <c r="C19" i="14" s="1"/>
  <c r="D12" i="14"/>
  <c r="E12" i="14"/>
  <c r="F12" i="14"/>
  <c r="G12" i="14"/>
  <c r="G19" i="14" s="1"/>
  <c r="H12" i="14"/>
  <c r="H19" i="14" s="1"/>
  <c r="I12" i="14"/>
  <c r="J12" i="14"/>
  <c r="K12" i="14"/>
  <c r="K19" i="14" s="1"/>
  <c r="L12" i="14"/>
  <c r="N12" i="14"/>
  <c r="C31" i="14"/>
  <c r="D31" i="14"/>
  <c r="E31" i="14"/>
  <c r="F31" i="14"/>
  <c r="G31" i="14"/>
  <c r="H31" i="14"/>
  <c r="I31" i="14"/>
  <c r="J31" i="14"/>
  <c r="K31" i="14"/>
  <c r="L31" i="14"/>
  <c r="M31" i="14"/>
  <c r="M12" i="14"/>
  <c r="M19" i="14" s="1"/>
  <c r="C83" i="13"/>
  <c r="D83" i="13"/>
  <c r="E83" i="13"/>
  <c r="F83" i="13"/>
  <c r="G83" i="13"/>
  <c r="H83" i="13"/>
  <c r="I83" i="13"/>
  <c r="C79" i="13"/>
  <c r="C81" i="13" s="1"/>
  <c r="D79" i="13"/>
  <c r="D81" i="13" s="1"/>
  <c r="E79" i="13"/>
  <c r="E81" i="13" s="1"/>
  <c r="F79" i="13"/>
  <c r="F81" i="13" s="1"/>
  <c r="G79" i="13"/>
  <c r="G81" i="13" s="1"/>
  <c r="H79" i="13"/>
  <c r="H81" i="13" s="1"/>
  <c r="I79" i="13"/>
  <c r="I81" i="13" s="1"/>
  <c r="C69" i="13"/>
  <c r="D69" i="13"/>
  <c r="E69" i="13"/>
  <c r="F69" i="13"/>
  <c r="G69" i="13"/>
  <c r="H69" i="13"/>
  <c r="I69" i="13"/>
  <c r="K61" i="13"/>
  <c r="L61" i="13"/>
  <c r="M61" i="13"/>
  <c r="N61" i="13"/>
  <c r="J61" i="13"/>
  <c r="C61" i="13"/>
  <c r="D61" i="13"/>
  <c r="E61" i="13"/>
  <c r="F61" i="13"/>
  <c r="G61" i="13"/>
  <c r="H61" i="13"/>
  <c r="I61" i="13"/>
  <c r="C59" i="13"/>
  <c r="D59" i="13"/>
  <c r="E59" i="13"/>
  <c r="F59" i="13"/>
  <c r="G59" i="13"/>
  <c r="H59" i="13"/>
  <c r="I59" i="13"/>
  <c r="C57" i="13"/>
  <c r="D57" i="13"/>
  <c r="E57" i="13"/>
  <c r="F57" i="13"/>
  <c r="G57" i="13"/>
  <c r="H57" i="13"/>
  <c r="I57" i="13"/>
  <c r="C50" i="13"/>
  <c r="D50" i="13"/>
  <c r="E50" i="13"/>
  <c r="F50" i="13"/>
  <c r="G50" i="13"/>
  <c r="H50" i="13"/>
  <c r="I50" i="13"/>
  <c r="C47" i="13"/>
  <c r="D47" i="13"/>
  <c r="E47" i="13"/>
  <c r="F47" i="13"/>
  <c r="G47" i="13"/>
  <c r="H47" i="13"/>
  <c r="I47" i="13"/>
  <c r="C45" i="13"/>
  <c r="D45" i="13"/>
  <c r="E45" i="13"/>
  <c r="F45" i="13"/>
  <c r="G45" i="13"/>
  <c r="H45" i="13"/>
  <c r="I45" i="13"/>
  <c r="C42" i="13"/>
  <c r="D42" i="13"/>
  <c r="E42" i="13"/>
  <c r="F42" i="13"/>
  <c r="G42" i="13"/>
  <c r="H42" i="13"/>
  <c r="I42" i="13"/>
  <c r="C38" i="13"/>
  <c r="D38" i="13"/>
  <c r="E38" i="13"/>
  <c r="F38" i="13"/>
  <c r="G38" i="13"/>
  <c r="H38" i="13"/>
  <c r="I38" i="13"/>
  <c r="C34" i="13"/>
  <c r="D34" i="13"/>
  <c r="E34" i="13"/>
  <c r="F34" i="13"/>
  <c r="G34" i="13"/>
  <c r="H34" i="13"/>
  <c r="I34" i="13"/>
  <c r="C29" i="13"/>
  <c r="D29" i="13"/>
  <c r="E29" i="13"/>
  <c r="F29" i="13"/>
  <c r="G29" i="13"/>
  <c r="H29" i="13"/>
  <c r="I29" i="13"/>
  <c r="C22" i="13"/>
  <c r="D22" i="13"/>
  <c r="E22" i="13"/>
  <c r="F22" i="13"/>
  <c r="G22" i="13"/>
  <c r="H22" i="13"/>
  <c r="I22" i="13"/>
  <c r="C27" i="13"/>
  <c r="D27" i="13"/>
  <c r="E27" i="13"/>
  <c r="F27" i="13"/>
  <c r="G27" i="13"/>
  <c r="H27" i="13"/>
  <c r="I27" i="13"/>
  <c r="C18" i="13"/>
  <c r="D18" i="13"/>
  <c r="E18" i="13"/>
  <c r="F18" i="13"/>
  <c r="G18" i="13"/>
  <c r="H18" i="13"/>
  <c r="I18" i="13"/>
  <c r="C7" i="13"/>
  <c r="D7" i="13"/>
  <c r="E7" i="13"/>
  <c r="F7" i="13"/>
  <c r="G7" i="13"/>
  <c r="G21" i="13" s="1"/>
  <c r="H7" i="13"/>
  <c r="I7" i="13"/>
  <c r="I21" i="13" s="1"/>
  <c r="C128" i="12"/>
  <c r="D128" i="12"/>
  <c r="E128" i="12"/>
  <c r="F128" i="12"/>
  <c r="G128" i="12"/>
  <c r="H128" i="12"/>
  <c r="I128" i="12"/>
  <c r="C123" i="12"/>
  <c r="D123" i="12"/>
  <c r="E123" i="12"/>
  <c r="F123" i="12"/>
  <c r="G123" i="12"/>
  <c r="H123" i="12"/>
  <c r="I123" i="12"/>
  <c r="C110" i="12"/>
  <c r="D110" i="12"/>
  <c r="E110" i="12"/>
  <c r="F110" i="12"/>
  <c r="G110" i="12"/>
  <c r="H110" i="12"/>
  <c r="I110" i="12"/>
  <c r="C95" i="12"/>
  <c r="D95" i="12"/>
  <c r="D126" i="12" s="1"/>
  <c r="E95" i="12"/>
  <c r="F95" i="12"/>
  <c r="G95" i="12"/>
  <c r="G126" i="12" s="1"/>
  <c r="H95" i="12"/>
  <c r="H126" i="12" s="1"/>
  <c r="I95" i="12"/>
  <c r="I126" i="12" s="1"/>
  <c r="C91" i="12"/>
  <c r="D91" i="12"/>
  <c r="E91" i="12"/>
  <c r="F91" i="12"/>
  <c r="G91" i="12"/>
  <c r="H91" i="12"/>
  <c r="I91" i="12"/>
  <c r="C84" i="12"/>
  <c r="D84" i="12"/>
  <c r="E84" i="12"/>
  <c r="F84" i="12"/>
  <c r="G84" i="12"/>
  <c r="H84" i="12"/>
  <c r="I84" i="12"/>
  <c r="C82" i="12"/>
  <c r="D82" i="12"/>
  <c r="E82" i="12"/>
  <c r="F82" i="12"/>
  <c r="G82" i="12"/>
  <c r="H82" i="12"/>
  <c r="I82" i="12"/>
  <c r="C75" i="12"/>
  <c r="D75" i="12"/>
  <c r="E75" i="12"/>
  <c r="F75" i="12"/>
  <c r="G75" i="12"/>
  <c r="H75" i="12"/>
  <c r="I75" i="12"/>
  <c r="C66" i="12"/>
  <c r="D66" i="12"/>
  <c r="E66" i="12"/>
  <c r="F66" i="12"/>
  <c r="G66" i="12"/>
  <c r="H66" i="12"/>
  <c r="I66" i="12"/>
  <c r="C61" i="12"/>
  <c r="D61" i="12"/>
  <c r="E61" i="12"/>
  <c r="F61" i="12"/>
  <c r="G61" i="12"/>
  <c r="H61" i="12"/>
  <c r="I61" i="12"/>
  <c r="C58" i="12"/>
  <c r="D58" i="12"/>
  <c r="E58" i="12"/>
  <c r="F58" i="12"/>
  <c r="G58" i="12"/>
  <c r="H58" i="12"/>
  <c r="I58" i="12"/>
  <c r="C52" i="12"/>
  <c r="D52" i="12"/>
  <c r="E52" i="12"/>
  <c r="F52" i="12"/>
  <c r="G52" i="12"/>
  <c r="H52" i="12"/>
  <c r="I52" i="12"/>
  <c r="C32" i="12"/>
  <c r="D32" i="12"/>
  <c r="E32" i="12"/>
  <c r="F32" i="12"/>
  <c r="G32" i="12"/>
  <c r="H32" i="12"/>
  <c r="I32" i="12"/>
  <c r="C27" i="12"/>
  <c r="D27" i="12"/>
  <c r="E27" i="12"/>
  <c r="F27" i="12"/>
  <c r="G27" i="12"/>
  <c r="H27" i="12"/>
  <c r="I27" i="12"/>
  <c r="C25" i="12"/>
  <c r="D25" i="12"/>
  <c r="E25" i="12"/>
  <c r="F25" i="12"/>
  <c r="G25" i="12"/>
  <c r="H25" i="12"/>
  <c r="I25" i="12"/>
  <c r="C18" i="12"/>
  <c r="C29" i="12" s="1"/>
  <c r="D18" i="12"/>
  <c r="D29" i="12" s="1"/>
  <c r="E18" i="12"/>
  <c r="F18" i="12"/>
  <c r="G18" i="12"/>
  <c r="H18" i="12"/>
  <c r="I18" i="12"/>
  <c r="K18" i="12"/>
  <c r="L18" i="12"/>
  <c r="M18" i="12"/>
  <c r="N18" i="12"/>
  <c r="C14" i="12"/>
  <c r="C7" i="12"/>
  <c r="C17" i="12" s="1"/>
  <c r="C52" i="11"/>
  <c r="D52" i="11"/>
  <c r="E52" i="11"/>
  <c r="F52" i="11"/>
  <c r="G52" i="11"/>
  <c r="H52" i="11"/>
  <c r="I52" i="11"/>
  <c r="C35" i="11"/>
  <c r="D35" i="11"/>
  <c r="E35" i="11"/>
  <c r="F35" i="11"/>
  <c r="G35" i="11"/>
  <c r="H35" i="11"/>
  <c r="I35" i="11"/>
  <c r="D22" i="11"/>
  <c r="E22" i="11"/>
  <c r="F22" i="11"/>
  <c r="G22" i="11"/>
  <c r="H22" i="11"/>
  <c r="C14" i="11"/>
  <c r="C22" i="11" s="1"/>
  <c r="J7" i="11"/>
  <c r="K7" i="11"/>
  <c r="L7" i="11"/>
  <c r="M7" i="11"/>
  <c r="N7" i="11"/>
  <c r="C85" i="9"/>
  <c r="D85" i="9"/>
  <c r="E85" i="9"/>
  <c r="F85" i="9"/>
  <c r="G85" i="9"/>
  <c r="H85" i="9"/>
  <c r="I85" i="9"/>
  <c r="C135" i="8"/>
  <c r="D135" i="8"/>
  <c r="E135" i="8"/>
  <c r="F135" i="8"/>
  <c r="G135" i="8"/>
  <c r="H135" i="8"/>
  <c r="I135" i="8"/>
  <c r="I140" i="8" s="1"/>
  <c r="I3" i="6" s="1"/>
  <c r="C54" i="7"/>
  <c r="J3" i="6"/>
  <c r="K3" i="6"/>
  <c r="L3" i="6"/>
  <c r="M3" i="6"/>
  <c r="N3" i="6"/>
  <c r="C77" i="9"/>
  <c r="D77" i="9"/>
  <c r="D78" i="9" s="1"/>
  <c r="E77" i="9"/>
  <c r="F77" i="9"/>
  <c r="G77" i="9"/>
  <c r="G78" i="9" s="1"/>
  <c r="H77" i="9"/>
  <c r="I77" i="9"/>
  <c r="C78" i="9"/>
  <c r="E78" i="9"/>
  <c r="F78" i="9"/>
  <c r="H78" i="9"/>
  <c r="I78" i="9"/>
  <c r="J135" i="8"/>
  <c r="C140" i="8"/>
  <c r="D140" i="8"/>
  <c r="D3" i="6" s="1"/>
  <c r="E140" i="8"/>
  <c r="E3" i="6" s="1"/>
  <c r="F140" i="8"/>
  <c r="F3" i="6" s="1"/>
  <c r="G140" i="8"/>
  <c r="H140" i="8"/>
  <c r="H3" i="6" s="1"/>
  <c r="C134" i="8"/>
  <c r="D134" i="8"/>
  <c r="E134" i="8"/>
  <c r="F134" i="8"/>
  <c r="G134" i="8"/>
  <c r="H134" i="8"/>
  <c r="I134" i="8"/>
  <c r="J134" i="8"/>
  <c r="K134" i="8"/>
  <c r="L134" i="8"/>
  <c r="M134" i="8"/>
  <c r="C51" i="7"/>
  <c r="D51" i="7"/>
  <c r="E51" i="7"/>
  <c r="F51" i="7"/>
  <c r="G51" i="7"/>
  <c r="H51" i="7"/>
  <c r="I51" i="7"/>
  <c r="J51" i="7"/>
  <c r="K51" i="7"/>
  <c r="L51" i="7"/>
  <c r="M51" i="7"/>
  <c r="K133" i="8"/>
  <c r="L133" i="8"/>
  <c r="M133" i="8"/>
  <c r="N133" i="8"/>
  <c r="N50" i="7"/>
  <c r="C68" i="9"/>
  <c r="D68" i="9"/>
  <c r="E68" i="9"/>
  <c r="F68" i="9"/>
  <c r="G68" i="9"/>
  <c r="H68" i="9"/>
  <c r="I68" i="9"/>
  <c r="J68" i="9"/>
  <c r="K68" i="9"/>
  <c r="L68" i="9"/>
  <c r="M68" i="9"/>
  <c r="C100" i="8"/>
  <c r="D100" i="8"/>
  <c r="E100" i="8"/>
  <c r="F100" i="8"/>
  <c r="G100" i="8"/>
  <c r="H100" i="8"/>
  <c r="I100" i="8"/>
  <c r="J100" i="8"/>
  <c r="K100" i="8"/>
  <c r="L100" i="8"/>
  <c r="M100" i="8"/>
  <c r="C33" i="7"/>
  <c r="D33" i="7"/>
  <c r="E33" i="7"/>
  <c r="F33" i="7"/>
  <c r="G33" i="7"/>
  <c r="H33" i="7"/>
  <c r="I33" i="7"/>
  <c r="J33" i="7"/>
  <c r="K33" i="7"/>
  <c r="L33" i="7"/>
  <c r="M33" i="7"/>
  <c r="C67" i="9"/>
  <c r="D67" i="9"/>
  <c r="E67" i="9"/>
  <c r="F67" i="9"/>
  <c r="G67" i="9"/>
  <c r="H67" i="9"/>
  <c r="I67" i="9"/>
  <c r="J67" i="9"/>
  <c r="K67" i="9"/>
  <c r="M67" i="9"/>
  <c r="N67" i="9"/>
  <c r="L67" i="9"/>
  <c r="C65" i="9"/>
  <c r="D65" i="9"/>
  <c r="E65" i="9"/>
  <c r="F65" i="9"/>
  <c r="G65" i="9"/>
  <c r="H65" i="9"/>
  <c r="I65" i="9"/>
  <c r="J65" i="9"/>
  <c r="K65" i="9"/>
  <c r="L65" i="9"/>
  <c r="M65" i="9"/>
  <c r="C57" i="9"/>
  <c r="D57" i="9"/>
  <c r="E57" i="9"/>
  <c r="F57" i="9"/>
  <c r="G57" i="9"/>
  <c r="H57" i="9"/>
  <c r="I57" i="9"/>
  <c r="J57" i="9"/>
  <c r="K57" i="9"/>
  <c r="L57" i="9"/>
  <c r="M57" i="9"/>
  <c r="C54" i="9"/>
  <c r="D54" i="9"/>
  <c r="E54" i="9"/>
  <c r="F54" i="9"/>
  <c r="G54" i="9"/>
  <c r="H54" i="9"/>
  <c r="I54" i="9"/>
  <c r="J54" i="9"/>
  <c r="K54" i="9"/>
  <c r="L54" i="9"/>
  <c r="M54" i="9"/>
  <c r="C48" i="9"/>
  <c r="D48" i="9"/>
  <c r="E48" i="9"/>
  <c r="F48" i="9"/>
  <c r="G48" i="9"/>
  <c r="H48" i="9"/>
  <c r="I48" i="9"/>
  <c r="J48" i="9"/>
  <c r="K48" i="9"/>
  <c r="L48" i="9"/>
  <c r="M48" i="9"/>
  <c r="C43" i="9"/>
  <c r="D43" i="9"/>
  <c r="E43" i="9"/>
  <c r="F43" i="9"/>
  <c r="G43" i="9"/>
  <c r="H43" i="9"/>
  <c r="I43" i="9"/>
  <c r="J43" i="9"/>
  <c r="K43" i="9"/>
  <c r="L43" i="9"/>
  <c r="M43" i="9"/>
  <c r="C40" i="9"/>
  <c r="D40" i="9"/>
  <c r="E40" i="9"/>
  <c r="F40" i="9"/>
  <c r="G40" i="9"/>
  <c r="H40" i="9"/>
  <c r="I40" i="9"/>
  <c r="J40" i="9"/>
  <c r="K40" i="9"/>
  <c r="L40" i="9"/>
  <c r="M40" i="9"/>
  <c r="C34" i="9"/>
  <c r="D34" i="9"/>
  <c r="E34" i="9"/>
  <c r="F34" i="9"/>
  <c r="G34" i="9"/>
  <c r="H34" i="9"/>
  <c r="I34" i="9"/>
  <c r="J34" i="9"/>
  <c r="K34" i="9"/>
  <c r="L34" i="9"/>
  <c r="M34" i="9"/>
  <c r="C99" i="8"/>
  <c r="D99" i="8"/>
  <c r="E99" i="8"/>
  <c r="F99" i="8"/>
  <c r="G99" i="8"/>
  <c r="H99" i="8"/>
  <c r="I99" i="8"/>
  <c r="J99" i="8"/>
  <c r="K99" i="8"/>
  <c r="L99" i="8"/>
  <c r="M99" i="8"/>
  <c r="C90" i="8"/>
  <c r="D90" i="8"/>
  <c r="E90" i="8"/>
  <c r="F90" i="8"/>
  <c r="G90" i="8"/>
  <c r="H90" i="8"/>
  <c r="I90" i="8"/>
  <c r="J90" i="8"/>
  <c r="K90" i="8"/>
  <c r="L90" i="8"/>
  <c r="M90" i="8"/>
  <c r="C83" i="8"/>
  <c r="D83" i="8"/>
  <c r="E83" i="8"/>
  <c r="F83" i="8"/>
  <c r="G83" i="8"/>
  <c r="H83" i="8"/>
  <c r="I83" i="8"/>
  <c r="J83" i="8"/>
  <c r="K83" i="8"/>
  <c r="L83" i="8"/>
  <c r="M83" i="8"/>
  <c r="C75" i="8"/>
  <c r="D75" i="8"/>
  <c r="E75" i="8"/>
  <c r="F75" i="8"/>
  <c r="G75" i="8"/>
  <c r="H75" i="8"/>
  <c r="I75" i="8"/>
  <c r="J75" i="8"/>
  <c r="K75" i="8"/>
  <c r="L75" i="8"/>
  <c r="M75" i="8"/>
  <c r="C67" i="8"/>
  <c r="D67" i="8"/>
  <c r="E67" i="8"/>
  <c r="F67" i="8"/>
  <c r="G67" i="8"/>
  <c r="H67" i="8"/>
  <c r="I67" i="8"/>
  <c r="J67" i="8"/>
  <c r="K67" i="8"/>
  <c r="L67" i="8"/>
  <c r="M67" i="8"/>
  <c r="C63" i="8"/>
  <c r="D63" i="8"/>
  <c r="E63" i="8"/>
  <c r="F63" i="8"/>
  <c r="G63" i="8"/>
  <c r="H63" i="8"/>
  <c r="I63" i="8"/>
  <c r="J63" i="8"/>
  <c r="K63" i="8"/>
  <c r="L63" i="8"/>
  <c r="M63" i="8"/>
  <c r="C56" i="8"/>
  <c r="D56" i="8"/>
  <c r="E56" i="8"/>
  <c r="F56" i="8"/>
  <c r="G56" i="8"/>
  <c r="H56" i="8"/>
  <c r="I56" i="8"/>
  <c r="J56" i="8"/>
  <c r="K56" i="8"/>
  <c r="L56" i="8"/>
  <c r="M56" i="8"/>
  <c r="N56" i="8"/>
  <c r="C35" i="8"/>
  <c r="D35" i="8"/>
  <c r="E35" i="8"/>
  <c r="F35" i="8"/>
  <c r="G35" i="8"/>
  <c r="H35" i="8"/>
  <c r="I35" i="8"/>
  <c r="J35" i="8"/>
  <c r="K35" i="8"/>
  <c r="L35" i="8"/>
  <c r="M35" i="8"/>
  <c r="N35" i="8"/>
  <c r="C133" i="8"/>
  <c r="D133" i="8"/>
  <c r="E133" i="8"/>
  <c r="F133" i="8"/>
  <c r="G133" i="8"/>
  <c r="H133" i="8"/>
  <c r="I133" i="8"/>
  <c r="C128" i="8"/>
  <c r="D128" i="8"/>
  <c r="E128" i="8"/>
  <c r="F128" i="8"/>
  <c r="G128" i="8"/>
  <c r="H128" i="8"/>
  <c r="I128" i="8"/>
  <c r="C130" i="8"/>
  <c r="D130" i="8"/>
  <c r="E130" i="8"/>
  <c r="F130" i="8"/>
  <c r="G130" i="8"/>
  <c r="H130" i="8"/>
  <c r="I130" i="8"/>
  <c r="J130" i="8"/>
  <c r="C116" i="8"/>
  <c r="D116" i="8"/>
  <c r="E116" i="8"/>
  <c r="F116" i="8"/>
  <c r="G116" i="8"/>
  <c r="H116" i="8"/>
  <c r="I116" i="8"/>
  <c r="J116" i="8"/>
  <c r="C101" i="8"/>
  <c r="D101" i="8"/>
  <c r="E101" i="8"/>
  <c r="F101" i="8"/>
  <c r="G101" i="8"/>
  <c r="H101" i="8"/>
  <c r="I101" i="8"/>
  <c r="J101" i="8"/>
  <c r="C97" i="8"/>
  <c r="D97" i="8"/>
  <c r="E97" i="8"/>
  <c r="F97" i="8"/>
  <c r="G97" i="8"/>
  <c r="H97" i="8"/>
  <c r="I97" i="8"/>
  <c r="C31" i="9"/>
  <c r="D31" i="9"/>
  <c r="E31" i="9"/>
  <c r="F31" i="9"/>
  <c r="G31" i="9"/>
  <c r="H31" i="9"/>
  <c r="I31" i="9"/>
  <c r="C30" i="9"/>
  <c r="D30" i="9"/>
  <c r="E30" i="9"/>
  <c r="F30" i="9"/>
  <c r="G30" i="9"/>
  <c r="H30" i="9"/>
  <c r="I30" i="9"/>
  <c r="C19" i="9"/>
  <c r="D19" i="9"/>
  <c r="E19" i="9"/>
  <c r="F19" i="9"/>
  <c r="G19" i="9"/>
  <c r="H19" i="9"/>
  <c r="I19" i="9"/>
  <c r="C7" i="9"/>
  <c r="D7" i="9"/>
  <c r="E7" i="9"/>
  <c r="F7" i="9"/>
  <c r="G7" i="9"/>
  <c r="H7" i="9"/>
  <c r="I7" i="9"/>
  <c r="C20" i="8"/>
  <c r="D20" i="8"/>
  <c r="E20" i="8"/>
  <c r="F20" i="8"/>
  <c r="G20" i="8"/>
  <c r="H20" i="8"/>
  <c r="I20" i="8"/>
  <c r="C7" i="8"/>
  <c r="D7" i="8"/>
  <c r="E7" i="8"/>
  <c r="F7" i="8"/>
  <c r="G7" i="8"/>
  <c r="H7" i="8"/>
  <c r="I7" i="8"/>
  <c r="D13" i="7"/>
  <c r="E13" i="7"/>
  <c r="F13" i="7"/>
  <c r="G13" i="7"/>
  <c r="H13" i="7"/>
  <c r="I13" i="7"/>
  <c r="J13" i="7"/>
  <c r="K13" i="7"/>
  <c r="L13" i="7"/>
  <c r="M13" i="7"/>
  <c r="N13" i="7"/>
  <c r="D7" i="7"/>
  <c r="E7" i="7"/>
  <c r="F7" i="7"/>
  <c r="G7" i="7"/>
  <c r="H7" i="7"/>
  <c r="I7" i="7"/>
  <c r="J7" i="7"/>
  <c r="K7" i="7"/>
  <c r="L7" i="7"/>
  <c r="M7" i="7"/>
  <c r="N7" i="7"/>
  <c r="C7" i="7"/>
  <c r="C102" i="2"/>
  <c r="D102" i="2"/>
  <c r="E102" i="2"/>
  <c r="F102" i="2"/>
  <c r="G102" i="2"/>
  <c r="H102" i="2"/>
  <c r="I102" i="2"/>
  <c r="C55" i="4"/>
  <c r="C56" i="4" s="1"/>
  <c r="C60" i="4" s="1"/>
  <c r="D55" i="4"/>
  <c r="E55" i="4"/>
  <c r="F55" i="4"/>
  <c r="G55" i="4"/>
  <c r="H55" i="4"/>
  <c r="I55" i="4"/>
  <c r="I56" i="4" s="1"/>
  <c r="I60" i="4" s="1"/>
  <c r="C68" i="3"/>
  <c r="D68" i="3"/>
  <c r="E68" i="3"/>
  <c r="F68" i="3"/>
  <c r="G68" i="3"/>
  <c r="G69" i="3" s="1"/>
  <c r="G73" i="3" s="1"/>
  <c r="H68" i="3"/>
  <c r="I68" i="3"/>
  <c r="I69" i="3" s="1"/>
  <c r="C69" i="3"/>
  <c r="C73" i="3" s="1"/>
  <c r="D69" i="3"/>
  <c r="D73" i="3" s="1"/>
  <c r="E69" i="3"/>
  <c r="F69" i="3"/>
  <c r="H69" i="3"/>
  <c r="C52" i="3"/>
  <c r="D52" i="3"/>
  <c r="E52" i="3"/>
  <c r="F52" i="3"/>
  <c r="F73" i="3" s="1"/>
  <c r="G52" i="3"/>
  <c r="H52" i="3"/>
  <c r="I52" i="3"/>
  <c r="D60" i="4"/>
  <c r="F60" i="4"/>
  <c r="G60" i="4"/>
  <c r="D56" i="4"/>
  <c r="E56" i="4"/>
  <c r="E60" i="4" s="1"/>
  <c r="F56" i="4"/>
  <c r="G56" i="4"/>
  <c r="H56" i="4"/>
  <c r="H60" i="4" s="1"/>
  <c r="E73" i="3"/>
  <c r="H73" i="3"/>
  <c r="C97" i="2"/>
  <c r="D97" i="2"/>
  <c r="E97" i="2"/>
  <c r="E100" i="2" s="1"/>
  <c r="F97" i="2"/>
  <c r="F100" i="2" s="1"/>
  <c r="G97" i="2"/>
  <c r="H97" i="2"/>
  <c r="I97" i="2"/>
  <c r="C83" i="2"/>
  <c r="D83" i="2"/>
  <c r="D100" i="2" s="1"/>
  <c r="E83" i="2"/>
  <c r="F83" i="2"/>
  <c r="G83" i="2"/>
  <c r="H83" i="2"/>
  <c r="I83" i="2"/>
  <c r="C67" i="2"/>
  <c r="D67" i="2"/>
  <c r="E67" i="2"/>
  <c r="F67" i="2"/>
  <c r="G67" i="2"/>
  <c r="H67" i="2"/>
  <c r="I67" i="2"/>
  <c r="C20" i="2"/>
  <c r="C33" i="2" s="1"/>
  <c r="D20" i="2"/>
  <c r="D33" i="2" s="1"/>
  <c r="E20" i="2"/>
  <c r="F20" i="2"/>
  <c r="F33" i="2" s="1"/>
  <c r="G20" i="2"/>
  <c r="H20" i="2"/>
  <c r="H33" i="2" s="1"/>
  <c r="I20" i="2"/>
  <c r="I33" i="2" s="1"/>
  <c r="C36" i="2"/>
  <c r="D36" i="2"/>
  <c r="E36" i="2"/>
  <c r="F36" i="2"/>
  <c r="G36" i="2"/>
  <c r="H36" i="2"/>
  <c r="I36" i="2"/>
  <c r="I65" i="2" s="1"/>
  <c r="J36" i="2"/>
  <c r="K36" i="2"/>
  <c r="L36" i="2"/>
  <c r="M36" i="2"/>
  <c r="N36" i="2"/>
  <c r="D51" i="2"/>
  <c r="E51" i="2"/>
  <c r="F51" i="2"/>
  <c r="G51" i="2"/>
  <c r="H51" i="2"/>
  <c r="I51" i="2"/>
  <c r="C46" i="4"/>
  <c r="D46" i="4"/>
  <c r="E46" i="4"/>
  <c r="F46" i="4"/>
  <c r="G46" i="4"/>
  <c r="H46" i="4"/>
  <c r="I46" i="4"/>
  <c r="C45" i="4"/>
  <c r="D45" i="4"/>
  <c r="E45" i="4"/>
  <c r="F45" i="4"/>
  <c r="G45" i="4"/>
  <c r="H45" i="4"/>
  <c r="I45" i="4"/>
  <c r="D43" i="4"/>
  <c r="E43" i="4"/>
  <c r="F43" i="4"/>
  <c r="G43" i="4"/>
  <c r="H43" i="4"/>
  <c r="I43" i="4"/>
  <c r="J43" i="4"/>
  <c r="K43" i="4"/>
  <c r="L43" i="4"/>
  <c r="M43" i="4"/>
  <c r="N43" i="4"/>
  <c r="C36" i="4"/>
  <c r="D36" i="4"/>
  <c r="E36" i="4"/>
  <c r="F36" i="4"/>
  <c r="G36" i="4"/>
  <c r="H36" i="4"/>
  <c r="I36" i="4"/>
  <c r="C33" i="5"/>
  <c r="D33" i="5"/>
  <c r="E33" i="5"/>
  <c r="F33" i="5"/>
  <c r="G33" i="5"/>
  <c r="H33" i="5"/>
  <c r="I33" i="5"/>
  <c r="J33" i="5"/>
  <c r="K33" i="5"/>
  <c r="L33" i="5"/>
  <c r="M33" i="5"/>
  <c r="C32" i="5"/>
  <c r="D32" i="5"/>
  <c r="E32" i="5"/>
  <c r="F32" i="5"/>
  <c r="G32" i="5"/>
  <c r="H32" i="5"/>
  <c r="I32" i="5"/>
  <c r="J32" i="5"/>
  <c r="K32" i="5"/>
  <c r="L32" i="5"/>
  <c r="M32" i="5"/>
  <c r="N32" i="5"/>
  <c r="C21" i="3"/>
  <c r="C51" i="3" s="1"/>
  <c r="D21" i="3"/>
  <c r="E21" i="3"/>
  <c r="F21" i="3"/>
  <c r="G21" i="3"/>
  <c r="H21" i="3"/>
  <c r="I21" i="3"/>
  <c r="I51" i="3" s="1"/>
  <c r="J21" i="3"/>
  <c r="K21" i="3"/>
  <c r="L21" i="3"/>
  <c r="M21" i="3"/>
  <c r="K39" i="3"/>
  <c r="L39" i="3"/>
  <c r="M39" i="3"/>
  <c r="N39" i="3"/>
  <c r="D51" i="3"/>
  <c r="F51" i="3"/>
  <c r="G51" i="3"/>
  <c r="C62" i="2"/>
  <c r="D62" i="2"/>
  <c r="E62" i="2"/>
  <c r="F62" i="2"/>
  <c r="G62" i="2"/>
  <c r="H62" i="2"/>
  <c r="I62" i="2"/>
  <c r="J62" i="2"/>
  <c r="K62" i="2"/>
  <c r="M62" i="2"/>
  <c r="N62" i="2"/>
  <c r="C43" i="4"/>
  <c r="C28" i="4"/>
  <c r="D28" i="4"/>
  <c r="E28" i="4"/>
  <c r="F28" i="4"/>
  <c r="G28" i="4"/>
  <c r="H28" i="4"/>
  <c r="I28" i="4"/>
  <c r="E51" i="3"/>
  <c r="H51" i="3"/>
  <c r="C49" i="3"/>
  <c r="D49" i="3"/>
  <c r="E49" i="3"/>
  <c r="F49" i="3"/>
  <c r="G49" i="3"/>
  <c r="H49" i="3"/>
  <c r="I49" i="3"/>
  <c r="C42" i="3"/>
  <c r="D42" i="3"/>
  <c r="E42" i="3"/>
  <c r="F42" i="3"/>
  <c r="G42" i="3"/>
  <c r="H42" i="3"/>
  <c r="I42" i="3"/>
  <c r="C39" i="3"/>
  <c r="D39" i="3"/>
  <c r="E39" i="3"/>
  <c r="F39" i="3"/>
  <c r="G39" i="3"/>
  <c r="H39" i="3"/>
  <c r="I39" i="3"/>
  <c r="J39" i="3"/>
  <c r="C36" i="3"/>
  <c r="D36" i="3"/>
  <c r="E36" i="3"/>
  <c r="F36" i="3"/>
  <c r="G36" i="3"/>
  <c r="H36" i="3"/>
  <c r="I36" i="3"/>
  <c r="C56" i="2"/>
  <c r="D56" i="2"/>
  <c r="E56" i="2"/>
  <c r="F56" i="2"/>
  <c r="G56" i="2"/>
  <c r="H56" i="2"/>
  <c r="I56" i="2"/>
  <c r="C54" i="2"/>
  <c r="D54" i="2"/>
  <c r="E54" i="2"/>
  <c r="F54" i="2"/>
  <c r="G54" i="2"/>
  <c r="H54" i="2"/>
  <c r="I54" i="2"/>
  <c r="C51" i="2"/>
  <c r="E33" i="2"/>
  <c r="G33" i="2"/>
  <c r="C7" i="2"/>
  <c r="C19" i="2" s="1"/>
  <c r="D7" i="2"/>
  <c r="D19" i="2" s="1"/>
  <c r="E7" i="2"/>
  <c r="E19" i="2" s="1"/>
  <c r="F7" i="2"/>
  <c r="F19" i="2" s="1"/>
  <c r="G7" i="2"/>
  <c r="G19" i="2" s="1"/>
  <c r="H7" i="2"/>
  <c r="H19" i="2" s="1"/>
  <c r="I7" i="2"/>
  <c r="I19" i="2" s="1"/>
  <c r="J7" i="2"/>
  <c r="C7" i="4"/>
  <c r="D7" i="4"/>
  <c r="E7" i="4"/>
  <c r="F7" i="4"/>
  <c r="G7" i="4"/>
  <c r="H7" i="4"/>
  <c r="I7" i="4"/>
  <c r="D7" i="5"/>
  <c r="E7" i="5"/>
  <c r="F7" i="5"/>
  <c r="G7" i="5"/>
  <c r="H7" i="5"/>
  <c r="I7" i="5"/>
  <c r="J7" i="5"/>
  <c r="K7" i="5"/>
  <c r="L7" i="5"/>
  <c r="M7" i="5"/>
  <c r="N7" i="5"/>
  <c r="H40" i="7"/>
  <c r="D41" i="5"/>
  <c r="E41" i="5"/>
  <c r="F41" i="5"/>
  <c r="G41" i="5"/>
  <c r="H41" i="5"/>
  <c r="I41" i="5"/>
  <c r="J41" i="5"/>
  <c r="K41" i="5"/>
  <c r="L41" i="5"/>
  <c r="M41" i="5"/>
  <c r="N41" i="5"/>
  <c r="C41" i="5"/>
  <c r="C13" i="5"/>
  <c r="C7" i="5"/>
  <c r="M11" i="1"/>
  <c r="J11" i="1"/>
  <c r="K11" i="1"/>
  <c r="L11" i="1"/>
  <c r="N12" i="1"/>
  <c r="E65" i="2" l="1"/>
  <c r="F65" i="2"/>
  <c r="H65" i="2"/>
  <c r="C100" i="2"/>
  <c r="I100" i="2"/>
  <c r="H100" i="2"/>
  <c r="G100" i="2"/>
  <c r="F21" i="13"/>
  <c r="D21" i="13"/>
  <c r="H21" i="13"/>
  <c r="E21" i="13"/>
  <c r="G31" i="13"/>
  <c r="F46" i="21"/>
  <c r="F56" i="21" s="1"/>
  <c r="F60" i="21" s="1"/>
  <c r="I46" i="21"/>
  <c r="E56" i="21"/>
  <c r="E60" i="21" s="1"/>
  <c r="H46" i="21"/>
  <c r="D56" i="21"/>
  <c r="D60" i="21" s="1"/>
  <c r="C56" i="21"/>
  <c r="C60" i="21" s="1"/>
  <c r="I56" i="21"/>
  <c r="I60" i="21" s="1"/>
  <c r="H56" i="21"/>
  <c r="H60" i="21" s="1"/>
  <c r="G56" i="21"/>
  <c r="G60" i="21" s="1"/>
  <c r="D61" i="20"/>
  <c r="D76" i="20" s="1"/>
  <c r="D82" i="20" s="1"/>
  <c r="E61" i="20"/>
  <c r="E76" i="20" s="1"/>
  <c r="E82" i="20" s="1"/>
  <c r="H61" i="20"/>
  <c r="H76" i="20" s="1"/>
  <c r="H82" i="20" s="1"/>
  <c r="E45" i="22"/>
  <c r="E60" i="22" s="1"/>
  <c r="E65" i="22" s="1"/>
  <c r="C27" i="22"/>
  <c r="C28" i="22" s="1"/>
  <c r="C45" i="22" s="1"/>
  <c r="C60" i="22" s="1"/>
  <c r="C65" i="22" s="1"/>
  <c r="I27" i="22"/>
  <c r="I28" i="22" s="1"/>
  <c r="I45" i="22" s="1"/>
  <c r="I60" i="22" s="1"/>
  <c r="I65" i="22" s="1"/>
  <c r="H27" i="22"/>
  <c r="H28" i="22" s="1"/>
  <c r="H45" i="22" s="1"/>
  <c r="H60" i="22" s="1"/>
  <c r="H65" i="22" s="1"/>
  <c r="F28" i="22"/>
  <c r="F45" i="22" s="1"/>
  <c r="F60" i="22" s="1"/>
  <c r="F65" i="22" s="1"/>
  <c r="G27" i="22"/>
  <c r="G28" i="22" s="1"/>
  <c r="G45" i="22" s="1"/>
  <c r="G60" i="22" s="1"/>
  <c r="G65" i="22" s="1"/>
  <c r="D27" i="22"/>
  <c r="D28" i="22" s="1"/>
  <c r="D45" i="22" s="1"/>
  <c r="D60" i="22" s="1"/>
  <c r="D65" i="22" s="1"/>
  <c r="H89" i="17"/>
  <c r="I29" i="17"/>
  <c r="G29" i="17"/>
  <c r="D89" i="17"/>
  <c r="G57" i="15"/>
  <c r="D57" i="15"/>
  <c r="H26" i="15"/>
  <c r="H48" i="15" s="1"/>
  <c r="I29" i="16"/>
  <c r="I30" i="16" s="1"/>
  <c r="G29" i="16"/>
  <c r="G30" i="16" s="1"/>
  <c r="G60" i="16"/>
  <c r="D60" i="16"/>
  <c r="I17" i="17"/>
  <c r="H17" i="17"/>
  <c r="G17" i="17"/>
  <c r="G30" i="17" s="1"/>
  <c r="E30" i="17"/>
  <c r="F17" i="17"/>
  <c r="F30" i="17" s="1"/>
  <c r="C17" i="17"/>
  <c r="C30" i="17" s="1"/>
  <c r="F57" i="15"/>
  <c r="G17" i="15"/>
  <c r="G26" i="15" s="1"/>
  <c r="G48" i="15" s="1"/>
  <c r="G58" i="15" s="1"/>
  <c r="G63" i="15" s="1"/>
  <c r="H58" i="15"/>
  <c r="H63" i="15" s="1"/>
  <c r="F17" i="15"/>
  <c r="F26" i="15" s="1"/>
  <c r="E17" i="15"/>
  <c r="E26" i="15" s="1"/>
  <c r="E48" i="15" s="1"/>
  <c r="C47" i="15"/>
  <c r="C17" i="15"/>
  <c r="C26" i="15" s="1"/>
  <c r="F29" i="16"/>
  <c r="F30" i="16" s="1"/>
  <c r="D29" i="16"/>
  <c r="D30" i="16" s="1"/>
  <c r="E29" i="16"/>
  <c r="E30" i="16" s="1"/>
  <c r="C29" i="16"/>
  <c r="C30" i="16" s="1"/>
  <c r="F95" i="16"/>
  <c r="E95" i="16"/>
  <c r="H29" i="16"/>
  <c r="H30" i="16" s="1"/>
  <c r="H30" i="17"/>
  <c r="D29" i="17"/>
  <c r="D30" i="17" s="1"/>
  <c r="F72" i="17"/>
  <c r="G89" i="17"/>
  <c r="F89" i="17"/>
  <c r="E89" i="17"/>
  <c r="E72" i="17"/>
  <c r="E73" i="17" s="1"/>
  <c r="D72" i="17"/>
  <c r="D73" i="17" s="1"/>
  <c r="D90" i="17" s="1"/>
  <c r="D97" i="17" s="1"/>
  <c r="D26" i="15"/>
  <c r="E58" i="15"/>
  <c r="E63" i="15" s="1"/>
  <c r="I95" i="16"/>
  <c r="G95" i="16"/>
  <c r="I30" i="17"/>
  <c r="C72" i="17"/>
  <c r="I72" i="17"/>
  <c r="C89" i="17"/>
  <c r="H72" i="17"/>
  <c r="I89" i="17"/>
  <c r="G72" i="17"/>
  <c r="C95" i="16"/>
  <c r="H95" i="16"/>
  <c r="C60" i="16"/>
  <c r="D95" i="16"/>
  <c r="H57" i="14"/>
  <c r="F19" i="14"/>
  <c r="I19" i="14"/>
  <c r="F56" i="14"/>
  <c r="E19" i="14"/>
  <c r="E56" i="14"/>
  <c r="H56" i="14"/>
  <c r="D56" i="14"/>
  <c r="C56" i="14"/>
  <c r="J19" i="14"/>
  <c r="H71" i="13"/>
  <c r="E71" i="13"/>
  <c r="C71" i="13"/>
  <c r="I31" i="13"/>
  <c r="I32" i="13" s="1"/>
  <c r="C21" i="13"/>
  <c r="C31" i="13"/>
  <c r="G29" i="12"/>
  <c r="G30" i="12" s="1"/>
  <c r="C126" i="12"/>
  <c r="C30" i="12"/>
  <c r="H93" i="12"/>
  <c r="F126" i="12"/>
  <c r="D23" i="11"/>
  <c r="D36" i="11" s="1"/>
  <c r="D53" i="11" s="1"/>
  <c r="D57" i="11" s="1"/>
  <c r="F23" i="11"/>
  <c r="F36" i="11" s="1"/>
  <c r="F53" i="11" s="1"/>
  <c r="F57" i="11" s="1"/>
  <c r="D30" i="12"/>
  <c r="I29" i="12"/>
  <c r="I30" i="12" s="1"/>
  <c r="G93" i="12"/>
  <c r="G94" i="12" s="1"/>
  <c r="G127" i="12" s="1"/>
  <c r="G132" i="12" s="1"/>
  <c r="H29" i="12"/>
  <c r="H30" i="12" s="1"/>
  <c r="F93" i="12"/>
  <c r="E126" i="12"/>
  <c r="F29" i="12"/>
  <c r="F30" i="12" s="1"/>
  <c r="F94" i="12" s="1"/>
  <c r="F127" i="12" s="1"/>
  <c r="F132" i="12" s="1"/>
  <c r="E93" i="12"/>
  <c r="D93" i="12"/>
  <c r="D94" i="12" s="1"/>
  <c r="D127" i="12" s="1"/>
  <c r="D132" i="12" s="1"/>
  <c r="C93" i="12"/>
  <c r="C94" i="12" s="1"/>
  <c r="C127" i="12" s="1"/>
  <c r="C132" i="12" s="1"/>
  <c r="E29" i="12"/>
  <c r="E30" i="12" s="1"/>
  <c r="I93" i="12"/>
  <c r="G23" i="11"/>
  <c r="G36" i="11" s="1"/>
  <c r="G53" i="11" s="1"/>
  <c r="G57" i="11" s="1"/>
  <c r="I23" i="11"/>
  <c r="I36" i="11" s="1"/>
  <c r="I53" i="11" s="1"/>
  <c r="I57" i="11" s="1"/>
  <c r="E23" i="11"/>
  <c r="E36" i="11" s="1"/>
  <c r="E53" i="11" s="1"/>
  <c r="E57" i="11" s="1"/>
  <c r="G32" i="13"/>
  <c r="I71" i="13"/>
  <c r="D71" i="13"/>
  <c r="H31" i="13"/>
  <c r="G71" i="13"/>
  <c r="F71" i="13"/>
  <c r="F31" i="13"/>
  <c r="E31" i="13"/>
  <c r="E32" i="13" s="1"/>
  <c r="D31" i="13"/>
  <c r="I57" i="14"/>
  <c r="G57" i="14"/>
  <c r="F57" i="14"/>
  <c r="E57" i="14"/>
  <c r="D57" i="14"/>
  <c r="H23" i="11"/>
  <c r="H36" i="11" s="1"/>
  <c r="H53" i="11" s="1"/>
  <c r="H57" i="11" s="1"/>
  <c r="C23" i="11"/>
  <c r="C36" i="11" s="1"/>
  <c r="C53" i="11" s="1"/>
  <c r="C57" i="11" s="1"/>
  <c r="G3" i="6"/>
  <c r="C3" i="6"/>
  <c r="I73" i="3"/>
  <c r="D65" i="2"/>
  <c r="G65" i="2"/>
  <c r="H34" i="2"/>
  <c r="H66" i="2" s="1"/>
  <c r="H101" i="2" s="1"/>
  <c r="H106" i="2" s="1"/>
  <c r="C65" i="2"/>
  <c r="D34" i="2"/>
  <c r="C34" i="2"/>
  <c r="I34" i="2"/>
  <c r="I66" i="2" s="1"/>
  <c r="I101" i="2" s="1"/>
  <c r="I106" i="2" s="1"/>
  <c r="E34" i="2"/>
  <c r="E66" i="2" s="1"/>
  <c r="E101" i="2" s="1"/>
  <c r="E106" i="2" s="1"/>
  <c r="G34" i="2"/>
  <c r="G66" i="2" s="1"/>
  <c r="F34" i="2"/>
  <c r="F66" i="2" s="1"/>
  <c r="F101" i="2" s="1"/>
  <c r="F106" i="2" s="1"/>
  <c r="I101" i="19"/>
  <c r="H101" i="19"/>
  <c r="G101" i="19"/>
  <c r="F101" i="19"/>
  <c r="E101" i="19"/>
  <c r="D101" i="19"/>
  <c r="C101" i="19"/>
  <c r="I100" i="19"/>
  <c r="H100" i="19"/>
  <c r="G100" i="19"/>
  <c r="F100" i="19"/>
  <c r="E100" i="19"/>
  <c r="D100" i="19"/>
  <c r="C100" i="19"/>
  <c r="I99" i="19"/>
  <c r="H99" i="19"/>
  <c r="G99" i="19"/>
  <c r="F99" i="19"/>
  <c r="E99" i="19"/>
  <c r="D99" i="19"/>
  <c r="C99" i="19"/>
  <c r="I98" i="19"/>
  <c r="H98" i="19"/>
  <c r="G98" i="19"/>
  <c r="F98" i="19"/>
  <c r="E98" i="19"/>
  <c r="D98" i="19"/>
  <c r="C98" i="19"/>
  <c r="I97" i="19"/>
  <c r="H97" i="19"/>
  <c r="G97" i="19"/>
  <c r="F97" i="19"/>
  <c r="E97" i="19"/>
  <c r="D97" i="19"/>
  <c r="C97" i="19"/>
  <c r="I93" i="19"/>
  <c r="H93" i="19"/>
  <c r="G93" i="19"/>
  <c r="F93" i="19"/>
  <c r="E93" i="19"/>
  <c r="D93" i="19"/>
  <c r="C93" i="19"/>
  <c r="I92" i="19"/>
  <c r="H92" i="19"/>
  <c r="G92" i="19"/>
  <c r="F92" i="19"/>
  <c r="E92" i="19"/>
  <c r="D92" i="19"/>
  <c r="C92" i="19"/>
  <c r="I90" i="19"/>
  <c r="H90" i="19"/>
  <c r="G90" i="19"/>
  <c r="F90" i="19"/>
  <c r="E90" i="19"/>
  <c r="D90" i="19"/>
  <c r="C90" i="19"/>
  <c r="I89" i="19"/>
  <c r="H89" i="19"/>
  <c r="G89" i="19"/>
  <c r="F89" i="19"/>
  <c r="E89" i="19"/>
  <c r="D89" i="19"/>
  <c r="C89" i="19"/>
  <c r="I88" i="19"/>
  <c r="H88" i="19"/>
  <c r="G88" i="19"/>
  <c r="F88" i="19"/>
  <c r="E88" i="19"/>
  <c r="D88" i="19"/>
  <c r="C88" i="19"/>
  <c r="I87" i="19"/>
  <c r="H87" i="19"/>
  <c r="G87" i="19"/>
  <c r="F87" i="19"/>
  <c r="E87" i="19"/>
  <c r="D87" i="19"/>
  <c r="C87" i="19"/>
  <c r="I86" i="19"/>
  <c r="H86" i="19"/>
  <c r="G86" i="19"/>
  <c r="F86" i="19"/>
  <c r="E86" i="19"/>
  <c r="D86" i="19"/>
  <c r="C86" i="19"/>
  <c r="I85" i="19"/>
  <c r="H85" i="19"/>
  <c r="G85" i="19"/>
  <c r="F85" i="19"/>
  <c r="E85" i="19"/>
  <c r="D85" i="19"/>
  <c r="C85" i="19"/>
  <c r="I83" i="19"/>
  <c r="H83" i="19"/>
  <c r="G83" i="19"/>
  <c r="F83" i="19"/>
  <c r="E83" i="19"/>
  <c r="D83" i="19"/>
  <c r="C83" i="19"/>
  <c r="I82" i="19"/>
  <c r="H82" i="19"/>
  <c r="G82" i="19"/>
  <c r="F82" i="19"/>
  <c r="E82" i="19"/>
  <c r="D82" i="19"/>
  <c r="C82" i="19"/>
  <c r="I81" i="19"/>
  <c r="H81" i="19"/>
  <c r="G81" i="19"/>
  <c r="F81" i="19"/>
  <c r="E81" i="19"/>
  <c r="D81" i="19"/>
  <c r="C81" i="19"/>
  <c r="I80" i="19"/>
  <c r="H80" i="19"/>
  <c r="G80" i="19"/>
  <c r="F80" i="19"/>
  <c r="E80" i="19"/>
  <c r="D80" i="19"/>
  <c r="C80" i="19"/>
  <c r="I79" i="19"/>
  <c r="H79" i="19"/>
  <c r="G79" i="19"/>
  <c r="F79" i="19"/>
  <c r="E79" i="19"/>
  <c r="D79" i="19"/>
  <c r="C79" i="19"/>
  <c r="I78" i="19"/>
  <c r="H78" i="19"/>
  <c r="G78" i="19"/>
  <c r="F78" i="19"/>
  <c r="E78" i="19"/>
  <c r="D78" i="19"/>
  <c r="C78" i="19"/>
  <c r="I74" i="19"/>
  <c r="I73" i="19" s="1"/>
  <c r="H74" i="19"/>
  <c r="H73" i="19" s="1"/>
  <c r="G74" i="19"/>
  <c r="G73" i="19" s="1"/>
  <c r="F74" i="19"/>
  <c r="F73" i="19" s="1"/>
  <c r="E74" i="19"/>
  <c r="E73" i="19" s="1"/>
  <c r="D74" i="19"/>
  <c r="D73" i="19" s="1"/>
  <c r="C74" i="19"/>
  <c r="C73" i="19" s="1"/>
  <c r="I72" i="19"/>
  <c r="H72" i="19"/>
  <c r="G72" i="19"/>
  <c r="F72" i="19"/>
  <c r="E72" i="19"/>
  <c r="D72" i="19"/>
  <c r="C72" i="19"/>
  <c r="I71" i="19"/>
  <c r="H71" i="19"/>
  <c r="G71" i="19"/>
  <c r="F71" i="19"/>
  <c r="E71" i="19"/>
  <c r="D71" i="19"/>
  <c r="C71" i="19"/>
  <c r="I70" i="19"/>
  <c r="H70" i="19"/>
  <c r="G70" i="19"/>
  <c r="F70" i="19"/>
  <c r="E70" i="19"/>
  <c r="D70" i="19"/>
  <c r="C70" i="19"/>
  <c r="I69" i="19"/>
  <c r="H69" i="19"/>
  <c r="G69" i="19"/>
  <c r="F69" i="19"/>
  <c r="E69" i="19"/>
  <c r="D69" i="19"/>
  <c r="C69" i="19"/>
  <c r="I68" i="19"/>
  <c r="H68" i="19"/>
  <c r="G68" i="19"/>
  <c r="F68" i="19"/>
  <c r="E68" i="19"/>
  <c r="D68" i="19"/>
  <c r="C68" i="19"/>
  <c r="I67" i="19"/>
  <c r="H67" i="19"/>
  <c r="G67" i="19"/>
  <c r="F67" i="19"/>
  <c r="E67" i="19"/>
  <c r="D67" i="19"/>
  <c r="C67" i="19"/>
  <c r="I66" i="19"/>
  <c r="H66" i="19"/>
  <c r="G66" i="19"/>
  <c r="F66" i="19"/>
  <c r="E66" i="19"/>
  <c r="D66" i="19"/>
  <c r="C66" i="19"/>
  <c r="I64" i="19"/>
  <c r="H64" i="19"/>
  <c r="G64" i="19"/>
  <c r="F64" i="19"/>
  <c r="E64" i="19"/>
  <c r="D64" i="19"/>
  <c r="C64" i="19"/>
  <c r="I63" i="19"/>
  <c r="H63" i="19"/>
  <c r="G63" i="19"/>
  <c r="F63" i="19"/>
  <c r="E63" i="19"/>
  <c r="D63" i="19"/>
  <c r="C63" i="19"/>
  <c r="I62" i="19"/>
  <c r="H62" i="19"/>
  <c r="G62" i="19"/>
  <c r="F62" i="19"/>
  <c r="E62" i="19"/>
  <c r="D62" i="19"/>
  <c r="C62" i="19"/>
  <c r="I61" i="19"/>
  <c r="H61" i="19"/>
  <c r="G61" i="19"/>
  <c r="F61" i="19"/>
  <c r="E61" i="19"/>
  <c r="D61" i="19"/>
  <c r="C61" i="19"/>
  <c r="I60" i="19"/>
  <c r="H60" i="19"/>
  <c r="G60" i="19"/>
  <c r="F60" i="19"/>
  <c r="E60" i="19"/>
  <c r="D60" i="19"/>
  <c r="C60" i="19"/>
  <c r="I59" i="19"/>
  <c r="H59" i="19"/>
  <c r="G59" i="19"/>
  <c r="F59" i="19"/>
  <c r="E59" i="19"/>
  <c r="D59" i="19"/>
  <c r="C59" i="19"/>
  <c r="I57" i="19"/>
  <c r="H57" i="19"/>
  <c r="G57" i="19"/>
  <c r="F57" i="19"/>
  <c r="E57" i="19"/>
  <c r="D57" i="19"/>
  <c r="C57" i="19"/>
  <c r="I56" i="19"/>
  <c r="H56" i="19"/>
  <c r="G56" i="19"/>
  <c r="F56" i="19"/>
  <c r="E56" i="19"/>
  <c r="D56" i="19"/>
  <c r="C56" i="19"/>
  <c r="I55" i="19"/>
  <c r="H55" i="19"/>
  <c r="G55" i="19"/>
  <c r="F55" i="19"/>
  <c r="E55" i="19"/>
  <c r="D55" i="19"/>
  <c r="C55" i="19"/>
  <c r="I53" i="19"/>
  <c r="H53" i="19"/>
  <c r="G53" i="19"/>
  <c r="F53" i="19"/>
  <c r="E53" i="19"/>
  <c r="D53" i="19"/>
  <c r="C53" i="19"/>
  <c r="I52" i="19"/>
  <c r="H52" i="19"/>
  <c r="G52" i="19"/>
  <c r="F52" i="19"/>
  <c r="E52" i="19"/>
  <c r="D52" i="19"/>
  <c r="C52" i="19"/>
  <c r="I50" i="19"/>
  <c r="H50" i="19"/>
  <c r="G50" i="19"/>
  <c r="F50" i="19"/>
  <c r="E50" i="19"/>
  <c r="D50" i="19"/>
  <c r="C50" i="19"/>
  <c r="I49" i="19"/>
  <c r="H49" i="19"/>
  <c r="G49" i="19"/>
  <c r="F49" i="19"/>
  <c r="E49" i="19"/>
  <c r="D49" i="19"/>
  <c r="C49" i="19"/>
  <c r="I48" i="19"/>
  <c r="H48" i="19"/>
  <c r="G48" i="19"/>
  <c r="F48" i="19"/>
  <c r="E48" i="19"/>
  <c r="D48" i="19"/>
  <c r="C48" i="19"/>
  <c r="I46" i="19"/>
  <c r="H46" i="19"/>
  <c r="G46" i="19"/>
  <c r="F46" i="19"/>
  <c r="E46" i="19"/>
  <c r="D46" i="19"/>
  <c r="C46" i="19"/>
  <c r="I45" i="19"/>
  <c r="H45" i="19"/>
  <c r="G45" i="19"/>
  <c r="F45" i="19"/>
  <c r="E45" i="19"/>
  <c r="D45" i="19"/>
  <c r="C45" i="19"/>
  <c r="I44" i="19"/>
  <c r="H44" i="19"/>
  <c r="G44" i="19"/>
  <c r="F44" i="19"/>
  <c r="E44" i="19"/>
  <c r="D44" i="19"/>
  <c r="C44" i="19"/>
  <c r="I43" i="19"/>
  <c r="H43" i="19"/>
  <c r="G43" i="19"/>
  <c r="F43" i="19"/>
  <c r="E43" i="19"/>
  <c r="D43" i="19"/>
  <c r="C43" i="19"/>
  <c r="I42" i="19"/>
  <c r="H42" i="19"/>
  <c r="G42" i="19"/>
  <c r="F42" i="19"/>
  <c r="E42" i="19"/>
  <c r="D42" i="19"/>
  <c r="C42" i="19"/>
  <c r="I41" i="19"/>
  <c r="H41" i="19"/>
  <c r="G41" i="19"/>
  <c r="F41" i="19"/>
  <c r="E41" i="19"/>
  <c r="D41" i="19"/>
  <c r="C41" i="19"/>
  <c r="I40" i="19"/>
  <c r="H40" i="19"/>
  <c r="G40" i="19"/>
  <c r="F40" i="19"/>
  <c r="E40" i="19"/>
  <c r="D40" i="19"/>
  <c r="C40" i="19"/>
  <c r="I39" i="19"/>
  <c r="H39" i="19"/>
  <c r="G39" i="19"/>
  <c r="F39" i="19"/>
  <c r="E39" i="19"/>
  <c r="D39" i="19"/>
  <c r="C39" i="19"/>
  <c r="I38" i="19"/>
  <c r="H38" i="19"/>
  <c r="G38" i="19"/>
  <c r="F38" i="19"/>
  <c r="E38" i="19"/>
  <c r="D38" i="19"/>
  <c r="C38" i="19"/>
  <c r="I37" i="19"/>
  <c r="H37" i="19"/>
  <c r="G37" i="19"/>
  <c r="F37" i="19"/>
  <c r="E37" i="19"/>
  <c r="D37" i="19"/>
  <c r="C37" i="19"/>
  <c r="I36" i="19"/>
  <c r="H36" i="19"/>
  <c r="G36" i="19"/>
  <c r="F36" i="19"/>
  <c r="E36" i="19"/>
  <c r="D36" i="19"/>
  <c r="C36" i="19"/>
  <c r="I35" i="19"/>
  <c r="H35" i="19"/>
  <c r="G35" i="19"/>
  <c r="F35" i="19"/>
  <c r="E35" i="19"/>
  <c r="D35" i="19"/>
  <c r="C35" i="19"/>
  <c r="I34" i="19"/>
  <c r="H34" i="19"/>
  <c r="G34" i="19"/>
  <c r="F34" i="19"/>
  <c r="E34" i="19"/>
  <c r="D34" i="19"/>
  <c r="C34" i="19"/>
  <c r="I33" i="19"/>
  <c r="H33" i="19"/>
  <c r="G33" i="19"/>
  <c r="F33" i="19"/>
  <c r="E33" i="19"/>
  <c r="D33" i="19"/>
  <c r="C33" i="19"/>
  <c r="I32" i="19"/>
  <c r="H32" i="19"/>
  <c r="G32" i="19"/>
  <c r="F32" i="19"/>
  <c r="E32" i="19"/>
  <c r="D32" i="19"/>
  <c r="C32" i="19"/>
  <c r="I27" i="19"/>
  <c r="I26" i="19" s="1"/>
  <c r="H27" i="19"/>
  <c r="H26" i="19" s="1"/>
  <c r="G27" i="19"/>
  <c r="G26" i="19" s="1"/>
  <c r="F27" i="19"/>
  <c r="F26" i="19" s="1"/>
  <c r="E27" i="19"/>
  <c r="E26" i="19" s="1"/>
  <c r="D27" i="19"/>
  <c r="D26" i="19" s="1"/>
  <c r="C27" i="19"/>
  <c r="C26" i="19" s="1"/>
  <c r="I25" i="19"/>
  <c r="I24" i="19" s="1"/>
  <c r="H25" i="19"/>
  <c r="H24" i="19" s="1"/>
  <c r="G25" i="19"/>
  <c r="G24" i="19" s="1"/>
  <c r="F25" i="19"/>
  <c r="F24" i="19" s="1"/>
  <c r="E25" i="19"/>
  <c r="E24" i="19" s="1"/>
  <c r="D25" i="19"/>
  <c r="D24" i="19" s="1"/>
  <c r="C25" i="19"/>
  <c r="C24" i="19" s="1"/>
  <c r="I23" i="19"/>
  <c r="H23" i="19"/>
  <c r="G23" i="19"/>
  <c r="F23" i="19"/>
  <c r="E23" i="19"/>
  <c r="D23" i="19"/>
  <c r="C23" i="19"/>
  <c r="I22" i="19"/>
  <c r="H22" i="19"/>
  <c r="G22" i="19"/>
  <c r="F22" i="19"/>
  <c r="E22" i="19"/>
  <c r="D22" i="19"/>
  <c r="C22" i="19"/>
  <c r="I21" i="19"/>
  <c r="H21" i="19"/>
  <c r="G21" i="19"/>
  <c r="F21" i="19"/>
  <c r="E21" i="19"/>
  <c r="D21" i="19"/>
  <c r="C21" i="19"/>
  <c r="I20" i="19"/>
  <c r="H20" i="19"/>
  <c r="G20" i="19"/>
  <c r="F20" i="19"/>
  <c r="E20" i="19"/>
  <c r="D20" i="19"/>
  <c r="C20" i="19"/>
  <c r="I19" i="19"/>
  <c r="H19" i="19"/>
  <c r="G19" i="19"/>
  <c r="F19" i="19"/>
  <c r="E19" i="19"/>
  <c r="D19" i="19"/>
  <c r="C19" i="19"/>
  <c r="C9" i="19"/>
  <c r="D9" i="19"/>
  <c r="E9" i="19"/>
  <c r="F9" i="19"/>
  <c r="G9" i="19"/>
  <c r="H9" i="19"/>
  <c r="I9" i="19"/>
  <c r="C10" i="19"/>
  <c r="D10" i="19"/>
  <c r="E10" i="19"/>
  <c r="F10" i="19"/>
  <c r="G10" i="19"/>
  <c r="H10" i="19"/>
  <c r="I10" i="19"/>
  <c r="C11" i="19"/>
  <c r="D11" i="19"/>
  <c r="E11" i="19"/>
  <c r="F11" i="19"/>
  <c r="G11" i="19"/>
  <c r="H11" i="19"/>
  <c r="I11" i="19"/>
  <c r="C12" i="19"/>
  <c r="D12" i="19"/>
  <c r="E12" i="19"/>
  <c r="F12" i="19"/>
  <c r="G12" i="19"/>
  <c r="H12" i="19"/>
  <c r="I12" i="19"/>
  <c r="C13" i="19"/>
  <c r="D13" i="19"/>
  <c r="E13" i="19"/>
  <c r="F13" i="19"/>
  <c r="G13" i="19"/>
  <c r="H13" i="19"/>
  <c r="I13" i="19"/>
  <c r="C15" i="19"/>
  <c r="C14" i="19" s="1"/>
  <c r="D15" i="19"/>
  <c r="D14" i="19" s="1"/>
  <c r="E15" i="19"/>
  <c r="E14" i="19" s="1"/>
  <c r="F15" i="19"/>
  <c r="F14" i="19" s="1"/>
  <c r="G15" i="19"/>
  <c r="G14" i="19" s="1"/>
  <c r="H15" i="19"/>
  <c r="H14" i="19" s="1"/>
  <c r="I15" i="19"/>
  <c r="I14" i="19" s="1"/>
  <c r="C16" i="19"/>
  <c r="D16" i="19"/>
  <c r="E16" i="19"/>
  <c r="F16" i="19"/>
  <c r="G16" i="19"/>
  <c r="H16" i="19"/>
  <c r="I16" i="19"/>
  <c r="I8" i="19"/>
  <c r="H8" i="19"/>
  <c r="G8" i="19"/>
  <c r="F8" i="19"/>
  <c r="E8" i="19"/>
  <c r="D8" i="19"/>
  <c r="C8" i="19"/>
  <c r="J8" i="19"/>
  <c r="I127" i="18"/>
  <c r="H127" i="18"/>
  <c r="G127" i="18"/>
  <c r="F127" i="18"/>
  <c r="E127" i="18"/>
  <c r="D127" i="18"/>
  <c r="C127" i="18"/>
  <c r="I126" i="18"/>
  <c r="H126" i="18"/>
  <c r="G126" i="18"/>
  <c r="F126" i="18"/>
  <c r="E126" i="18"/>
  <c r="D126" i="18"/>
  <c r="C126" i="18"/>
  <c r="I125" i="18"/>
  <c r="H125" i="18"/>
  <c r="G125" i="18"/>
  <c r="F125" i="18"/>
  <c r="E125" i="18"/>
  <c r="D125" i="18"/>
  <c r="C125" i="18"/>
  <c r="I124" i="18"/>
  <c r="H124" i="18"/>
  <c r="G124" i="18"/>
  <c r="F124" i="18"/>
  <c r="E124" i="18"/>
  <c r="D124" i="18"/>
  <c r="C124" i="18"/>
  <c r="I123" i="18"/>
  <c r="H123" i="18"/>
  <c r="G123" i="18"/>
  <c r="F123" i="18"/>
  <c r="E123" i="18"/>
  <c r="D123" i="18"/>
  <c r="C123" i="18"/>
  <c r="I119" i="18"/>
  <c r="H119" i="18"/>
  <c r="G119" i="18"/>
  <c r="F119" i="18"/>
  <c r="E119" i="18"/>
  <c r="D119" i="18"/>
  <c r="C119" i="18"/>
  <c r="I118" i="18"/>
  <c r="H118" i="18"/>
  <c r="G118" i="18"/>
  <c r="F118" i="18"/>
  <c r="E118" i="18"/>
  <c r="D118" i="18"/>
  <c r="C118" i="18"/>
  <c r="I116" i="18"/>
  <c r="H116" i="18"/>
  <c r="G116" i="18"/>
  <c r="F116" i="18"/>
  <c r="E116" i="18"/>
  <c r="D116" i="18"/>
  <c r="C116" i="18"/>
  <c r="I115" i="18"/>
  <c r="H115" i="18"/>
  <c r="G115" i="18"/>
  <c r="F115" i="18"/>
  <c r="E115" i="18"/>
  <c r="D115" i="18"/>
  <c r="C115" i="18"/>
  <c r="I114" i="18"/>
  <c r="H114" i="18"/>
  <c r="G114" i="18"/>
  <c r="F114" i="18"/>
  <c r="E114" i="18"/>
  <c r="D114" i="18"/>
  <c r="C114" i="18"/>
  <c r="I113" i="18"/>
  <c r="H113" i="18"/>
  <c r="G113" i="18"/>
  <c r="F113" i="18"/>
  <c r="E113" i="18"/>
  <c r="D113" i="18"/>
  <c r="C113" i="18"/>
  <c r="I112" i="18"/>
  <c r="H112" i="18"/>
  <c r="G112" i="18"/>
  <c r="F112" i="18"/>
  <c r="E112" i="18"/>
  <c r="D112" i="18"/>
  <c r="C112" i="18"/>
  <c r="I111" i="18"/>
  <c r="H111" i="18"/>
  <c r="G111" i="18"/>
  <c r="F111" i="18"/>
  <c r="E111" i="18"/>
  <c r="D111" i="18"/>
  <c r="C111" i="18"/>
  <c r="I110" i="18"/>
  <c r="H110" i="18"/>
  <c r="G110" i="18"/>
  <c r="F110" i="18"/>
  <c r="E110" i="18"/>
  <c r="D110" i="18"/>
  <c r="C110" i="18"/>
  <c r="I109" i="18"/>
  <c r="H109" i="18"/>
  <c r="G109" i="18"/>
  <c r="F109" i="18"/>
  <c r="E109" i="18"/>
  <c r="D109" i="18"/>
  <c r="C109" i="18"/>
  <c r="I108" i="18"/>
  <c r="H108" i="18"/>
  <c r="G108" i="18"/>
  <c r="F108" i="18"/>
  <c r="E108" i="18"/>
  <c r="D108" i="18"/>
  <c r="C108" i="18"/>
  <c r="I107" i="18"/>
  <c r="H107" i="18"/>
  <c r="G107" i="18"/>
  <c r="F107" i="18"/>
  <c r="E107" i="18"/>
  <c r="D107" i="18"/>
  <c r="C107" i="18"/>
  <c r="I106" i="18"/>
  <c r="H106" i="18"/>
  <c r="G106" i="18"/>
  <c r="F106" i="18"/>
  <c r="E106" i="18"/>
  <c r="D106" i="18"/>
  <c r="C106" i="18"/>
  <c r="I105" i="18"/>
  <c r="H105" i="18"/>
  <c r="G105" i="18"/>
  <c r="F105" i="18"/>
  <c r="E105" i="18"/>
  <c r="D105" i="18"/>
  <c r="C105" i="18"/>
  <c r="I104" i="18"/>
  <c r="H104" i="18"/>
  <c r="G104" i="18"/>
  <c r="F104" i="18"/>
  <c r="E104" i="18"/>
  <c r="D104" i="18"/>
  <c r="C104" i="18"/>
  <c r="I103" i="18"/>
  <c r="H103" i="18"/>
  <c r="G103" i="18"/>
  <c r="F103" i="18"/>
  <c r="E103" i="18"/>
  <c r="D103" i="18"/>
  <c r="C103" i="18"/>
  <c r="I101" i="18"/>
  <c r="H101" i="18"/>
  <c r="G101" i="18"/>
  <c r="F101" i="18"/>
  <c r="E101" i="18"/>
  <c r="D101" i="18"/>
  <c r="C101" i="18"/>
  <c r="I100" i="18"/>
  <c r="H100" i="18"/>
  <c r="G100" i="18"/>
  <c r="F100" i="18"/>
  <c r="E100" i="18"/>
  <c r="D100" i="18"/>
  <c r="C100" i="18"/>
  <c r="I99" i="18"/>
  <c r="H99" i="18"/>
  <c r="G99" i="18"/>
  <c r="F99" i="18"/>
  <c r="E99" i="18"/>
  <c r="D99" i="18"/>
  <c r="C99" i="18"/>
  <c r="I98" i="18"/>
  <c r="H98" i="18"/>
  <c r="G98" i="18"/>
  <c r="F98" i="18"/>
  <c r="E98" i="18"/>
  <c r="D98" i="18"/>
  <c r="C98" i="18"/>
  <c r="I97" i="18"/>
  <c r="H97" i="18"/>
  <c r="G97" i="18"/>
  <c r="F97" i="18"/>
  <c r="E97" i="18"/>
  <c r="D97" i="18"/>
  <c r="C97" i="18"/>
  <c r="I96" i="18"/>
  <c r="H96" i="18"/>
  <c r="G96" i="18"/>
  <c r="F96" i="18"/>
  <c r="E96" i="18"/>
  <c r="D96" i="18"/>
  <c r="C96" i="18"/>
  <c r="I95" i="18"/>
  <c r="H95" i="18"/>
  <c r="G95" i="18"/>
  <c r="F95" i="18"/>
  <c r="E95" i="18"/>
  <c r="D95" i="18"/>
  <c r="C95" i="18"/>
  <c r="I94" i="18"/>
  <c r="H94" i="18"/>
  <c r="G94" i="18"/>
  <c r="F94" i="18"/>
  <c r="E94" i="18"/>
  <c r="D94" i="18"/>
  <c r="C94" i="18"/>
  <c r="I93" i="18"/>
  <c r="H93" i="18"/>
  <c r="G93" i="18"/>
  <c r="F93" i="18"/>
  <c r="E93" i="18"/>
  <c r="D93" i="18"/>
  <c r="C93" i="18"/>
  <c r="I92" i="18"/>
  <c r="H92" i="18"/>
  <c r="G92" i="18"/>
  <c r="F92" i="18"/>
  <c r="E92" i="18"/>
  <c r="D92" i="18"/>
  <c r="C92" i="18"/>
  <c r="I91" i="18"/>
  <c r="H91" i="18"/>
  <c r="G91" i="18"/>
  <c r="F91" i="18"/>
  <c r="E91" i="18"/>
  <c r="D91" i="18"/>
  <c r="C91" i="18"/>
  <c r="I90" i="18"/>
  <c r="H90" i="18"/>
  <c r="G90" i="18"/>
  <c r="F90" i="18"/>
  <c r="E90" i="18"/>
  <c r="D90" i="18"/>
  <c r="C90" i="18"/>
  <c r="I89" i="18"/>
  <c r="H89" i="18"/>
  <c r="G89" i="18"/>
  <c r="F89" i="18"/>
  <c r="E89" i="18"/>
  <c r="D89" i="18"/>
  <c r="C89" i="18"/>
  <c r="I88" i="18"/>
  <c r="H88" i="18"/>
  <c r="G88" i="18"/>
  <c r="F88" i="18"/>
  <c r="E88" i="18"/>
  <c r="D88" i="18"/>
  <c r="C88" i="18"/>
  <c r="I87" i="18"/>
  <c r="H87" i="18"/>
  <c r="G87" i="18"/>
  <c r="F87" i="18"/>
  <c r="E87" i="18"/>
  <c r="D87" i="18"/>
  <c r="C87" i="18"/>
  <c r="I86" i="18"/>
  <c r="H86" i="18"/>
  <c r="G86" i="18"/>
  <c r="F86" i="18"/>
  <c r="E86" i="18"/>
  <c r="D86" i="18"/>
  <c r="C86" i="18"/>
  <c r="I82" i="18"/>
  <c r="I81" i="18" s="1"/>
  <c r="H82" i="18"/>
  <c r="H81" i="18" s="1"/>
  <c r="G82" i="18"/>
  <c r="G81" i="18" s="1"/>
  <c r="F82" i="18"/>
  <c r="F81" i="18" s="1"/>
  <c r="E82" i="18"/>
  <c r="E81" i="18" s="1"/>
  <c r="D82" i="18"/>
  <c r="D81" i="18" s="1"/>
  <c r="C82" i="18"/>
  <c r="C81" i="18" s="1"/>
  <c r="I80" i="18"/>
  <c r="H80" i="18"/>
  <c r="G80" i="18"/>
  <c r="F80" i="18"/>
  <c r="E80" i="18"/>
  <c r="D80" i="18"/>
  <c r="C80" i="18"/>
  <c r="I79" i="18"/>
  <c r="H79" i="18"/>
  <c r="G79" i="18"/>
  <c r="F79" i="18"/>
  <c r="E79" i="18"/>
  <c r="D79" i="18"/>
  <c r="C79" i="18"/>
  <c r="I78" i="18"/>
  <c r="H78" i="18"/>
  <c r="G78" i="18"/>
  <c r="F78" i="18"/>
  <c r="E78" i="18"/>
  <c r="D78" i="18"/>
  <c r="C78" i="18"/>
  <c r="I77" i="18"/>
  <c r="H77" i="18"/>
  <c r="G77" i="18"/>
  <c r="F77" i="18"/>
  <c r="E77" i="18"/>
  <c r="D77" i="18"/>
  <c r="C77" i="18"/>
  <c r="I76" i="18"/>
  <c r="H76" i="18"/>
  <c r="G76" i="18"/>
  <c r="F76" i="18"/>
  <c r="E76" i="18"/>
  <c r="D76" i="18"/>
  <c r="C76" i="18"/>
  <c r="I75" i="18"/>
  <c r="H75" i="18"/>
  <c r="G75" i="18"/>
  <c r="F75" i="18"/>
  <c r="E75" i="18"/>
  <c r="D75" i="18"/>
  <c r="C75" i="18"/>
  <c r="I73" i="18"/>
  <c r="H73" i="18"/>
  <c r="G73" i="18"/>
  <c r="F73" i="18"/>
  <c r="E73" i="18"/>
  <c r="D73" i="18"/>
  <c r="C73" i="18"/>
  <c r="I72" i="18"/>
  <c r="I71" i="18" s="1"/>
  <c r="H72" i="18"/>
  <c r="H71" i="18" s="1"/>
  <c r="G72" i="18"/>
  <c r="G71" i="18" s="1"/>
  <c r="F72" i="18"/>
  <c r="F71" i="18" s="1"/>
  <c r="E72" i="18"/>
  <c r="E71" i="18" s="1"/>
  <c r="D72" i="18"/>
  <c r="D71" i="18" s="1"/>
  <c r="C72" i="18"/>
  <c r="C71" i="18" s="1"/>
  <c r="I70" i="18"/>
  <c r="I69" i="18" s="1"/>
  <c r="H70" i="18"/>
  <c r="H69" i="18" s="1"/>
  <c r="G70" i="18"/>
  <c r="G69" i="18" s="1"/>
  <c r="F70" i="18"/>
  <c r="F69" i="18" s="1"/>
  <c r="E70" i="18"/>
  <c r="E69" i="18" s="1"/>
  <c r="D70" i="18"/>
  <c r="D69" i="18" s="1"/>
  <c r="C70" i="18"/>
  <c r="C69" i="18" s="1"/>
  <c r="I68" i="18"/>
  <c r="H68" i="18"/>
  <c r="G68" i="18"/>
  <c r="F68" i="18"/>
  <c r="E68" i="18"/>
  <c r="D68" i="18"/>
  <c r="C68" i="18"/>
  <c r="I67" i="18"/>
  <c r="H67" i="18"/>
  <c r="G67" i="18"/>
  <c r="F67" i="18"/>
  <c r="E67" i="18"/>
  <c r="D67" i="18"/>
  <c r="C67" i="18"/>
  <c r="I66" i="18"/>
  <c r="H66" i="18"/>
  <c r="G66" i="18"/>
  <c r="F66" i="18"/>
  <c r="E66" i="18"/>
  <c r="D66" i="18"/>
  <c r="C66" i="18"/>
  <c r="I64" i="18"/>
  <c r="H64" i="18"/>
  <c r="G64" i="18"/>
  <c r="F64" i="18"/>
  <c r="E64" i="18"/>
  <c r="D64" i="18"/>
  <c r="C64" i="18"/>
  <c r="I63" i="18"/>
  <c r="H63" i="18"/>
  <c r="G63" i="18"/>
  <c r="F63" i="18"/>
  <c r="E63" i="18"/>
  <c r="D63" i="18"/>
  <c r="C63" i="18"/>
  <c r="I61" i="18"/>
  <c r="H61" i="18"/>
  <c r="G61" i="18"/>
  <c r="F61" i="18"/>
  <c r="E61" i="18"/>
  <c r="D61" i="18"/>
  <c r="C61" i="18"/>
  <c r="I60" i="18"/>
  <c r="H60" i="18"/>
  <c r="G60" i="18"/>
  <c r="F60" i="18"/>
  <c r="E60" i="18"/>
  <c r="D60" i="18"/>
  <c r="C60" i="18"/>
  <c r="I58" i="18"/>
  <c r="H58" i="18"/>
  <c r="G58" i="18"/>
  <c r="F58" i="18"/>
  <c r="E58" i="18"/>
  <c r="D58" i="18"/>
  <c r="C58" i="18"/>
  <c r="I57" i="18"/>
  <c r="H57" i="18"/>
  <c r="G57" i="18"/>
  <c r="F57" i="18"/>
  <c r="E57" i="18"/>
  <c r="D57" i="18"/>
  <c r="C57" i="18"/>
  <c r="I56" i="18"/>
  <c r="H56" i="18"/>
  <c r="G56" i="18"/>
  <c r="F56" i="18"/>
  <c r="E56" i="18"/>
  <c r="D56" i="18"/>
  <c r="C56" i="18"/>
  <c r="I55" i="18"/>
  <c r="H55" i="18"/>
  <c r="G55" i="18"/>
  <c r="F55" i="18"/>
  <c r="E55" i="18"/>
  <c r="D55" i="18"/>
  <c r="C55" i="18"/>
  <c r="I53" i="18"/>
  <c r="H53" i="18"/>
  <c r="G53" i="18"/>
  <c r="F53" i="18"/>
  <c r="E53" i="18"/>
  <c r="D53" i="18"/>
  <c r="C53" i="18"/>
  <c r="I52" i="18"/>
  <c r="H52" i="18"/>
  <c r="G52" i="18"/>
  <c r="F52" i="18"/>
  <c r="E52" i="18"/>
  <c r="D52" i="18"/>
  <c r="C52" i="18"/>
  <c r="I51" i="18"/>
  <c r="H51" i="18"/>
  <c r="G51" i="18"/>
  <c r="F51" i="18"/>
  <c r="E51" i="18"/>
  <c r="D51" i="18"/>
  <c r="C51" i="18"/>
  <c r="I50" i="18"/>
  <c r="H50" i="18"/>
  <c r="G50" i="18"/>
  <c r="F50" i="18"/>
  <c r="E50" i="18"/>
  <c r="D50" i="18"/>
  <c r="C50" i="18"/>
  <c r="I49" i="18"/>
  <c r="H49" i="18"/>
  <c r="G49" i="18"/>
  <c r="F49" i="18"/>
  <c r="E49" i="18"/>
  <c r="D49" i="18"/>
  <c r="C49" i="18"/>
  <c r="I48" i="18"/>
  <c r="H48" i="18"/>
  <c r="G48" i="18"/>
  <c r="F48" i="18"/>
  <c r="E48" i="18"/>
  <c r="D48" i="18"/>
  <c r="C48" i="18"/>
  <c r="I47" i="18"/>
  <c r="H47" i="18"/>
  <c r="G47" i="18"/>
  <c r="F47" i="18"/>
  <c r="E47" i="18"/>
  <c r="D47" i="18"/>
  <c r="C47" i="18"/>
  <c r="I46" i="18"/>
  <c r="H46" i="18"/>
  <c r="G46" i="18"/>
  <c r="F46" i="18"/>
  <c r="E46" i="18"/>
  <c r="D46" i="18"/>
  <c r="C46" i="18"/>
  <c r="I45" i="18"/>
  <c r="H45" i="18"/>
  <c r="G45" i="18"/>
  <c r="F45" i="18"/>
  <c r="E45" i="18"/>
  <c r="D45" i="18"/>
  <c r="C45" i="18"/>
  <c r="I44" i="18"/>
  <c r="H44" i="18"/>
  <c r="G44" i="18"/>
  <c r="F44" i="18"/>
  <c r="E44" i="18"/>
  <c r="D44" i="18"/>
  <c r="C44" i="18"/>
  <c r="I43" i="18"/>
  <c r="H43" i="18"/>
  <c r="G43" i="18"/>
  <c r="F43" i="18"/>
  <c r="E43" i="18"/>
  <c r="D43" i="18"/>
  <c r="C43" i="18"/>
  <c r="I42" i="18"/>
  <c r="H42" i="18"/>
  <c r="G42" i="18"/>
  <c r="F42" i="18"/>
  <c r="E42" i="18"/>
  <c r="D42" i="18"/>
  <c r="C42" i="18"/>
  <c r="I41" i="18"/>
  <c r="H41" i="18"/>
  <c r="G41" i="18"/>
  <c r="F41" i="18"/>
  <c r="E41" i="18"/>
  <c r="D41" i="18"/>
  <c r="C41" i="18"/>
  <c r="I40" i="18"/>
  <c r="H40" i="18"/>
  <c r="G40" i="18"/>
  <c r="F40" i="18"/>
  <c r="E40" i="18"/>
  <c r="D40" i="18"/>
  <c r="C40" i="18"/>
  <c r="I39" i="18"/>
  <c r="H39" i="18"/>
  <c r="G39" i="18"/>
  <c r="F39" i="18"/>
  <c r="E39" i="18"/>
  <c r="D39" i="18"/>
  <c r="C39" i="18"/>
  <c r="I38" i="18"/>
  <c r="H38" i="18"/>
  <c r="G38" i="18"/>
  <c r="F38" i="18"/>
  <c r="E38" i="18"/>
  <c r="D38" i="18"/>
  <c r="C38" i="18"/>
  <c r="I37" i="18"/>
  <c r="H37" i="18"/>
  <c r="G37" i="18"/>
  <c r="F37" i="18"/>
  <c r="E37" i="18"/>
  <c r="D37" i="18"/>
  <c r="C37" i="18"/>
  <c r="I36" i="18"/>
  <c r="H36" i="18"/>
  <c r="G36" i="18"/>
  <c r="F36" i="18"/>
  <c r="E36" i="18"/>
  <c r="D36" i="18"/>
  <c r="C36" i="18"/>
  <c r="I35" i="18"/>
  <c r="H35" i="18"/>
  <c r="G35" i="18"/>
  <c r="F35" i="18"/>
  <c r="E35" i="18"/>
  <c r="D35" i="18"/>
  <c r="C35" i="18"/>
  <c r="I34" i="18"/>
  <c r="H34" i="18"/>
  <c r="G34" i="18"/>
  <c r="F34" i="18"/>
  <c r="E34" i="18"/>
  <c r="D34" i="18"/>
  <c r="C34" i="18"/>
  <c r="I29" i="18"/>
  <c r="I28" i="18" s="1"/>
  <c r="H29" i="18"/>
  <c r="H28" i="18" s="1"/>
  <c r="G29" i="18"/>
  <c r="G28" i="18" s="1"/>
  <c r="F29" i="18"/>
  <c r="F28" i="18" s="1"/>
  <c r="E29" i="18"/>
  <c r="E28" i="18" s="1"/>
  <c r="D29" i="18"/>
  <c r="D28" i="18" s="1"/>
  <c r="C29" i="18"/>
  <c r="C28" i="18" s="1"/>
  <c r="I27" i="18"/>
  <c r="I26" i="18" s="1"/>
  <c r="H27" i="18"/>
  <c r="H26" i="18" s="1"/>
  <c r="G27" i="18"/>
  <c r="G26" i="18" s="1"/>
  <c r="F27" i="18"/>
  <c r="F26" i="18" s="1"/>
  <c r="E27" i="18"/>
  <c r="E26" i="18" s="1"/>
  <c r="D27" i="18"/>
  <c r="D26" i="18" s="1"/>
  <c r="C27" i="18"/>
  <c r="C26" i="18" s="1"/>
  <c r="I25" i="18"/>
  <c r="H25" i="18"/>
  <c r="G25" i="18"/>
  <c r="F25" i="18"/>
  <c r="E25" i="18"/>
  <c r="D25" i="18"/>
  <c r="C25" i="18"/>
  <c r="I24" i="18"/>
  <c r="H24" i="18"/>
  <c r="G24" i="18"/>
  <c r="F24" i="18"/>
  <c r="E24" i="18"/>
  <c r="D24" i="18"/>
  <c r="C24" i="18"/>
  <c r="I23" i="18"/>
  <c r="H23" i="18"/>
  <c r="G23" i="18"/>
  <c r="F23" i="18"/>
  <c r="E23" i="18"/>
  <c r="D23" i="18"/>
  <c r="C23" i="18"/>
  <c r="I22" i="18"/>
  <c r="H22" i="18"/>
  <c r="G22" i="18"/>
  <c r="F22" i="18"/>
  <c r="E22" i="18"/>
  <c r="D22" i="18"/>
  <c r="C22" i="18"/>
  <c r="I21" i="18"/>
  <c r="H21" i="18"/>
  <c r="G21" i="18"/>
  <c r="F21" i="18"/>
  <c r="E21" i="18"/>
  <c r="D21" i="18"/>
  <c r="C21" i="18"/>
  <c r="I20" i="18"/>
  <c r="H20" i="18"/>
  <c r="G20" i="18"/>
  <c r="F20" i="18"/>
  <c r="E20" i="18"/>
  <c r="D20" i="18"/>
  <c r="C20" i="18"/>
  <c r="C9" i="18"/>
  <c r="D9" i="18"/>
  <c r="E9" i="18"/>
  <c r="F9" i="18"/>
  <c r="G9" i="18"/>
  <c r="H9" i="18"/>
  <c r="I9" i="18"/>
  <c r="C10" i="18"/>
  <c r="D10" i="18"/>
  <c r="E10" i="18"/>
  <c r="F10" i="18"/>
  <c r="G10" i="18"/>
  <c r="H10" i="18"/>
  <c r="I10" i="18"/>
  <c r="C11" i="18"/>
  <c r="D11" i="18"/>
  <c r="E11" i="18"/>
  <c r="F11" i="18"/>
  <c r="G11" i="18"/>
  <c r="H11" i="18"/>
  <c r="C12" i="18"/>
  <c r="D12" i="18"/>
  <c r="E12" i="18"/>
  <c r="F12" i="18"/>
  <c r="G12" i="18"/>
  <c r="H12" i="18"/>
  <c r="I12" i="18"/>
  <c r="C13" i="18"/>
  <c r="D13" i="18"/>
  <c r="E13" i="18"/>
  <c r="F13" i="18"/>
  <c r="G13" i="18"/>
  <c r="H13" i="18"/>
  <c r="I13" i="18"/>
  <c r="C14" i="18"/>
  <c r="D14" i="18"/>
  <c r="E14" i="18"/>
  <c r="F14" i="18"/>
  <c r="G14" i="18"/>
  <c r="H14" i="18"/>
  <c r="I14" i="18"/>
  <c r="C16" i="18"/>
  <c r="C15" i="18" s="1"/>
  <c r="D16" i="18"/>
  <c r="D15" i="18" s="1"/>
  <c r="E16" i="18"/>
  <c r="E15" i="18" s="1"/>
  <c r="F16" i="18"/>
  <c r="F15" i="18" s="1"/>
  <c r="G16" i="18"/>
  <c r="G15" i="18" s="1"/>
  <c r="H16" i="18"/>
  <c r="H15" i="18" s="1"/>
  <c r="I16" i="18"/>
  <c r="I15" i="18" s="1"/>
  <c r="C17" i="18"/>
  <c r="D17" i="18"/>
  <c r="E17" i="18"/>
  <c r="F17" i="18"/>
  <c r="G17" i="18"/>
  <c r="H17" i="18"/>
  <c r="I17" i="18"/>
  <c r="C8" i="18"/>
  <c r="D8" i="18"/>
  <c r="E8" i="18"/>
  <c r="F8" i="18"/>
  <c r="G8" i="18"/>
  <c r="H8" i="18"/>
  <c r="I8" i="18"/>
  <c r="J8" i="18"/>
  <c r="I146" i="10"/>
  <c r="H146" i="10"/>
  <c r="G146" i="10"/>
  <c r="F146" i="10"/>
  <c r="E146" i="10"/>
  <c r="D146" i="10"/>
  <c r="C146" i="10"/>
  <c r="I145" i="10"/>
  <c r="H145" i="10"/>
  <c r="G145" i="10"/>
  <c r="F145" i="10"/>
  <c r="E145" i="10"/>
  <c r="D145" i="10"/>
  <c r="C145" i="10"/>
  <c r="I144" i="10"/>
  <c r="H144" i="10"/>
  <c r="G144" i="10"/>
  <c r="F144" i="10"/>
  <c r="E144" i="10"/>
  <c r="D144" i="10"/>
  <c r="C144" i="10"/>
  <c r="I143" i="10"/>
  <c r="H143" i="10"/>
  <c r="G143" i="10"/>
  <c r="F143" i="10"/>
  <c r="E143" i="10"/>
  <c r="D143" i="10"/>
  <c r="C143" i="10"/>
  <c r="I142" i="10"/>
  <c r="H142" i="10"/>
  <c r="G142" i="10"/>
  <c r="F142" i="10"/>
  <c r="E142" i="10"/>
  <c r="D142" i="10"/>
  <c r="C142" i="10"/>
  <c r="I138" i="10"/>
  <c r="H138" i="10"/>
  <c r="G138" i="10"/>
  <c r="F138" i="10"/>
  <c r="E138" i="10"/>
  <c r="D138" i="10"/>
  <c r="C138" i="10"/>
  <c r="I137" i="10"/>
  <c r="H137" i="10"/>
  <c r="G137" i="10"/>
  <c r="F137" i="10"/>
  <c r="E137" i="10"/>
  <c r="D137" i="10"/>
  <c r="C137" i="10"/>
  <c r="I135" i="10"/>
  <c r="H135" i="10"/>
  <c r="G135" i="10"/>
  <c r="F135" i="10"/>
  <c r="E135" i="10"/>
  <c r="D135" i="10"/>
  <c r="C135" i="10"/>
  <c r="I134" i="10"/>
  <c r="H134" i="10"/>
  <c r="G134" i="10"/>
  <c r="F134" i="10"/>
  <c r="E134" i="10"/>
  <c r="D134" i="10"/>
  <c r="C134" i="10"/>
  <c r="I133" i="10"/>
  <c r="H133" i="10"/>
  <c r="G133" i="10"/>
  <c r="F133" i="10"/>
  <c r="E133" i="10"/>
  <c r="D133" i="10"/>
  <c r="C133" i="10"/>
  <c r="I132" i="10"/>
  <c r="H132" i="10"/>
  <c r="G132" i="10"/>
  <c r="F132" i="10"/>
  <c r="E132" i="10"/>
  <c r="D132" i="10"/>
  <c r="C132" i="10"/>
  <c r="I131" i="10"/>
  <c r="H131" i="10"/>
  <c r="G131" i="10"/>
  <c r="F131" i="10"/>
  <c r="E131" i="10"/>
  <c r="D131" i="10"/>
  <c r="C131" i="10"/>
  <c r="I130" i="10"/>
  <c r="H130" i="10"/>
  <c r="G130" i="10"/>
  <c r="F130" i="10"/>
  <c r="E130" i="10"/>
  <c r="D130" i="10"/>
  <c r="C130" i="10"/>
  <c r="I129" i="10"/>
  <c r="H129" i="10"/>
  <c r="G129" i="10"/>
  <c r="F129" i="10"/>
  <c r="E129" i="10"/>
  <c r="D129" i="10"/>
  <c r="C129" i="10"/>
  <c r="I128" i="10"/>
  <c r="H128" i="10"/>
  <c r="G128" i="10"/>
  <c r="F128" i="10"/>
  <c r="E128" i="10"/>
  <c r="D128" i="10"/>
  <c r="C128" i="10"/>
  <c r="I127" i="10"/>
  <c r="H127" i="10"/>
  <c r="G127" i="10"/>
  <c r="F127" i="10"/>
  <c r="E127" i="10"/>
  <c r="D127" i="10"/>
  <c r="C127" i="10"/>
  <c r="I126" i="10"/>
  <c r="H126" i="10"/>
  <c r="G126" i="10"/>
  <c r="F126" i="10"/>
  <c r="E126" i="10"/>
  <c r="D126" i="10"/>
  <c r="C126" i="10"/>
  <c r="I125" i="10"/>
  <c r="H125" i="10"/>
  <c r="G125" i="10"/>
  <c r="F125" i="10"/>
  <c r="E125" i="10"/>
  <c r="D125" i="10"/>
  <c r="C125" i="10"/>
  <c r="I124" i="10"/>
  <c r="H124" i="10"/>
  <c r="G124" i="10"/>
  <c r="F124" i="10"/>
  <c r="E124" i="10"/>
  <c r="D124" i="10"/>
  <c r="C124" i="10"/>
  <c r="I123" i="10"/>
  <c r="H123" i="10"/>
  <c r="G123" i="10"/>
  <c r="F123" i="10"/>
  <c r="E123" i="10"/>
  <c r="D123" i="10"/>
  <c r="C123" i="10"/>
  <c r="I122" i="10"/>
  <c r="H122" i="10"/>
  <c r="G122" i="10"/>
  <c r="F122" i="10"/>
  <c r="E122" i="10"/>
  <c r="D122" i="10"/>
  <c r="C122" i="10"/>
  <c r="I120" i="10"/>
  <c r="H120" i="10"/>
  <c r="G120" i="10"/>
  <c r="F120" i="10"/>
  <c r="E120" i="10"/>
  <c r="D120" i="10"/>
  <c r="C120" i="10"/>
  <c r="I119" i="10"/>
  <c r="H119" i="10"/>
  <c r="G119" i="10"/>
  <c r="F119" i="10"/>
  <c r="E119" i="10"/>
  <c r="D119" i="10"/>
  <c r="C119" i="10"/>
  <c r="I118" i="10"/>
  <c r="H118" i="10"/>
  <c r="G118" i="10"/>
  <c r="F118" i="10"/>
  <c r="E118" i="10"/>
  <c r="D118" i="10"/>
  <c r="C118" i="10"/>
  <c r="I117" i="10"/>
  <c r="H117" i="10"/>
  <c r="G117" i="10"/>
  <c r="F117" i="10"/>
  <c r="E117" i="10"/>
  <c r="D117" i="10"/>
  <c r="C117" i="10"/>
  <c r="I116" i="10"/>
  <c r="H116" i="10"/>
  <c r="G116" i="10"/>
  <c r="F116" i="10"/>
  <c r="E116" i="10"/>
  <c r="D116" i="10"/>
  <c r="C116" i="10"/>
  <c r="I115" i="10"/>
  <c r="H115" i="10"/>
  <c r="G115" i="10"/>
  <c r="F115" i="10"/>
  <c r="E115" i="10"/>
  <c r="D115" i="10"/>
  <c r="C115" i="10"/>
  <c r="I114" i="10"/>
  <c r="H114" i="10"/>
  <c r="G114" i="10"/>
  <c r="F114" i="10"/>
  <c r="E114" i="10"/>
  <c r="D114" i="10"/>
  <c r="C114" i="10"/>
  <c r="I113" i="10"/>
  <c r="H113" i="10"/>
  <c r="G113" i="10"/>
  <c r="F113" i="10"/>
  <c r="E113" i="10"/>
  <c r="D113" i="10"/>
  <c r="C113" i="10"/>
  <c r="I112" i="10"/>
  <c r="H112" i="10"/>
  <c r="G112" i="10"/>
  <c r="F112" i="10"/>
  <c r="E112" i="10"/>
  <c r="D112" i="10"/>
  <c r="C112" i="10"/>
  <c r="I111" i="10"/>
  <c r="H111" i="10"/>
  <c r="G111" i="10"/>
  <c r="F111" i="10"/>
  <c r="E111" i="10"/>
  <c r="D111" i="10"/>
  <c r="C111" i="10"/>
  <c r="I110" i="10"/>
  <c r="H110" i="10"/>
  <c r="G110" i="10"/>
  <c r="F110" i="10"/>
  <c r="E110" i="10"/>
  <c r="D110" i="10"/>
  <c r="C110" i="10"/>
  <c r="I109" i="10"/>
  <c r="H109" i="10"/>
  <c r="G109" i="10"/>
  <c r="F109" i="10"/>
  <c r="E109" i="10"/>
  <c r="D109" i="10"/>
  <c r="C109" i="10"/>
  <c r="I108" i="10"/>
  <c r="H108" i="10"/>
  <c r="G108" i="10"/>
  <c r="F108" i="10"/>
  <c r="E108" i="10"/>
  <c r="D108" i="10"/>
  <c r="C108" i="10"/>
  <c r="I107" i="10"/>
  <c r="H107" i="10"/>
  <c r="G107" i="10"/>
  <c r="F107" i="10"/>
  <c r="E107" i="10"/>
  <c r="D107" i="10"/>
  <c r="C107" i="10"/>
  <c r="I106" i="10"/>
  <c r="H106" i="10"/>
  <c r="G106" i="10"/>
  <c r="F106" i="10"/>
  <c r="E106" i="10"/>
  <c r="D106" i="10"/>
  <c r="C106" i="10"/>
  <c r="I105" i="10"/>
  <c r="H105" i="10"/>
  <c r="G105" i="10"/>
  <c r="F105" i="10"/>
  <c r="E105" i="10"/>
  <c r="D105" i="10"/>
  <c r="C105" i="10"/>
  <c r="I101" i="10"/>
  <c r="I100" i="10" s="1"/>
  <c r="H101" i="10"/>
  <c r="H100" i="10" s="1"/>
  <c r="G101" i="10"/>
  <c r="G100" i="10" s="1"/>
  <c r="F101" i="10"/>
  <c r="F100" i="10" s="1"/>
  <c r="E101" i="10"/>
  <c r="E100" i="10" s="1"/>
  <c r="D101" i="10"/>
  <c r="D100" i="10" s="1"/>
  <c r="C101" i="10"/>
  <c r="C100" i="10" s="1"/>
  <c r="I99" i="10"/>
  <c r="H99" i="10"/>
  <c r="G99" i="10"/>
  <c r="F99" i="10"/>
  <c r="E99" i="10"/>
  <c r="D99" i="10"/>
  <c r="C99" i="10"/>
  <c r="I98" i="10"/>
  <c r="H98" i="10"/>
  <c r="G98" i="10"/>
  <c r="F98" i="10"/>
  <c r="E98" i="10"/>
  <c r="D98" i="10"/>
  <c r="C98" i="10"/>
  <c r="I97" i="10"/>
  <c r="H97" i="10"/>
  <c r="G97" i="10"/>
  <c r="F97" i="10"/>
  <c r="E97" i="10"/>
  <c r="D97" i="10"/>
  <c r="C97" i="10"/>
  <c r="I96" i="10"/>
  <c r="H96" i="10"/>
  <c r="G96" i="10"/>
  <c r="F96" i="10"/>
  <c r="E96" i="10"/>
  <c r="D96" i="10"/>
  <c r="C96" i="10"/>
  <c r="I95" i="10"/>
  <c r="H95" i="10"/>
  <c r="G95" i="10"/>
  <c r="F95" i="10"/>
  <c r="E95" i="10"/>
  <c r="D95" i="10"/>
  <c r="C95" i="10"/>
  <c r="I94" i="10"/>
  <c r="H94" i="10"/>
  <c r="G94" i="10"/>
  <c r="F94" i="10"/>
  <c r="E94" i="10"/>
  <c r="D94" i="10"/>
  <c r="C94" i="10"/>
  <c r="I93" i="10"/>
  <c r="H93" i="10"/>
  <c r="G93" i="10"/>
  <c r="F93" i="10"/>
  <c r="E93" i="10"/>
  <c r="D93" i="10"/>
  <c r="C93" i="10"/>
  <c r="I91" i="10"/>
  <c r="I90" i="10" s="1"/>
  <c r="H91" i="10"/>
  <c r="H90" i="10" s="1"/>
  <c r="G91" i="10"/>
  <c r="G90" i="10" s="1"/>
  <c r="F91" i="10"/>
  <c r="F90" i="10" s="1"/>
  <c r="E91" i="10"/>
  <c r="E90" i="10" s="1"/>
  <c r="D91" i="10"/>
  <c r="D90" i="10" s="1"/>
  <c r="C91" i="10"/>
  <c r="C90" i="10" s="1"/>
  <c r="I89" i="10"/>
  <c r="I88" i="10" s="1"/>
  <c r="H89" i="10"/>
  <c r="H88" i="10" s="1"/>
  <c r="G89" i="10"/>
  <c r="G88" i="10" s="1"/>
  <c r="F89" i="10"/>
  <c r="F88" i="10" s="1"/>
  <c r="E89" i="10"/>
  <c r="E88" i="10" s="1"/>
  <c r="D89" i="10"/>
  <c r="D88" i="10" s="1"/>
  <c r="C89" i="10"/>
  <c r="C88" i="10" s="1"/>
  <c r="I87" i="10"/>
  <c r="H87" i="10"/>
  <c r="G87" i="10"/>
  <c r="F87" i="10"/>
  <c r="E87" i="10"/>
  <c r="D87" i="10"/>
  <c r="C87" i="10"/>
  <c r="I86" i="10"/>
  <c r="H86" i="10"/>
  <c r="G86" i="10"/>
  <c r="F86" i="10"/>
  <c r="E86" i="10"/>
  <c r="D86" i="10"/>
  <c r="C86" i="10"/>
  <c r="I85" i="10"/>
  <c r="H85" i="10"/>
  <c r="G85" i="10"/>
  <c r="F85" i="10"/>
  <c r="E85" i="10"/>
  <c r="D85" i="10"/>
  <c r="C85" i="10"/>
  <c r="I84" i="10"/>
  <c r="H84" i="10"/>
  <c r="G84" i="10"/>
  <c r="F84" i="10"/>
  <c r="E84" i="10"/>
  <c r="D84" i="10"/>
  <c r="C84" i="10"/>
  <c r="I83" i="10"/>
  <c r="H83" i="10"/>
  <c r="G83" i="10"/>
  <c r="F83" i="10"/>
  <c r="E83" i="10"/>
  <c r="D83" i="10"/>
  <c r="C83" i="10"/>
  <c r="I82" i="10"/>
  <c r="H82" i="10"/>
  <c r="G82" i="10"/>
  <c r="F82" i="10"/>
  <c r="E82" i="10"/>
  <c r="D82" i="10"/>
  <c r="C82" i="10"/>
  <c r="I81" i="10"/>
  <c r="H81" i="10"/>
  <c r="G81" i="10"/>
  <c r="F81" i="10"/>
  <c r="E81" i="10"/>
  <c r="D81" i="10"/>
  <c r="C81" i="10"/>
  <c r="I79" i="10"/>
  <c r="H79" i="10"/>
  <c r="G79" i="10"/>
  <c r="F79" i="10"/>
  <c r="E79" i="10"/>
  <c r="D79" i="10"/>
  <c r="C79" i="10"/>
  <c r="I78" i="10"/>
  <c r="H78" i="10"/>
  <c r="G78" i="10"/>
  <c r="F78" i="10"/>
  <c r="E78" i="10"/>
  <c r="D78" i="10"/>
  <c r="C78" i="10"/>
  <c r="I77" i="10"/>
  <c r="H77" i="10"/>
  <c r="G77" i="10"/>
  <c r="F77" i="10"/>
  <c r="E77" i="10"/>
  <c r="D77" i="10"/>
  <c r="C77" i="10"/>
  <c r="I76" i="10"/>
  <c r="H76" i="10"/>
  <c r="G76" i="10"/>
  <c r="F76" i="10"/>
  <c r="E76" i="10"/>
  <c r="D76" i="10"/>
  <c r="C76" i="10"/>
  <c r="I75" i="10"/>
  <c r="H75" i="10"/>
  <c r="G75" i="10"/>
  <c r="F75" i="10"/>
  <c r="E75" i="10"/>
  <c r="D75" i="10"/>
  <c r="C75" i="10"/>
  <c r="I74" i="10"/>
  <c r="H74" i="10"/>
  <c r="G74" i="10"/>
  <c r="F74" i="10"/>
  <c r="E74" i="10"/>
  <c r="D74" i="10"/>
  <c r="C74" i="10"/>
  <c r="I73" i="10"/>
  <c r="H73" i="10"/>
  <c r="G73" i="10"/>
  <c r="F73" i="10"/>
  <c r="E73" i="10"/>
  <c r="D73" i="10"/>
  <c r="C73" i="10"/>
  <c r="I72" i="10"/>
  <c r="H72" i="10"/>
  <c r="G72" i="10"/>
  <c r="F72" i="10"/>
  <c r="E72" i="10"/>
  <c r="D72" i="10"/>
  <c r="C72" i="10"/>
  <c r="I70" i="10"/>
  <c r="H70" i="10"/>
  <c r="G70" i="10"/>
  <c r="F70" i="10"/>
  <c r="E70" i="10"/>
  <c r="D70" i="10"/>
  <c r="C70" i="10"/>
  <c r="I69" i="10"/>
  <c r="H69" i="10"/>
  <c r="G69" i="10"/>
  <c r="F69" i="10"/>
  <c r="E69" i="10"/>
  <c r="D69" i="10"/>
  <c r="C69" i="10"/>
  <c r="I68" i="10"/>
  <c r="H68" i="10"/>
  <c r="G68" i="10"/>
  <c r="F68" i="10"/>
  <c r="E68" i="10"/>
  <c r="D68" i="10"/>
  <c r="C68" i="10"/>
  <c r="I67" i="10"/>
  <c r="H67" i="10"/>
  <c r="G67" i="10"/>
  <c r="F67" i="10"/>
  <c r="E67" i="10"/>
  <c r="D67" i="10"/>
  <c r="C67" i="10"/>
  <c r="I65" i="10"/>
  <c r="H65" i="10"/>
  <c r="G65" i="10"/>
  <c r="F65" i="10"/>
  <c r="E65" i="10"/>
  <c r="D65" i="10"/>
  <c r="C65" i="10"/>
  <c r="I64" i="10"/>
  <c r="H64" i="10"/>
  <c r="G64" i="10"/>
  <c r="F64" i="10"/>
  <c r="E64" i="10"/>
  <c r="D64" i="10"/>
  <c r="C64" i="10"/>
  <c r="I62" i="10"/>
  <c r="H62" i="10"/>
  <c r="G62" i="10"/>
  <c r="F62" i="10"/>
  <c r="E62" i="10"/>
  <c r="D62" i="10"/>
  <c r="C62" i="10"/>
  <c r="I61" i="10"/>
  <c r="H61" i="10"/>
  <c r="G61" i="10"/>
  <c r="F61" i="10"/>
  <c r="E61" i="10"/>
  <c r="D61" i="10"/>
  <c r="C61" i="10"/>
  <c r="I60" i="10"/>
  <c r="H60" i="10"/>
  <c r="G60" i="10"/>
  <c r="F60" i="10"/>
  <c r="E60" i="10"/>
  <c r="D60" i="10"/>
  <c r="C60" i="10"/>
  <c r="I59" i="10"/>
  <c r="H59" i="10"/>
  <c r="G59" i="10"/>
  <c r="F59" i="10"/>
  <c r="E59" i="10"/>
  <c r="D59" i="10"/>
  <c r="C59" i="10"/>
  <c r="I58" i="10"/>
  <c r="H58" i="10"/>
  <c r="G58" i="10"/>
  <c r="F58" i="10"/>
  <c r="E58" i="10"/>
  <c r="D58" i="10"/>
  <c r="C58" i="10"/>
  <c r="I56" i="10"/>
  <c r="H56" i="10"/>
  <c r="G56" i="10"/>
  <c r="F56" i="10"/>
  <c r="E56" i="10"/>
  <c r="D56" i="10"/>
  <c r="C56" i="10"/>
  <c r="I55" i="10"/>
  <c r="H55" i="10"/>
  <c r="G55" i="10"/>
  <c r="F55" i="10"/>
  <c r="E55" i="10"/>
  <c r="D55" i="10"/>
  <c r="C55" i="10"/>
  <c r="I54" i="10"/>
  <c r="H54" i="10"/>
  <c r="G54" i="10"/>
  <c r="F54" i="10"/>
  <c r="E54" i="10"/>
  <c r="D54" i="10"/>
  <c r="C54" i="10"/>
  <c r="I53" i="10"/>
  <c r="H53" i="10"/>
  <c r="G53" i="10"/>
  <c r="F53" i="10"/>
  <c r="E53" i="10"/>
  <c r="D53" i="10"/>
  <c r="C53" i="10"/>
  <c r="I52" i="10"/>
  <c r="H52" i="10"/>
  <c r="G52" i="10"/>
  <c r="F52" i="10"/>
  <c r="E52" i="10"/>
  <c r="D52" i="10"/>
  <c r="C52" i="10"/>
  <c r="I51" i="10"/>
  <c r="H51" i="10"/>
  <c r="G51" i="10"/>
  <c r="F51" i="10"/>
  <c r="E51" i="10"/>
  <c r="D51" i="10"/>
  <c r="C51" i="10"/>
  <c r="I50" i="10"/>
  <c r="H50" i="10"/>
  <c r="G50" i="10"/>
  <c r="F50" i="10"/>
  <c r="E50" i="10"/>
  <c r="D50" i="10"/>
  <c r="C50" i="10"/>
  <c r="I49" i="10"/>
  <c r="H49" i="10"/>
  <c r="G49" i="10"/>
  <c r="F49" i="10"/>
  <c r="E49" i="10"/>
  <c r="D49" i="10"/>
  <c r="C49" i="10"/>
  <c r="I48" i="10"/>
  <c r="H48" i="10"/>
  <c r="G48" i="10"/>
  <c r="F48" i="10"/>
  <c r="E48" i="10"/>
  <c r="D48" i="10"/>
  <c r="C48" i="10"/>
  <c r="I47" i="10"/>
  <c r="H47" i="10"/>
  <c r="G47" i="10"/>
  <c r="F47" i="10"/>
  <c r="E47" i="10"/>
  <c r="D47" i="10"/>
  <c r="C47" i="10"/>
  <c r="I46" i="10"/>
  <c r="H46" i="10"/>
  <c r="G46" i="10"/>
  <c r="F46" i="10"/>
  <c r="E46" i="10"/>
  <c r="D46" i="10"/>
  <c r="C46" i="10"/>
  <c r="I45" i="10"/>
  <c r="H45" i="10"/>
  <c r="G45" i="10"/>
  <c r="F45" i="10"/>
  <c r="E45" i="10"/>
  <c r="D45" i="10"/>
  <c r="C45" i="10"/>
  <c r="I44" i="10"/>
  <c r="H44" i="10"/>
  <c r="G44" i="10"/>
  <c r="F44" i="10"/>
  <c r="E44" i="10"/>
  <c r="D44" i="10"/>
  <c r="C44" i="10"/>
  <c r="I43" i="10"/>
  <c r="H43" i="10"/>
  <c r="G43" i="10"/>
  <c r="F43" i="10"/>
  <c r="E43" i="10"/>
  <c r="D43" i="10"/>
  <c r="C43" i="10"/>
  <c r="I42" i="10"/>
  <c r="H42" i="10"/>
  <c r="G42" i="10"/>
  <c r="F42" i="10"/>
  <c r="E42" i="10"/>
  <c r="D42" i="10"/>
  <c r="C42" i="10"/>
  <c r="I41" i="10"/>
  <c r="H41" i="10"/>
  <c r="G41" i="10"/>
  <c r="F41" i="10"/>
  <c r="E41" i="10"/>
  <c r="D41" i="10"/>
  <c r="C41" i="10"/>
  <c r="I40" i="10"/>
  <c r="H40" i="10"/>
  <c r="G40" i="10"/>
  <c r="F40" i="10"/>
  <c r="E40" i="10"/>
  <c r="D40" i="10"/>
  <c r="C40" i="10"/>
  <c r="I39" i="10"/>
  <c r="H39" i="10"/>
  <c r="G39" i="10"/>
  <c r="F39" i="10"/>
  <c r="E39" i="10"/>
  <c r="D39" i="10"/>
  <c r="C39" i="10"/>
  <c r="I38" i="10"/>
  <c r="H38" i="10"/>
  <c r="G38" i="10"/>
  <c r="F38" i="10"/>
  <c r="E38" i="10"/>
  <c r="D38" i="10"/>
  <c r="C38" i="10"/>
  <c r="I33" i="10"/>
  <c r="I32" i="10" s="1"/>
  <c r="H33" i="10"/>
  <c r="H32" i="10" s="1"/>
  <c r="G33" i="10"/>
  <c r="G32" i="10" s="1"/>
  <c r="F33" i="10"/>
  <c r="F32" i="10" s="1"/>
  <c r="E33" i="10"/>
  <c r="E32" i="10" s="1"/>
  <c r="D33" i="10"/>
  <c r="D32" i="10" s="1"/>
  <c r="C33" i="10"/>
  <c r="C32" i="10" s="1"/>
  <c r="I31" i="10"/>
  <c r="I30" i="10" s="1"/>
  <c r="H31" i="10"/>
  <c r="H30" i="10" s="1"/>
  <c r="G31" i="10"/>
  <c r="G30" i="10" s="1"/>
  <c r="F31" i="10"/>
  <c r="F30" i="10" s="1"/>
  <c r="E31" i="10"/>
  <c r="E30" i="10" s="1"/>
  <c r="D31" i="10"/>
  <c r="D30" i="10" s="1"/>
  <c r="C31" i="10"/>
  <c r="C30" i="10" s="1"/>
  <c r="I29" i="10"/>
  <c r="H29" i="10"/>
  <c r="G29" i="10"/>
  <c r="F29" i="10"/>
  <c r="E29" i="10"/>
  <c r="D29" i="10"/>
  <c r="C29" i="10"/>
  <c r="I28" i="10"/>
  <c r="H28" i="10"/>
  <c r="G28" i="10"/>
  <c r="F28" i="10"/>
  <c r="E28" i="10"/>
  <c r="D28" i="10"/>
  <c r="C28" i="10"/>
  <c r="I27" i="10"/>
  <c r="H27" i="10"/>
  <c r="G27" i="10"/>
  <c r="F27" i="10"/>
  <c r="E27" i="10"/>
  <c r="D27" i="10"/>
  <c r="C27" i="10"/>
  <c r="I26" i="10"/>
  <c r="H26" i="10"/>
  <c r="G26" i="10"/>
  <c r="F26" i="10"/>
  <c r="E26" i="10"/>
  <c r="D26" i="10"/>
  <c r="C26" i="10"/>
  <c r="I25" i="10"/>
  <c r="H25" i="10"/>
  <c r="G25" i="10"/>
  <c r="F25" i="10"/>
  <c r="E25" i="10"/>
  <c r="D25" i="10"/>
  <c r="C25" i="10"/>
  <c r="I24" i="10"/>
  <c r="H24" i="10"/>
  <c r="G24" i="10"/>
  <c r="F24" i="10"/>
  <c r="E24" i="10"/>
  <c r="D24" i="10"/>
  <c r="C24" i="10"/>
  <c r="I23" i="10"/>
  <c r="H23" i="10"/>
  <c r="G23" i="10"/>
  <c r="F23" i="10"/>
  <c r="E23" i="10"/>
  <c r="D23" i="10"/>
  <c r="C23" i="10"/>
  <c r="I20" i="10"/>
  <c r="H20" i="10"/>
  <c r="G20" i="10"/>
  <c r="F20" i="10"/>
  <c r="E20" i="10"/>
  <c r="D20" i="10"/>
  <c r="C20" i="10"/>
  <c r="I19" i="10"/>
  <c r="I18" i="10" s="1"/>
  <c r="H19" i="10"/>
  <c r="H18" i="10" s="1"/>
  <c r="G19" i="10"/>
  <c r="G18" i="10" s="1"/>
  <c r="F19" i="10"/>
  <c r="F18" i="10" s="1"/>
  <c r="E19" i="10"/>
  <c r="E18" i="10" s="1"/>
  <c r="D19" i="10"/>
  <c r="D18" i="10" s="1"/>
  <c r="C19" i="10"/>
  <c r="C18" i="10" s="1"/>
  <c r="I17" i="10"/>
  <c r="H17" i="10"/>
  <c r="G17" i="10"/>
  <c r="F17" i="10"/>
  <c r="E17" i="10"/>
  <c r="D17" i="10"/>
  <c r="C17" i="10"/>
  <c r="I16" i="10"/>
  <c r="H16" i="10"/>
  <c r="G16" i="10"/>
  <c r="F16" i="10"/>
  <c r="E16" i="10"/>
  <c r="D16" i="10"/>
  <c r="C16" i="10"/>
  <c r="I15" i="10"/>
  <c r="H15" i="10"/>
  <c r="G15" i="10"/>
  <c r="F15" i="10"/>
  <c r="E15" i="10"/>
  <c r="D15" i="10"/>
  <c r="C15" i="10"/>
  <c r="I14" i="10"/>
  <c r="H14" i="10"/>
  <c r="G14" i="10"/>
  <c r="F14" i="10"/>
  <c r="E14" i="10"/>
  <c r="D14" i="10"/>
  <c r="C14" i="10"/>
  <c r="I13" i="10"/>
  <c r="H13" i="10"/>
  <c r="G13" i="10"/>
  <c r="F13" i="10"/>
  <c r="E13" i="10"/>
  <c r="D13" i="10"/>
  <c r="C13" i="10"/>
  <c r="I12" i="10"/>
  <c r="H12" i="10"/>
  <c r="G12" i="10"/>
  <c r="F12" i="10"/>
  <c r="E12" i="10"/>
  <c r="D12" i="10"/>
  <c r="C12" i="10"/>
  <c r="I11" i="10"/>
  <c r="H11" i="10"/>
  <c r="G11" i="10"/>
  <c r="F11" i="10"/>
  <c r="E11" i="10"/>
  <c r="D11" i="10"/>
  <c r="C11" i="10"/>
  <c r="I10" i="10"/>
  <c r="H10" i="10"/>
  <c r="G10" i="10"/>
  <c r="F10" i="10"/>
  <c r="E10" i="10"/>
  <c r="D10" i="10"/>
  <c r="C10" i="10"/>
  <c r="I9" i="10"/>
  <c r="H9" i="10"/>
  <c r="G9" i="10"/>
  <c r="F9" i="10"/>
  <c r="E9" i="10"/>
  <c r="D9" i="10"/>
  <c r="C9" i="10"/>
  <c r="I8" i="10"/>
  <c r="H8" i="10"/>
  <c r="G8" i="10"/>
  <c r="F8" i="10"/>
  <c r="E8" i="10"/>
  <c r="D8" i="10"/>
  <c r="C8" i="10"/>
  <c r="J146" i="10"/>
  <c r="J145" i="10"/>
  <c r="J144" i="10"/>
  <c r="J143" i="10"/>
  <c r="J142" i="10"/>
  <c r="J138" i="10"/>
  <c r="J137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0" i="10"/>
  <c r="J119" i="10"/>
  <c r="J118" i="10"/>
  <c r="J117" i="10"/>
  <c r="J116" i="10"/>
  <c r="J115" i="10"/>
  <c r="J114" i="10"/>
  <c r="J113" i="10"/>
  <c r="J112" i="10"/>
  <c r="J111" i="10"/>
  <c r="N110" i="10"/>
  <c r="M110" i="10"/>
  <c r="L110" i="10"/>
  <c r="K110" i="10"/>
  <c r="J110" i="10"/>
  <c r="N109" i="10"/>
  <c r="M109" i="10"/>
  <c r="L109" i="10"/>
  <c r="K109" i="10"/>
  <c r="J109" i="10"/>
  <c r="N108" i="10"/>
  <c r="M108" i="10"/>
  <c r="L108" i="10"/>
  <c r="K108" i="10"/>
  <c r="J108" i="10"/>
  <c r="N107" i="10"/>
  <c r="M107" i="10"/>
  <c r="L107" i="10"/>
  <c r="K107" i="10"/>
  <c r="J107" i="10"/>
  <c r="N106" i="10"/>
  <c r="M106" i="10"/>
  <c r="L106" i="10"/>
  <c r="K106" i="10"/>
  <c r="J106" i="10"/>
  <c r="N105" i="10"/>
  <c r="M105" i="10"/>
  <c r="L105" i="10"/>
  <c r="K105" i="10"/>
  <c r="J105" i="10"/>
  <c r="N101" i="10"/>
  <c r="N100" i="10" s="1"/>
  <c r="M101" i="10"/>
  <c r="M100" i="10" s="1"/>
  <c r="L101" i="10"/>
  <c r="L100" i="10" s="1"/>
  <c r="K101" i="10"/>
  <c r="K100" i="10" s="1"/>
  <c r="J101" i="10"/>
  <c r="J100" i="10" s="1"/>
  <c r="J99" i="10"/>
  <c r="J98" i="10"/>
  <c r="J97" i="10"/>
  <c r="J96" i="10"/>
  <c r="J95" i="10"/>
  <c r="J94" i="10"/>
  <c r="J91" i="10"/>
  <c r="J90" i="10" s="1"/>
  <c r="J89" i="10"/>
  <c r="J88" i="10" s="1"/>
  <c r="J87" i="10"/>
  <c r="J86" i="10"/>
  <c r="J85" i="10"/>
  <c r="J84" i="10"/>
  <c r="J83" i="10"/>
  <c r="J81" i="10"/>
  <c r="J79" i="10"/>
  <c r="J78" i="10"/>
  <c r="J77" i="10"/>
  <c r="J76" i="10"/>
  <c r="J75" i="10"/>
  <c r="J74" i="10"/>
  <c r="J72" i="10"/>
  <c r="J70" i="10"/>
  <c r="J69" i="10"/>
  <c r="J68" i="10"/>
  <c r="J65" i="10"/>
  <c r="J64" i="10"/>
  <c r="J62" i="10"/>
  <c r="J61" i="10"/>
  <c r="J60" i="10"/>
  <c r="J59" i="10"/>
  <c r="J58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3" i="10"/>
  <c r="J32" i="10" s="1"/>
  <c r="J31" i="10"/>
  <c r="J30" i="10" s="1"/>
  <c r="J29" i="10"/>
  <c r="J28" i="10"/>
  <c r="J27" i="10"/>
  <c r="J26" i="10"/>
  <c r="J25" i="10"/>
  <c r="J24" i="10"/>
  <c r="J23" i="10"/>
  <c r="J20" i="10"/>
  <c r="J19" i="10"/>
  <c r="J18" i="10" s="1"/>
  <c r="J17" i="10"/>
  <c r="J16" i="10"/>
  <c r="J15" i="10"/>
  <c r="J13" i="10"/>
  <c r="J12" i="10"/>
  <c r="J11" i="10"/>
  <c r="N10" i="10"/>
  <c r="M10" i="10"/>
  <c r="L10" i="10"/>
  <c r="K10" i="10"/>
  <c r="J10" i="10"/>
  <c r="J9" i="10"/>
  <c r="J8" i="10"/>
  <c r="I150" i="6"/>
  <c r="H150" i="6"/>
  <c r="G150" i="6"/>
  <c r="F150" i="6"/>
  <c r="E150" i="6"/>
  <c r="D150" i="6"/>
  <c r="C150" i="6"/>
  <c r="I149" i="6"/>
  <c r="H149" i="6"/>
  <c r="G149" i="6"/>
  <c r="F149" i="6"/>
  <c r="E149" i="6"/>
  <c r="D149" i="6"/>
  <c r="C149" i="6"/>
  <c r="I148" i="6"/>
  <c r="H148" i="6"/>
  <c r="G148" i="6"/>
  <c r="F148" i="6"/>
  <c r="E148" i="6"/>
  <c r="D148" i="6"/>
  <c r="C148" i="6"/>
  <c r="I147" i="6"/>
  <c r="H147" i="6"/>
  <c r="G147" i="6"/>
  <c r="F147" i="6"/>
  <c r="E147" i="6"/>
  <c r="D147" i="6"/>
  <c r="C147" i="6"/>
  <c r="I146" i="6"/>
  <c r="H146" i="6"/>
  <c r="G146" i="6"/>
  <c r="F146" i="6"/>
  <c r="E146" i="6"/>
  <c r="D146" i="6"/>
  <c r="C146" i="6"/>
  <c r="I142" i="6"/>
  <c r="H142" i="6"/>
  <c r="G142" i="6"/>
  <c r="F142" i="6"/>
  <c r="E142" i="6"/>
  <c r="D142" i="6"/>
  <c r="C142" i="6"/>
  <c r="I141" i="6"/>
  <c r="H141" i="6"/>
  <c r="G141" i="6"/>
  <c r="F141" i="6"/>
  <c r="E141" i="6"/>
  <c r="D141" i="6"/>
  <c r="C141" i="6"/>
  <c r="I139" i="6"/>
  <c r="I138" i="6" s="1"/>
  <c r="H139" i="6"/>
  <c r="H138" i="6" s="1"/>
  <c r="G139" i="6"/>
  <c r="G138" i="6" s="1"/>
  <c r="F139" i="6"/>
  <c r="F138" i="6" s="1"/>
  <c r="E139" i="6"/>
  <c r="E138" i="6" s="1"/>
  <c r="D139" i="6"/>
  <c r="D138" i="6" s="1"/>
  <c r="C139" i="6"/>
  <c r="C138" i="6" s="1"/>
  <c r="I137" i="6"/>
  <c r="H137" i="6"/>
  <c r="G137" i="6"/>
  <c r="F137" i="6"/>
  <c r="E137" i="6"/>
  <c r="D137" i="6"/>
  <c r="C137" i="6"/>
  <c r="I136" i="6"/>
  <c r="H136" i="6"/>
  <c r="G136" i="6"/>
  <c r="F136" i="6"/>
  <c r="E136" i="6"/>
  <c r="D136" i="6"/>
  <c r="C136" i="6"/>
  <c r="I135" i="6"/>
  <c r="H135" i="6"/>
  <c r="G135" i="6"/>
  <c r="F135" i="6"/>
  <c r="E135" i="6"/>
  <c r="D135" i="6"/>
  <c r="C135" i="6"/>
  <c r="I134" i="6"/>
  <c r="H134" i="6"/>
  <c r="G134" i="6"/>
  <c r="F134" i="6"/>
  <c r="E134" i="6"/>
  <c r="D134" i="6"/>
  <c r="C134" i="6"/>
  <c r="I133" i="6"/>
  <c r="H133" i="6"/>
  <c r="G133" i="6"/>
  <c r="F133" i="6"/>
  <c r="E133" i="6"/>
  <c r="D133" i="6"/>
  <c r="C133" i="6"/>
  <c r="I132" i="6"/>
  <c r="H132" i="6"/>
  <c r="G132" i="6"/>
  <c r="F132" i="6"/>
  <c r="E132" i="6"/>
  <c r="D132" i="6"/>
  <c r="C132" i="6"/>
  <c r="I131" i="6"/>
  <c r="H131" i="6"/>
  <c r="G131" i="6"/>
  <c r="F131" i="6"/>
  <c r="E131" i="6"/>
  <c r="D131" i="6"/>
  <c r="C131" i="6"/>
  <c r="I130" i="6"/>
  <c r="H130" i="6"/>
  <c r="G130" i="6"/>
  <c r="F130" i="6"/>
  <c r="E130" i="6"/>
  <c r="D130" i="6"/>
  <c r="C130" i="6"/>
  <c r="I129" i="6"/>
  <c r="H129" i="6"/>
  <c r="G129" i="6"/>
  <c r="F129" i="6"/>
  <c r="E129" i="6"/>
  <c r="D129" i="6"/>
  <c r="C129" i="6"/>
  <c r="I128" i="6"/>
  <c r="H128" i="6"/>
  <c r="G128" i="6"/>
  <c r="F128" i="6"/>
  <c r="E128" i="6"/>
  <c r="D128" i="6"/>
  <c r="C128" i="6"/>
  <c r="I127" i="6"/>
  <c r="H127" i="6"/>
  <c r="G127" i="6"/>
  <c r="F127" i="6"/>
  <c r="E127" i="6"/>
  <c r="D127" i="6"/>
  <c r="C127" i="6"/>
  <c r="I126" i="6"/>
  <c r="H126" i="6"/>
  <c r="G126" i="6"/>
  <c r="F126" i="6"/>
  <c r="E126" i="6"/>
  <c r="D126" i="6"/>
  <c r="C126" i="6"/>
  <c r="I125" i="6"/>
  <c r="H125" i="6"/>
  <c r="G125" i="6"/>
  <c r="F125" i="6"/>
  <c r="E125" i="6"/>
  <c r="D125" i="6"/>
  <c r="C125" i="6"/>
  <c r="I123" i="6"/>
  <c r="H123" i="6"/>
  <c r="G123" i="6"/>
  <c r="F123" i="6"/>
  <c r="E123" i="6"/>
  <c r="D123" i="6"/>
  <c r="C123" i="6"/>
  <c r="I122" i="6"/>
  <c r="H122" i="6"/>
  <c r="G122" i="6"/>
  <c r="F122" i="6"/>
  <c r="E122" i="6"/>
  <c r="D122" i="6"/>
  <c r="C122" i="6"/>
  <c r="I121" i="6"/>
  <c r="H121" i="6"/>
  <c r="G121" i="6"/>
  <c r="F121" i="6"/>
  <c r="E121" i="6"/>
  <c r="D121" i="6"/>
  <c r="C121" i="6"/>
  <c r="I120" i="6"/>
  <c r="H120" i="6"/>
  <c r="G120" i="6"/>
  <c r="F120" i="6"/>
  <c r="E120" i="6"/>
  <c r="D120" i="6"/>
  <c r="C120" i="6"/>
  <c r="I119" i="6"/>
  <c r="H119" i="6"/>
  <c r="G119" i="6"/>
  <c r="F119" i="6"/>
  <c r="E119" i="6"/>
  <c r="D119" i="6"/>
  <c r="C119" i="6"/>
  <c r="I118" i="6"/>
  <c r="H118" i="6"/>
  <c r="G118" i="6"/>
  <c r="F118" i="6"/>
  <c r="E118" i="6"/>
  <c r="D118" i="6"/>
  <c r="C118" i="6"/>
  <c r="I117" i="6"/>
  <c r="H117" i="6"/>
  <c r="G117" i="6"/>
  <c r="F117" i="6"/>
  <c r="E117" i="6"/>
  <c r="D117" i="6"/>
  <c r="C117" i="6"/>
  <c r="I116" i="6"/>
  <c r="H116" i="6"/>
  <c r="G116" i="6"/>
  <c r="F116" i="6"/>
  <c r="E116" i="6"/>
  <c r="D116" i="6"/>
  <c r="C116" i="6"/>
  <c r="I115" i="6"/>
  <c r="H115" i="6"/>
  <c r="G115" i="6"/>
  <c r="F115" i="6"/>
  <c r="E115" i="6"/>
  <c r="D115" i="6"/>
  <c r="C115" i="6"/>
  <c r="I114" i="6"/>
  <c r="H114" i="6"/>
  <c r="G114" i="6"/>
  <c r="F114" i="6"/>
  <c r="E114" i="6"/>
  <c r="D114" i="6"/>
  <c r="C114" i="6"/>
  <c r="I113" i="6"/>
  <c r="H113" i="6"/>
  <c r="G113" i="6"/>
  <c r="F113" i="6"/>
  <c r="E113" i="6"/>
  <c r="D113" i="6"/>
  <c r="C113" i="6"/>
  <c r="I112" i="6"/>
  <c r="H112" i="6"/>
  <c r="G112" i="6"/>
  <c r="F112" i="6"/>
  <c r="E112" i="6"/>
  <c r="D112" i="6"/>
  <c r="C112" i="6"/>
  <c r="I111" i="6"/>
  <c r="H111" i="6"/>
  <c r="G111" i="6"/>
  <c r="F111" i="6"/>
  <c r="E111" i="6"/>
  <c r="D111" i="6"/>
  <c r="C111" i="6"/>
  <c r="I110" i="6"/>
  <c r="H110" i="6"/>
  <c r="G110" i="6"/>
  <c r="F110" i="6"/>
  <c r="E110" i="6"/>
  <c r="D110" i="6"/>
  <c r="C110" i="6"/>
  <c r="I109" i="6"/>
  <c r="H109" i="6"/>
  <c r="G109" i="6"/>
  <c r="F109" i="6"/>
  <c r="E109" i="6"/>
  <c r="D109" i="6"/>
  <c r="C109" i="6"/>
  <c r="I108" i="6"/>
  <c r="H108" i="6"/>
  <c r="G108" i="6"/>
  <c r="F108" i="6"/>
  <c r="E108" i="6"/>
  <c r="D108" i="6"/>
  <c r="C108" i="6"/>
  <c r="C96" i="6"/>
  <c r="D96" i="6"/>
  <c r="E96" i="6"/>
  <c r="F96" i="6"/>
  <c r="G96" i="6"/>
  <c r="H96" i="6"/>
  <c r="I96" i="6"/>
  <c r="C97" i="6"/>
  <c r="D97" i="6"/>
  <c r="E97" i="6"/>
  <c r="F97" i="6"/>
  <c r="G97" i="6"/>
  <c r="H97" i="6"/>
  <c r="I97" i="6"/>
  <c r="C98" i="6"/>
  <c r="D98" i="6"/>
  <c r="E98" i="6"/>
  <c r="F98" i="6"/>
  <c r="G98" i="6"/>
  <c r="H98" i="6"/>
  <c r="I98" i="6"/>
  <c r="C99" i="6"/>
  <c r="D99" i="6"/>
  <c r="E99" i="6"/>
  <c r="F99" i="6"/>
  <c r="G99" i="6"/>
  <c r="H99" i="6"/>
  <c r="I99" i="6"/>
  <c r="C100" i="6"/>
  <c r="D100" i="6"/>
  <c r="E100" i="6"/>
  <c r="F100" i="6"/>
  <c r="G100" i="6"/>
  <c r="H100" i="6"/>
  <c r="I100" i="6"/>
  <c r="C101" i="6"/>
  <c r="D101" i="6"/>
  <c r="E101" i="6"/>
  <c r="F101" i="6"/>
  <c r="G101" i="6"/>
  <c r="H101" i="6"/>
  <c r="I101" i="6"/>
  <c r="C102" i="6"/>
  <c r="D102" i="6"/>
  <c r="E102" i="6"/>
  <c r="F102" i="6"/>
  <c r="G102" i="6"/>
  <c r="H102" i="6"/>
  <c r="I102" i="6"/>
  <c r="C104" i="6"/>
  <c r="C103" i="6" s="1"/>
  <c r="D104" i="6"/>
  <c r="D103" i="6" s="1"/>
  <c r="E104" i="6"/>
  <c r="E103" i="6" s="1"/>
  <c r="F104" i="6"/>
  <c r="F103" i="6" s="1"/>
  <c r="G104" i="6"/>
  <c r="G103" i="6" s="1"/>
  <c r="H104" i="6"/>
  <c r="H103" i="6" s="1"/>
  <c r="I104" i="6"/>
  <c r="I103" i="6" s="1"/>
  <c r="C77" i="6"/>
  <c r="D77" i="6"/>
  <c r="E77" i="6"/>
  <c r="F77" i="6"/>
  <c r="G77" i="6"/>
  <c r="H77" i="6"/>
  <c r="I77" i="6"/>
  <c r="C78" i="6"/>
  <c r="D78" i="6"/>
  <c r="E78" i="6"/>
  <c r="F78" i="6"/>
  <c r="G78" i="6"/>
  <c r="H78" i="6"/>
  <c r="I78" i="6"/>
  <c r="C79" i="6"/>
  <c r="D79" i="6"/>
  <c r="E79" i="6"/>
  <c r="F79" i="6"/>
  <c r="G79" i="6"/>
  <c r="H79" i="6"/>
  <c r="I79" i="6"/>
  <c r="C80" i="6"/>
  <c r="D80" i="6"/>
  <c r="E80" i="6"/>
  <c r="F80" i="6"/>
  <c r="G80" i="6"/>
  <c r="H80" i="6"/>
  <c r="I80" i="6"/>
  <c r="C81" i="6"/>
  <c r="D81" i="6"/>
  <c r="E81" i="6"/>
  <c r="F81" i="6"/>
  <c r="G81" i="6"/>
  <c r="H81" i="6"/>
  <c r="I81" i="6"/>
  <c r="C82" i="6"/>
  <c r="D82" i="6"/>
  <c r="E82" i="6"/>
  <c r="F82" i="6"/>
  <c r="G82" i="6"/>
  <c r="H82" i="6"/>
  <c r="I82" i="6"/>
  <c r="C83" i="6"/>
  <c r="D83" i="6"/>
  <c r="E83" i="6"/>
  <c r="F83" i="6"/>
  <c r="G83" i="6"/>
  <c r="H83" i="6"/>
  <c r="I83" i="6"/>
  <c r="C85" i="6"/>
  <c r="D85" i="6"/>
  <c r="E85" i="6"/>
  <c r="F85" i="6"/>
  <c r="G85" i="6"/>
  <c r="H85" i="6"/>
  <c r="I85" i="6"/>
  <c r="C86" i="6"/>
  <c r="D86" i="6"/>
  <c r="E86" i="6"/>
  <c r="F86" i="6"/>
  <c r="G86" i="6"/>
  <c r="H86" i="6"/>
  <c r="I86" i="6"/>
  <c r="C87" i="6"/>
  <c r="D87" i="6"/>
  <c r="E87" i="6"/>
  <c r="F87" i="6"/>
  <c r="G87" i="6"/>
  <c r="H87" i="6"/>
  <c r="I87" i="6"/>
  <c r="C88" i="6"/>
  <c r="D88" i="6"/>
  <c r="E88" i="6"/>
  <c r="F88" i="6"/>
  <c r="G88" i="6"/>
  <c r="H88" i="6"/>
  <c r="I88" i="6"/>
  <c r="C89" i="6"/>
  <c r="D89" i="6"/>
  <c r="E89" i="6"/>
  <c r="F89" i="6"/>
  <c r="G89" i="6"/>
  <c r="H89" i="6"/>
  <c r="I89" i="6"/>
  <c r="C90" i="6"/>
  <c r="D90" i="6"/>
  <c r="E90" i="6"/>
  <c r="F90" i="6"/>
  <c r="G90" i="6"/>
  <c r="H90" i="6"/>
  <c r="I90" i="6"/>
  <c r="C91" i="6"/>
  <c r="D91" i="6"/>
  <c r="E91" i="6"/>
  <c r="F91" i="6"/>
  <c r="G91" i="6"/>
  <c r="H91" i="6"/>
  <c r="I91" i="6"/>
  <c r="C93" i="6"/>
  <c r="C92" i="6" s="1"/>
  <c r="D93" i="6"/>
  <c r="D92" i="6" s="1"/>
  <c r="E93" i="6"/>
  <c r="E92" i="6" s="1"/>
  <c r="F93" i="6"/>
  <c r="F92" i="6" s="1"/>
  <c r="G93" i="6"/>
  <c r="G92" i="6" s="1"/>
  <c r="H93" i="6"/>
  <c r="H92" i="6" s="1"/>
  <c r="I93" i="6"/>
  <c r="I92" i="6" s="1"/>
  <c r="C94" i="6"/>
  <c r="D94" i="6"/>
  <c r="E94" i="6"/>
  <c r="F94" i="6"/>
  <c r="G94" i="6"/>
  <c r="H94" i="6"/>
  <c r="I94" i="6"/>
  <c r="C57" i="6"/>
  <c r="D57" i="6"/>
  <c r="E57" i="6"/>
  <c r="F57" i="6"/>
  <c r="G57" i="6"/>
  <c r="H57" i="6"/>
  <c r="I57" i="6"/>
  <c r="C58" i="6"/>
  <c r="D58" i="6"/>
  <c r="E58" i="6"/>
  <c r="F58" i="6"/>
  <c r="G58" i="6"/>
  <c r="H58" i="6"/>
  <c r="I58" i="6"/>
  <c r="C59" i="6"/>
  <c r="D59" i="6"/>
  <c r="E59" i="6"/>
  <c r="F59" i="6"/>
  <c r="G59" i="6"/>
  <c r="H59" i="6"/>
  <c r="I59" i="6"/>
  <c r="C60" i="6"/>
  <c r="D60" i="6"/>
  <c r="E60" i="6"/>
  <c r="F60" i="6"/>
  <c r="G60" i="6"/>
  <c r="H60" i="6"/>
  <c r="I60" i="6"/>
  <c r="C61" i="6"/>
  <c r="D61" i="6"/>
  <c r="E61" i="6"/>
  <c r="F61" i="6"/>
  <c r="G61" i="6"/>
  <c r="H61" i="6"/>
  <c r="I61" i="6"/>
  <c r="C62" i="6"/>
  <c r="D62" i="6"/>
  <c r="E62" i="6"/>
  <c r="F62" i="6"/>
  <c r="G62" i="6"/>
  <c r="H62" i="6"/>
  <c r="I62" i="6"/>
  <c r="C64" i="6"/>
  <c r="D64" i="6"/>
  <c r="E64" i="6"/>
  <c r="F64" i="6"/>
  <c r="G64" i="6"/>
  <c r="H64" i="6"/>
  <c r="I64" i="6"/>
  <c r="C65" i="6"/>
  <c r="D65" i="6"/>
  <c r="E65" i="6"/>
  <c r="F65" i="6"/>
  <c r="G65" i="6"/>
  <c r="H65" i="6"/>
  <c r="I65" i="6"/>
  <c r="C66" i="6"/>
  <c r="D66" i="6"/>
  <c r="E66" i="6"/>
  <c r="F66" i="6"/>
  <c r="G66" i="6"/>
  <c r="H66" i="6"/>
  <c r="I66" i="6"/>
  <c r="C68" i="6"/>
  <c r="D68" i="6"/>
  <c r="E68" i="6"/>
  <c r="F68" i="6"/>
  <c r="G68" i="6"/>
  <c r="H68" i="6"/>
  <c r="I68" i="6"/>
  <c r="C69" i="6"/>
  <c r="D69" i="6"/>
  <c r="E69" i="6"/>
  <c r="F69" i="6"/>
  <c r="G69" i="6"/>
  <c r="H69" i="6"/>
  <c r="I69" i="6"/>
  <c r="C70" i="6"/>
  <c r="D70" i="6"/>
  <c r="E70" i="6"/>
  <c r="F70" i="6"/>
  <c r="G70" i="6"/>
  <c r="H70" i="6"/>
  <c r="I70" i="6"/>
  <c r="C71" i="6"/>
  <c r="D71" i="6"/>
  <c r="E71" i="6"/>
  <c r="F71" i="6"/>
  <c r="G71" i="6"/>
  <c r="H71" i="6"/>
  <c r="I71" i="6"/>
  <c r="C72" i="6"/>
  <c r="D72" i="6"/>
  <c r="E72" i="6"/>
  <c r="F72" i="6"/>
  <c r="G72" i="6"/>
  <c r="H72" i="6"/>
  <c r="I72" i="6"/>
  <c r="C73" i="6"/>
  <c r="D73" i="6"/>
  <c r="E73" i="6"/>
  <c r="F73" i="6"/>
  <c r="G73" i="6"/>
  <c r="H73" i="6"/>
  <c r="I73" i="6"/>
  <c r="C74" i="6"/>
  <c r="D74" i="6"/>
  <c r="E74" i="6"/>
  <c r="F74" i="6"/>
  <c r="G74" i="6"/>
  <c r="H74" i="6"/>
  <c r="I74" i="6"/>
  <c r="C75" i="6"/>
  <c r="D75" i="6"/>
  <c r="E75" i="6"/>
  <c r="F75" i="6"/>
  <c r="G75" i="6"/>
  <c r="H75" i="6"/>
  <c r="I75" i="6"/>
  <c r="C36" i="6"/>
  <c r="D36" i="6"/>
  <c r="E36" i="6"/>
  <c r="F36" i="6"/>
  <c r="G36" i="6"/>
  <c r="H36" i="6"/>
  <c r="I36" i="6"/>
  <c r="C37" i="6"/>
  <c r="D37" i="6"/>
  <c r="E37" i="6"/>
  <c r="F37" i="6"/>
  <c r="G37" i="6"/>
  <c r="H37" i="6"/>
  <c r="I37" i="6"/>
  <c r="C38" i="6"/>
  <c r="D38" i="6"/>
  <c r="E38" i="6"/>
  <c r="F38" i="6"/>
  <c r="G38" i="6"/>
  <c r="H38" i="6"/>
  <c r="I38" i="6"/>
  <c r="C39" i="6"/>
  <c r="D39" i="6"/>
  <c r="E39" i="6"/>
  <c r="F39" i="6"/>
  <c r="G39" i="6"/>
  <c r="H39" i="6"/>
  <c r="I39" i="6"/>
  <c r="C40" i="6"/>
  <c r="D40" i="6"/>
  <c r="E40" i="6"/>
  <c r="F40" i="6"/>
  <c r="G40" i="6"/>
  <c r="H40" i="6"/>
  <c r="I40" i="6"/>
  <c r="C41" i="6"/>
  <c r="D41" i="6"/>
  <c r="E41" i="6"/>
  <c r="F41" i="6"/>
  <c r="G41" i="6"/>
  <c r="H41" i="6"/>
  <c r="I41" i="6"/>
  <c r="C42" i="6"/>
  <c r="D42" i="6"/>
  <c r="E42" i="6"/>
  <c r="F42" i="6"/>
  <c r="G42" i="6"/>
  <c r="H42" i="6"/>
  <c r="I42" i="6"/>
  <c r="C43" i="6"/>
  <c r="D43" i="6"/>
  <c r="E43" i="6"/>
  <c r="F43" i="6"/>
  <c r="G43" i="6"/>
  <c r="H43" i="6"/>
  <c r="I43" i="6"/>
  <c r="C44" i="6"/>
  <c r="D44" i="6"/>
  <c r="E44" i="6"/>
  <c r="F44" i="6"/>
  <c r="G44" i="6"/>
  <c r="H44" i="6"/>
  <c r="I44" i="6"/>
  <c r="C45" i="6"/>
  <c r="D45" i="6"/>
  <c r="E45" i="6"/>
  <c r="F45" i="6"/>
  <c r="G45" i="6"/>
  <c r="H45" i="6"/>
  <c r="I45" i="6"/>
  <c r="C46" i="6"/>
  <c r="D46" i="6"/>
  <c r="E46" i="6"/>
  <c r="F46" i="6"/>
  <c r="G46" i="6"/>
  <c r="H46" i="6"/>
  <c r="I46" i="6"/>
  <c r="C47" i="6"/>
  <c r="D47" i="6"/>
  <c r="E47" i="6"/>
  <c r="F47" i="6"/>
  <c r="G47" i="6"/>
  <c r="H47" i="6"/>
  <c r="I47" i="6"/>
  <c r="C48" i="6"/>
  <c r="D48" i="6"/>
  <c r="E48" i="6"/>
  <c r="F48" i="6"/>
  <c r="G48" i="6"/>
  <c r="H48" i="6"/>
  <c r="I48" i="6"/>
  <c r="C49" i="6"/>
  <c r="D49" i="6"/>
  <c r="E49" i="6"/>
  <c r="F49" i="6"/>
  <c r="G49" i="6"/>
  <c r="H49" i="6"/>
  <c r="I49" i="6"/>
  <c r="C50" i="6"/>
  <c r="D50" i="6"/>
  <c r="E50" i="6"/>
  <c r="F50" i="6"/>
  <c r="G50" i="6"/>
  <c r="H50" i="6"/>
  <c r="I50" i="6"/>
  <c r="C51" i="6"/>
  <c r="D51" i="6"/>
  <c r="E51" i="6"/>
  <c r="F51" i="6"/>
  <c r="G51" i="6"/>
  <c r="H51" i="6"/>
  <c r="I51" i="6"/>
  <c r="C52" i="6"/>
  <c r="D52" i="6"/>
  <c r="E52" i="6"/>
  <c r="F52" i="6"/>
  <c r="G52" i="6"/>
  <c r="H52" i="6"/>
  <c r="I52" i="6"/>
  <c r="C53" i="6"/>
  <c r="D53" i="6"/>
  <c r="E53" i="6"/>
  <c r="F53" i="6"/>
  <c r="G53" i="6"/>
  <c r="H53" i="6"/>
  <c r="I53" i="6"/>
  <c r="C54" i="6"/>
  <c r="D54" i="6"/>
  <c r="E54" i="6"/>
  <c r="F54" i="6"/>
  <c r="G54" i="6"/>
  <c r="H54" i="6"/>
  <c r="I54" i="6"/>
  <c r="C55" i="6"/>
  <c r="D55" i="6"/>
  <c r="E55" i="6"/>
  <c r="F55" i="6"/>
  <c r="G55" i="6"/>
  <c r="H55" i="6"/>
  <c r="I55" i="6"/>
  <c r="I31" i="6"/>
  <c r="I30" i="6" s="1"/>
  <c r="H31" i="6"/>
  <c r="H30" i="6" s="1"/>
  <c r="G31" i="6"/>
  <c r="G30" i="6" s="1"/>
  <c r="F31" i="6"/>
  <c r="F30" i="6" s="1"/>
  <c r="E31" i="6"/>
  <c r="E30" i="6" s="1"/>
  <c r="D31" i="6"/>
  <c r="D30" i="6" s="1"/>
  <c r="C31" i="6"/>
  <c r="C30" i="6" s="1"/>
  <c r="I29" i="6"/>
  <c r="I28" i="6" s="1"/>
  <c r="H29" i="6"/>
  <c r="H28" i="6" s="1"/>
  <c r="G29" i="6"/>
  <c r="G28" i="6" s="1"/>
  <c r="F29" i="6"/>
  <c r="F28" i="6" s="1"/>
  <c r="E29" i="6"/>
  <c r="E28" i="6" s="1"/>
  <c r="D29" i="6"/>
  <c r="D28" i="6" s="1"/>
  <c r="C29" i="6"/>
  <c r="C28" i="6" s="1"/>
  <c r="I27" i="6"/>
  <c r="H27" i="6"/>
  <c r="G27" i="6"/>
  <c r="F27" i="6"/>
  <c r="E27" i="6"/>
  <c r="D27" i="6"/>
  <c r="C27" i="6"/>
  <c r="I26" i="6"/>
  <c r="H26" i="6"/>
  <c r="G26" i="6"/>
  <c r="F26" i="6"/>
  <c r="E26" i="6"/>
  <c r="D26" i="6"/>
  <c r="C26" i="6"/>
  <c r="I25" i="6"/>
  <c r="H25" i="6"/>
  <c r="G25" i="6"/>
  <c r="F25" i="6"/>
  <c r="E25" i="6"/>
  <c r="D25" i="6"/>
  <c r="C25" i="6"/>
  <c r="I24" i="6"/>
  <c r="H24" i="6"/>
  <c r="G24" i="6"/>
  <c r="F24" i="6"/>
  <c r="E24" i="6"/>
  <c r="D24" i="6"/>
  <c r="C24" i="6"/>
  <c r="I23" i="6"/>
  <c r="H23" i="6"/>
  <c r="G23" i="6"/>
  <c r="F23" i="6"/>
  <c r="E23" i="6"/>
  <c r="D23" i="6"/>
  <c r="C23" i="6"/>
  <c r="I22" i="6"/>
  <c r="H22" i="6"/>
  <c r="G22" i="6"/>
  <c r="F22" i="6"/>
  <c r="E22" i="6"/>
  <c r="D22" i="6"/>
  <c r="C22" i="6"/>
  <c r="C9" i="6"/>
  <c r="D9" i="6"/>
  <c r="E9" i="6"/>
  <c r="F9" i="6"/>
  <c r="G9" i="6"/>
  <c r="H9" i="6"/>
  <c r="I9" i="6"/>
  <c r="C10" i="6"/>
  <c r="D10" i="6"/>
  <c r="E10" i="6"/>
  <c r="F10" i="6"/>
  <c r="G10" i="6"/>
  <c r="H10" i="6"/>
  <c r="I10" i="6"/>
  <c r="C11" i="6"/>
  <c r="D11" i="6"/>
  <c r="E11" i="6"/>
  <c r="F11" i="6"/>
  <c r="G11" i="6"/>
  <c r="H11" i="6"/>
  <c r="I11" i="6"/>
  <c r="C12" i="6"/>
  <c r="D12" i="6"/>
  <c r="E12" i="6"/>
  <c r="F12" i="6"/>
  <c r="G12" i="6"/>
  <c r="H12" i="6"/>
  <c r="I12" i="6"/>
  <c r="C13" i="6"/>
  <c r="D13" i="6"/>
  <c r="E13" i="6"/>
  <c r="F13" i="6"/>
  <c r="G13" i="6"/>
  <c r="H13" i="6"/>
  <c r="I13" i="6"/>
  <c r="C14" i="6"/>
  <c r="D14" i="6"/>
  <c r="E14" i="6"/>
  <c r="F14" i="6"/>
  <c r="G14" i="6"/>
  <c r="H14" i="6"/>
  <c r="I14" i="6"/>
  <c r="C15" i="6"/>
  <c r="D15" i="6"/>
  <c r="E15" i="6"/>
  <c r="F15" i="6"/>
  <c r="G15" i="6"/>
  <c r="H15" i="6"/>
  <c r="I15" i="6"/>
  <c r="C16" i="6"/>
  <c r="D16" i="6"/>
  <c r="E16" i="6"/>
  <c r="F16" i="6"/>
  <c r="G16" i="6"/>
  <c r="H16" i="6"/>
  <c r="I16" i="6"/>
  <c r="C18" i="6"/>
  <c r="C17" i="6" s="1"/>
  <c r="D18" i="6"/>
  <c r="D17" i="6" s="1"/>
  <c r="E18" i="6"/>
  <c r="E17" i="6" s="1"/>
  <c r="F18" i="6"/>
  <c r="F17" i="6" s="1"/>
  <c r="G18" i="6"/>
  <c r="G17" i="6" s="1"/>
  <c r="H18" i="6"/>
  <c r="H17" i="6" s="1"/>
  <c r="I18" i="6"/>
  <c r="I17" i="6" s="1"/>
  <c r="I8" i="6"/>
  <c r="H8" i="6"/>
  <c r="G8" i="6"/>
  <c r="F8" i="6"/>
  <c r="E8" i="6"/>
  <c r="D8" i="6"/>
  <c r="C8" i="6"/>
  <c r="J8" i="6"/>
  <c r="I123" i="1"/>
  <c r="H123" i="1"/>
  <c r="G123" i="1"/>
  <c r="F123" i="1"/>
  <c r="E123" i="1"/>
  <c r="D123" i="1"/>
  <c r="C123" i="1"/>
  <c r="I122" i="1"/>
  <c r="H122" i="1"/>
  <c r="G122" i="1"/>
  <c r="F122" i="1"/>
  <c r="E122" i="1"/>
  <c r="D122" i="1"/>
  <c r="C122" i="1"/>
  <c r="I121" i="1"/>
  <c r="H121" i="1"/>
  <c r="G121" i="1"/>
  <c r="F121" i="1"/>
  <c r="E121" i="1"/>
  <c r="D121" i="1"/>
  <c r="C121" i="1"/>
  <c r="I117" i="1"/>
  <c r="H117" i="1"/>
  <c r="G117" i="1"/>
  <c r="F117" i="1"/>
  <c r="E117" i="1"/>
  <c r="D117" i="1"/>
  <c r="C117" i="1"/>
  <c r="I116" i="1"/>
  <c r="H116" i="1"/>
  <c r="G116" i="1"/>
  <c r="F116" i="1"/>
  <c r="E116" i="1"/>
  <c r="D116" i="1"/>
  <c r="C116" i="1"/>
  <c r="I114" i="1"/>
  <c r="H114" i="1"/>
  <c r="G114" i="1"/>
  <c r="F114" i="1"/>
  <c r="E114" i="1"/>
  <c r="D114" i="1"/>
  <c r="C114" i="1"/>
  <c r="I113" i="1"/>
  <c r="H113" i="1"/>
  <c r="G113" i="1"/>
  <c r="F113" i="1"/>
  <c r="E113" i="1"/>
  <c r="D113" i="1"/>
  <c r="C113" i="1"/>
  <c r="I112" i="1"/>
  <c r="H112" i="1"/>
  <c r="G112" i="1"/>
  <c r="F112" i="1"/>
  <c r="E112" i="1"/>
  <c r="D112" i="1"/>
  <c r="C112" i="1"/>
  <c r="I111" i="1"/>
  <c r="H111" i="1"/>
  <c r="G111" i="1"/>
  <c r="F111" i="1"/>
  <c r="E111" i="1"/>
  <c r="D111" i="1"/>
  <c r="C111" i="1"/>
  <c r="I110" i="1"/>
  <c r="H110" i="1"/>
  <c r="G110" i="1"/>
  <c r="F110" i="1"/>
  <c r="E110" i="1"/>
  <c r="D110" i="1"/>
  <c r="C110" i="1"/>
  <c r="I109" i="1"/>
  <c r="H109" i="1"/>
  <c r="G109" i="1"/>
  <c r="F109" i="1"/>
  <c r="E109" i="1"/>
  <c r="D109" i="1"/>
  <c r="C109" i="1"/>
  <c r="I108" i="1"/>
  <c r="H108" i="1"/>
  <c r="G108" i="1"/>
  <c r="F108" i="1"/>
  <c r="E108" i="1"/>
  <c r="D108" i="1"/>
  <c r="C108" i="1"/>
  <c r="I107" i="1"/>
  <c r="H107" i="1"/>
  <c r="G107" i="1"/>
  <c r="F107" i="1"/>
  <c r="E107" i="1"/>
  <c r="D107" i="1"/>
  <c r="C107" i="1"/>
  <c r="I106" i="1"/>
  <c r="H106" i="1"/>
  <c r="G106" i="1"/>
  <c r="F106" i="1"/>
  <c r="E106" i="1"/>
  <c r="D106" i="1"/>
  <c r="C106" i="1"/>
  <c r="I105" i="1"/>
  <c r="H105" i="1"/>
  <c r="G105" i="1"/>
  <c r="F105" i="1"/>
  <c r="E105" i="1"/>
  <c r="D105" i="1"/>
  <c r="C105" i="1"/>
  <c r="I104" i="1"/>
  <c r="H104" i="1"/>
  <c r="G104" i="1"/>
  <c r="F104" i="1"/>
  <c r="E104" i="1"/>
  <c r="D104" i="1"/>
  <c r="C104" i="1"/>
  <c r="I103" i="1"/>
  <c r="H103" i="1"/>
  <c r="G103" i="1"/>
  <c r="F103" i="1"/>
  <c r="E103" i="1"/>
  <c r="D103" i="1"/>
  <c r="C103" i="1"/>
  <c r="I102" i="1"/>
  <c r="H102" i="1"/>
  <c r="G102" i="1"/>
  <c r="F102" i="1"/>
  <c r="E102" i="1"/>
  <c r="D102" i="1"/>
  <c r="C102" i="1"/>
  <c r="I101" i="1"/>
  <c r="H101" i="1"/>
  <c r="G101" i="1"/>
  <c r="F101" i="1"/>
  <c r="E101" i="1"/>
  <c r="D101" i="1"/>
  <c r="C101" i="1"/>
  <c r="I99" i="1"/>
  <c r="H99" i="1"/>
  <c r="G99" i="1"/>
  <c r="F99" i="1"/>
  <c r="E99" i="1"/>
  <c r="D99" i="1"/>
  <c r="C99" i="1"/>
  <c r="I98" i="1"/>
  <c r="H98" i="1"/>
  <c r="G98" i="1"/>
  <c r="F98" i="1"/>
  <c r="E98" i="1"/>
  <c r="D98" i="1"/>
  <c r="C98" i="1"/>
  <c r="I97" i="1"/>
  <c r="H97" i="1"/>
  <c r="G97" i="1"/>
  <c r="F97" i="1"/>
  <c r="E97" i="1"/>
  <c r="D97" i="1"/>
  <c r="C97" i="1"/>
  <c r="I96" i="1"/>
  <c r="H96" i="1"/>
  <c r="G96" i="1"/>
  <c r="F96" i="1"/>
  <c r="E96" i="1"/>
  <c r="D96" i="1"/>
  <c r="C96" i="1"/>
  <c r="I95" i="1"/>
  <c r="H95" i="1"/>
  <c r="G95" i="1"/>
  <c r="F95" i="1"/>
  <c r="E95" i="1"/>
  <c r="D95" i="1"/>
  <c r="C95" i="1"/>
  <c r="I94" i="1"/>
  <c r="H94" i="1"/>
  <c r="G94" i="1"/>
  <c r="F94" i="1"/>
  <c r="E94" i="1"/>
  <c r="D94" i="1"/>
  <c r="C94" i="1"/>
  <c r="I93" i="1"/>
  <c r="H93" i="1"/>
  <c r="G93" i="1"/>
  <c r="F93" i="1"/>
  <c r="E93" i="1"/>
  <c r="D93" i="1"/>
  <c r="C93" i="1"/>
  <c r="I92" i="1"/>
  <c r="H92" i="1"/>
  <c r="G92" i="1"/>
  <c r="F92" i="1"/>
  <c r="E92" i="1"/>
  <c r="D92" i="1"/>
  <c r="C92" i="1"/>
  <c r="I91" i="1"/>
  <c r="H91" i="1"/>
  <c r="G91" i="1"/>
  <c r="F91" i="1"/>
  <c r="E91" i="1"/>
  <c r="D91" i="1"/>
  <c r="C91" i="1"/>
  <c r="I90" i="1"/>
  <c r="H90" i="1"/>
  <c r="G90" i="1"/>
  <c r="F90" i="1"/>
  <c r="E90" i="1"/>
  <c r="D90" i="1"/>
  <c r="C90" i="1"/>
  <c r="I89" i="1"/>
  <c r="H89" i="1"/>
  <c r="G89" i="1"/>
  <c r="F89" i="1"/>
  <c r="E89" i="1"/>
  <c r="D89" i="1"/>
  <c r="C89" i="1"/>
  <c r="I88" i="1"/>
  <c r="H88" i="1"/>
  <c r="G88" i="1"/>
  <c r="F88" i="1"/>
  <c r="E88" i="1"/>
  <c r="D88" i="1"/>
  <c r="C88" i="1"/>
  <c r="I87" i="1"/>
  <c r="H87" i="1"/>
  <c r="G87" i="1"/>
  <c r="F87" i="1"/>
  <c r="E87" i="1"/>
  <c r="D87" i="1"/>
  <c r="C87" i="1"/>
  <c r="I86" i="1"/>
  <c r="H86" i="1"/>
  <c r="G86" i="1"/>
  <c r="F86" i="1"/>
  <c r="E86" i="1"/>
  <c r="D86" i="1"/>
  <c r="C86" i="1"/>
  <c r="I84" i="1"/>
  <c r="H84" i="1"/>
  <c r="G84" i="1"/>
  <c r="F84" i="1"/>
  <c r="E84" i="1"/>
  <c r="D84" i="1"/>
  <c r="C84" i="1"/>
  <c r="I80" i="1"/>
  <c r="H80" i="1"/>
  <c r="G80" i="1"/>
  <c r="F80" i="1"/>
  <c r="E80" i="1"/>
  <c r="D80" i="1"/>
  <c r="C80" i="1"/>
  <c r="I79" i="1"/>
  <c r="H79" i="1"/>
  <c r="G79" i="1"/>
  <c r="F79" i="1"/>
  <c r="E79" i="1"/>
  <c r="D79" i="1"/>
  <c r="C79" i="1"/>
  <c r="I78" i="1"/>
  <c r="H78" i="1"/>
  <c r="G78" i="1"/>
  <c r="F78" i="1"/>
  <c r="E78" i="1"/>
  <c r="D78" i="1"/>
  <c r="C78" i="1"/>
  <c r="I76" i="1"/>
  <c r="H76" i="1"/>
  <c r="G76" i="1"/>
  <c r="F76" i="1"/>
  <c r="E76" i="1"/>
  <c r="D76" i="1"/>
  <c r="C76" i="1"/>
  <c r="I75" i="1"/>
  <c r="H75" i="1"/>
  <c r="G75" i="1"/>
  <c r="F75" i="1"/>
  <c r="E75" i="1"/>
  <c r="D75" i="1"/>
  <c r="C75" i="1"/>
  <c r="I74" i="1"/>
  <c r="H74" i="1"/>
  <c r="G74" i="1"/>
  <c r="F74" i="1"/>
  <c r="E74" i="1"/>
  <c r="D74" i="1"/>
  <c r="C74" i="1"/>
  <c r="I73" i="1"/>
  <c r="H73" i="1"/>
  <c r="G73" i="1"/>
  <c r="F73" i="1"/>
  <c r="E73" i="1"/>
  <c r="D73" i="1"/>
  <c r="C73" i="1"/>
  <c r="I72" i="1"/>
  <c r="H72" i="1"/>
  <c r="G72" i="1"/>
  <c r="F72" i="1"/>
  <c r="E72" i="1"/>
  <c r="D72" i="1"/>
  <c r="C72" i="1"/>
  <c r="I71" i="1"/>
  <c r="H71" i="1"/>
  <c r="G71" i="1"/>
  <c r="F71" i="1"/>
  <c r="E71" i="1"/>
  <c r="D71" i="1"/>
  <c r="C71" i="1"/>
  <c r="I69" i="1"/>
  <c r="H69" i="1"/>
  <c r="G69" i="1"/>
  <c r="F69" i="1"/>
  <c r="E69" i="1"/>
  <c r="D69" i="1"/>
  <c r="C69" i="1"/>
  <c r="I68" i="1"/>
  <c r="H68" i="1"/>
  <c r="G68" i="1"/>
  <c r="F68" i="1"/>
  <c r="E68" i="1"/>
  <c r="D68" i="1"/>
  <c r="C68" i="1"/>
  <c r="I67" i="1"/>
  <c r="H67" i="1"/>
  <c r="G67" i="1"/>
  <c r="F67" i="1"/>
  <c r="E67" i="1"/>
  <c r="D67" i="1"/>
  <c r="C67" i="1"/>
  <c r="I66" i="1"/>
  <c r="I65" i="1" s="1"/>
  <c r="H66" i="1"/>
  <c r="H65" i="1" s="1"/>
  <c r="G66" i="1"/>
  <c r="G65" i="1" s="1"/>
  <c r="F66" i="1"/>
  <c r="F65" i="1" s="1"/>
  <c r="E66" i="1"/>
  <c r="E65" i="1" s="1"/>
  <c r="D66" i="1"/>
  <c r="D65" i="1" s="1"/>
  <c r="C66" i="1"/>
  <c r="C65" i="1" s="1"/>
  <c r="I64" i="1"/>
  <c r="H64" i="1"/>
  <c r="G64" i="1"/>
  <c r="F64" i="1"/>
  <c r="E64" i="1"/>
  <c r="D64" i="1"/>
  <c r="C64" i="1"/>
  <c r="I63" i="1"/>
  <c r="H63" i="1"/>
  <c r="G63" i="1"/>
  <c r="F63" i="1"/>
  <c r="E63" i="1"/>
  <c r="D63" i="1"/>
  <c r="C63" i="1"/>
  <c r="I61" i="1"/>
  <c r="H61" i="1"/>
  <c r="G61" i="1"/>
  <c r="F61" i="1"/>
  <c r="E61" i="1"/>
  <c r="D61" i="1"/>
  <c r="C61" i="1"/>
  <c r="I60" i="1"/>
  <c r="H60" i="1"/>
  <c r="G60" i="1"/>
  <c r="F60" i="1"/>
  <c r="E60" i="1"/>
  <c r="D60" i="1"/>
  <c r="C60" i="1"/>
  <c r="I59" i="1"/>
  <c r="H59" i="1"/>
  <c r="G59" i="1"/>
  <c r="F59" i="1"/>
  <c r="E59" i="1"/>
  <c r="D59" i="1"/>
  <c r="C59" i="1"/>
  <c r="I57" i="1"/>
  <c r="H57" i="1"/>
  <c r="G57" i="1"/>
  <c r="F57" i="1"/>
  <c r="E57" i="1"/>
  <c r="D57" i="1"/>
  <c r="C57" i="1"/>
  <c r="I56" i="1"/>
  <c r="H56" i="1"/>
  <c r="G56" i="1"/>
  <c r="F56" i="1"/>
  <c r="E56" i="1"/>
  <c r="D56" i="1"/>
  <c r="C56" i="1"/>
  <c r="I55" i="1"/>
  <c r="H55" i="1"/>
  <c r="G55" i="1"/>
  <c r="F55" i="1"/>
  <c r="E55" i="1"/>
  <c r="D55" i="1"/>
  <c r="C55" i="1"/>
  <c r="I53" i="1"/>
  <c r="H53" i="1"/>
  <c r="G53" i="1"/>
  <c r="F53" i="1"/>
  <c r="E53" i="1"/>
  <c r="D53" i="1"/>
  <c r="C53" i="1"/>
  <c r="I52" i="1"/>
  <c r="H52" i="1"/>
  <c r="G52" i="1"/>
  <c r="F52" i="1"/>
  <c r="E52" i="1"/>
  <c r="D52" i="1"/>
  <c r="C52" i="1"/>
  <c r="I51" i="1"/>
  <c r="H51" i="1"/>
  <c r="G51" i="1"/>
  <c r="F51" i="1"/>
  <c r="E51" i="1"/>
  <c r="D51" i="1"/>
  <c r="C51" i="1"/>
  <c r="I50" i="1"/>
  <c r="H50" i="1"/>
  <c r="G50" i="1"/>
  <c r="F50" i="1"/>
  <c r="E50" i="1"/>
  <c r="D50" i="1"/>
  <c r="C50" i="1"/>
  <c r="I49" i="1"/>
  <c r="H49" i="1"/>
  <c r="G49" i="1"/>
  <c r="F49" i="1"/>
  <c r="E49" i="1"/>
  <c r="D49" i="1"/>
  <c r="C49" i="1"/>
  <c r="I48" i="1"/>
  <c r="H48" i="1"/>
  <c r="G48" i="1"/>
  <c r="F48" i="1"/>
  <c r="E48" i="1"/>
  <c r="D48" i="1"/>
  <c r="C48" i="1"/>
  <c r="I47" i="1"/>
  <c r="H47" i="1"/>
  <c r="G47" i="1"/>
  <c r="F47" i="1"/>
  <c r="E47" i="1"/>
  <c r="D47" i="1"/>
  <c r="C47" i="1"/>
  <c r="I46" i="1"/>
  <c r="H46" i="1"/>
  <c r="G46" i="1"/>
  <c r="F46" i="1"/>
  <c r="E46" i="1"/>
  <c r="D46" i="1"/>
  <c r="C46" i="1"/>
  <c r="I45" i="1"/>
  <c r="H45" i="1"/>
  <c r="G45" i="1"/>
  <c r="F45" i="1"/>
  <c r="E45" i="1"/>
  <c r="D45" i="1"/>
  <c r="C45" i="1"/>
  <c r="I44" i="1"/>
  <c r="H44" i="1"/>
  <c r="G44" i="1"/>
  <c r="F44" i="1"/>
  <c r="E44" i="1"/>
  <c r="D44" i="1"/>
  <c r="C44" i="1"/>
  <c r="I43" i="1"/>
  <c r="H43" i="1"/>
  <c r="G43" i="1"/>
  <c r="F43" i="1"/>
  <c r="E43" i="1"/>
  <c r="D43" i="1"/>
  <c r="C43" i="1"/>
  <c r="I42" i="1"/>
  <c r="H42" i="1"/>
  <c r="G42" i="1"/>
  <c r="F42" i="1"/>
  <c r="E42" i="1"/>
  <c r="D42" i="1"/>
  <c r="C42" i="1"/>
  <c r="I41" i="1"/>
  <c r="H41" i="1"/>
  <c r="G41" i="1"/>
  <c r="F41" i="1"/>
  <c r="E41" i="1"/>
  <c r="D41" i="1"/>
  <c r="C41" i="1"/>
  <c r="I40" i="1"/>
  <c r="H40" i="1"/>
  <c r="G40" i="1"/>
  <c r="F40" i="1"/>
  <c r="E40" i="1"/>
  <c r="D40" i="1"/>
  <c r="C40" i="1"/>
  <c r="I39" i="1"/>
  <c r="H39" i="1"/>
  <c r="G39" i="1"/>
  <c r="F39" i="1"/>
  <c r="E39" i="1"/>
  <c r="D39" i="1"/>
  <c r="C39" i="1"/>
  <c r="I38" i="1"/>
  <c r="H38" i="1"/>
  <c r="G38" i="1"/>
  <c r="F38" i="1"/>
  <c r="E38" i="1"/>
  <c r="D38" i="1"/>
  <c r="C38" i="1"/>
  <c r="I37" i="1"/>
  <c r="H37" i="1"/>
  <c r="G37" i="1"/>
  <c r="F37" i="1"/>
  <c r="E37" i="1"/>
  <c r="D37" i="1"/>
  <c r="C37" i="1"/>
  <c r="I32" i="1"/>
  <c r="H32" i="1"/>
  <c r="G32" i="1"/>
  <c r="F32" i="1"/>
  <c r="E32" i="1"/>
  <c r="D32" i="1"/>
  <c r="C32" i="1"/>
  <c r="C31" i="1" s="1"/>
  <c r="I31" i="1"/>
  <c r="H31" i="1"/>
  <c r="G31" i="1"/>
  <c r="F31" i="1"/>
  <c r="E31" i="1"/>
  <c r="D31" i="1"/>
  <c r="I30" i="1"/>
  <c r="I29" i="1" s="1"/>
  <c r="H30" i="1"/>
  <c r="H29" i="1" s="1"/>
  <c r="G30" i="1"/>
  <c r="G29" i="1" s="1"/>
  <c r="F30" i="1"/>
  <c r="F29" i="1" s="1"/>
  <c r="E30" i="1"/>
  <c r="E29" i="1" s="1"/>
  <c r="D30" i="1"/>
  <c r="D29" i="1" s="1"/>
  <c r="C30" i="1"/>
  <c r="C29" i="1" s="1"/>
  <c r="I28" i="1"/>
  <c r="H28" i="1"/>
  <c r="G28" i="1"/>
  <c r="F28" i="1"/>
  <c r="E28" i="1"/>
  <c r="D28" i="1"/>
  <c r="C28" i="1"/>
  <c r="I27" i="1"/>
  <c r="H27" i="1"/>
  <c r="G27" i="1"/>
  <c r="F27" i="1"/>
  <c r="E27" i="1"/>
  <c r="D27" i="1"/>
  <c r="C27" i="1"/>
  <c r="I26" i="1"/>
  <c r="H26" i="1"/>
  <c r="G26" i="1"/>
  <c r="F26" i="1"/>
  <c r="E26" i="1"/>
  <c r="D26" i="1"/>
  <c r="C26" i="1"/>
  <c r="I25" i="1"/>
  <c r="H25" i="1"/>
  <c r="G25" i="1"/>
  <c r="F25" i="1"/>
  <c r="E25" i="1"/>
  <c r="D25" i="1"/>
  <c r="C25" i="1"/>
  <c r="I24" i="1"/>
  <c r="H24" i="1"/>
  <c r="G24" i="1"/>
  <c r="F24" i="1"/>
  <c r="E24" i="1"/>
  <c r="D24" i="1"/>
  <c r="C24" i="1"/>
  <c r="I23" i="1"/>
  <c r="H23" i="1"/>
  <c r="G23" i="1"/>
  <c r="F23" i="1"/>
  <c r="E23" i="1"/>
  <c r="D23" i="1"/>
  <c r="C23" i="1"/>
  <c r="I22" i="1"/>
  <c r="H22" i="1"/>
  <c r="G22" i="1"/>
  <c r="F22" i="1"/>
  <c r="E22" i="1"/>
  <c r="D22" i="1"/>
  <c r="C22" i="1"/>
  <c r="I21" i="1"/>
  <c r="H21" i="1"/>
  <c r="G21" i="1"/>
  <c r="F21" i="1"/>
  <c r="E21" i="1"/>
  <c r="D21" i="1"/>
  <c r="C21" i="1"/>
  <c r="C18" i="1"/>
  <c r="C9" i="1"/>
  <c r="D9" i="1"/>
  <c r="E9" i="1"/>
  <c r="F9" i="1"/>
  <c r="G9" i="1"/>
  <c r="H9" i="1"/>
  <c r="I9" i="1"/>
  <c r="C10" i="1"/>
  <c r="D10" i="1"/>
  <c r="E10" i="1"/>
  <c r="F10" i="1"/>
  <c r="G10" i="1"/>
  <c r="H10" i="1"/>
  <c r="I10" i="1"/>
  <c r="C11" i="1"/>
  <c r="D11" i="1"/>
  <c r="E11" i="1"/>
  <c r="F11" i="1"/>
  <c r="G11" i="1"/>
  <c r="H11" i="1"/>
  <c r="I11" i="1"/>
  <c r="C12" i="1"/>
  <c r="D12" i="1"/>
  <c r="E12" i="1"/>
  <c r="F12" i="1"/>
  <c r="G12" i="1"/>
  <c r="H12" i="1"/>
  <c r="I12" i="1"/>
  <c r="C13" i="1"/>
  <c r="D13" i="1"/>
  <c r="E13" i="1"/>
  <c r="F13" i="1"/>
  <c r="G13" i="1"/>
  <c r="H13" i="1"/>
  <c r="I13" i="1"/>
  <c r="C14" i="1"/>
  <c r="D14" i="1"/>
  <c r="E14" i="1"/>
  <c r="F14" i="1"/>
  <c r="G14" i="1"/>
  <c r="H14" i="1"/>
  <c r="I14" i="1"/>
  <c r="C15" i="1"/>
  <c r="D15" i="1"/>
  <c r="E15" i="1"/>
  <c r="F15" i="1"/>
  <c r="G15" i="1"/>
  <c r="H15" i="1"/>
  <c r="I15" i="1"/>
  <c r="C17" i="1"/>
  <c r="C16" i="1" s="1"/>
  <c r="D17" i="1"/>
  <c r="D16" i="1" s="1"/>
  <c r="E17" i="1"/>
  <c r="E16" i="1" s="1"/>
  <c r="F17" i="1"/>
  <c r="F16" i="1" s="1"/>
  <c r="G17" i="1"/>
  <c r="G16" i="1" s="1"/>
  <c r="H17" i="1"/>
  <c r="H16" i="1" s="1"/>
  <c r="I17" i="1"/>
  <c r="I16" i="1" s="1"/>
  <c r="D18" i="1"/>
  <c r="E18" i="1"/>
  <c r="F18" i="1"/>
  <c r="G18" i="1"/>
  <c r="H18" i="1"/>
  <c r="I18" i="1"/>
  <c r="I8" i="1"/>
  <c r="H8" i="1"/>
  <c r="G8" i="1"/>
  <c r="F8" i="1"/>
  <c r="E8" i="1"/>
  <c r="D8" i="1"/>
  <c r="C8" i="1"/>
  <c r="L8" i="1"/>
  <c r="K7" i="2"/>
  <c r="G20" i="7"/>
  <c r="D20" i="7"/>
  <c r="F20" i="7"/>
  <c r="C34" i="7"/>
  <c r="D34" i="7"/>
  <c r="E34" i="7"/>
  <c r="F34" i="7"/>
  <c r="G34" i="7"/>
  <c r="H34" i="7"/>
  <c r="I34" i="7"/>
  <c r="C48" i="7"/>
  <c r="D48" i="7"/>
  <c r="E48" i="7"/>
  <c r="F48" i="7"/>
  <c r="G48" i="7"/>
  <c r="H48" i="7"/>
  <c r="I48" i="7"/>
  <c r="C40" i="7"/>
  <c r="D40" i="7"/>
  <c r="E40" i="7"/>
  <c r="F40" i="7"/>
  <c r="G40" i="7"/>
  <c r="I40" i="7"/>
  <c r="C50" i="7"/>
  <c r="E50" i="7"/>
  <c r="C32" i="7"/>
  <c r="D32" i="7"/>
  <c r="E32" i="7"/>
  <c r="F32" i="7"/>
  <c r="G32" i="7"/>
  <c r="H32" i="7"/>
  <c r="I32" i="7"/>
  <c r="C13" i="7"/>
  <c r="C20" i="7" s="1"/>
  <c r="E20" i="7"/>
  <c r="H20" i="7"/>
  <c r="I20" i="7"/>
  <c r="C19" i="7"/>
  <c r="D19" i="7"/>
  <c r="E19" i="7"/>
  <c r="F19" i="7"/>
  <c r="G19" i="7"/>
  <c r="H19" i="7"/>
  <c r="I19" i="7"/>
  <c r="N18" i="1"/>
  <c r="J14" i="1"/>
  <c r="K14" i="1"/>
  <c r="L14" i="1"/>
  <c r="M14" i="1"/>
  <c r="N14" i="1"/>
  <c r="J15" i="1"/>
  <c r="K15" i="1"/>
  <c r="L15" i="1"/>
  <c r="M15" i="1"/>
  <c r="N15" i="1"/>
  <c r="J18" i="1"/>
  <c r="K18" i="1"/>
  <c r="L18" i="1"/>
  <c r="M18" i="1"/>
  <c r="C19" i="6"/>
  <c r="D19" i="6"/>
  <c r="E19" i="6"/>
  <c r="F19" i="6"/>
  <c r="G19" i="6"/>
  <c r="H19" i="6"/>
  <c r="I19" i="6"/>
  <c r="N101" i="19"/>
  <c r="M101" i="19"/>
  <c r="L101" i="19"/>
  <c r="K101" i="19"/>
  <c r="J101" i="19"/>
  <c r="N100" i="19"/>
  <c r="M100" i="19"/>
  <c r="L100" i="19"/>
  <c r="K100" i="19"/>
  <c r="J100" i="19"/>
  <c r="N99" i="19"/>
  <c r="M99" i="19"/>
  <c r="L99" i="19"/>
  <c r="K99" i="19"/>
  <c r="J99" i="19"/>
  <c r="N98" i="19"/>
  <c r="M98" i="19"/>
  <c r="L98" i="19"/>
  <c r="K98" i="19"/>
  <c r="J98" i="19"/>
  <c r="N97" i="19"/>
  <c r="M97" i="19"/>
  <c r="L97" i="19"/>
  <c r="K97" i="19"/>
  <c r="J97" i="19"/>
  <c r="J78" i="19"/>
  <c r="K78" i="19"/>
  <c r="L78" i="19"/>
  <c r="M78" i="19"/>
  <c r="N78" i="19"/>
  <c r="J79" i="19"/>
  <c r="K79" i="19"/>
  <c r="L79" i="19"/>
  <c r="M79" i="19"/>
  <c r="N79" i="19"/>
  <c r="J80" i="19"/>
  <c r="K80" i="19"/>
  <c r="L80" i="19"/>
  <c r="M80" i="19"/>
  <c r="N80" i="19"/>
  <c r="J81" i="19"/>
  <c r="K81" i="19"/>
  <c r="L81" i="19"/>
  <c r="M81" i="19"/>
  <c r="N81" i="19"/>
  <c r="J82" i="19"/>
  <c r="K82" i="19"/>
  <c r="L82" i="19"/>
  <c r="M82" i="19"/>
  <c r="N82" i="19"/>
  <c r="J83" i="19"/>
  <c r="K83" i="19"/>
  <c r="L83" i="19"/>
  <c r="M83" i="19"/>
  <c r="N83" i="19"/>
  <c r="J85" i="19"/>
  <c r="K85" i="19"/>
  <c r="L85" i="19"/>
  <c r="M85" i="19"/>
  <c r="N85" i="19"/>
  <c r="J86" i="19"/>
  <c r="K86" i="19"/>
  <c r="L86" i="19"/>
  <c r="M86" i="19"/>
  <c r="N86" i="19"/>
  <c r="J87" i="19"/>
  <c r="K87" i="19"/>
  <c r="L87" i="19"/>
  <c r="M87" i="19"/>
  <c r="N87" i="19"/>
  <c r="J88" i="19"/>
  <c r="K88" i="19"/>
  <c r="L88" i="19"/>
  <c r="M88" i="19"/>
  <c r="N88" i="19"/>
  <c r="J89" i="19"/>
  <c r="K89" i="19"/>
  <c r="L89" i="19"/>
  <c r="M89" i="19"/>
  <c r="N89" i="19"/>
  <c r="J90" i="19"/>
  <c r="K90" i="19"/>
  <c r="L90" i="19"/>
  <c r="M90" i="19"/>
  <c r="N90" i="19"/>
  <c r="J92" i="19"/>
  <c r="K92" i="19"/>
  <c r="L92" i="19"/>
  <c r="M92" i="19"/>
  <c r="N92" i="19"/>
  <c r="J93" i="19"/>
  <c r="K93" i="19"/>
  <c r="L93" i="19"/>
  <c r="M93" i="19"/>
  <c r="N93" i="19"/>
  <c r="J66" i="19"/>
  <c r="K66" i="19"/>
  <c r="L66" i="19"/>
  <c r="M66" i="19"/>
  <c r="N66" i="19"/>
  <c r="J67" i="19"/>
  <c r="K67" i="19"/>
  <c r="L67" i="19"/>
  <c r="M67" i="19"/>
  <c r="N67" i="19"/>
  <c r="J68" i="19"/>
  <c r="K68" i="19"/>
  <c r="L68" i="19"/>
  <c r="M68" i="19"/>
  <c r="N68" i="19"/>
  <c r="J69" i="19"/>
  <c r="K69" i="19"/>
  <c r="L69" i="19"/>
  <c r="M69" i="19"/>
  <c r="N69" i="19"/>
  <c r="J70" i="19"/>
  <c r="K70" i="19"/>
  <c r="L70" i="19"/>
  <c r="M70" i="19"/>
  <c r="N70" i="19"/>
  <c r="J71" i="19"/>
  <c r="K71" i="19"/>
  <c r="L71" i="19"/>
  <c r="M71" i="19"/>
  <c r="N71" i="19"/>
  <c r="J72" i="19"/>
  <c r="K72" i="19"/>
  <c r="L72" i="19"/>
  <c r="M72" i="19"/>
  <c r="N72" i="19"/>
  <c r="J74" i="19"/>
  <c r="J73" i="19" s="1"/>
  <c r="K74" i="19"/>
  <c r="K73" i="19" s="1"/>
  <c r="L74" i="19"/>
  <c r="L73" i="19" s="1"/>
  <c r="M74" i="19"/>
  <c r="M73" i="19" s="1"/>
  <c r="N74" i="19"/>
  <c r="N73" i="19" s="1"/>
  <c r="J49" i="19"/>
  <c r="K49" i="19"/>
  <c r="L49" i="19"/>
  <c r="M49" i="19"/>
  <c r="N49" i="19"/>
  <c r="J50" i="19"/>
  <c r="K50" i="19"/>
  <c r="L50" i="19"/>
  <c r="M50" i="19"/>
  <c r="N50" i="19"/>
  <c r="J52" i="19"/>
  <c r="K52" i="19"/>
  <c r="L52" i="19"/>
  <c r="M52" i="19"/>
  <c r="N52" i="19"/>
  <c r="J53" i="19"/>
  <c r="K53" i="19"/>
  <c r="L53" i="19"/>
  <c r="M53" i="19"/>
  <c r="N53" i="19"/>
  <c r="J55" i="19"/>
  <c r="K55" i="19"/>
  <c r="L55" i="19"/>
  <c r="M55" i="19"/>
  <c r="N55" i="19"/>
  <c r="J56" i="19"/>
  <c r="K56" i="19"/>
  <c r="L56" i="19"/>
  <c r="M56" i="19"/>
  <c r="N56" i="19"/>
  <c r="J57" i="19"/>
  <c r="K57" i="19"/>
  <c r="L57" i="19"/>
  <c r="M57" i="19"/>
  <c r="N57" i="19"/>
  <c r="J59" i="19"/>
  <c r="K59" i="19"/>
  <c r="L59" i="19"/>
  <c r="M59" i="19"/>
  <c r="N59" i="19"/>
  <c r="J60" i="19"/>
  <c r="K60" i="19"/>
  <c r="L60" i="19"/>
  <c r="M60" i="19"/>
  <c r="N60" i="19"/>
  <c r="J61" i="19"/>
  <c r="K61" i="19"/>
  <c r="L61" i="19"/>
  <c r="M61" i="19"/>
  <c r="N61" i="19"/>
  <c r="J62" i="19"/>
  <c r="K62" i="19"/>
  <c r="L62" i="19"/>
  <c r="M62" i="19"/>
  <c r="N62" i="19"/>
  <c r="J63" i="19"/>
  <c r="K63" i="19"/>
  <c r="L63" i="19"/>
  <c r="M63" i="19"/>
  <c r="N63" i="19"/>
  <c r="J64" i="19"/>
  <c r="K64" i="19"/>
  <c r="L64" i="19"/>
  <c r="M64" i="19"/>
  <c r="N64" i="19"/>
  <c r="J32" i="19"/>
  <c r="K32" i="19"/>
  <c r="L32" i="19"/>
  <c r="M32" i="19"/>
  <c r="N32" i="19"/>
  <c r="J33" i="19"/>
  <c r="K33" i="19"/>
  <c r="L33" i="19"/>
  <c r="M33" i="19"/>
  <c r="N33" i="19"/>
  <c r="J34" i="19"/>
  <c r="K34" i="19"/>
  <c r="L34" i="19"/>
  <c r="M34" i="19"/>
  <c r="N34" i="19"/>
  <c r="J35" i="19"/>
  <c r="K35" i="19"/>
  <c r="L35" i="19"/>
  <c r="M35" i="19"/>
  <c r="N35" i="19"/>
  <c r="J36" i="19"/>
  <c r="K36" i="19"/>
  <c r="L36" i="19"/>
  <c r="M36" i="19"/>
  <c r="N36" i="19"/>
  <c r="J37" i="19"/>
  <c r="K37" i="19"/>
  <c r="L37" i="19"/>
  <c r="M37" i="19"/>
  <c r="N37" i="19"/>
  <c r="J38" i="19"/>
  <c r="K38" i="19"/>
  <c r="L38" i="19"/>
  <c r="M38" i="19"/>
  <c r="N38" i="19"/>
  <c r="J39" i="19"/>
  <c r="K39" i="19"/>
  <c r="L39" i="19"/>
  <c r="M39" i="19"/>
  <c r="N39" i="19"/>
  <c r="J40" i="19"/>
  <c r="K40" i="19"/>
  <c r="L40" i="19"/>
  <c r="M40" i="19"/>
  <c r="N40" i="19"/>
  <c r="J41" i="19"/>
  <c r="K41" i="19"/>
  <c r="L41" i="19"/>
  <c r="M41" i="19"/>
  <c r="N41" i="19"/>
  <c r="J42" i="19"/>
  <c r="K42" i="19"/>
  <c r="L42" i="19"/>
  <c r="M42" i="19"/>
  <c r="N42" i="19"/>
  <c r="J43" i="19"/>
  <c r="K43" i="19"/>
  <c r="L43" i="19"/>
  <c r="M43" i="19"/>
  <c r="N43" i="19"/>
  <c r="J44" i="19"/>
  <c r="K44" i="19"/>
  <c r="L44" i="19"/>
  <c r="M44" i="19"/>
  <c r="N44" i="19"/>
  <c r="J45" i="19"/>
  <c r="K45" i="19"/>
  <c r="L45" i="19"/>
  <c r="M45" i="19"/>
  <c r="N45" i="19"/>
  <c r="J46" i="19"/>
  <c r="K46" i="19"/>
  <c r="L46" i="19"/>
  <c r="M46" i="19"/>
  <c r="N46" i="19"/>
  <c r="J48" i="19"/>
  <c r="K48" i="19"/>
  <c r="L48" i="19"/>
  <c r="M48" i="19"/>
  <c r="N48" i="19"/>
  <c r="J19" i="19"/>
  <c r="K19" i="19"/>
  <c r="L19" i="19"/>
  <c r="M19" i="19"/>
  <c r="N19" i="19"/>
  <c r="J20" i="19"/>
  <c r="K20" i="19"/>
  <c r="L20" i="19"/>
  <c r="M20" i="19"/>
  <c r="N20" i="19"/>
  <c r="J21" i="19"/>
  <c r="K21" i="19"/>
  <c r="L21" i="19"/>
  <c r="M21" i="19"/>
  <c r="N21" i="19"/>
  <c r="J22" i="19"/>
  <c r="K22" i="19"/>
  <c r="L22" i="19"/>
  <c r="M22" i="19"/>
  <c r="N22" i="19"/>
  <c r="J23" i="19"/>
  <c r="K23" i="19"/>
  <c r="L23" i="19"/>
  <c r="M23" i="19"/>
  <c r="N23" i="19"/>
  <c r="J25" i="19"/>
  <c r="J24" i="19" s="1"/>
  <c r="K25" i="19"/>
  <c r="K24" i="19" s="1"/>
  <c r="L25" i="19"/>
  <c r="L24" i="19" s="1"/>
  <c r="M25" i="19"/>
  <c r="M24" i="19" s="1"/>
  <c r="N25" i="19"/>
  <c r="N24" i="19" s="1"/>
  <c r="J27" i="19"/>
  <c r="J26" i="19" s="1"/>
  <c r="K27" i="19"/>
  <c r="K26" i="19" s="1"/>
  <c r="L27" i="19"/>
  <c r="L26" i="19" s="1"/>
  <c r="M27" i="19"/>
  <c r="M26" i="19" s="1"/>
  <c r="N27" i="19"/>
  <c r="N26" i="19" s="1"/>
  <c r="K8" i="19"/>
  <c r="L8" i="19"/>
  <c r="M8" i="19"/>
  <c r="N8" i="19"/>
  <c r="J9" i="19"/>
  <c r="K9" i="19"/>
  <c r="L9" i="19"/>
  <c r="M9" i="19"/>
  <c r="N9" i="19"/>
  <c r="J11" i="19"/>
  <c r="K11" i="19"/>
  <c r="L11" i="19"/>
  <c r="M11" i="19"/>
  <c r="N11" i="19"/>
  <c r="J12" i="19"/>
  <c r="K12" i="19"/>
  <c r="L12" i="19"/>
  <c r="M12" i="19"/>
  <c r="N12" i="19"/>
  <c r="J13" i="19"/>
  <c r="K13" i="19"/>
  <c r="L13" i="19"/>
  <c r="M13" i="19"/>
  <c r="N13" i="19"/>
  <c r="J15" i="19"/>
  <c r="J14" i="19" s="1"/>
  <c r="K15" i="19"/>
  <c r="K14" i="19" s="1"/>
  <c r="L15" i="19"/>
  <c r="L14" i="19" s="1"/>
  <c r="M15" i="19"/>
  <c r="M14" i="19" s="1"/>
  <c r="N15" i="19"/>
  <c r="N14" i="19" s="1"/>
  <c r="J16" i="19"/>
  <c r="K16" i="19"/>
  <c r="L16" i="19"/>
  <c r="M16" i="19"/>
  <c r="N16" i="19"/>
  <c r="J123" i="18"/>
  <c r="K123" i="18"/>
  <c r="L123" i="18"/>
  <c r="M123" i="18"/>
  <c r="N123" i="18"/>
  <c r="J124" i="18"/>
  <c r="K124" i="18"/>
  <c r="L124" i="18"/>
  <c r="M124" i="18"/>
  <c r="N124" i="18"/>
  <c r="J125" i="18"/>
  <c r="K125" i="18"/>
  <c r="L125" i="18"/>
  <c r="M125" i="18"/>
  <c r="N125" i="18"/>
  <c r="J126" i="18"/>
  <c r="K126" i="18"/>
  <c r="L126" i="18"/>
  <c r="M126" i="18"/>
  <c r="N126" i="18"/>
  <c r="J127" i="18"/>
  <c r="K127" i="18"/>
  <c r="L127" i="18"/>
  <c r="M127" i="18"/>
  <c r="N127" i="18"/>
  <c r="J118" i="18"/>
  <c r="K118" i="18"/>
  <c r="L118" i="18"/>
  <c r="M118" i="18"/>
  <c r="N118" i="18"/>
  <c r="J119" i="18"/>
  <c r="K119" i="18"/>
  <c r="L119" i="18"/>
  <c r="M119" i="18"/>
  <c r="N119" i="18"/>
  <c r="J104" i="18"/>
  <c r="K104" i="18"/>
  <c r="L104" i="18"/>
  <c r="M104" i="18"/>
  <c r="N104" i="18"/>
  <c r="J105" i="18"/>
  <c r="K105" i="18"/>
  <c r="L105" i="18"/>
  <c r="M105" i="18"/>
  <c r="N105" i="18"/>
  <c r="J106" i="18"/>
  <c r="K106" i="18"/>
  <c r="L106" i="18"/>
  <c r="M106" i="18"/>
  <c r="N106" i="18"/>
  <c r="J107" i="18"/>
  <c r="K107" i="18"/>
  <c r="L107" i="18"/>
  <c r="M107" i="18"/>
  <c r="N107" i="18"/>
  <c r="J108" i="18"/>
  <c r="K108" i="18"/>
  <c r="L108" i="18"/>
  <c r="M108" i="18"/>
  <c r="N108" i="18"/>
  <c r="J109" i="18"/>
  <c r="K109" i="18"/>
  <c r="L109" i="18"/>
  <c r="M109" i="18"/>
  <c r="N109" i="18"/>
  <c r="J110" i="18"/>
  <c r="K110" i="18"/>
  <c r="L110" i="18"/>
  <c r="M110" i="18"/>
  <c r="N110" i="18"/>
  <c r="J111" i="18"/>
  <c r="K111" i="18"/>
  <c r="L111" i="18"/>
  <c r="M111" i="18"/>
  <c r="N111" i="18"/>
  <c r="J112" i="18"/>
  <c r="K112" i="18"/>
  <c r="L112" i="18"/>
  <c r="M112" i="18"/>
  <c r="N112" i="18"/>
  <c r="J113" i="18"/>
  <c r="K113" i="18"/>
  <c r="L113" i="18"/>
  <c r="M113" i="18"/>
  <c r="N113" i="18"/>
  <c r="J114" i="18"/>
  <c r="K114" i="18"/>
  <c r="L114" i="18"/>
  <c r="M114" i="18"/>
  <c r="N114" i="18"/>
  <c r="J115" i="18"/>
  <c r="K115" i="18"/>
  <c r="L115" i="18"/>
  <c r="M115" i="18"/>
  <c r="N115" i="18"/>
  <c r="J116" i="18"/>
  <c r="K116" i="18"/>
  <c r="L116" i="18"/>
  <c r="M116" i="18"/>
  <c r="N116" i="18"/>
  <c r="J86" i="18"/>
  <c r="K86" i="18"/>
  <c r="L86" i="18"/>
  <c r="M86" i="18"/>
  <c r="N86" i="18"/>
  <c r="J87" i="18"/>
  <c r="K87" i="18"/>
  <c r="L87" i="18"/>
  <c r="M87" i="18"/>
  <c r="N87" i="18"/>
  <c r="J88" i="18"/>
  <c r="K88" i="18"/>
  <c r="L88" i="18"/>
  <c r="M88" i="18"/>
  <c r="N88" i="18"/>
  <c r="J89" i="18"/>
  <c r="K89" i="18"/>
  <c r="L89" i="18"/>
  <c r="M89" i="18"/>
  <c r="N89" i="18"/>
  <c r="J90" i="18"/>
  <c r="K90" i="18"/>
  <c r="L90" i="18"/>
  <c r="M90" i="18"/>
  <c r="N90" i="18"/>
  <c r="J91" i="18"/>
  <c r="K91" i="18"/>
  <c r="L91" i="18"/>
  <c r="M91" i="18"/>
  <c r="N91" i="18"/>
  <c r="J92" i="18"/>
  <c r="K92" i="18"/>
  <c r="L92" i="18"/>
  <c r="M92" i="18"/>
  <c r="N92" i="18"/>
  <c r="J93" i="18"/>
  <c r="K93" i="18"/>
  <c r="L93" i="18"/>
  <c r="M93" i="18"/>
  <c r="N93" i="18"/>
  <c r="J94" i="18"/>
  <c r="K94" i="18"/>
  <c r="L94" i="18"/>
  <c r="M94" i="18"/>
  <c r="N94" i="18"/>
  <c r="J95" i="18"/>
  <c r="K95" i="18"/>
  <c r="L95" i="18"/>
  <c r="M95" i="18"/>
  <c r="N95" i="18"/>
  <c r="J96" i="18"/>
  <c r="K96" i="18"/>
  <c r="L96" i="18"/>
  <c r="M96" i="18"/>
  <c r="N96" i="18"/>
  <c r="J97" i="18"/>
  <c r="K97" i="18"/>
  <c r="L97" i="18"/>
  <c r="M97" i="18"/>
  <c r="N97" i="18"/>
  <c r="J98" i="18"/>
  <c r="K98" i="18"/>
  <c r="L98" i="18"/>
  <c r="M98" i="18"/>
  <c r="N98" i="18"/>
  <c r="J99" i="18"/>
  <c r="K99" i="18"/>
  <c r="L99" i="18"/>
  <c r="M99" i="18"/>
  <c r="N99" i="18"/>
  <c r="J100" i="18"/>
  <c r="K100" i="18"/>
  <c r="L100" i="18"/>
  <c r="M100" i="18"/>
  <c r="N100" i="18"/>
  <c r="J101" i="18"/>
  <c r="K101" i="18"/>
  <c r="L101" i="18"/>
  <c r="M101" i="18"/>
  <c r="N101" i="18"/>
  <c r="J103" i="18"/>
  <c r="K103" i="18"/>
  <c r="L103" i="18"/>
  <c r="M103" i="18"/>
  <c r="N103" i="18"/>
  <c r="J64" i="18"/>
  <c r="K64" i="18"/>
  <c r="L64" i="18"/>
  <c r="M64" i="18"/>
  <c r="N64" i="18"/>
  <c r="J66" i="18"/>
  <c r="K66" i="18"/>
  <c r="L66" i="18"/>
  <c r="M66" i="18"/>
  <c r="N66" i="18"/>
  <c r="J67" i="18"/>
  <c r="K67" i="18"/>
  <c r="L67" i="18"/>
  <c r="M67" i="18"/>
  <c r="N67" i="18"/>
  <c r="J68" i="18"/>
  <c r="K68" i="18"/>
  <c r="L68" i="18"/>
  <c r="M68" i="18"/>
  <c r="N68" i="18"/>
  <c r="J70" i="18"/>
  <c r="J69" i="18" s="1"/>
  <c r="K70" i="18"/>
  <c r="K69" i="18" s="1"/>
  <c r="L70" i="18"/>
  <c r="L69" i="18" s="1"/>
  <c r="M70" i="18"/>
  <c r="M69" i="18" s="1"/>
  <c r="N70" i="18"/>
  <c r="N69" i="18" s="1"/>
  <c r="J72" i="18"/>
  <c r="J71" i="18" s="1"/>
  <c r="K72" i="18"/>
  <c r="K71" i="18" s="1"/>
  <c r="L72" i="18"/>
  <c r="L71" i="18" s="1"/>
  <c r="M72" i="18"/>
  <c r="M71" i="18" s="1"/>
  <c r="N72" i="18"/>
  <c r="N71" i="18" s="1"/>
  <c r="J73" i="18"/>
  <c r="K73" i="18"/>
  <c r="L73" i="18"/>
  <c r="M73" i="18"/>
  <c r="N73" i="18"/>
  <c r="J75" i="18"/>
  <c r="K75" i="18"/>
  <c r="L75" i="18"/>
  <c r="M75" i="18"/>
  <c r="N75" i="18"/>
  <c r="J76" i="18"/>
  <c r="K76" i="18"/>
  <c r="L76" i="18"/>
  <c r="M76" i="18"/>
  <c r="N76" i="18"/>
  <c r="J77" i="18"/>
  <c r="K77" i="18"/>
  <c r="L77" i="18"/>
  <c r="M77" i="18"/>
  <c r="N77" i="18"/>
  <c r="J78" i="18"/>
  <c r="K78" i="18"/>
  <c r="L78" i="18"/>
  <c r="M78" i="18"/>
  <c r="N78" i="18"/>
  <c r="J79" i="18"/>
  <c r="K79" i="18"/>
  <c r="L79" i="18"/>
  <c r="M79" i="18"/>
  <c r="N79" i="18"/>
  <c r="J80" i="18"/>
  <c r="K80" i="18"/>
  <c r="L80" i="18"/>
  <c r="M80" i="18"/>
  <c r="N80" i="18"/>
  <c r="J82" i="18"/>
  <c r="J81" i="18" s="1"/>
  <c r="K82" i="18"/>
  <c r="K81" i="18" s="1"/>
  <c r="L82" i="18"/>
  <c r="L81" i="18" s="1"/>
  <c r="M82" i="18"/>
  <c r="M81" i="18" s="1"/>
  <c r="N82" i="18"/>
  <c r="N81" i="18" s="1"/>
  <c r="J50" i="18"/>
  <c r="K50" i="18"/>
  <c r="L50" i="18"/>
  <c r="M50" i="18"/>
  <c r="N50" i="18"/>
  <c r="J51" i="18"/>
  <c r="K51" i="18"/>
  <c r="L51" i="18"/>
  <c r="M51" i="18"/>
  <c r="N51" i="18"/>
  <c r="J52" i="18"/>
  <c r="K52" i="18"/>
  <c r="L52" i="18"/>
  <c r="M52" i="18"/>
  <c r="N52" i="18"/>
  <c r="J53" i="18"/>
  <c r="K53" i="18"/>
  <c r="L53" i="18"/>
  <c r="M53" i="18"/>
  <c r="N53" i="18"/>
  <c r="J55" i="18"/>
  <c r="K55" i="18"/>
  <c r="L55" i="18"/>
  <c r="M55" i="18"/>
  <c r="N55" i="18"/>
  <c r="J56" i="18"/>
  <c r="K56" i="18"/>
  <c r="L56" i="18"/>
  <c r="M56" i="18"/>
  <c r="N56" i="18"/>
  <c r="J57" i="18"/>
  <c r="K57" i="18"/>
  <c r="L57" i="18"/>
  <c r="M57" i="18"/>
  <c r="N57" i="18"/>
  <c r="J58" i="18"/>
  <c r="K58" i="18"/>
  <c r="L58" i="18"/>
  <c r="M58" i="18"/>
  <c r="N58" i="18"/>
  <c r="J60" i="18"/>
  <c r="K60" i="18"/>
  <c r="L60" i="18"/>
  <c r="M60" i="18"/>
  <c r="N60" i="18"/>
  <c r="J61" i="18"/>
  <c r="K61" i="18"/>
  <c r="L61" i="18"/>
  <c r="M61" i="18"/>
  <c r="N61" i="18"/>
  <c r="J63" i="18"/>
  <c r="J62" i="18" s="1"/>
  <c r="K63" i="18"/>
  <c r="K62" i="18" s="1"/>
  <c r="L63" i="18"/>
  <c r="L62" i="18" s="1"/>
  <c r="M63" i="18"/>
  <c r="M62" i="18" s="1"/>
  <c r="N63" i="18"/>
  <c r="N62" i="18" s="1"/>
  <c r="J34" i="18"/>
  <c r="K34" i="18"/>
  <c r="L34" i="18"/>
  <c r="M34" i="18"/>
  <c r="N34" i="18"/>
  <c r="J35" i="18"/>
  <c r="K35" i="18"/>
  <c r="L35" i="18"/>
  <c r="M35" i="18"/>
  <c r="N35" i="18"/>
  <c r="J36" i="18"/>
  <c r="K36" i="18"/>
  <c r="L36" i="18"/>
  <c r="M36" i="18"/>
  <c r="N36" i="18"/>
  <c r="J37" i="18"/>
  <c r="K37" i="18"/>
  <c r="L37" i="18"/>
  <c r="M37" i="18"/>
  <c r="N37" i="18"/>
  <c r="J38" i="18"/>
  <c r="K38" i="18"/>
  <c r="L38" i="18"/>
  <c r="M38" i="18"/>
  <c r="N38" i="18"/>
  <c r="J39" i="18"/>
  <c r="K39" i="18"/>
  <c r="L39" i="18"/>
  <c r="M39" i="18"/>
  <c r="N39" i="18"/>
  <c r="J40" i="18"/>
  <c r="K40" i="18"/>
  <c r="L40" i="18"/>
  <c r="M40" i="18"/>
  <c r="N40" i="18"/>
  <c r="J41" i="18"/>
  <c r="K41" i="18"/>
  <c r="L41" i="18"/>
  <c r="M41" i="18"/>
  <c r="N41" i="18"/>
  <c r="J42" i="18"/>
  <c r="K42" i="18"/>
  <c r="L42" i="18"/>
  <c r="M42" i="18"/>
  <c r="N42" i="18"/>
  <c r="J43" i="18"/>
  <c r="K43" i="18"/>
  <c r="L43" i="18"/>
  <c r="M43" i="18"/>
  <c r="N43" i="18"/>
  <c r="J44" i="18"/>
  <c r="K44" i="18"/>
  <c r="L44" i="18"/>
  <c r="M44" i="18"/>
  <c r="N44" i="18"/>
  <c r="J45" i="18"/>
  <c r="K45" i="18"/>
  <c r="L45" i="18"/>
  <c r="M45" i="18"/>
  <c r="N45" i="18"/>
  <c r="J46" i="18"/>
  <c r="K46" i="18"/>
  <c r="L46" i="18"/>
  <c r="M46" i="18"/>
  <c r="N46" i="18"/>
  <c r="J47" i="18"/>
  <c r="K47" i="18"/>
  <c r="L47" i="18"/>
  <c r="M47" i="18"/>
  <c r="N47" i="18"/>
  <c r="J48" i="18"/>
  <c r="K48" i="18"/>
  <c r="L48" i="18"/>
  <c r="M48" i="18"/>
  <c r="N48" i="18"/>
  <c r="J49" i="18"/>
  <c r="K49" i="18"/>
  <c r="L49" i="18"/>
  <c r="M49" i="18"/>
  <c r="N49" i="18"/>
  <c r="J20" i="18"/>
  <c r="K20" i="18"/>
  <c r="L20" i="18"/>
  <c r="M20" i="18"/>
  <c r="N20" i="18"/>
  <c r="J22" i="18"/>
  <c r="K22" i="18"/>
  <c r="L22" i="18"/>
  <c r="M22" i="18"/>
  <c r="N22" i="18"/>
  <c r="J23" i="18"/>
  <c r="K23" i="18"/>
  <c r="L23" i="18"/>
  <c r="M23" i="18"/>
  <c r="N23" i="18"/>
  <c r="J24" i="18"/>
  <c r="K24" i="18"/>
  <c r="L24" i="18"/>
  <c r="M24" i="18"/>
  <c r="N24" i="18"/>
  <c r="J25" i="18"/>
  <c r="K25" i="18"/>
  <c r="L25" i="18"/>
  <c r="M25" i="18"/>
  <c r="N25" i="18"/>
  <c r="J27" i="18"/>
  <c r="J26" i="18" s="1"/>
  <c r="K27" i="18"/>
  <c r="K26" i="18" s="1"/>
  <c r="L27" i="18"/>
  <c r="L26" i="18" s="1"/>
  <c r="M27" i="18"/>
  <c r="M26" i="18" s="1"/>
  <c r="N27" i="18"/>
  <c r="N26" i="18" s="1"/>
  <c r="J29" i="18"/>
  <c r="J28" i="18" s="1"/>
  <c r="K29" i="18"/>
  <c r="K28" i="18" s="1"/>
  <c r="L29" i="18"/>
  <c r="L28" i="18" s="1"/>
  <c r="M29" i="18"/>
  <c r="M28" i="18" s="1"/>
  <c r="N29" i="18"/>
  <c r="N28" i="18" s="1"/>
  <c r="K8" i="18"/>
  <c r="L8" i="18"/>
  <c r="M8" i="18"/>
  <c r="N8" i="18"/>
  <c r="J9" i="18"/>
  <c r="K9" i="18"/>
  <c r="L9" i="18"/>
  <c r="M9" i="18"/>
  <c r="N9" i="18"/>
  <c r="J10" i="18"/>
  <c r="K10" i="18"/>
  <c r="L10" i="18"/>
  <c r="M10" i="18"/>
  <c r="N10" i="18"/>
  <c r="J12" i="18"/>
  <c r="K12" i="18"/>
  <c r="L12" i="18"/>
  <c r="M12" i="18"/>
  <c r="N12" i="18"/>
  <c r="J13" i="18"/>
  <c r="K13" i="18"/>
  <c r="L13" i="18"/>
  <c r="M13" i="18"/>
  <c r="N13" i="18"/>
  <c r="J14" i="18"/>
  <c r="K14" i="18"/>
  <c r="L14" i="18"/>
  <c r="M14" i="18"/>
  <c r="N14" i="18"/>
  <c r="J16" i="18"/>
  <c r="J15" i="18" s="1"/>
  <c r="K16" i="18"/>
  <c r="K15" i="18" s="1"/>
  <c r="L16" i="18"/>
  <c r="L15" i="18" s="1"/>
  <c r="M16" i="18"/>
  <c r="M15" i="18" s="1"/>
  <c r="N16" i="18"/>
  <c r="N15" i="18" s="1"/>
  <c r="J17" i="18"/>
  <c r="K17" i="18"/>
  <c r="L17" i="18"/>
  <c r="M17" i="18"/>
  <c r="N17" i="18"/>
  <c r="N146" i="10"/>
  <c r="M146" i="10"/>
  <c r="L146" i="10"/>
  <c r="K146" i="10"/>
  <c r="N145" i="10"/>
  <c r="M145" i="10"/>
  <c r="L145" i="10"/>
  <c r="K145" i="10"/>
  <c r="N144" i="10"/>
  <c r="M144" i="10"/>
  <c r="L144" i="10"/>
  <c r="K144" i="10"/>
  <c r="N143" i="10"/>
  <c r="M143" i="10"/>
  <c r="L143" i="10"/>
  <c r="K143" i="10"/>
  <c r="N142" i="10"/>
  <c r="M142" i="10"/>
  <c r="L142" i="10"/>
  <c r="K142" i="10"/>
  <c r="K111" i="10"/>
  <c r="L111" i="10"/>
  <c r="M111" i="10"/>
  <c r="N111" i="10"/>
  <c r="K112" i="10"/>
  <c r="L112" i="10"/>
  <c r="M112" i="10"/>
  <c r="N112" i="10"/>
  <c r="K113" i="10"/>
  <c r="L113" i="10"/>
  <c r="M113" i="10"/>
  <c r="N113" i="10"/>
  <c r="K114" i="10"/>
  <c r="L114" i="10"/>
  <c r="M114" i="10"/>
  <c r="N114" i="10"/>
  <c r="K115" i="10"/>
  <c r="L115" i="10"/>
  <c r="M115" i="10"/>
  <c r="N115" i="10"/>
  <c r="K116" i="10"/>
  <c r="L116" i="10"/>
  <c r="M116" i="10"/>
  <c r="N116" i="10"/>
  <c r="K117" i="10"/>
  <c r="L117" i="10"/>
  <c r="M117" i="10"/>
  <c r="N117" i="10"/>
  <c r="K118" i="10"/>
  <c r="L118" i="10"/>
  <c r="M118" i="10"/>
  <c r="N118" i="10"/>
  <c r="K119" i="10"/>
  <c r="L119" i="10"/>
  <c r="M119" i="10"/>
  <c r="N119" i="10"/>
  <c r="K120" i="10"/>
  <c r="L120" i="10"/>
  <c r="M120" i="10"/>
  <c r="N120" i="10"/>
  <c r="K122" i="10"/>
  <c r="L122" i="10"/>
  <c r="M122" i="10"/>
  <c r="N122" i="10"/>
  <c r="K123" i="10"/>
  <c r="L123" i="10"/>
  <c r="M123" i="10"/>
  <c r="N123" i="10"/>
  <c r="K124" i="10"/>
  <c r="L124" i="10"/>
  <c r="M124" i="10"/>
  <c r="N124" i="10"/>
  <c r="K125" i="10"/>
  <c r="L125" i="10"/>
  <c r="M125" i="10"/>
  <c r="N125" i="10"/>
  <c r="K126" i="10"/>
  <c r="L126" i="10"/>
  <c r="M126" i="10"/>
  <c r="N126" i="10"/>
  <c r="K127" i="10"/>
  <c r="L127" i="10"/>
  <c r="M127" i="10"/>
  <c r="N127" i="10"/>
  <c r="K128" i="10"/>
  <c r="L128" i="10"/>
  <c r="M128" i="10"/>
  <c r="N128" i="10"/>
  <c r="K129" i="10"/>
  <c r="L129" i="10"/>
  <c r="M129" i="10"/>
  <c r="N129" i="10"/>
  <c r="K130" i="10"/>
  <c r="L130" i="10"/>
  <c r="M130" i="10"/>
  <c r="N130" i="10"/>
  <c r="K131" i="10"/>
  <c r="L131" i="10"/>
  <c r="M131" i="10"/>
  <c r="N131" i="10"/>
  <c r="K132" i="10"/>
  <c r="L132" i="10"/>
  <c r="M132" i="10"/>
  <c r="N132" i="10"/>
  <c r="K133" i="10"/>
  <c r="L133" i="10"/>
  <c r="M133" i="10"/>
  <c r="N133" i="10"/>
  <c r="K134" i="10"/>
  <c r="L134" i="10"/>
  <c r="M134" i="10"/>
  <c r="N134" i="10"/>
  <c r="K135" i="10"/>
  <c r="L135" i="10"/>
  <c r="M135" i="10"/>
  <c r="N135" i="10"/>
  <c r="K137" i="10"/>
  <c r="L137" i="10"/>
  <c r="M137" i="10"/>
  <c r="N137" i="10"/>
  <c r="K138" i="10"/>
  <c r="L138" i="10"/>
  <c r="M138" i="10"/>
  <c r="N138" i="10"/>
  <c r="K97" i="10"/>
  <c r="L97" i="10"/>
  <c r="M97" i="10"/>
  <c r="N97" i="10"/>
  <c r="K98" i="10"/>
  <c r="L98" i="10"/>
  <c r="M98" i="10"/>
  <c r="N98" i="10"/>
  <c r="K99" i="10"/>
  <c r="L99" i="10"/>
  <c r="M99" i="10"/>
  <c r="N99" i="10"/>
  <c r="K85" i="10"/>
  <c r="L85" i="10"/>
  <c r="M85" i="10"/>
  <c r="N85" i="10"/>
  <c r="K86" i="10"/>
  <c r="L86" i="10"/>
  <c r="M86" i="10"/>
  <c r="N86" i="10"/>
  <c r="K87" i="10"/>
  <c r="L87" i="10"/>
  <c r="M87" i="10"/>
  <c r="N87" i="10"/>
  <c r="K89" i="10"/>
  <c r="K88" i="10" s="1"/>
  <c r="L89" i="10"/>
  <c r="L88" i="10" s="1"/>
  <c r="M89" i="10"/>
  <c r="M88" i="10" s="1"/>
  <c r="N89" i="10"/>
  <c r="N88" i="10" s="1"/>
  <c r="K91" i="10"/>
  <c r="K90" i="10" s="1"/>
  <c r="L91" i="10"/>
  <c r="L90" i="10" s="1"/>
  <c r="M91" i="10"/>
  <c r="M90" i="10" s="1"/>
  <c r="N91" i="10"/>
  <c r="N90" i="10" s="1"/>
  <c r="K94" i="10"/>
  <c r="L94" i="10"/>
  <c r="M94" i="10"/>
  <c r="N94" i="10"/>
  <c r="K95" i="10"/>
  <c r="L95" i="10"/>
  <c r="M95" i="10"/>
  <c r="N95" i="10"/>
  <c r="K96" i="10"/>
  <c r="L96" i="10"/>
  <c r="M96" i="10"/>
  <c r="N96" i="10"/>
  <c r="K70" i="10"/>
  <c r="L70" i="10"/>
  <c r="M70" i="10"/>
  <c r="N70" i="10"/>
  <c r="K72" i="10"/>
  <c r="L72" i="10"/>
  <c r="M72" i="10"/>
  <c r="N72" i="10"/>
  <c r="K74" i="10"/>
  <c r="L74" i="10"/>
  <c r="M74" i="10"/>
  <c r="N74" i="10"/>
  <c r="K75" i="10"/>
  <c r="L75" i="10"/>
  <c r="M75" i="10"/>
  <c r="N75" i="10"/>
  <c r="K76" i="10"/>
  <c r="L76" i="10"/>
  <c r="M76" i="10"/>
  <c r="N76" i="10"/>
  <c r="K77" i="10"/>
  <c r="L77" i="10"/>
  <c r="M77" i="10"/>
  <c r="N77" i="10"/>
  <c r="K78" i="10"/>
  <c r="L78" i="10"/>
  <c r="M78" i="10"/>
  <c r="N78" i="10"/>
  <c r="K79" i="10"/>
  <c r="L79" i="10"/>
  <c r="M79" i="10"/>
  <c r="N79" i="10"/>
  <c r="K81" i="10"/>
  <c r="L81" i="10"/>
  <c r="M81" i="10"/>
  <c r="N81" i="10"/>
  <c r="K83" i="10"/>
  <c r="L83" i="10"/>
  <c r="M83" i="10"/>
  <c r="N83" i="10"/>
  <c r="K84" i="10"/>
  <c r="L84" i="10"/>
  <c r="M84" i="10"/>
  <c r="N84" i="10"/>
  <c r="K54" i="10"/>
  <c r="L54" i="10"/>
  <c r="M54" i="10"/>
  <c r="N54" i="10"/>
  <c r="K55" i="10"/>
  <c r="L55" i="10"/>
  <c r="M55" i="10"/>
  <c r="N55" i="10"/>
  <c r="K56" i="10"/>
  <c r="L56" i="10"/>
  <c r="M56" i="10"/>
  <c r="N56" i="10"/>
  <c r="K58" i="10"/>
  <c r="L58" i="10"/>
  <c r="M58" i="10"/>
  <c r="N58" i="10"/>
  <c r="K59" i="10"/>
  <c r="L59" i="10"/>
  <c r="M59" i="10"/>
  <c r="N59" i="10"/>
  <c r="K60" i="10"/>
  <c r="L60" i="10"/>
  <c r="M60" i="10"/>
  <c r="N60" i="10"/>
  <c r="K61" i="10"/>
  <c r="L61" i="10"/>
  <c r="M61" i="10"/>
  <c r="N61" i="10"/>
  <c r="K62" i="10"/>
  <c r="L62" i="10"/>
  <c r="M62" i="10"/>
  <c r="N62" i="10"/>
  <c r="K64" i="10"/>
  <c r="L64" i="10"/>
  <c r="M64" i="10"/>
  <c r="N64" i="10"/>
  <c r="K65" i="10"/>
  <c r="L65" i="10"/>
  <c r="M65" i="10"/>
  <c r="N65" i="10"/>
  <c r="K68" i="10"/>
  <c r="L68" i="10"/>
  <c r="M68" i="10"/>
  <c r="N68" i="10"/>
  <c r="K69" i="10"/>
  <c r="L69" i="10"/>
  <c r="M69" i="10"/>
  <c r="N69" i="10"/>
  <c r="K39" i="10"/>
  <c r="L39" i="10"/>
  <c r="M39" i="10"/>
  <c r="N39" i="10"/>
  <c r="K40" i="10"/>
  <c r="L40" i="10"/>
  <c r="M40" i="10"/>
  <c r="N40" i="10"/>
  <c r="K41" i="10"/>
  <c r="L41" i="10"/>
  <c r="M41" i="10"/>
  <c r="N41" i="10"/>
  <c r="K42" i="10"/>
  <c r="L42" i="10"/>
  <c r="M42" i="10"/>
  <c r="N42" i="10"/>
  <c r="K43" i="10"/>
  <c r="L43" i="10"/>
  <c r="M43" i="10"/>
  <c r="N43" i="10"/>
  <c r="K44" i="10"/>
  <c r="L44" i="10"/>
  <c r="M44" i="10"/>
  <c r="N44" i="10"/>
  <c r="K45" i="10"/>
  <c r="L45" i="10"/>
  <c r="M45" i="10"/>
  <c r="N45" i="10"/>
  <c r="K46" i="10"/>
  <c r="L46" i="10"/>
  <c r="M46" i="10"/>
  <c r="N46" i="10"/>
  <c r="K47" i="10"/>
  <c r="L47" i="10"/>
  <c r="M47" i="10"/>
  <c r="N47" i="10"/>
  <c r="K48" i="10"/>
  <c r="L48" i="10"/>
  <c r="M48" i="10"/>
  <c r="N48" i="10"/>
  <c r="K49" i="10"/>
  <c r="L49" i="10"/>
  <c r="M49" i="10"/>
  <c r="N49" i="10"/>
  <c r="K50" i="10"/>
  <c r="L50" i="10"/>
  <c r="M50" i="10"/>
  <c r="N50" i="10"/>
  <c r="K51" i="10"/>
  <c r="L51" i="10"/>
  <c r="M51" i="10"/>
  <c r="N51" i="10"/>
  <c r="K52" i="10"/>
  <c r="L52" i="10"/>
  <c r="M52" i="10"/>
  <c r="N52" i="10"/>
  <c r="K53" i="10"/>
  <c r="L53" i="10"/>
  <c r="M53" i="10"/>
  <c r="N53" i="10"/>
  <c r="K23" i="10"/>
  <c r="L23" i="10"/>
  <c r="M23" i="10"/>
  <c r="N23" i="10"/>
  <c r="K24" i="10"/>
  <c r="L24" i="10"/>
  <c r="M24" i="10"/>
  <c r="N24" i="10"/>
  <c r="K25" i="10"/>
  <c r="L25" i="10"/>
  <c r="M25" i="10"/>
  <c r="N25" i="10"/>
  <c r="K26" i="10"/>
  <c r="L26" i="10"/>
  <c r="M26" i="10"/>
  <c r="N26" i="10"/>
  <c r="K27" i="10"/>
  <c r="L27" i="10"/>
  <c r="M27" i="10"/>
  <c r="N27" i="10"/>
  <c r="K28" i="10"/>
  <c r="L28" i="10"/>
  <c r="M28" i="10"/>
  <c r="N28" i="10"/>
  <c r="K29" i="10"/>
  <c r="L29" i="10"/>
  <c r="M29" i="10"/>
  <c r="N29" i="10"/>
  <c r="K31" i="10"/>
  <c r="K30" i="10" s="1"/>
  <c r="L31" i="10"/>
  <c r="L30" i="10" s="1"/>
  <c r="M31" i="10"/>
  <c r="M30" i="10" s="1"/>
  <c r="N31" i="10"/>
  <c r="N30" i="10" s="1"/>
  <c r="K33" i="10"/>
  <c r="K32" i="10" s="1"/>
  <c r="L33" i="10"/>
  <c r="L32" i="10" s="1"/>
  <c r="M33" i="10"/>
  <c r="M32" i="10" s="1"/>
  <c r="N33" i="10"/>
  <c r="N32" i="10" s="1"/>
  <c r="K8" i="10"/>
  <c r="L8" i="10"/>
  <c r="M8" i="10"/>
  <c r="N8" i="10"/>
  <c r="K9" i="10"/>
  <c r="L9" i="10"/>
  <c r="M9" i="10"/>
  <c r="N9" i="10"/>
  <c r="K11" i="10"/>
  <c r="L11" i="10"/>
  <c r="M11" i="10"/>
  <c r="N11" i="10"/>
  <c r="K12" i="10"/>
  <c r="L12" i="10"/>
  <c r="M12" i="10"/>
  <c r="N12" i="10"/>
  <c r="K13" i="10"/>
  <c r="L13" i="10"/>
  <c r="M13" i="10"/>
  <c r="N13" i="10"/>
  <c r="K15" i="10"/>
  <c r="L15" i="10"/>
  <c r="M15" i="10"/>
  <c r="N15" i="10"/>
  <c r="K16" i="10"/>
  <c r="L16" i="10"/>
  <c r="M16" i="10"/>
  <c r="N16" i="10"/>
  <c r="K17" i="10"/>
  <c r="L17" i="10"/>
  <c r="M17" i="10"/>
  <c r="N17" i="10"/>
  <c r="K19" i="10"/>
  <c r="K18" i="10" s="1"/>
  <c r="L19" i="10"/>
  <c r="L18" i="10" s="1"/>
  <c r="M19" i="10"/>
  <c r="M18" i="10" s="1"/>
  <c r="N19" i="10"/>
  <c r="N18" i="10" s="1"/>
  <c r="K20" i="10"/>
  <c r="L20" i="10"/>
  <c r="M20" i="10"/>
  <c r="N20" i="10"/>
  <c r="J146" i="6"/>
  <c r="K146" i="6"/>
  <c r="L146" i="6"/>
  <c r="M146" i="6"/>
  <c r="N146" i="6"/>
  <c r="J147" i="6"/>
  <c r="K147" i="6"/>
  <c r="L147" i="6"/>
  <c r="M147" i="6"/>
  <c r="N147" i="6"/>
  <c r="J148" i="6"/>
  <c r="K148" i="6"/>
  <c r="L148" i="6"/>
  <c r="M148" i="6"/>
  <c r="N148" i="6"/>
  <c r="J149" i="6"/>
  <c r="K149" i="6"/>
  <c r="L149" i="6"/>
  <c r="M149" i="6"/>
  <c r="N149" i="6"/>
  <c r="J150" i="6"/>
  <c r="K150" i="6"/>
  <c r="L150" i="6"/>
  <c r="M150" i="6"/>
  <c r="N150" i="6"/>
  <c r="J130" i="6"/>
  <c r="K130" i="6"/>
  <c r="L130" i="6"/>
  <c r="M130" i="6"/>
  <c r="N130" i="6"/>
  <c r="J131" i="6"/>
  <c r="K131" i="6"/>
  <c r="L131" i="6"/>
  <c r="M131" i="6"/>
  <c r="N131" i="6"/>
  <c r="J132" i="6"/>
  <c r="K132" i="6"/>
  <c r="L132" i="6"/>
  <c r="M132" i="6"/>
  <c r="N132" i="6"/>
  <c r="J133" i="6"/>
  <c r="K133" i="6"/>
  <c r="L133" i="6"/>
  <c r="M133" i="6"/>
  <c r="N133" i="6"/>
  <c r="J134" i="6"/>
  <c r="K134" i="6"/>
  <c r="L134" i="6"/>
  <c r="M134" i="6"/>
  <c r="N134" i="6"/>
  <c r="J135" i="6"/>
  <c r="K135" i="6"/>
  <c r="L135" i="6"/>
  <c r="M135" i="6"/>
  <c r="N135" i="6"/>
  <c r="J136" i="6"/>
  <c r="K136" i="6"/>
  <c r="L136" i="6"/>
  <c r="M136" i="6"/>
  <c r="N136" i="6"/>
  <c r="J137" i="6"/>
  <c r="K137" i="6"/>
  <c r="L137" i="6"/>
  <c r="M137" i="6"/>
  <c r="N137" i="6"/>
  <c r="J139" i="6"/>
  <c r="J138" i="6" s="1"/>
  <c r="K139" i="6"/>
  <c r="K138" i="6" s="1"/>
  <c r="L139" i="6"/>
  <c r="L138" i="6" s="1"/>
  <c r="M139" i="6"/>
  <c r="M138" i="6" s="1"/>
  <c r="N139" i="6"/>
  <c r="N138" i="6" s="1"/>
  <c r="J141" i="6"/>
  <c r="K141" i="6"/>
  <c r="L141" i="6"/>
  <c r="M141" i="6"/>
  <c r="N141" i="6"/>
  <c r="J142" i="6"/>
  <c r="K142" i="6"/>
  <c r="L142" i="6"/>
  <c r="M142" i="6"/>
  <c r="N142" i="6"/>
  <c r="J108" i="6"/>
  <c r="K108" i="6"/>
  <c r="L108" i="6"/>
  <c r="M108" i="6"/>
  <c r="N108" i="6"/>
  <c r="J109" i="6"/>
  <c r="K109" i="6"/>
  <c r="L109" i="6"/>
  <c r="M109" i="6"/>
  <c r="N109" i="6"/>
  <c r="J110" i="6"/>
  <c r="K110" i="6"/>
  <c r="L110" i="6"/>
  <c r="M110" i="6"/>
  <c r="N110" i="6"/>
  <c r="J113" i="6"/>
  <c r="K113" i="6"/>
  <c r="L113" i="6"/>
  <c r="M113" i="6"/>
  <c r="N113" i="6"/>
  <c r="J114" i="6"/>
  <c r="K114" i="6"/>
  <c r="L114" i="6"/>
  <c r="M114" i="6"/>
  <c r="N114" i="6"/>
  <c r="J115" i="6"/>
  <c r="K115" i="6"/>
  <c r="L115" i="6"/>
  <c r="M115" i="6"/>
  <c r="N115" i="6"/>
  <c r="J116" i="6"/>
  <c r="K116" i="6"/>
  <c r="L116" i="6"/>
  <c r="M116" i="6"/>
  <c r="N116" i="6"/>
  <c r="J117" i="6"/>
  <c r="K117" i="6"/>
  <c r="L117" i="6"/>
  <c r="M117" i="6"/>
  <c r="N117" i="6"/>
  <c r="J118" i="6"/>
  <c r="K118" i="6"/>
  <c r="L118" i="6"/>
  <c r="M118" i="6"/>
  <c r="N118" i="6"/>
  <c r="J119" i="6"/>
  <c r="K119" i="6"/>
  <c r="L119" i="6"/>
  <c r="M119" i="6"/>
  <c r="N119" i="6"/>
  <c r="J120" i="6"/>
  <c r="K120" i="6"/>
  <c r="L120" i="6"/>
  <c r="M120" i="6"/>
  <c r="N120" i="6"/>
  <c r="J121" i="6"/>
  <c r="K121" i="6"/>
  <c r="L121" i="6"/>
  <c r="M121" i="6"/>
  <c r="N121" i="6"/>
  <c r="J122" i="6"/>
  <c r="K122" i="6"/>
  <c r="L122" i="6"/>
  <c r="M122" i="6"/>
  <c r="N122" i="6"/>
  <c r="J123" i="6"/>
  <c r="K123" i="6"/>
  <c r="L123" i="6"/>
  <c r="M123" i="6"/>
  <c r="N123" i="6"/>
  <c r="J125" i="6"/>
  <c r="K125" i="6"/>
  <c r="L125" i="6"/>
  <c r="M125" i="6"/>
  <c r="N125" i="6"/>
  <c r="J126" i="6"/>
  <c r="K126" i="6"/>
  <c r="L126" i="6"/>
  <c r="M126" i="6"/>
  <c r="N126" i="6"/>
  <c r="J127" i="6"/>
  <c r="K127" i="6"/>
  <c r="L127" i="6"/>
  <c r="M127" i="6"/>
  <c r="N127" i="6"/>
  <c r="J128" i="6"/>
  <c r="K128" i="6"/>
  <c r="L128" i="6"/>
  <c r="M128" i="6"/>
  <c r="N128" i="6"/>
  <c r="J129" i="6"/>
  <c r="K129" i="6"/>
  <c r="L129" i="6"/>
  <c r="M129" i="6"/>
  <c r="N129" i="6"/>
  <c r="J87" i="6"/>
  <c r="K87" i="6"/>
  <c r="L87" i="6"/>
  <c r="M87" i="6"/>
  <c r="N87" i="6"/>
  <c r="J88" i="6"/>
  <c r="K88" i="6"/>
  <c r="L88" i="6"/>
  <c r="M88" i="6"/>
  <c r="N88" i="6"/>
  <c r="J89" i="6"/>
  <c r="K89" i="6"/>
  <c r="L89" i="6"/>
  <c r="M89" i="6"/>
  <c r="N89" i="6"/>
  <c r="J90" i="6"/>
  <c r="K90" i="6"/>
  <c r="L90" i="6"/>
  <c r="M90" i="6"/>
  <c r="N90" i="6"/>
  <c r="J91" i="6"/>
  <c r="K91" i="6"/>
  <c r="L91" i="6"/>
  <c r="M91" i="6"/>
  <c r="N91" i="6"/>
  <c r="J93" i="6"/>
  <c r="J92" i="6" s="1"/>
  <c r="K93" i="6"/>
  <c r="K92" i="6" s="1"/>
  <c r="L93" i="6"/>
  <c r="L92" i="6" s="1"/>
  <c r="M93" i="6"/>
  <c r="M92" i="6" s="1"/>
  <c r="N93" i="6"/>
  <c r="N92" i="6" s="1"/>
  <c r="J94" i="6"/>
  <c r="K94" i="6"/>
  <c r="L94" i="6"/>
  <c r="M94" i="6"/>
  <c r="N94" i="6"/>
  <c r="J97" i="6"/>
  <c r="K97" i="6"/>
  <c r="L97" i="6"/>
  <c r="M97" i="6"/>
  <c r="N97" i="6"/>
  <c r="J99" i="6"/>
  <c r="K99" i="6"/>
  <c r="L99" i="6"/>
  <c r="M99" i="6"/>
  <c r="N99" i="6"/>
  <c r="J102" i="6"/>
  <c r="K102" i="6"/>
  <c r="L102" i="6"/>
  <c r="M102" i="6"/>
  <c r="N102" i="6"/>
  <c r="J104" i="6"/>
  <c r="J103" i="6" s="1"/>
  <c r="K104" i="6"/>
  <c r="K103" i="6" s="1"/>
  <c r="L104" i="6"/>
  <c r="L103" i="6" s="1"/>
  <c r="M104" i="6"/>
  <c r="M103" i="6" s="1"/>
  <c r="N104" i="6"/>
  <c r="N103" i="6" s="1"/>
  <c r="J60" i="6"/>
  <c r="K60" i="6"/>
  <c r="L60" i="6"/>
  <c r="M60" i="6"/>
  <c r="N60" i="6"/>
  <c r="J61" i="6"/>
  <c r="K61" i="6"/>
  <c r="L61" i="6"/>
  <c r="M61" i="6"/>
  <c r="N61" i="6"/>
  <c r="J62" i="6"/>
  <c r="K62" i="6"/>
  <c r="L62" i="6"/>
  <c r="M62" i="6"/>
  <c r="N62" i="6"/>
  <c r="J64" i="6"/>
  <c r="K64" i="6"/>
  <c r="L64" i="6"/>
  <c r="M64" i="6"/>
  <c r="N64" i="6"/>
  <c r="J65" i="6"/>
  <c r="K65" i="6"/>
  <c r="L65" i="6"/>
  <c r="M65" i="6"/>
  <c r="N65" i="6"/>
  <c r="J66" i="6"/>
  <c r="K66" i="6"/>
  <c r="L66" i="6"/>
  <c r="M66" i="6"/>
  <c r="N66" i="6"/>
  <c r="J68" i="6"/>
  <c r="K68" i="6"/>
  <c r="L68" i="6"/>
  <c r="M68" i="6"/>
  <c r="N68" i="6"/>
  <c r="J69" i="6"/>
  <c r="K69" i="6"/>
  <c r="L69" i="6"/>
  <c r="M69" i="6"/>
  <c r="N69" i="6"/>
  <c r="J70" i="6"/>
  <c r="K70" i="6"/>
  <c r="L70" i="6"/>
  <c r="M70" i="6"/>
  <c r="N70" i="6"/>
  <c r="J71" i="6"/>
  <c r="K71" i="6"/>
  <c r="L71" i="6"/>
  <c r="M71" i="6"/>
  <c r="N71" i="6"/>
  <c r="J72" i="6"/>
  <c r="K72" i="6"/>
  <c r="L72" i="6"/>
  <c r="M72" i="6"/>
  <c r="N72" i="6"/>
  <c r="J73" i="6"/>
  <c r="K73" i="6"/>
  <c r="L73" i="6"/>
  <c r="M73" i="6"/>
  <c r="N73" i="6"/>
  <c r="J74" i="6"/>
  <c r="K74" i="6"/>
  <c r="L74" i="6"/>
  <c r="M74" i="6"/>
  <c r="N74" i="6"/>
  <c r="J75" i="6"/>
  <c r="K75" i="6"/>
  <c r="L75" i="6"/>
  <c r="M75" i="6"/>
  <c r="N75" i="6"/>
  <c r="J77" i="6"/>
  <c r="K77" i="6"/>
  <c r="L77" i="6"/>
  <c r="M77" i="6"/>
  <c r="N77" i="6"/>
  <c r="J78" i="6"/>
  <c r="K78" i="6"/>
  <c r="L78" i="6"/>
  <c r="M78" i="6"/>
  <c r="N78" i="6"/>
  <c r="J79" i="6"/>
  <c r="K79" i="6"/>
  <c r="L79" i="6"/>
  <c r="M79" i="6"/>
  <c r="N79" i="6"/>
  <c r="J80" i="6"/>
  <c r="K80" i="6"/>
  <c r="L80" i="6"/>
  <c r="M80" i="6"/>
  <c r="N80" i="6"/>
  <c r="J81" i="6"/>
  <c r="K81" i="6"/>
  <c r="L81" i="6"/>
  <c r="M81" i="6"/>
  <c r="N81" i="6"/>
  <c r="J82" i="6"/>
  <c r="K82" i="6"/>
  <c r="L82" i="6"/>
  <c r="M82" i="6"/>
  <c r="N82" i="6"/>
  <c r="J83" i="6"/>
  <c r="K83" i="6"/>
  <c r="L83" i="6"/>
  <c r="M83" i="6"/>
  <c r="N83" i="6"/>
  <c r="J85" i="6"/>
  <c r="K85" i="6"/>
  <c r="L85" i="6"/>
  <c r="M85" i="6"/>
  <c r="N85" i="6"/>
  <c r="J86" i="6"/>
  <c r="K86" i="6"/>
  <c r="L86" i="6"/>
  <c r="M86" i="6"/>
  <c r="N86" i="6"/>
  <c r="J37" i="6"/>
  <c r="K37" i="6"/>
  <c r="L37" i="6"/>
  <c r="M37" i="6"/>
  <c r="N37" i="6"/>
  <c r="J39" i="6"/>
  <c r="K39" i="6"/>
  <c r="L39" i="6"/>
  <c r="M39" i="6"/>
  <c r="N39" i="6"/>
  <c r="J40" i="6"/>
  <c r="K40" i="6"/>
  <c r="L40" i="6"/>
  <c r="M40" i="6"/>
  <c r="N40" i="6"/>
  <c r="J41" i="6"/>
  <c r="K41" i="6"/>
  <c r="L41" i="6"/>
  <c r="M41" i="6"/>
  <c r="N41" i="6"/>
  <c r="J42" i="6"/>
  <c r="K42" i="6"/>
  <c r="L42" i="6"/>
  <c r="M42" i="6"/>
  <c r="N42" i="6"/>
  <c r="J43" i="6"/>
  <c r="K43" i="6"/>
  <c r="L43" i="6"/>
  <c r="M43" i="6"/>
  <c r="N43" i="6"/>
  <c r="J44" i="6"/>
  <c r="K44" i="6"/>
  <c r="L44" i="6"/>
  <c r="M44" i="6"/>
  <c r="N44" i="6"/>
  <c r="J45" i="6"/>
  <c r="K45" i="6"/>
  <c r="L45" i="6"/>
  <c r="M45" i="6"/>
  <c r="N45" i="6"/>
  <c r="J46" i="6"/>
  <c r="K46" i="6"/>
  <c r="L46" i="6"/>
  <c r="M46" i="6"/>
  <c r="N46" i="6"/>
  <c r="J47" i="6"/>
  <c r="K47" i="6"/>
  <c r="L47" i="6"/>
  <c r="M47" i="6"/>
  <c r="N47" i="6"/>
  <c r="J48" i="6"/>
  <c r="K48" i="6"/>
  <c r="L48" i="6"/>
  <c r="M48" i="6"/>
  <c r="N48" i="6"/>
  <c r="J49" i="6"/>
  <c r="K49" i="6"/>
  <c r="L49" i="6"/>
  <c r="M49" i="6"/>
  <c r="N49" i="6"/>
  <c r="J50" i="6"/>
  <c r="K50" i="6"/>
  <c r="L50" i="6"/>
  <c r="M50" i="6"/>
  <c r="N50" i="6"/>
  <c r="J51" i="6"/>
  <c r="K51" i="6"/>
  <c r="L51" i="6"/>
  <c r="M51" i="6"/>
  <c r="N51" i="6"/>
  <c r="J54" i="6"/>
  <c r="K54" i="6"/>
  <c r="L54" i="6"/>
  <c r="M54" i="6"/>
  <c r="N54" i="6"/>
  <c r="J55" i="6"/>
  <c r="K55" i="6"/>
  <c r="L55" i="6"/>
  <c r="M55" i="6"/>
  <c r="N55" i="6"/>
  <c r="J57" i="6"/>
  <c r="K57" i="6"/>
  <c r="L57" i="6"/>
  <c r="M57" i="6"/>
  <c r="N57" i="6"/>
  <c r="J58" i="6"/>
  <c r="K58" i="6"/>
  <c r="L58" i="6"/>
  <c r="M58" i="6"/>
  <c r="N58" i="6"/>
  <c r="J59" i="6"/>
  <c r="K59" i="6"/>
  <c r="L59" i="6"/>
  <c r="M59" i="6"/>
  <c r="N59" i="6"/>
  <c r="J22" i="6"/>
  <c r="K22" i="6"/>
  <c r="L22" i="6"/>
  <c r="M22" i="6"/>
  <c r="N22" i="6"/>
  <c r="J23" i="6"/>
  <c r="K23" i="6"/>
  <c r="L23" i="6"/>
  <c r="M23" i="6"/>
  <c r="N23" i="6"/>
  <c r="J24" i="6"/>
  <c r="K24" i="6"/>
  <c r="L24" i="6"/>
  <c r="M24" i="6"/>
  <c r="N24" i="6"/>
  <c r="J25" i="6"/>
  <c r="K25" i="6"/>
  <c r="L25" i="6"/>
  <c r="M25" i="6"/>
  <c r="N25" i="6"/>
  <c r="J26" i="6"/>
  <c r="K26" i="6"/>
  <c r="L26" i="6"/>
  <c r="M26" i="6"/>
  <c r="N26" i="6"/>
  <c r="J27" i="6"/>
  <c r="K27" i="6"/>
  <c r="L27" i="6"/>
  <c r="M27" i="6"/>
  <c r="N27" i="6"/>
  <c r="J29" i="6"/>
  <c r="J28" i="6" s="1"/>
  <c r="K29" i="6"/>
  <c r="K28" i="6" s="1"/>
  <c r="L29" i="6"/>
  <c r="L28" i="6" s="1"/>
  <c r="M29" i="6"/>
  <c r="M28" i="6" s="1"/>
  <c r="N29" i="6"/>
  <c r="N28" i="6" s="1"/>
  <c r="J31" i="6"/>
  <c r="J30" i="6" s="1"/>
  <c r="K31" i="6"/>
  <c r="K30" i="6" s="1"/>
  <c r="L31" i="6"/>
  <c r="L30" i="6" s="1"/>
  <c r="M31" i="6"/>
  <c r="M30" i="6" s="1"/>
  <c r="N31" i="6"/>
  <c r="N30" i="6" s="1"/>
  <c r="K8" i="6"/>
  <c r="L8" i="6"/>
  <c r="M8" i="6"/>
  <c r="N8" i="6"/>
  <c r="K9" i="6"/>
  <c r="L9" i="6"/>
  <c r="M9" i="6"/>
  <c r="N9" i="6"/>
  <c r="K10" i="6"/>
  <c r="L10" i="6"/>
  <c r="M10" i="6"/>
  <c r="N10" i="6"/>
  <c r="K11" i="6"/>
  <c r="L11" i="6"/>
  <c r="M11" i="6"/>
  <c r="N11" i="6"/>
  <c r="K12" i="6"/>
  <c r="L12" i="6"/>
  <c r="M12" i="6"/>
  <c r="N12" i="6"/>
  <c r="K14" i="6"/>
  <c r="L14" i="6"/>
  <c r="M14" i="6"/>
  <c r="N14" i="6"/>
  <c r="K15" i="6"/>
  <c r="L15" i="6"/>
  <c r="M15" i="6"/>
  <c r="N15" i="6"/>
  <c r="K16" i="6"/>
  <c r="L16" i="6"/>
  <c r="M16" i="6"/>
  <c r="N16" i="6"/>
  <c r="K18" i="6"/>
  <c r="K17" i="6" s="1"/>
  <c r="N18" i="6"/>
  <c r="N17" i="6" s="1"/>
  <c r="K19" i="6"/>
  <c r="L19" i="6"/>
  <c r="M19" i="6"/>
  <c r="N19" i="6"/>
  <c r="J9" i="6"/>
  <c r="J10" i="6"/>
  <c r="J11" i="6"/>
  <c r="J14" i="6"/>
  <c r="J15" i="6"/>
  <c r="J16" i="6"/>
  <c r="J19" i="6"/>
  <c r="K122" i="1"/>
  <c r="L122" i="1"/>
  <c r="M122" i="1"/>
  <c r="N122" i="1"/>
  <c r="K123" i="1"/>
  <c r="L123" i="1"/>
  <c r="M123" i="1"/>
  <c r="N123" i="1"/>
  <c r="K84" i="1"/>
  <c r="L84" i="1"/>
  <c r="M84" i="1"/>
  <c r="N84" i="1"/>
  <c r="K86" i="1"/>
  <c r="L86" i="1"/>
  <c r="M86" i="1"/>
  <c r="N86" i="1"/>
  <c r="K88" i="1"/>
  <c r="L88" i="1"/>
  <c r="M88" i="1"/>
  <c r="N88" i="1"/>
  <c r="K89" i="1"/>
  <c r="L89" i="1"/>
  <c r="M89" i="1"/>
  <c r="N89" i="1"/>
  <c r="K90" i="1"/>
  <c r="L90" i="1"/>
  <c r="M90" i="1"/>
  <c r="N90" i="1"/>
  <c r="K91" i="1"/>
  <c r="L91" i="1"/>
  <c r="M91" i="1"/>
  <c r="N91" i="1"/>
  <c r="K92" i="1"/>
  <c r="L92" i="1"/>
  <c r="M92" i="1"/>
  <c r="N92" i="1"/>
  <c r="K93" i="1"/>
  <c r="L93" i="1"/>
  <c r="M93" i="1"/>
  <c r="N93" i="1"/>
  <c r="K94" i="1"/>
  <c r="L94" i="1"/>
  <c r="M94" i="1"/>
  <c r="N94" i="1"/>
  <c r="K95" i="1"/>
  <c r="L95" i="1"/>
  <c r="M95" i="1"/>
  <c r="N95" i="1"/>
  <c r="K96" i="1"/>
  <c r="L96" i="1"/>
  <c r="M96" i="1"/>
  <c r="N96" i="1"/>
  <c r="K97" i="1"/>
  <c r="L97" i="1"/>
  <c r="M97" i="1"/>
  <c r="N97" i="1"/>
  <c r="K98" i="1"/>
  <c r="L98" i="1"/>
  <c r="M98" i="1"/>
  <c r="N98" i="1"/>
  <c r="K99" i="1"/>
  <c r="L99" i="1"/>
  <c r="M99" i="1"/>
  <c r="N99" i="1"/>
  <c r="K101" i="1"/>
  <c r="L101" i="1"/>
  <c r="M101" i="1"/>
  <c r="N101" i="1"/>
  <c r="K102" i="1"/>
  <c r="L102" i="1"/>
  <c r="M102" i="1"/>
  <c r="N102" i="1"/>
  <c r="K103" i="1"/>
  <c r="L103" i="1"/>
  <c r="M103" i="1"/>
  <c r="N103" i="1"/>
  <c r="K104" i="1"/>
  <c r="L104" i="1"/>
  <c r="M104" i="1"/>
  <c r="N104" i="1"/>
  <c r="K105" i="1"/>
  <c r="L105" i="1"/>
  <c r="M105" i="1"/>
  <c r="N105" i="1"/>
  <c r="K106" i="1"/>
  <c r="L106" i="1"/>
  <c r="M106" i="1"/>
  <c r="N106" i="1"/>
  <c r="K107" i="1"/>
  <c r="L107" i="1"/>
  <c r="M107" i="1"/>
  <c r="N107" i="1"/>
  <c r="K108" i="1"/>
  <c r="L108" i="1"/>
  <c r="M108" i="1"/>
  <c r="N108" i="1"/>
  <c r="K109" i="1"/>
  <c r="L109" i="1"/>
  <c r="M109" i="1"/>
  <c r="N109" i="1"/>
  <c r="K110" i="1"/>
  <c r="L110" i="1"/>
  <c r="M110" i="1"/>
  <c r="N110" i="1"/>
  <c r="K111" i="1"/>
  <c r="L111" i="1"/>
  <c r="M111" i="1"/>
  <c r="N111" i="1"/>
  <c r="K112" i="1"/>
  <c r="L112" i="1"/>
  <c r="M112" i="1"/>
  <c r="N112" i="1"/>
  <c r="K113" i="1"/>
  <c r="L113" i="1"/>
  <c r="M113" i="1"/>
  <c r="N113" i="1"/>
  <c r="K114" i="1"/>
  <c r="L114" i="1"/>
  <c r="M114" i="1"/>
  <c r="N114" i="1"/>
  <c r="K117" i="1"/>
  <c r="L117" i="1"/>
  <c r="M117" i="1"/>
  <c r="N117" i="1"/>
  <c r="K66" i="1"/>
  <c r="K65" i="1" s="1"/>
  <c r="L66" i="1"/>
  <c r="L65" i="1" s="1"/>
  <c r="M66" i="1"/>
  <c r="M65" i="1" s="1"/>
  <c r="N66" i="1"/>
  <c r="N65" i="1" s="1"/>
  <c r="K67" i="1"/>
  <c r="L67" i="1"/>
  <c r="M67" i="1"/>
  <c r="N67" i="1"/>
  <c r="K68" i="1"/>
  <c r="L68" i="1"/>
  <c r="M68" i="1"/>
  <c r="N68" i="1"/>
  <c r="K69" i="1"/>
  <c r="L69" i="1"/>
  <c r="M69" i="1"/>
  <c r="N69" i="1"/>
  <c r="K72" i="1"/>
  <c r="L72" i="1"/>
  <c r="M72" i="1"/>
  <c r="N72" i="1"/>
  <c r="K73" i="1"/>
  <c r="L73" i="1"/>
  <c r="M73" i="1"/>
  <c r="N73" i="1"/>
  <c r="K74" i="1"/>
  <c r="L74" i="1"/>
  <c r="M74" i="1"/>
  <c r="N74" i="1"/>
  <c r="K75" i="1"/>
  <c r="L75" i="1"/>
  <c r="M75" i="1"/>
  <c r="N75" i="1"/>
  <c r="K76" i="1"/>
  <c r="L76" i="1"/>
  <c r="M76" i="1"/>
  <c r="N76" i="1"/>
  <c r="K79" i="1"/>
  <c r="L79" i="1"/>
  <c r="M79" i="1"/>
  <c r="N79" i="1"/>
  <c r="K80" i="1"/>
  <c r="L80" i="1"/>
  <c r="M80" i="1"/>
  <c r="N80" i="1"/>
  <c r="K38" i="1"/>
  <c r="L38" i="1"/>
  <c r="M38" i="1"/>
  <c r="N38" i="1"/>
  <c r="K39" i="1"/>
  <c r="L39" i="1"/>
  <c r="M39" i="1"/>
  <c r="N39" i="1"/>
  <c r="K40" i="1"/>
  <c r="L40" i="1"/>
  <c r="M40" i="1"/>
  <c r="N40" i="1"/>
  <c r="K41" i="1"/>
  <c r="L41" i="1"/>
  <c r="M41" i="1"/>
  <c r="N41" i="1"/>
  <c r="K42" i="1"/>
  <c r="L42" i="1"/>
  <c r="M42" i="1"/>
  <c r="N42" i="1"/>
  <c r="K43" i="1"/>
  <c r="L43" i="1"/>
  <c r="M43" i="1"/>
  <c r="N43" i="1"/>
  <c r="K44" i="1"/>
  <c r="L44" i="1"/>
  <c r="M44" i="1"/>
  <c r="N44" i="1"/>
  <c r="K45" i="1"/>
  <c r="L45" i="1"/>
  <c r="M45" i="1"/>
  <c r="N45" i="1"/>
  <c r="K46" i="1"/>
  <c r="L46" i="1"/>
  <c r="M46" i="1"/>
  <c r="N46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5" i="1"/>
  <c r="L55" i="1"/>
  <c r="M55" i="1"/>
  <c r="N55" i="1"/>
  <c r="K56" i="1"/>
  <c r="L56" i="1"/>
  <c r="M56" i="1"/>
  <c r="N56" i="1"/>
  <c r="K57" i="1"/>
  <c r="L57" i="1"/>
  <c r="M57" i="1"/>
  <c r="N57" i="1"/>
  <c r="K59" i="1"/>
  <c r="L59" i="1"/>
  <c r="M59" i="1"/>
  <c r="N59" i="1"/>
  <c r="K61" i="1"/>
  <c r="L61" i="1"/>
  <c r="M61" i="1"/>
  <c r="N61" i="1"/>
  <c r="K63" i="1"/>
  <c r="L63" i="1"/>
  <c r="M63" i="1"/>
  <c r="N63" i="1"/>
  <c r="K64" i="1"/>
  <c r="L64" i="1"/>
  <c r="M64" i="1"/>
  <c r="N64" i="1"/>
  <c r="K21" i="1"/>
  <c r="L21" i="1"/>
  <c r="M21" i="1"/>
  <c r="N21" i="1"/>
  <c r="K22" i="1"/>
  <c r="L22" i="1"/>
  <c r="M22" i="1"/>
  <c r="N22" i="1"/>
  <c r="K23" i="1"/>
  <c r="L23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N28" i="1"/>
  <c r="K30" i="1"/>
  <c r="K29" i="1" s="1"/>
  <c r="L30" i="1"/>
  <c r="L29" i="1" s="1"/>
  <c r="M30" i="1"/>
  <c r="M29" i="1" s="1"/>
  <c r="N30" i="1"/>
  <c r="N29" i="1" s="1"/>
  <c r="K32" i="1"/>
  <c r="K31" i="1" s="1"/>
  <c r="L32" i="1"/>
  <c r="L31" i="1" s="1"/>
  <c r="M32" i="1"/>
  <c r="M31" i="1" s="1"/>
  <c r="N32" i="1"/>
  <c r="N31" i="1" s="1"/>
  <c r="N8" i="1"/>
  <c r="N9" i="1"/>
  <c r="N10" i="1"/>
  <c r="N13" i="1"/>
  <c r="N17" i="1"/>
  <c r="N16" i="1" s="1"/>
  <c r="M8" i="1"/>
  <c r="M9" i="1"/>
  <c r="M10" i="1"/>
  <c r="M13" i="1"/>
  <c r="M17" i="1"/>
  <c r="M16" i="1" s="1"/>
  <c r="L9" i="1"/>
  <c r="L10" i="1"/>
  <c r="L13" i="1"/>
  <c r="L17" i="1"/>
  <c r="L16" i="1" s="1"/>
  <c r="K8" i="1"/>
  <c r="K9" i="1"/>
  <c r="K10" i="1"/>
  <c r="K13" i="1"/>
  <c r="K17" i="1"/>
  <c r="K16" i="1" s="1"/>
  <c r="J123" i="1"/>
  <c r="J122" i="1"/>
  <c r="J84" i="1"/>
  <c r="J86" i="1"/>
  <c r="J88" i="1"/>
  <c r="J89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5" i="1"/>
  <c r="J56" i="1"/>
  <c r="J57" i="1"/>
  <c r="J59" i="1"/>
  <c r="J61" i="1"/>
  <c r="J63" i="1"/>
  <c r="J64" i="1"/>
  <c r="J66" i="1"/>
  <c r="J65" i="1" s="1"/>
  <c r="J67" i="1"/>
  <c r="J68" i="1"/>
  <c r="J69" i="1"/>
  <c r="J72" i="1"/>
  <c r="J73" i="1"/>
  <c r="J74" i="1"/>
  <c r="J75" i="1"/>
  <c r="J76" i="1"/>
  <c r="J79" i="1"/>
  <c r="J80" i="1"/>
  <c r="J32" i="1"/>
  <c r="J31" i="1" s="1"/>
  <c r="J21" i="1"/>
  <c r="J22" i="1"/>
  <c r="J23" i="1"/>
  <c r="J25" i="1"/>
  <c r="J26" i="1"/>
  <c r="J27" i="1"/>
  <c r="J28" i="1"/>
  <c r="J30" i="1"/>
  <c r="J29" i="1" s="1"/>
  <c r="J17" i="1"/>
  <c r="J16" i="1" s="1"/>
  <c r="J13" i="1"/>
  <c r="J10" i="1"/>
  <c r="J9" i="1"/>
  <c r="J8" i="1"/>
  <c r="J7" i="21"/>
  <c r="J15" i="21" s="1"/>
  <c r="K7" i="21"/>
  <c r="K15" i="21" s="1"/>
  <c r="L7" i="21"/>
  <c r="L15" i="21" s="1"/>
  <c r="M7" i="21"/>
  <c r="M15" i="21" s="1"/>
  <c r="N7" i="21"/>
  <c r="N15" i="21" s="1"/>
  <c r="N22" i="21" s="1"/>
  <c r="K21" i="21"/>
  <c r="L21" i="21"/>
  <c r="M21" i="21"/>
  <c r="N21" i="21"/>
  <c r="K27" i="21"/>
  <c r="L27" i="21"/>
  <c r="M27" i="21"/>
  <c r="N27" i="21"/>
  <c r="K29" i="21"/>
  <c r="K45" i="21" s="1"/>
  <c r="L29" i="21"/>
  <c r="M29" i="21"/>
  <c r="N29" i="21"/>
  <c r="K35" i="21"/>
  <c r="L35" i="21"/>
  <c r="M35" i="21"/>
  <c r="N35" i="21"/>
  <c r="K43" i="21"/>
  <c r="L43" i="21"/>
  <c r="M43" i="21"/>
  <c r="N43" i="21"/>
  <c r="L45" i="21"/>
  <c r="K48" i="21"/>
  <c r="L48" i="21"/>
  <c r="M48" i="21"/>
  <c r="N48" i="21"/>
  <c r="K53" i="21"/>
  <c r="L53" i="21"/>
  <c r="M53" i="21"/>
  <c r="N53" i="21"/>
  <c r="N55" i="21" s="1"/>
  <c r="K57" i="21"/>
  <c r="L57" i="21"/>
  <c r="M57" i="21"/>
  <c r="N57" i="21"/>
  <c r="J57" i="21"/>
  <c r="J53" i="21"/>
  <c r="J48" i="21"/>
  <c r="J43" i="21"/>
  <c r="J35" i="21"/>
  <c r="J29" i="21"/>
  <c r="J27" i="21"/>
  <c r="J21" i="21"/>
  <c r="K21" i="20"/>
  <c r="L21" i="20"/>
  <c r="M21" i="20"/>
  <c r="N21" i="20"/>
  <c r="K62" i="20"/>
  <c r="L62" i="20"/>
  <c r="M62" i="20"/>
  <c r="N62" i="20"/>
  <c r="K67" i="20"/>
  <c r="L67" i="20"/>
  <c r="M67" i="20"/>
  <c r="N67" i="20"/>
  <c r="K72" i="20"/>
  <c r="L72" i="20"/>
  <c r="M72" i="20"/>
  <c r="N72" i="20"/>
  <c r="K77" i="20"/>
  <c r="L77" i="20"/>
  <c r="M77" i="20"/>
  <c r="N77" i="20"/>
  <c r="K24" i="20"/>
  <c r="L24" i="20"/>
  <c r="M24" i="20"/>
  <c r="N24" i="20"/>
  <c r="K40" i="20"/>
  <c r="L40" i="20"/>
  <c r="M40" i="20"/>
  <c r="N40" i="20"/>
  <c r="K44" i="20"/>
  <c r="L44" i="20"/>
  <c r="M44" i="20"/>
  <c r="N44" i="20"/>
  <c r="K47" i="20"/>
  <c r="L47" i="20"/>
  <c r="M47" i="20"/>
  <c r="N47" i="20"/>
  <c r="K51" i="20"/>
  <c r="L51" i="20"/>
  <c r="M51" i="20"/>
  <c r="N51" i="20"/>
  <c r="K56" i="20"/>
  <c r="L56" i="20"/>
  <c r="M56" i="20"/>
  <c r="N56" i="20"/>
  <c r="K58" i="20"/>
  <c r="L58" i="20"/>
  <c r="M58" i="20"/>
  <c r="N58" i="20"/>
  <c r="J77" i="20"/>
  <c r="J72" i="20"/>
  <c r="J67" i="20"/>
  <c r="J62" i="20"/>
  <c r="J58" i="20"/>
  <c r="J56" i="20"/>
  <c r="J51" i="20"/>
  <c r="J47" i="20"/>
  <c r="J44" i="20"/>
  <c r="J40" i="20"/>
  <c r="J24" i="20"/>
  <c r="J21" i="20"/>
  <c r="J15" i="20"/>
  <c r="K15" i="20"/>
  <c r="L15" i="20"/>
  <c r="M15" i="20"/>
  <c r="N15" i="20"/>
  <c r="J7" i="22"/>
  <c r="K7" i="22"/>
  <c r="L7" i="22"/>
  <c r="M7" i="22"/>
  <c r="N7" i="22"/>
  <c r="N16" i="22" s="1"/>
  <c r="K61" i="22"/>
  <c r="L61" i="22"/>
  <c r="M61" i="22"/>
  <c r="N61" i="22"/>
  <c r="K46" i="22"/>
  <c r="L46" i="22"/>
  <c r="M46" i="22"/>
  <c r="N46" i="22"/>
  <c r="K50" i="22"/>
  <c r="L50" i="22"/>
  <c r="M50" i="22"/>
  <c r="N50" i="22"/>
  <c r="K56" i="22"/>
  <c r="L56" i="22"/>
  <c r="M56" i="22"/>
  <c r="N56" i="22"/>
  <c r="K30" i="22"/>
  <c r="L30" i="22"/>
  <c r="M30" i="22"/>
  <c r="N30" i="22"/>
  <c r="K34" i="22"/>
  <c r="K44" i="22" s="1"/>
  <c r="L34" i="22"/>
  <c r="M34" i="22"/>
  <c r="N34" i="22"/>
  <c r="K40" i="22"/>
  <c r="L40" i="22"/>
  <c r="M40" i="22"/>
  <c r="N40" i="22"/>
  <c r="K42" i="22"/>
  <c r="L42" i="22"/>
  <c r="M42" i="22"/>
  <c r="N42" i="22"/>
  <c r="J61" i="22"/>
  <c r="J56" i="22"/>
  <c r="J50" i="22"/>
  <c r="J46" i="22"/>
  <c r="J42" i="22"/>
  <c r="J40" i="22"/>
  <c r="J34" i="22"/>
  <c r="J30" i="22"/>
  <c r="K25" i="22"/>
  <c r="L25" i="22"/>
  <c r="M25" i="22"/>
  <c r="N25" i="22"/>
  <c r="K23" i="22"/>
  <c r="L23" i="22"/>
  <c r="M23" i="22"/>
  <c r="M27" i="22" s="1"/>
  <c r="N23" i="22"/>
  <c r="J25" i="22"/>
  <c r="J23" i="22"/>
  <c r="J17" i="22"/>
  <c r="J27" i="22" s="1"/>
  <c r="K13" i="22"/>
  <c r="L13" i="22"/>
  <c r="M13" i="22"/>
  <c r="N13" i="22"/>
  <c r="J13" i="22"/>
  <c r="N60" i="17"/>
  <c r="J18" i="17"/>
  <c r="K18" i="17"/>
  <c r="L18" i="17"/>
  <c r="M18" i="17"/>
  <c r="N18" i="17"/>
  <c r="K14" i="17"/>
  <c r="K17" i="17" s="1"/>
  <c r="L14" i="17"/>
  <c r="L17" i="17" s="1"/>
  <c r="M14" i="17"/>
  <c r="M17" i="17" s="1"/>
  <c r="N14" i="17"/>
  <c r="K25" i="17"/>
  <c r="L25" i="17"/>
  <c r="M25" i="17"/>
  <c r="N25" i="17"/>
  <c r="K27" i="17"/>
  <c r="L27" i="17"/>
  <c r="M27" i="17"/>
  <c r="N27" i="17"/>
  <c r="K63" i="17"/>
  <c r="L63" i="17"/>
  <c r="M63" i="17"/>
  <c r="N63" i="17"/>
  <c r="K65" i="17"/>
  <c r="L65" i="17"/>
  <c r="M65" i="17"/>
  <c r="N65" i="17"/>
  <c r="K70" i="17"/>
  <c r="L70" i="17"/>
  <c r="M70" i="17"/>
  <c r="N70" i="17"/>
  <c r="K74" i="17"/>
  <c r="L74" i="17"/>
  <c r="M74" i="17"/>
  <c r="N74" i="17"/>
  <c r="K79" i="17"/>
  <c r="L79" i="17"/>
  <c r="M79" i="17"/>
  <c r="N79" i="17"/>
  <c r="K86" i="17"/>
  <c r="L86" i="17"/>
  <c r="M86" i="17"/>
  <c r="N86" i="17"/>
  <c r="K91" i="17"/>
  <c r="L91" i="17"/>
  <c r="M91" i="17"/>
  <c r="N91" i="17"/>
  <c r="J91" i="17"/>
  <c r="J86" i="17"/>
  <c r="J79" i="17"/>
  <c r="J74" i="17"/>
  <c r="J70" i="17"/>
  <c r="J65" i="17"/>
  <c r="J63" i="17"/>
  <c r="J27" i="17"/>
  <c r="J25" i="17"/>
  <c r="J14" i="17"/>
  <c r="J17" i="17" s="1"/>
  <c r="J18" i="16"/>
  <c r="J29" i="16" s="1"/>
  <c r="K18" i="16"/>
  <c r="K29" i="16" s="1"/>
  <c r="L18" i="16"/>
  <c r="L29" i="16" s="1"/>
  <c r="M18" i="16"/>
  <c r="M29" i="16" s="1"/>
  <c r="N18" i="16"/>
  <c r="J7" i="16"/>
  <c r="K97" i="16"/>
  <c r="L97" i="16"/>
  <c r="M97" i="16"/>
  <c r="N97" i="16"/>
  <c r="K62" i="16"/>
  <c r="L62" i="16"/>
  <c r="M62" i="16"/>
  <c r="N62" i="16"/>
  <c r="K78" i="16"/>
  <c r="L78" i="16"/>
  <c r="M78" i="16"/>
  <c r="N78" i="16"/>
  <c r="K92" i="16"/>
  <c r="L92" i="16"/>
  <c r="M92" i="16"/>
  <c r="N92" i="16"/>
  <c r="J97" i="16"/>
  <c r="J92" i="16"/>
  <c r="J78" i="16"/>
  <c r="J62" i="16"/>
  <c r="K14" i="16"/>
  <c r="L14" i="16"/>
  <c r="M14" i="16"/>
  <c r="N14" i="16"/>
  <c r="N25" i="16"/>
  <c r="N27" i="16"/>
  <c r="K32" i="16"/>
  <c r="L32" i="16"/>
  <c r="L60" i="16" s="1"/>
  <c r="K51" i="16"/>
  <c r="L51" i="16"/>
  <c r="M51" i="16"/>
  <c r="M60" i="16" s="1"/>
  <c r="N51" i="16"/>
  <c r="N60" i="16" s="1"/>
  <c r="K56" i="16"/>
  <c r="L56" i="16"/>
  <c r="M56" i="16"/>
  <c r="N56" i="16"/>
  <c r="K58" i="16"/>
  <c r="L58" i="16"/>
  <c r="M58" i="16"/>
  <c r="N58" i="16"/>
  <c r="J58" i="16"/>
  <c r="J56" i="16"/>
  <c r="J51" i="16"/>
  <c r="J32" i="16"/>
  <c r="J14" i="16"/>
  <c r="K59" i="15"/>
  <c r="L59" i="15"/>
  <c r="M59" i="15"/>
  <c r="N59" i="15"/>
  <c r="K50" i="15"/>
  <c r="L50" i="15"/>
  <c r="M50" i="15"/>
  <c r="N50" i="15"/>
  <c r="K55" i="15"/>
  <c r="L55" i="15"/>
  <c r="M55" i="15"/>
  <c r="N55" i="15"/>
  <c r="K18" i="15"/>
  <c r="L18" i="15"/>
  <c r="M18" i="15"/>
  <c r="N18" i="15"/>
  <c r="K23" i="15"/>
  <c r="L23" i="15"/>
  <c r="M23" i="15"/>
  <c r="N23" i="15"/>
  <c r="K32" i="15"/>
  <c r="K47" i="15" s="1"/>
  <c r="L32" i="15"/>
  <c r="M32" i="15"/>
  <c r="N32" i="15"/>
  <c r="K35" i="15"/>
  <c r="L35" i="15"/>
  <c r="M35" i="15"/>
  <c r="N35" i="15"/>
  <c r="K38" i="15"/>
  <c r="L38" i="15"/>
  <c r="M38" i="15"/>
  <c r="N38" i="15"/>
  <c r="K45" i="15"/>
  <c r="L45" i="15"/>
  <c r="M45" i="15"/>
  <c r="N45" i="15"/>
  <c r="I18" i="15"/>
  <c r="I23" i="15"/>
  <c r="I14" i="15"/>
  <c r="I17" i="15" s="1"/>
  <c r="K14" i="15"/>
  <c r="L14" i="15"/>
  <c r="M14" i="15"/>
  <c r="N14" i="15"/>
  <c r="K7" i="15"/>
  <c r="L7" i="15"/>
  <c r="M7" i="15"/>
  <c r="N7" i="15"/>
  <c r="J59" i="15"/>
  <c r="J55" i="15"/>
  <c r="J50" i="15"/>
  <c r="J45" i="15"/>
  <c r="J38" i="15"/>
  <c r="J35" i="15"/>
  <c r="J32" i="15"/>
  <c r="J47" i="15" s="1"/>
  <c r="J23" i="15"/>
  <c r="J18" i="15"/>
  <c r="J14" i="15"/>
  <c r="N33" i="14"/>
  <c r="K45" i="14"/>
  <c r="L45" i="14"/>
  <c r="L57" i="14" s="1"/>
  <c r="L60" i="14" s="1"/>
  <c r="M45" i="14"/>
  <c r="M56" i="14" s="1"/>
  <c r="N45" i="14"/>
  <c r="K54" i="14"/>
  <c r="K56" i="14" s="1"/>
  <c r="L54" i="14"/>
  <c r="M54" i="14"/>
  <c r="N54" i="14"/>
  <c r="J54" i="14"/>
  <c r="J45" i="14"/>
  <c r="J56" i="14" s="1"/>
  <c r="N31" i="14"/>
  <c r="K32" i="14"/>
  <c r="N18" i="14"/>
  <c r="N19" i="14" s="1"/>
  <c r="N32" i="14" s="1"/>
  <c r="K7" i="13"/>
  <c r="L7" i="13"/>
  <c r="M7" i="13"/>
  <c r="N7" i="13"/>
  <c r="J7" i="13"/>
  <c r="J38" i="13"/>
  <c r="K83" i="13"/>
  <c r="L83" i="13"/>
  <c r="M83" i="13"/>
  <c r="N83" i="13"/>
  <c r="J83" i="13"/>
  <c r="K79" i="13"/>
  <c r="L79" i="13"/>
  <c r="M79" i="13"/>
  <c r="N79" i="13"/>
  <c r="J79" i="13"/>
  <c r="K74" i="13"/>
  <c r="L74" i="13"/>
  <c r="M74" i="13"/>
  <c r="N74" i="13"/>
  <c r="J74" i="13"/>
  <c r="K69" i="13"/>
  <c r="L69" i="13"/>
  <c r="M69" i="13"/>
  <c r="N69" i="13"/>
  <c r="J69" i="13"/>
  <c r="K59" i="13"/>
  <c r="L59" i="13"/>
  <c r="M59" i="13"/>
  <c r="N59" i="13"/>
  <c r="J59" i="13"/>
  <c r="K57" i="13"/>
  <c r="L57" i="13"/>
  <c r="M57" i="13"/>
  <c r="N57" i="13"/>
  <c r="J57" i="13"/>
  <c r="K50" i="13"/>
  <c r="L50" i="13"/>
  <c r="M50" i="13"/>
  <c r="N50" i="13"/>
  <c r="J50" i="13"/>
  <c r="K47" i="13"/>
  <c r="L47" i="13"/>
  <c r="M47" i="13"/>
  <c r="N47" i="13"/>
  <c r="J47" i="13"/>
  <c r="K45" i="13"/>
  <c r="L45" i="13"/>
  <c r="M45" i="13"/>
  <c r="N45" i="13"/>
  <c r="J45" i="13"/>
  <c r="K42" i="13"/>
  <c r="L42" i="13"/>
  <c r="M42" i="13"/>
  <c r="N42" i="13"/>
  <c r="J42" i="13"/>
  <c r="K38" i="13"/>
  <c r="L38" i="13"/>
  <c r="M38" i="13"/>
  <c r="N38" i="13"/>
  <c r="K34" i="13"/>
  <c r="L34" i="13"/>
  <c r="M34" i="13"/>
  <c r="N34" i="13"/>
  <c r="J34" i="13"/>
  <c r="K29" i="13"/>
  <c r="L29" i="13"/>
  <c r="M29" i="13"/>
  <c r="N29" i="13"/>
  <c r="J29" i="13"/>
  <c r="K27" i="13"/>
  <c r="L27" i="13"/>
  <c r="M27" i="13"/>
  <c r="N27" i="13"/>
  <c r="J27" i="13"/>
  <c r="K22" i="13"/>
  <c r="L22" i="13"/>
  <c r="M22" i="13"/>
  <c r="N22" i="13"/>
  <c r="J22" i="13"/>
  <c r="K18" i="13"/>
  <c r="J18" i="13"/>
  <c r="L18" i="13"/>
  <c r="M18" i="13"/>
  <c r="N18" i="13"/>
  <c r="K128" i="12"/>
  <c r="L128" i="12"/>
  <c r="M128" i="12"/>
  <c r="N128" i="12"/>
  <c r="J128" i="12"/>
  <c r="K123" i="12"/>
  <c r="L123" i="12"/>
  <c r="M123" i="12"/>
  <c r="N123" i="12"/>
  <c r="J123" i="12"/>
  <c r="K110" i="12"/>
  <c r="L110" i="12"/>
  <c r="M110" i="12"/>
  <c r="N110" i="12"/>
  <c r="J110" i="12"/>
  <c r="K95" i="12"/>
  <c r="L95" i="12"/>
  <c r="M95" i="12"/>
  <c r="N95" i="12"/>
  <c r="J95" i="12"/>
  <c r="K75" i="12"/>
  <c r="L75" i="12"/>
  <c r="M75" i="12"/>
  <c r="N75" i="12"/>
  <c r="J75" i="12"/>
  <c r="K66" i="12"/>
  <c r="L66" i="12"/>
  <c r="M66" i="12"/>
  <c r="N66" i="12"/>
  <c r="J66" i="12"/>
  <c r="K61" i="12"/>
  <c r="L61" i="12"/>
  <c r="M61" i="12"/>
  <c r="N61" i="12"/>
  <c r="J61" i="12"/>
  <c r="K32" i="12"/>
  <c r="L32" i="12"/>
  <c r="M32" i="12"/>
  <c r="N32" i="12"/>
  <c r="J32" i="12"/>
  <c r="K91" i="12"/>
  <c r="L91" i="12"/>
  <c r="M91" i="12"/>
  <c r="N91" i="12"/>
  <c r="J91" i="12"/>
  <c r="K84" i="12"/>
  <c r="L84" i="12"/>
  <c r="M84" i="12"/>
  <c r="N84" i="12"/>
  <c r="J84" i="12"/>
  <c r="K82" i="12"/>
  <c r="L82" i="12"/>
  <c r="M82" i="12"/>
  <c r="N82" i="12"/>
  <c r="J82" i="12"/>
  <c r="K58" i="12"/>
  <c r="L58" i="12"/>
  <c r="M58" i="12"/>
  <c r="N58" i="12"/>
  <c r="J58" i="12"/>
  <c r="K52" i="12"/>
  <c r="L52" i="12"/>
  <c r="M52" i="12"/>
  <c r="N52" i="12"/>
  <c r="J52" i="12"/>
  <c r="K27" i="12"/>
  <c r="L27" i="12"/>
  <c r="M27" i="12"/>
  <c r="N27" i="12"/>
  <c r="J27" i="12"/>
  <c r="K25" i="12"/>
  <c r="L25" i="12"/>
  <c r="M25" i="12"/>
  <c r="N25" i="12"/>
  <c r="J25" i="12"/>
  <c r="J18" i="12"/>
  <c r="K54" i="11"/>
  <c r="L54" i="11"/>
  <c r="M54" i="11"/>
  <c r="N54" i="11"/>
  <c r="J54" i="11"/>
  <c r="K50" i="11"/>
  <c r="L50" i="11"/>
  <c r="M50" i="11"/>
  <c r="N50" i="11"/>
  <c r="J50" i="11"/>
  <c r="K42" i="11"/>
  <c r="L42" i="11"/>
  <c r="M42" i="11"/>
  <c r="N42" i="11"/>
  <c r="J42" i="11"/>
  <c r="K37" i="11"/>
  <c r="L37" i="11"/>
  <c r="M37" i="11"/>
  <c r="N37" i="11"/>
  <c r="J37" i="11"/>
  <c r="K35" i="11"/>
  <c r="L35" i="11"/>
  <c r="M35" i="11"/>
  <c r="N35" i="11"/>
  <c r="J35" i="11"/>
  <c r="K13" i="11"/>
  <c r="L13" i="11"/>
  <c r="M13" i="11"/>
  <c r="N13" i="11"/>
  <c r="K20" i="11"/>
  <c r="K22" i="11" s="1"/>
  <c r="L20" i="11"/>
  <c r="L22" i="11" s="1"/>
  <c r="M20" i="11"/>
  <c r="M22" i="11" s="1"/>
  <c r="N20" i="11"/>
  <c r="N22" i="11" s="1"/>
  <c r="J20" i="11"/>
  <c r="J22" i="11" s="1"/>
  <c r="J13" i="11"/>
  <c r="K79" i="9"/>
  <c r="L79" i="9"/>
  <c r="M79" i="9"/>
  <c r="N79" i="9"/>
  <c r="J79" i="9"/>
  <c r="K75" i="9"/>
  <c r="L75" i="9"/>
  <c r="M75" i="9"/>
  <c r="N75" i="9"/>
  <c r="J75" i="9"/>
  <c r="J77" i="9" s="1"/>
  <c r="K70" i="9"/>
  <c r="K77" i="9" s="1"/>
  <c r="L70" i="9"/>
  <c r="L77" i="9" s="1"/>
  <c r="M70" i="9"/>
  <c r="M77" i="9" s="1"/>
  <c r="N70" i="9"/>
  <c r="N77" i="9" s="1"/>
  <c r="J70" i="9"/>
  <c r="N65" i="9"/>
  <c r="J101" i="6"/>
  <c r="K101" i="6"/>
  <c r="L101" i="6"/>
  <c r="M101" i="6"/>
  <c r="N101" i="6"/>
  <c r="K98" i="6"/>
  <c r="L98" i="6"/>
  <c r="M98" i="6"/>
  <c r="N98" i="6"/>
  <c r="J98" i="6"/>
  <c r="K96" i="6"/>
  <c r="L96" i="6"/>
  <c r="M96" i="6"/>
  <c r="N96" i="6"/>
  <c r="J96" i="6"/>
  <c r="N54" i="9"/>
  <c r="N48" i="9"/>
  <c r="N43" i="9"/>
  <c r="N40" i="9"/>
  <c r="N34" i="9"/>
  <c r="K28" i="9"/>
  <c r="L28" i="9"/>
  <c r="M28" i="9"/>
  <c r="N28" i="9"/>
  <c r="J28" i="9"/>
  <c r="K26" i="9"/>
  <c r="L26" i="9"/>
  <c r="M26" i="9"/>
  <c r="N26" i="9"/>
  <c r="J26" i="9"/>
  <c r="K20" i="9"/>
  <c r="L20" i="9"/>
  <c r="M20" i="9"/>
  <c r="N20" i="9"/>
  <c r="J20" i="9"/>
  <c r="K17" i="9"/>
  <c r="L17" i="9"/>
  <c r="L18" i="6" s="1"/>
  <c r="L17" i="6" s="1"/>
  <c r="M17" i="9"/>
  <c r="M18" i="6" s="1"/>
  <c r="M17" i="6" s="1"/>
  <c r="N17" i="9"/>
  <c r="J17" i="9"/>
  <c r="J18" i="6" s="1"/>
  <c r="J17" i="6" s="1"/>
  <c r="K7" i="9"/>
  <c r="K19" i="9" s="1"/>
  <c r="L7" i="9"/>
  <c r="L19" i="9" s="1"/>
  <c r="M7" i="9"/>
  <c r="M19" i="9" s="1"/>
  <c r="N7" i="9"/>
  <c r="N19" i="9" s="1"/>
  <c r="J7" i="9"/>
  <c r="J19" i="9" s="1"/>
  <c r="K135" i="8"/>
  <c r="L135" i="8"/>
  <c r="M135" i="8"/>
  <c r="N135" i="8"/>
  <c r="K112" i="6"/>
  <c r="L112" i="6"/>
  <c r="M112" i="6"/>
  <c r="N112" i="6"/>
  <c r="J112" i="6"/>
  <c r="K111" i="6"/>
  <c r="L111" i="6"/>
  <c r="M111" i="6"/>
  <c r="N111" i="6"/>
  <c r="J111" i="6"/>
  <c r="K130" i="8"/>
  <c r="L130" i="8"/>
  <c r="M130" i="8"/>
  <c r="N130" i="8"/>
  <c r="K128" i="8"/>
  <c r="L128" i="8"/>
  <c r="M128" i="8"/>
  <c r="N128" i="8"/>
  <c r="J128" i="8"/>
  <c r="K116" i="8"/>
  <c r="L116" i="8"/>
  <c r="M116" i="8"/>
  <c r="N116" i="8"/>
  <c r="J133" i="8"/>
  <c r="J97" i="8"/>
  <c r="K53" i="6"/>
  <c r="L53" i="6"/>
  <c r="M53" i="6"/>
  <c r="N53" i="6"/>
  <c r="J53" i="6"/>
  <c r="K52" i="6"/>
  <c r="L52" i="6"/>
  <c r="M52" i="6"/>
  <c r="N52" i="6"/>
  <c r="J52" i="6"/>
  <c r="K38" i="6"/>
  <c r="L38" i="6"/>
  <c r="M38" i="6"/>
  <c r="N38" i="6"/>
  <c r="J38" i="6"/>
  <c r="K36" i="6"/>
  <c r="L36" i="6"/>
  <c r="M36" i="6"/>
  <c r="N36" i="6"/>
  <c r="J36" i="6"/>
  <c r="N90" i="8"/>
  <c r="K97" i="8"/>
  <c r="L97" i="8"/>
  <c r="M97" i="8"/>
  <c r="N97" i="8"/>
  <c r="N83" i="8"/>
  <c r="N75" i="8"/>
  <c r="N67" i="8"/>
  <c r="N63" i="8"/>
  <c r="K30" i="8"/>
  <c r="L30" i="8"/>
  <c r="M30" i="8"/>
  <c r="N30" i="8"/>
  <c r="J30" i="8"/>
  <c r="K28" i="8"/>
  <c r="L28" i="8"/>
  <c r="M28" i="8"/>
  <c r="N28" i="8"/>
  <c r="J28" i="8"/>
  <c r="K21" i="8"/>
  <c r="L21" i="8"/>
  <c r="M21" i="8"/>
  <c r="N21" i="8"/>
  <c r="J21" i="8"/>
  <c r="K17" i="8"/>
  <c r="L17" i="8"/>
  <c r="M17" i="8"/>
  <c r="N17" i="8"/>
  <c r="J17" i="8"/>
  <c r="K7" i="8"/>
  <c r="L7" i="8"/>
  <c r="M7" i="8"/>
  <c r="N7" i="8"/>
  <c r="J7" i="8"/>
  <c r="K48" i="7"/>
  <c r="L48" i="7"/>
  <c r="M48" i="7"/>
  <c r="N48" i="7"/>
  <c r="J48" i="7"/>
  <c r="K40" i="7"/>
  <c r="L40" i="7"/>
  <c r="M40" i="7"/>
  <c r="N40" i="7"/>
  <c r="J40" i="7"/>
  <c r="K34" i="7"/>
  <c r="L34" i="7"/>
  <c r="M34" i="7"/>
  <c r="N34" i="7"/>
  <c r="J34" i="7"/>
  <c r="K32" i="7"/>
  <c r="L32" i="7"/>
  <c r="M32" i="7"/>
  <c r="N32" i="7"/>
  <c r="J32" i="7"/>
  <c r="K19" i="7"/>
  <c r="L19" i="7"/>
  <c r="M19" i="7"/>
  <c r="N19" i="7"/>
  <c r="N20" i="7" s="1"/>
  <c r="J19" i="7"/>
  <c r="J20" i="7" s="1"/>
  <c r="K20" i="7"/>
  <c r="L20" i="7"/>
  <c r="M20" i="7"/>
  <c r="D34" i="5"/>
  <c r="E34" i="5"/>
  <c r="F34" i="5"/>
  <c r="G34" i="5"/>
  <c r="H34" i="5"/>
  <c r="I34" i="5"/>
  <c r="J34" i="5"/>
  <c r="K34" i="5"/>
  <c r="L34" i="5"/>
  <c r="M34" i="5"/>
  <c r="N34" i="5"/>
  <c r="C34" i="5"/>
  <c r="D36" i="5"/>
  <c r="E36" i="5"/>
  <c r="F36" i="5"/>
  <c r="G36" i="5"/>
  <c r="H36" i="5"/>
  <c r="I36" i="5"/>
  <c r="J36" i="5"/>
  <c r="K36" i="5"/>
  <c r="L36" i="5"/>
  <c r="M36" i="5"/>
  <c r="N36" i="5"/>
  <c r="C36" i="5"/>
  <c r="D19" i="5"/>
  <c r="E19" i="5"/>
  <c r="F19" i="5"/>
  <c r="G19" i="5"/>
  <c r="H19" i="5"/>
  <c r="I19" i="5"/>
  <c r="J19" i="5"/>
  <c r="K19" i="5"/>
  <c r="L19" i="5"/>
  <c r="M19" i="5"/>
  <c r="N19" i="5"/>
  <c r="C19" i="5"/>
  <c r="D13" i="5"/>
  <c r="E13" i="5"/>
  <c r="F13" i="5"/>
  <c r="G13" i="5"/>
  <c r="H13" i="5"/>
  <c r="I13" i="5"/>
  <c r="J13" i="5"/>
  <c r="K13" i="5"/>
  <c r="L13" i="5"/>
  <c r="M13" i="5"/>
  <c r="N13" i="5"/>
  <c r="K57" i="4"/>
  <c r="L57" i="4"/>
  <c r="M57" i="4"/>
  <c r="N57" i="4"/>
  <c r="J57" i="4"/>
  <c r="K53" i="4"/>
  <c r="L53" i="4"/>
  <c r="M53" i="4"/>
  <c r="N53" i="4"/>
  <c r="J53" i="4"/>
  <c r="K48" i="4"/>
  <c r="L48" i="4"/>
  <c r="M48" i="4"/>
  <c r="N48" i="4"/>
  <c r="N55" i="4" s="1"/>
  <c r="J48" i="4"/>
  <c r="M37" i="4"/>
  <c r="M36" i="4" s="1"/>
  <c r="M45" i="4" s="1"/>
  <c r="M46" i="4" s="1"/>
  <c r="K37" i="4"/>
  <c r="K36" i="4" s="1"/>
  <c r="K45" i="4" s="1"/>
  <c r="K46" i="4" s="1"/>
  <c r="L37" i="4"/>
  <c r="L36" i="4" s="1"/>
  <c r="L45" i="4" s="1"/>
  <c r="L46" i="4" s="1"/>
  <c r="N37" i="4"/>
  <c r="N36" i="4" s="1"/>
  <c r="J37" i="4"/>
  <c r="J36" i="4" s="1"/>
  <c r="J45" i="4" s="1"/>
  <c r="J46" i="4" s="1"/>
  <c r="J28" i="4"/>
  <c r="K28" i="4"/>
  <c r="L28" i="4"/>
  <c r="M28" i="4"/>
  <c r="N28" i="4"/>
  <c r="K17" i="4"/>
  <c r="K24" i="4" s="1"/>
  <c r="L17" i="4"/>
  <c r="L24" i="4" s="1"/>
  <c r="M17" i="4"/>
  <c r="M24" i="4" s="1"/>
  <c r="N17" i="4"/>
  <c r="N24" i="4" s="1"/>
  <c r="J17" i="4"/>
  <c r="J24" i="4" s="1"/>
  <c r="K70" i="3"/>
  <c r="L70" i="3"/>
  <c r="M70" i="3"/>
  <c r="N70" i="3"/>
  <c r="J70" i="3"/>
  <c r="K58" i="3"/>
  <c r="L58" i="3"/>
  <c r="M58" i="3"/>
  <c r="N58" i="3"/>
  <c r="J58" i="3"/>
  <c r="K53" i="3"/>
  <c r="L53" i="3"/>
  <c r="M53" i="3"/>
  <c r="N53" i="3"/>
  <c r="J53" i="3"/>
  <c r="K18" i="3"/>
  <c r="L18" i="3"/>
  <c r="M18" i="3"/>
  <c r="N18" i="3"/>
  <c r="J18" i="3"/>
  <c r="K12" i="3"/>
  <c r="L12" i="3"/>
  <c r="M12" i="3"/>
  <c r="N12" i="3"/>
  <c r="J12" i="3"/>
  <c r="N21" i="3"/>
  <c r="K49" i="3"/>
  <c r="L49" i="3"/>
  <c r="M49" i="3"/>
  <c r="N49" i="3"/>
  <c r="J49" i="3"/>
  <c r="K42" i="3"/>
  <c r="L42" i="3"/>
  <c r="M42" i="3"/>
  <c r="N42" i="3"/>
  <c r="J42" i="3"/>
  <c r="K36" i="3"/>
  <c r="L36" i="3"/>
  <c r="M36" i="3"/>
  <c r="N36" i="3"/>
  <c r="J36" i="3"/>
  <c r="K103" i="2"/>
  <c r="K102" i="2" s="1"/>
  <c r="L103" i="2"/>
  <c r="L102" i="2" s="1"/>
  <c r="M103" i="2"/>
  <c r="M102" i="2" s="1"/>
  <c r="N103" i="2"/>
  <c r="N102" i="2" s="1"/>
  <c r="J103" i="2"/>
  <c r="J102" i="2" s="1"/>
  <c r="K83" i="2"/>
  <c r="L83" i="2"/>
  <c r="M83" i="2"/>
  <c r="N83" i="2"/>
  <c r="J83" i="2"/>
  <c r="K67" i="2"/>
  <c r="L67" i="2"/>
  <c r="M67" i="2"/>
  <c r="N67" i="2"/>
  <c r="J67" i="2"/>
  <c r="K97" i="2"/>
  <c r="L97" i="2"/>
  <c r="M97" i="2"/>
  <c r="N97" i="2"/>
  <c r="J97" i="2"/>
  <c r="L62" i="2"/>
  <c r="K56" i="2"/>
  <c r="L56" i="2"/>
  <c r="M56" i="2"/>
  <c r="N56" i="2"/>
  <c r="J56" i="2"/>
  <c r="K54" i="2"/>
  <c r="L54" i="2"/>
  <c r="M54" i="2"/>
  <c r="N54" i="2"/>
  <c r="K53" i="2"/>
  <c r="K51" i="2" s="1"/>
  <c r="L53" i="2"/>
  <c r="L51" i="2" s="1"/>
  <c r="M53" i="2"/>
  <c r="M51" i="2" s="1"/>
  <c r="N53" i="2"/>
  <c r="N51" i="2" s="1"/>
  <c r="N65" i="2" s="1"/>
  <c r="J53" i="2"/>
  <c r="J51" i="2" s="1"/>
  <c r="J54" i="2"/>
  <c r="N20" i="2"/>
  <c r="M20" i="2"/>
  <c r="K20" i="2"/>
  <c r="L20" i="2"/>
  <c r="J20" i="2"/>
  <c r="K31" i="2"/>
  <c r="L31" i="2"/>
  <c r="M31" i="2"/>
  <c r="N31" i="2"/>
  <c r="J31" i="2"/>
  <c r="K29" i="2"/>
  <c r="L29" i="2"/>
  <c r="M29" i="2"/>
  <c r="N29" i="2"/>
  <c r="J29" i="2"/>
  <c r="M16" i="2"/>
  <c r="N16" i="2"/>
  <c r="N7" i="2"/>
  <c r="M7" i="2"/>
  <c r="L7" i="2"/>
  <c r="K16" i="2"/>
  <c r="L16" i="2"/>
  <c r="J16" i="2"/>
  <c r="F91" i="13"/>
  <c r="E91" i="13"/>
  <c r="D91" i="13"/>
  <c r="C91" i="13"/>
  <c r="K65" i="2" l="1"/>
  <c r="G101" i="2"/>
  <c r="G106" i="2" s="1"/>
  <c r="D32" i="13"/>
  <c r="D72" i="13" s="1"/>
  <c r="D82" i="13" s="1"/>
  <c r="D89" i="13" s="1"/>
  <c r="C32" i="13"/>
  <c r="E72" i="13"/>
  <c r="E82" i="13" s="1"/>
  <c r="E89" i="13" s="1"/>
  <c r="F32" i="13"/>
  <c r="F72" i="13" s="1"/>
  <c r="F82" i="13" s="1"/>
  <c r="F89" i="13" s="1"/>
  <c r="J81" i="13"/>
  <c r="C72" i="13"/>
  <c r="C82" i="13" s="1"/>
  <c r="C89" i="13" s="1"/>
  <c r="L22" i="21"/>
  <c r="M55" i="21"/>
  <c r="K22" i="21"/>
  <c r="K55" i="21"/>
  <c r="N22" i="20"/>
  <c r="L22" i="20"/>
  <c r="J22" i="20"/>
  <c r="J16" i="22"/>
  <c r="H91" i="19"/>
  <c r="G91" i="19"/>
  <c r="C96" i="19"/>
  <c r="J51" i="19"/>
  <c r="N91" i="19"/>
  <c r="F47" i="19"/>
  <c r="I51" i="19"/>
  <c r="C54" i="19"/>
  <c r="F58" i="19"/>
  <c r="D84" i="19"/>
  <c r="D96" i="19"/>
  <c r="N58" i="19"/>
  <c r="M54" i="19"/>
  <c r="L51" i="19"/>
  <c r="N47" i="19"/>
  <c r="H18" i="19"/>
  <c r="H28" i="19" s="1"/>
  <c r="C51" i="19"/>
  <c r="E96" i="19"/>
  <c r="E51" i="19"/>
  <c r="N54" i="19"/>
  <c r="J65" i="19"/>
  <c r="L91" i="19"/>
  <c r="J84" i="19"/>
  <c r="E7" i="19"/>
  <c r="L47" i="19"/>
  <c r="H51" i="19"/>
  <c r="E90" i="17"/>
  <c r="E97" i="17" s="1"/>
  <c r="G73" i="17"/>
  <c r="L47" i="15"/>
  <c r="D58" i="15"/>
  <c r="D63" i="15" s="1"/>
  <c r="D48" i="15"/>
  <c r="C48" i="15"/>
  <c r="C58" i="15" s="1"/>
  <c r="C63" i="15" s="1"/>
  <c r="N47" i="15"/>
  <c r="N57" i="15"/>
  <c r="M47" i="15"/>
  <c r="F48" i="15"/>
  <c r="F58" i="15" s="1"/>
  <c r="F63" i="15" s="1"/>
  <c r="J60" i="16"/>
  <c r="K60" i="16"/>
  <c r="H73" i="17"/>
  <c r="H90" i="17" s="1"/>
  <c r="H97" i="17" s="1"/>
  <c r="I73" i="17"/>
  <c r="I90" i="17" s="1"/>
  <c r="I97" i="17" s="1"/>
  <c r="G90" i="17"/>
  <c r="G97" i="17" s="1"/>
  <c r="J25" i="15"/>
  <c r="I25" i="15"/>
  <c r="I26" i="15" s="1"/>
  <c r="I48" i="15" s="1"/>
  <c r="E61" i="16"/>
  <c r="E96" i="16" s="1"/>
  <c r="E100" i="16" s="1"/>
  <c r="I61" i="16"/>
  <c r="I96" i="16" s="1"/>
  <c r="I100" i="16" s="1"/>
  <c r="G61" i="16"/>
  <c r="G96" i="16" s="1"/>
  <c r="G100" i="16" s="1"/>
  <c r="F61" i="16"/>
  <c r="F96" i="16" s="1"/>
  <c r="F100" i="16" s="1"/>
  <c r="C61" i="16"/>
  <c r="C96" i="16" s="1"/>
  <c r="C100" i="16" s="1"/>
  <c r="H61" i="16"/>
  <c r="D61" i="16"/>
  <c r="D96" i="16" s="1"/>
  <c r="D100" i="16" s="1"/>
  <c r="C73" i="17"/>
  <c r="C90" i="17" s="1"/>
  <c r="C97" i="17" s="1"/>
  <c r="F73" i="17"/>
  <c r="F90" i="17" s="1"/>
  <c r="F97" i="17" s="1"/>
  <c r="M25" i="15"/>
  <c r="M17" i="15"/>
  <c r="L25" i="15"/>
  <c r="L17" i="15"/>
  <c r="L26" i="15" s="1"/>
  <c r="K25" i="15"/>
  <c r="K17" i="15"/>
  <c r="H96" i="16"/>
  <c r="H100" i="16" s="1"/>
  <c r="F117" i="18"/>
  <c r="C117" i="18"/>
  <c r="H122" i="18"/>
  <c r="E117" i="18"/>
  <c r="G122" i="18"/>
  <c r="K57" i="14"/>
  <c r="K60" i="14" s="1"/>
  <c r="K21" i="13"/>
  <c r="I72" i="13"/>
  <c r="I82" i="13" s="1"/>
  <c r="I89" i="13" s="1"/>
  <c r="J21" i="13"/>
  <c r="H94" i="12"/>
  <c r="H127" i="12" s="1"/>
  <c r="H132" i="12" s="1"/>
  <c r="I94" i="12"/>
  <c r="I127" i="12" s="1"/>
  <c r="I132" i="12" s="1"/>
  <c r="E94" i="12"/>
  <c r="E127" i="12" s="1"/>
  <c r="E132" i="12" s="1"/>
  <c r="L52" i="11"/>
  <c r="H32" i="13"/>
  <c r="H72" i="13" s="1"/>
  <c r="H82" i="13" s="1"/>
  <c r="H89" i="13" s="1"/>
  <c r="G72" i="13"/>
  <c r="G82" i="13" s="1"/>
  <c r="G89" i="13" s="1"/>
  <c r="N57" i="14"/>
  <c r="N60" i="14" s="1"/>
  <c r="M57" i="14"/>
  <c r="M60" i="14" s="1"/>
  <c r="L56" i="14"/>
  <c r="N56" i="14"/>
  <c r="N81" i="13"/>
  <c r="J23" i="11"/>
  <c r="M81" i="13"/>
  <c r="K126" i="12"/>
  <c r="G136" i="10"/>
  <c r="K52" i="11"/>
  <c r="M126" i="12"/>
  <c r="L81" i="13"/>
  <c r="K81" i="13"/>
  <c r="F140" i="6"/>
  <c r="I50" i="7"/>
  <c r="I54" i="7" s="1"/>
  <c r="G50" i="7"/>
  <c r="H140" i="6"/>
  <c r="F50" i="7"/>
  <c r="E54" i="7"/>
  <c r="E140" i="6"/>
  <c r="D66" i="2"/>
  <c r="D101" i="2" s="1"/>
  <c r="D106" i="2" s="1"/>
  <c r="C66" i="2"/>
  <c r="C101" i="2" s="1"/>
  <c r="C106" i="2" s="1"/>
  <c r="J65" i="2"/>
  <c r="M65" i="2"/>
  <c r="L65" i="2"/>
  <c r="J68" i="3"/>
  <c r="J47" i="19"/>
  <c r="D7" i="19"/>
  <c r="D17" i="19" s="1"/>
  <c r="D18" i="19"/>
  <c r="D28" i="19" s="1"/>
  <c r="C31" i="19"/>
  <c r="G54" i="19"/>
  <c r="H65" i="19"/>
  <c r="H77" i="19"/>
  <c r="F84" i="19"/>
  <c r="D91" i="19"/>
  <c r="E91" i="19"/>
  <c r="F96" i="19"/>
  <c r="I96" i="19"/>
  <c r="K18" i="19"/>
  <c r="K28" i="19" s="1"/>
  <c r="L84" i="19"/>
  <c r="F7" i="19"/>
  <c r="F17" i="19" s="1"/>
  <c r="G51" i="19"/>
  <c r="F91" i="19"/>
  <c r="M91" i="19"/>
  <c r="G7" i="19"/>
  <c r="G17" i="19" s="1"/>
  <c r="G18" i="19"/>
  <c r="G28" i="19" s="1"/>
  <c r="E47" i="19"/>
  <c r="E58" i="19"/>
  <c r="K96" i="19"/>
  <c r="M47" i="19"/>
  <c r="K91" i="19"/>
  <c r="I18" i="19"/>
  <c r="I28" i="19" s="1"/>
  <c r="G58" i="19"/>
  <c r="H7" i="19"/>
  <c r="H17" i="19" s="1"/>
  <c r="H47" i="19"/>
  <c r="E54" i="19"/>
  <c r="H58" i="19"/>
  <c r="F77" i="19"/>
  <c r="K47" i="19"/>
  <c r="C18" i="19"/>
  <c r="C28" i="19" s="1"/>
  <c r="I47" i="19"/>
  <c r="D51" i="19"/>
  <c r="F54" i="19"/>
  <c r="I58" i="19"/>
  <c r="G65" i="19"/>
  <c r="G77" i="19"/>
  <c r="E84" i="19"/>
  <c r="C91" i="19"/>
  <c r="L96" i="19"/>
  <c r="E17" i="19"/>
  <c r="E18" i="19"/>
  <c r="E28" i="19" s="1"/>
  <c r="D31" i="19"/>
  <c r="C47" i="19"/>
  <c r="F51" i="19"/>
  <c r="H54" i="19"/>
  <c r="C58" i="19"/>
  <c r="I65" i="19"/>
  <c r="I77" i="19"/>
  <c r="G84" i="19"/>
  <c r="G96" i="19"/>
  <c r="M58" i="19"/>
  <c r="L54" i="19"/>
  <c r="N51" i="19"/>
  <c r="J91" i="19"/>
  <c r="N77" i="19"/>
  <c r="M96" i="19"/>
  <c r="F18" i="19"/>
  <c r="F28" i="19" s="1"/>
  <c r="E31" i="19"/>
  <c r="D47" i="19"/>
  <c r="I54" i="19"/>
  <c r="D58" i="19"/>
  <c r="H84" i="19"/>
  <c r="H96" i="19"/>
  <c r="N18" i="19"/>
  <c r="N28" i="19" s="1"/>
  <c r="N31" i="19"/>
  <c r="J58" i="19"/>
  <c r="L58" i="19"/>
  <c r="K54" i="19"/>
  <c r="M51" i="19"/>
  <c r="M77" i="19"/>
  <c r="N96" i="19"/>
  <c r="F31" i="19"/>
  <c r="C65" i="19"/>
  <c r="C77" i="19"/>
  <c r="I84" i="19"/>
  <c r="M18" i="19"/>
  <c r="M28" i="19" s="1"/>
  <c r="M31" i="19"/>
  <c r="K58" i="19"/>
  <c r="J54" i="19"/>
  <c r="N65" i="19"/>
  <c r="L77" i="19"/>
  <c r="G31" i="19"/>
  <c r="D65" i="19"/>
  <c r="D77" i="19"/>
  <c r="L18" i="19"/>
  <c r="L28" i="19" s="1"/>
  <c r="L31" i="19"/>
  <c r="K51" i="19"/>
  <c r="M65" i="19"/>
  <c r="M84" i="19"/>
  <c r="K77" i="19"/>
  <c r="I7" i="19"/>
  <c r="I17" i="19" s="1"/>
  <c r="H31" i="19"/>
  <c r="G47" i="19"/>
  <c r="D54" i="19"/>
  <c r="E65" i="19"/>
  <c r="E77" i="19"/>
  <c r="C84" i="19"/>
  <c r="I91" i="19"/>
  <c r="K31" i="19"/>
  <c r="L65" i="19"/>
  <c r="J77" i="19"/>
  <c r="I31" i="19"/>
  <c r="F65" i="19"/>
  <c r="J18" i="19"/>
  <c r="J28" i="19" s="1"/>
  <c r="J31" i="19"/>
  <c r="K65" i="19"/>
  <c r="N84" i="19"/>
  <c r="K84" i="19"/>
  <c r="J96" i="19"/>
  <c r="C7" i="19"/>
  <c r="C17" i="19" s="1"/>
  <c r="G59" i="18"/>
  <c r="I62" i="18"/>
  <c r="G19" i="18"/>
  <c r="G30" i="18" s="1"/>
  <c r="C54" i="18"/>
  <c r="C65" i="18"/>
  <c r="I117" i="18"/>
  <c r="I74" i="18"/>
  <c r="H19" i="18"/>
  <c r="H30" i="18" s="1"/>
  <c r="H33" i="18"/>
  <c r="D54" i="18"/>
  <c r="H59" i="18"/>
  <c r="D65" i="18"/>
  <c r="I85" i="18"/>
  <c r="I102" i="18"/>
  <c r="G117" i="18"/>
  <c r="I122" i="18"/>
  <c r="C59" i="18"/>
  <c r="E62" i="18"/>
  <c r="H65" i="18"/>
  <c r="E122" i="18"/>
  <c r="E19" i="18"/>
  <c r="E30" i="18" s="1"/>
  <c r="I54" i="18"/>
  <c r="E59" i="18"/>
  <c r="G62" i="18"/>
  <c r="I65" i="18"/>
  <c r="G33" i="18"/>
  <c r="H85" i="18"/>
  <c r="H102" i="18"/>
  <c r="I19" i="18"/>
  <c r="I30" i="18" s="1"/>
  <c r="I33" i="18"/>
  <c r="E54" i="18"/>
  <c r="I59" i="18"/>
  <c r="C62" i="18"/>
  <c r="E65" i="18"/>
  <c r="C74" i="18"/>
  <c r="H117" i="18"/>
  <c r="F54" i="18"/>
  <c r="D62" i="18"/>
  <c r="F65" i="18"/>
  <c r="D74" i="18"/>
  <c r="C85" i="18"/>
  <c r="C102" i="18"/>
  <c r="C122" i="18"/>
  <c r="C19" i="18"/>
  <c r="C30" i="18" s="1"/>
  <c r="C33" i="18"/>
  <c r="G54" i="18"/>
  <c r="G65" i="18"/>
  <c r="E74" i="18"/>
  <c r="D85" i="18"/>
  <c r="D102" i="18"/>
  <c r="D122" i="18"/>
  <c r="D19" i="18"/>
  <c r="D30" i="18" s="1"/>
  <c r="D33" i="18"/>
  <c r="H54" i="18"/>
  <c r="D59" i="18"/>
  <c r="F62" i="18"/>
  <c r="F74" i="18"/>
  <c r="E85" i="18"/>
  <c r="E102" i="18"/>
  <c r="E33" i="18"/>
  <c r="G74" i="18"/>
  <c r="F85" i="18"/>
  <c r="F102" i="18"/>
  <c r="D117" i="18"/>
  <c r="F122" i="18"/>
  <c r="F19" i="18"/>
  <c r="F30" i="18" s="1"/>
  <c r="F33" i="18"/>
  <c r="F59" i="18"/>
  <c r="H62" i="18"/>
  <c r="H74" i="18"/>
  <c r="G85" i="18"/>
  <c r="G102" i="18"/>
  <c r="L59" i="18"/>
  <c r="N59" i="18"/>
  <c r="J54" i="18"/>
  <c r="M63" i="10"/>
  <c r="M136" i="10"/>
  <c r="C136" i="10"/>
  <c r="E141" i="10"/>
  <c r="I63" i="10"/>
  <c r="F136" i="10"/>
  <c r="D22" i="10"/>
  <c r="D34" i="10" s="1"/>
  <c r="F63" i="10"/>
  <c r="H63" i="10"/>
  <c r="E136" i="10"/>
  <c r="G141" i="10"/>
  <c r="H141" i="10"/>
  <c r="I22" i="10"/>
  <c r="I34" i="10" s="1"/>
  <c r="C37" i="10"/>
  <c r="I141" i="10"/>
  <c r="L63" i="10"/>
  <c r="L136" i="10"/>
  <c r="C63" i="10"/>
  <c r="E66" i="10"/>
  <c r="I80" i="10"/>
  <c r="H136" i="10"/>
  <c r="K63" i="10"/>
  <c r="K136" i="10"/>
  <c r="J63" i="10"/>
  <c r="I136" i="10"/>
  <c r="D141" i="10"/>
  <c r="I57" i="10"/>
  <c r="H66" i="10"/>
  <c r="D71" i="10"/>
  <c r="D80" i="10"/>
  <c r="E92" i="10"/>
  <c r="E104" i="10"/>
  <c r="E121" i="10"/>
  <c r="M22" i="10"/>
  <c r="M34" i="10" s="1"/>
  <c r="E22" i="10"/>
  <c r="E34" i="10" s="1"/>
  <c r="L22" i="10"/>
  <c r="L34" i="10" s="1"/>
  <c r="L57" i="10"/>
  <c r="M141" i="10"/>
  <c r="J57" i="10"/>
  <c r="F22" i="10"/>
  <c r="F34" i="10" s="1"/>
  <c r="G37" i="10"/>
  <c r="G63" i="10"/>
  <c r="I66" i="10"/>
  <c r="E71" i="10"/>
  <c r="E80" i="10"/>
  <c r="F92" i="10"/>
  <c r="F104" i="10"/>
  <c r="F121" i="10"/>
  <c r="D136" i="10"/>
  <c r="F141" i="10"/>
  <c r="M104" i="10"/>
  <c r="F37" i="10"/>
  <c r="K22" i="10"/>
  <c r="K34" i="10" s="1"/>
  <c r="K57" i="10"/>
  <c r="G22" i="10"/>
  <c r="G34" i="10" s="1"/>
  <c r="H37" i="10"/>
  <c r="C57" i="10"/>
  <c r="F71" i="10"/>
  <c r="G92" i="10"/>
  <c r="G121" i="10"/>
  <c r="M57" i="10"/>
  <c r="L141" i="10"/>
  <c r="J136" i="10"/>
  <c r="H22" i="10"/>
  <c r="H34" i="10" s="1"/>
  <c r="I37" i="10"/>
  <c r="D57" i="10"/>
  <c r="C66" i="10"/>
  <c r="G80" i="10"/>
  <c r="H92" i="10"/>
  <c r="H104" i="10"/>
  <c r="H121" i="10"/>
  <c r="E57" i="10"/>
  <c r="F57" i="10"/>
  <c r="D66" i="10"/>
  <c r="H71" i="10"/>
  <c r="G71" i="10"/>
  <c r="H80" i="10"/>
  <c r="F80" i="10"/>
  <c r="I92" i="10"/>
  <c r="C92" i="10"/>
  <c r="I104" i="10"/>
  <c r="G104" i="10"/>
  <c r="I121" i="10"/>
  <c r="C141" i="10"/>
  <c r="M121" i="10"/>
  <c r="L121" i="10"/>
  <c r="J104" i="10"/>
  <c r="N104" i="10"/>
  <c r="J121" i="10"/>
  <c r="J141" i="10"/>
  <c r="I71" i="10"/>
  <c r="J22" i="10"/>
  <c r="J34" i="10" s="1"/>
  <c r="K104" i="10"/>
  <c r="C22" i="10"/>
  <c r="C34" i="10" s="1"/>
  <c r="D37" i="10"/>
  <c r="G57" i="10"/>
  <c r="D63" i="10"/>
  <c r="F66" i="10"/>
  <c r="C104" i="10"/>
  <c r="C121" i="10"/>
  <c r="K121" i="10"/>
  <c r="K141" i="10"/>
  <c r="L104" i="10"/>
  <c r="E37" i="10"/>
  <c r="H57" i="10"/>
  <c r="E63" i="10"/>
  <c r="G66" i="10"/>
  <c r="C71" i="10"/>
  <c r="C80" i="10"/>
  <c r="D92" i="10"/>
  <c r="D104" i="10"/>
  <c r="D121" i="10"/>
  <c r="F7" i="10"/>
  <c r="F21" i="10" s="1"/>
  <c r="D7" i="10"/>
  <c r="D21" i="10" s="1"/>
  <c r="I7" i="10"/>
  <c r="I21" i="10" s="1"/>
  <c r="C7" i="10"/>
  <c r="C21" i="10" s="1"/>
  <c r="G140" i="6"/>
  <c r="I145" i="6"/>
  <c r="H63" i="6"/>
  <c r="I140" i="6"/>
  <c r="C145" i="6"/>
  <c r="G63" i="6"/>
  <c r="H7" i="6"/>
  <c r="H20" i="6" s="1"/>
  <c r="G67" i="6"/>
  <c r="D63" i="6"/>
  <c r="F56" i="6"/>
  <c r="E84" i="6"/>
  <c r="F76" i="6"/>
  <c r="F95" i="6"/>
  <c r="G107" i="6"/>
  <c r="G124" i="6"/>
  <c r="I7" i="6"/>
  <c r="I20" i="6" s="1"/>
  <c r="C63" i="6"/>
  <c r="E56" i="6"/>
  <c r="D84" i="6"/>
  <c r="E76" i="6"/>
  <c r="E95" i="6"/>
  <c r="H145" i="6"/>
  <c r="C7" i="6"/>
  <c r="C20" i="6" s="1"/>
  <c r="E21" i="6"/>
  <c r="E32" i="6" s="1"/>
  <c r="D35" i="6"/>
  <c r="D67" i="6"/>
  <c r="I63" i="6"/>
  <c r="C56" i="6"/>
  <c r="C76" i="6"/>
  <c r="C95" i="6"/>
  <c r="D7" i="6"/>
  <c r="D20" i="6" s="1"/>
  <c r="F21" i="6"/>
  <c r="F32" i="6" s="1"/>
  <c r="C35" i="6"/>
  <c r="C67" i="6"/>
  <c r="I84" i="6"/>
  <c r="C107" i="6"/>
  <c r="C124" i="6"/>
  <c r="E7" i="6"/>
  <c r="E20" i="6" s="1"/>
  <c r="G21" i="6"/>
  <c r="G32" i="6" s="1"/>
  <c r="I56" i="6"/>
  <c r="H84" i="6"/>
  <c r="I76" i="6"/>
  <c r="I95" i="6"/>
  <c r="D107" i="6"/>
  <c r="D124" i="6"/>
  <c r="D145" i="6"/>
  <c r="F35" i="6"/>
  <c r="F7" i="6"/>
  <c r="F20" i="6" s="1"/>
  <c r="H21" i="6"/>
  <c r="H32" i="6" s="1"/>
  <c r="I35" i="6"/>
  <c r="I67" i="6"/>
  <c r="F63" i="6"/>
  <c r="H56" i="6"/>
  <c r="G84" i="6"/>
  <c r="H76" i="6"/>
  <c r="H95" i="6"/>
  <c r="E107" i="6"/>
  <c r="E124" i="6"/>
  <c r="C140" i="6"/>
  <c r="E145" i="6"/>
  <c r="G7" i="6"/>
  <c r="G20" i="6" s="1"/>
  <c r="I21" i="6"/>
  <c r="I32" i="6" s="1"/>
  <c r="H35" i="6"/>
  <c r="H67" i="6"/>
  <c r="E63" i="6"/>
  <c r="G56" i="6"/>
  <c r="F84" i="6"/>
  <c r="G76" i="6"/>
  <c r="G95" i="6"/>
  <c r="F107" i="6"/>
  <c r="F124" i="6"/>
  <c r="D140" i="6"/>
  <c r="F145" i="6"/>
  <c r="G145" i="6"/>
  <c r="H107" i="6"/>
  <c r="H124" i="6"/>
  <c r="G35" i="6"/>
  <c r="C21" i="6"/>
  <c r="C32" i="6" s="1"/>
  <c r="F67" i="6"/>
  <c r="D21" i="6"/>
  <c r="D32" i="6" s="1"/>
  <c r="E35" i="6"/>
  <c r="E67" i="6"/>
  <c r="D56" i="6"/>
  <c r="C84" i="6"/>
  <c r="D76" i="6"/>
  <c r="D95" i="6"/>
  <c r="I107" i="6"/>
  <c r="I124" i="6"/>
  <c r="J20" i="5"/>
  <c r="I115" i="1"/>
  <c r="C120" i="1"/>
  <c r="F120" i="1"/>
  <c r="H62" i="1"/>
  <c r="D54" i="1"/>
  <c r="G58" i="1"/>
  <c r="F77" i="1"/>
  <c r="C115" i="1"/>
  <c r="E120" i="1"/>
  <c r="C36" i="1"/>
  <c r="H115" i="1"/>
  <c r="D77" i="1"/>
  <c r="E58" i="1"/>
  <c r="L7" i="4"/>
  <c r="L16" i="4" s="1"/>
  <c r="L25" i="4" s="1"/>
  <c r="L12" i="1"/>
  <c r="L7" i="1" s="1"/>
  <c r="L19" i="1" s="1"/>
  <c r="M7" i="4"/>
  <c r="M16" i="4" s="1"/>
  <c r="M25" i="4" s="1"/>
  <c r="M12" i="1"/>
  <c r="N7" i="4"/>
  <c r="N16" i="4" s="1"/>
  <c r="N25" i="4" s="1"/>
  <c r="N11" i="1"/>
  <c r="J7" i="4"/>
  <c r="J16" i="4" s="1"/>
  <c r="J25" i="4" s="1"/>
  <c r="J12" i="1"/>
  <c r="J7" i="1" s="1"/>
  <c r="J19" i="1" s="1"/>
  <c r="K7" i="4"/>
  <c r="K16" i="4" s="1"/>
  <c r="K25" i="4" s="1"/>
  <c r="K12" i="1"/>
  <c r="K7" i="1" s="1"/>
  <c r="K19" i="1" s="1"/>
  <c r="H54" i="1"/>
  <c r="C58" i="1"/>
  <c r="F62" i="1"/>
  <c r="D120" i="1"/>
  <c r="C77" i="1"/>
  <c r="E54" i="1"/>
  <c r="C62" i="1"/>
  <c r="G77" i="1"/>
  <c r="G115" i="1"/>
  <c r="I120" i="1"/>
  <c r="H77" i="1"/>
  <c r="I54" i="1"/>
  <c r="F100" i="1"/>
  <c r="E115" i="1"/>
  <c r="H20" i="1"/>
  <c r="H33" i="1" s="1"/>
  <c r="I36" i="1"/>
  <c r="F70" i="1"/>
  <c r="C54" i="1"/>
  <c r="F58" i="1"/>
  <c r="I62" i="1"/>
  <c r="G70" i="1"/>
  <c r="E77" i="1"/>
  <c r="G100" i="1"/>
  <c r="G120" i="1"/>
  <c r="H100" i="1"/>
  <c r="F115" i="1"/>
  <c r="H120" i="1"/>
  <c r="I100" i="1"/>
  <c r="J54" i="1"/>
  <c r="D20" i="1"/>
  <c r="D33" i="1" s="1"/>
  <c r="F54" i="1"/>
  <c r="I58" i="1"/>
  <c r="D62" i="1"/>
  <c r="C20" i="1"/>
  <c r="C33" i="1" s="1"/>
  <c r="E20" i="1"/>
  <c r="E33" i="1" s="1"/>
  <c r="F36" i="1"/>
  <c r="G54" i="1"/>
  <c r="E62" i="1"/>
  <c r="C70" i="1"/>
  <c r="I77" i="1"/>
  <c r="C100" i="1"/>
  <c r="H58" i="1"/>
  <c r="G7" i="1"/>
  <c r="F20" i="1"/>
  <c r="F33" i="1" s="1"/>
  <c r="G36" i="1"/>
  <c r="D70" i="1"/>
  <c r="H7" i="1"/>
  <c r="G20" i="1"/>
  <c r="G33" i="1" s="1"/>
  <c r="I20" i="1"/>
  <c r="I33" i="1" s="1"/>
  <c r="H36" i="1"/>
  <c r="D36" i="1"/>
  <c r="E36" i="1"/>
  <c r="D58" i="1"/>
  <c r="G62" i="1"/>
  <c r="E70" i="1"/>
  <c r="H70" i="1"/>
  <c r="I70" i="1"/>
  <c r="E100" i="1"/>
  <c r="D100" i="1"/>
  <c r="D115" i="1"/>
  <c r="I7" i="1"/>
  <c r="I11" i="18"/>
  <c r="G7" i="10"/>
  <c r="G21" i="10" s="1"/>
  <c r="H7" i="10"/>
  <c r="H21" i="10" s="1"/>
  <c r="E7" i="10"/>
  <c r="E21" i="10" s="1"/>
  <c r="J73" i="10"/>
  <c r="J71" i="10" s="1"/>
  <c r="J82" i="10"/>
  <c r="J80" i="10" s="1"/>
  <c r="J93" i="10"/>
  <c r="J92" i="10" s="1"/>
  <c r="J38" i="10"/>
  <c r="J37" i="10" s="1"/>
  <c r="J14" i="10"/>
  <c r="J7" i="10" s="1"/>
  <c r="J21" i="10" s="1"/>
  <c r="J67" i="10"/>
  <c r="J66" i="10" s="1"/>
  <c r="C85" i="1"/>
  <c r="C83" i="1" s="1"/>
  <c r="D85" i="1"/>
  <c r="D83" i="1" s="1"/>
  <c r="E85" i="1"/>
  <c r="E83" i="1" s="1"/>
  <c r="F85" i="1"/>
  <c r="F83" i="1" s="1"/>
  <c r="G85" i="1"/>
  <c r="G83" i="1" s="1"/>
  <c r="H85" i="1"/>
  <c r="H83" i="1" s="1"/>
  <c r="I85" i="1"/>
  <c r="I83" i="1" s="1"/>
  <c r="C7" i="1"/>
  <c r="D7" i="1"/>
  <c r="E7" i="1"/>
  <c r="F7" i="1"/>
  <c r="G54" i="7"/>
  <c r="F54" i="7"/>
  <c r="H50" i="7"/>
  <c r="H54" i="7" s="1"/>
  <c r="D50" i="7"/>
  <c r="D54" i="7" s="1"/>
  <c r="L62" i="1"/>
  <c r="N19" i="3"/>
  <c r="M68" i="3"/>
  <c r="J55" i="4"/>
  <c r="L55" i="4"/>
  <c r="J62" i="1"/>
  <c r="N62" i="1"/>
  <c r="K55" i="4"/>
  <c r="M62" i="1"/>
  <c r="N100" i="1"/>
  <c r="K62" i="1"/>
  <c r="I20" i="5"/>
  <c r="G20" i="5"/>
  <c r="G42" i="5" s="1"/>
  <c r="G45" i="5" s="1"/>
  <c r="J100" i="1"/>
  <c r="N54" i="1"/>
  <c r="C20" i="5"/>
  <c r="C42" i="5" s="1"/>
  <c r="C45" i="5" s="1"/>
  <c r="N20" i="5"/>
  <c r="N33" i="5" s="1"/>
  <c r="N42" i="5" s="1"/>
  <c r="F20" i="5"/>
  <c r="F42" i="5" s="1"/>
  <c r="M54" i="1"/>
  <c r="M100" i="1"/>
  <c r="L54" i="1"/>
  <c r="L100" i="1"/>
  <c r="K54" i="1"/>
  <c r="K100" i="1"/>
  <c r="K140" i="6"/>
  <c r="J124" i="6"/>
  <c r="J140" i="6"/>
  <c r="J84" i="6"/>
  <c r="K124" i="6"/>
  <c r="N145" i="6"/>
  <c r="M145" i="6"/>
  <c r="K56" i="6"/>
  <c r="M84" i="6"/>
  <c r="N124" i="6"/>
  <c r="N140" i="6"/>
  <c r="L145" i="6"/>
  <c r="M124" i="6"/>
  <c r="M140" i="6"/>
  <c r="K145" i="6"/>
  <c r="K84" i="6"/>
  <c r="N76" i="6"/>
  <c r="N67" i="6"/>
  <c r="M63" i="6"/>
  <c r="L124" i="6"/>
  <c r="L140" i="6"/>
  <c r="J145" i="6"/>
  <c r="J52" i="11"/>
  <c r="N52" i="11"/>
  <c r="K23" i="11"/>
  <c r="K36" i="11" s="1"/>
  <c r="K53" i="11" s="1"/>
  <c r="K57" i="11" s="1"/>
  <c r="M52" i="11"/>
  <c r="N126" i="12"/>
  <c r="L126" i="12"/>
  <c r="J126" i="12"/>
  <c r="J57" i="14"/>
  <c r="J60" i="14" s="1"/>
  <c r="J32" i="14"/>
  <c r="J59" i="18"/>
  <c r="N54" i="18"/>
  <c r="M74" i="18"/>
  <c r="K65" i="18"/>
  <c r="M102" i="18"/>
  <c r="M85" i="18"/>
  <c r="J33" i="18"/>
  <c r="M54" i="18"/>
  <c r="L74" i="18"/>
  <c r="J65" i="18"/>
  <c r="L102" i="18"/>
  <c r="L85" i="18"/>
  <c r="K33" i="18"/>
  <c r="L54" i="18"/>
  <c r="K74" i="18"/>
  <c r="K102" i="18"/>
  <c r="N85" i="18"/>
  <c r="K85" i="18"/>
  <c r="J102" i="18"/>
  <c r="N117" i="18"/>
  <c r="J122" i="18"/>
  <c r="K54" i="18"/>
  <c r="J74" i="18"/>
  <c r="J85" i="18"/>
  <c r="M117" i="18"/>
  <c r="N122" i="18"/>
  <c r="L117" i="18"/>
  <c r="M122" i="18"/>
  <c r="N33" i="18"/>
  <c r="M59" i="18"/>
  <c r="N65" i="18"/>
  <c r="K117" i="18"/>
  <c r="L122" i="18"/>
  <c r="L57" i="15"/>
  <c r="M33" i="18"/>
  <c r="M65" i="18"/>
  <c r="J117" i="18"/>
  <c r="K122" i="18"/>
  <c r="L33" i="18"/>
  <c r="K59" i="18"/>
  <c r="N74" i="18"/>
  <c r="L65" i="18"/>
  <c r="N102" i="18"/>
  <c r="M29" i="17"/>
  <c r="M30" i="17" s="1"/>
  <c r="K89" i="17"/>
  <c r="K29" i="17"/>
  <c r="K30" i="17" s="1"/>
  <c r="M45" i="21"/>
  <c r="M22" i="21"/>
  <c r="L55" i="21"/>
  <c r="J22" i="21"/>
  <c r="K22" i="20"/>
  <c r="K60" i="20"/>
  <c r="M22" i="20"/>
  <c r="N27" i="22"/>
  <c r="N28" i="22" s="1"/>
  <c r="K59" i="22"/>
  <c r="K16" i="22"/>
  <c r="L27" i="22"/>
  <c r="J28" i="22"/>
  <c r="K27" i="22"/>
  <c r="M44" i="22"/>
  <c r="M59" i="22"/>
  <c r="J44" i="22"/>
  <c r="M76" i="6"/>
  <c r="M67" i="6"/>
  <c r="L63" i="6"/>
  <c r="L76" i="6"/>
  <c r="L67" i="6"/>
  <c r="K63" i="6"/>
  <c r="N56" i="6"/>
  <c r="K76" i="6"/>
  <c r="K67" i="6"/>
  <c r="J63" i="6"/>
  <c r="M56" i="6"/>
  <c r="J76" i="6"/>
  <c r="L56" i="6"/>
  <c r="N84" i="6"/>
  <c r="J67" i="6"/>
  <c r="N63" i="6"/>
  <c r="J56" i="6"/>
  <c r="L84" i="6"/>
  <c r="N22" i="10"/>
  <c r="N34" i="10" s="1"/>
  <c r="N57" i="10"/>
  <c r="N121" i="10"/>
  <c r="N141" i="10"/>
  <c r="N136" i="10"/>
  <c r="N63" i="10"/>
  <c r="J107" i="6"/>
  <c r="L107" i="6"/>
  <c r="M107" i="6"/>
  <c r="N107" i="6"/>
  <c r="K107" i="6"/>
  <c r="L35" i="6"/>
  <c r="K35" i="6"/>
  <c r="N35" i="6"/>
  <c r="M35" i="6"/>
  <c r="K21" i="6"/>
  <c r="K32" i="6" s="1"/>
  <c r="J21" i="6"/>
  <c r="J32" i="6" s="1"/>
  <c r="N21" i="6"/>
  <c r="N32" i="6" s="1"/>
  <c r="M21" i="6"/>
  <c r="M32" i="6" s="1"/>
  <c r="L21" i="6"/>
  <c r="L32" i="6" s="1"/>
  <c r="J35" i="6"/>
  <c r="J7" i="15"/>
  <c r="J17" i="15" s="1"/>
  <c r="M10" i="19"/>
  <c r="M7" i="19" s="1"/>
  <c r="L10" i="19"/>
  <c r="L7" i="19" s="1"/>
  <c r="L17" i="19" s="1"/>
  <c r="K10" i="19"/>
  <c r="K7" i="19" s="1"/>
  <c r="K17" i="19" s="1"/>
  <c r="J10" i="19"/>
  <c r="J7" i="19" s="1"/>
  <c r="J17" i="19" s="1"/>
  <c r="N10" i="19"/>
  <c r="N7" i="19" s="1"/>
  <c r="N17" i="19" s="1"/>
  <c r="L21" i="18"/>
  <c r="K21" i="18"/>
  <c r="J21" i="18"/>
  <c r="J19" i="18" s="1"/>
  <c r="J30" i="18" s="1"/>
  <c r="N21" i="18"/>
  <c r="N19" i="18" s="1"/>
  <c r="N30" i="18" s="1"/>
  <c r="M21" i="18"/>
  <c r="J11" i="18"/>
  <c r="J7" i="18" s="1"/>
  <c r="J18" i="18" s="1"/>
  <c r="N11" i="18"/>
  <c r="N7" i="18" s="1"/>
  <c r="N18" i="18" s="1"/>
  <c r="M11" i="18"/>
  <c r="M7" i="18" s="1"/>
  <c r="M18" i="18" s="1"/>
  <c r="L11" i="18"/>
  <c r="L7" i="18" s="1"/>
  <c r="L18" i="18" s="1"/>
  <c r="K11" i="18"/>
  <c r="K7" i="18" s="1"/>
  <c r="K18" i="18" s="1"/>
  <c r="J57" i="15"/>
  <c r="K57" i="15"/>
  <c r="M57" i="15"/>
  <c r="K93" i="10"/>
  <c r="K92" i="10" s="1"/>
  <c r="M82" i="10"/>
  <c r="M80" i="10" s="1"/>
  <c r="L82" i="10"/>
  <c r="L80" i="10" s="1"/>
  <c r="N93" i="10"/>
  <c r="N92" i="10" s="1"/>
  <c r="M93" i="10"/>
  <c r="M92" i="10" s="1"/>
  <c r="L93" i="10"/>
  <c r="L92" i="10" s="1"/>
  <c r="K82" i="10"/>
  <c r="K80" i="10" s="1"/>
  <c r="N73" i="10"/>
  <c r="N71" i="10" s="1"/>
  <c r="M73" i="10"/>
  <c r="M71" i="10" s="1"/>
  <c r="L73" i="10"/>
  <c r="L71" i="10" s="1"/>
  <c r="N82" i="10"/>
  <c r="N80" i="10" s="1"/>
  <c r="K73" i="10"/>
  <c r="K71" i="10" s="1"/>
  <c r="N67" i="10"/>
  <c r="N66" i="10" s="1"/>
  <c r="M67" i="10"/>
  <c r="M66" i="10" s="1"/>
  <c r="L67" i="10"/>
  <c r="L66" i="10" s="1"/>
  <c r="K67" i="10"/>
  <c r="K66" i="10" s="1"/>
  <c r="N38" i="10"/>
  <c r="N37" i="10" s="1"/>
  <c r="M38" i="10"/>
  <c r="M37" i="10" s="1"/>
  <c r="L38" i="10"/>
  <c r="L37" i="10" s="1"/>
  <c r="K38" i="10"/>
  <c r="K37" i="10" s="1"/>
  <c r="K14" i="10"/>
  <c r="K7" i="10" s="1"/>
  <c r="N14" i="10"/>
  <c r="N7" i="10" s="1"/>
  <c r="N21" i="10" s="1"/>
  <c r="M14" i="10"/>
  <c r="M7" i="10" s="1"/>
  <c r="M21" i="10" s="1"/>
  <c r="L14" i="10"/>
  <c r="L7" i="10" s="1"/>
  <c r="L21" i="10" s="1"/>
  <c r="N100" i="6"/>
  <c r="N95" i="6" s="1"/>
  <c r="M100" i="6"/>
  <c r="M95" i="6" s="1"/>
  <c r="L100" i="6"/>
  <c r="L95" i="6" s="1"/>
  <c r="K100" i="6"/>
  <c r="K95" i="6" s="1"/>
  <c r="J100" i="6"/>
  <c r="J95" i="6" s="1"/>
  <c r="K13" i="6"/>
  <c r="K7" i="6" s="1"/>
  <c r="K20" i="6" s="1"/>
  <c r="N13" i="6"/>
  <c r="N7" i="6" s="1"/>
  <c r="N20" i="6" s="1"/>
  <c r="M13" i="6"/>
  <c r="M7" i="6" s="1"/>
  <c r="M20" i="6" s="1"/>
  <c r="L13" i="6"/>
  <c r="L7" i="6" s="1"/>
  <c r="L20" i="6" s="1"/>
  <c r="J13" i="6"/>
  <c r="J12" i="6"/>
  <c r="N37" i="1"/>
  <c r="N36" i="1" s="1"/>
  <c r="K37" i="1"/>
  <c r="K36" i="1" s="1"/>
  <c r="N121" i="1"/>
  <c r="N120" i="1" s="1"/>
  <c r="M121" i="1"/>
  <c r="M120" i="1" s="1"/>
  <c r="L121" i="1"/>
  <c r="L120" i="1" s="1"/>
  <c r="M37" i="1"/>
  <c r="M36" i="1" s="1"/>
  <c r="K121" i="1"/>
  <c r="K120" i="1" s="1"/>
  <c r="M85" i="1"/>
  <c r="N87" i="1"/>
  <c r="N85" i="1"/>
  <c r="L87" i="1"/>
  <c r="L85" i="1"/>
  <c r="K87" i="1"/>
  <c r="K85" i="1"/>
  <c r="M87" i="1"/>
  <c r="N116" i="1"/>
  <c r="N115" i="1" s="1"/>
  <c r="M116" i="1"/>
  <c r="M115" i="1" s="1"/>
  <c r="L116" i="1"/>
  <c r="L115" i="1" s="1"/>
  <c r="K116" i="1"/>
  <c r="K115" i="1" s="1"/>
  <c r="L37" i="1"/>
  <c r="L36" i="1" s="1"/>
  <c r="M71" i="1"/>
  <c r="M70" i="1" s="1"/>
  <c r="L71" i="1"/>
  <c r="L70" i="1" s="1"/>
  <c r="K71" i="1"/>
  <c r="K70" i="1" s="1"/>
  <c r="N78" i="1"/>
  <c r="N77" i="1" s="1"/>
  <c r="M78" i="1"/>
  <c r="M77" i="1" s="1"/>
  <c r="N71" i="1"/>
  <c r="N70" i="1" s="1"/>
  <c r="L78" i="1"/>
  <c r="L77" i="1" s="1"/>
  <c r="K78" i="1"/>
  <c r="K77" i="1" s="1"/>
  <c r="M60" i="1"/>
  <c r="M58" i="1" s="1"/>
  <c r="N60" i="1"/>
  <c r="N58" i="1" s="1"/>
  <c r="L60" i="1"/>
  <c r="L58" i="1" s="1"/>
  <c r="K60" i="1"/>
  <c r="K58" i="1" s="1"/>
  <c r="L24" i="1"/>
  <c r="L20" i="1" s="1"/>
  <c r="L33" i="1" s="1"/>
  <c r="K24" i="1"/>
  <c r="K20" i="1" s="1"/>
  <c r="K33" i="1" s="1"/>
  <c r="N23" i="1"/>
  <c r="N20" i="1" s="1"/>
  <c r="N33" i="1" s="1"/>
  <c r="M23" i="1"/>
  <c r="M20" i="1" s="1"/>
  <c r="M33" i="1" s="1"/>
  <c r="J121" i="1"/>
  <c r="J120" i="1" s="1"/>
  <c r="O120" i="1" s="1"/>
  <c r="J87" i="1"/>
  <c r="J85" i="1"/>
  <c r="J116" i="1"/>
  <c r="J115" i="1" s="1"/>
  <c r="J60" i="1"/>
  <c r="J58" i="1" s="1"/>
  <c r="J71" i="1"/>
  <c r="J70" i="1" s="1"/>
  <c r="J78" i="1"/>
  <c r="J77" i="1" s="1"/>
  <c r="J37" i="1"/>
  <c r="J36" i="1" s="1"/>
  <c r="J24" i="1"/>
  <c r="L68" i="3"/>
  <c r="L19" i="3"/>
  <c r="K68" i="3"/>
  <c r="N68" i="3"/>
  <c r="J55" i="21"/>
  <c r="N45" i="21"/>
  <c r="N46" i="21" s="1"/>
  <c r="N56" i="21" s="1"/>
  <c r="N60" i="21" s="1"/>
  <c r="L46" i="21"/>
  <c r="L56" i="21" s="1"/>
  <c r="L60" i="21" s="1"/>
  <c r="J45" i="21"/>
  <c r="K46" i="21"/>
  <c r="K56" i="21" s="1"/>
  <c r="K60" i="21" s="1"/>
  <c r="J75" i="20"/>
  <c r="N75" i="20"/>
  <c r="M75" i="20"/>
  <c r="L75" i="20"/>
  <c r="K75" i="20"/>
  <c r="L60" i="20"/>
  <c r="L61" i="20" s="1"/>
  <c r="M60" i="20"/>
  <c r="N60" i="20"/>
  <c r="N61" i="20" s="1"/>
  <c r="J60" i="20"/>
  <c r="J61" i="20" s="1"/>
  <c r="N59" i="22"/>
  <c r="J59" i="22"/>
  <c r="L59" i="22"/>
  <c r="N44" i="22"/>
  <c r="L44" i="22"/>
  <c r="M16" i="22"/>
  <c r="M28" i="22" s="1"/>
  <c r="L16" i="22"/>
  <c r="L28" i="22" s="1"/>
  <c r="N89" i="17"/>
  <c r="J89" i="17"/>
  <c r="M89" i="17"/>
  <c r="L89" i="17"/>
  <c r="K72" i="17"/>
  <c r="M72" i="17"/>
  <c r="L72" i="17"/>
  <c r="N72" i="17"/>
  <c r="J72" i="17"/>
  <c r="N29" i="17"/>
  <c r="L29" i="17"/>
  <c r="N17" i="17"/>
  <c r="J29" i="17"/>
  <c r="J17" i="16"/>
  <c r="J30" i="16" s="1"/>
  <c r="N17" i="16"/>
  <c r="K17" i="16"/>
  <c r="K30" i="16" s="1"/>
  <c r="M17" i="16"/>
  <c r="M30" i="16" s="1"/>
  <c r="K95" i="16"/>
  <c r="N29" i="16"/>
  <c r="N95" i="16"/>
  <c r="M95" i="16"/>
  <c r="L95" i="16"/>
  <c r="J95" i="16"/>
  <c r="L17" i="16"/>
  <c r="L30" i="16" s="1"/>
  <c r="N25" i="15"/>
  <c r="N17" i="15"/>
  <c r="M32" i="14"/>
  <c r="L32" i="14"/>
  <c r="L31" i="13"/>
  <c r="N21" i="13"/>
  <c r="K31" i="13"/>
  <c r="M31" i="13"/>
  <c r="J31" i="13"/>
  <c r="J71" i="13"/>
  <c r="N31" i="13"/>
  <c r="N71" i="13"/>
  <c r="M71" i="13"/>
  <c r="L71" i="13"/>
  <c r="K71" i="13"/>
  <c r="M21" i="13"/>
  <c r="L21" i="13"/>
  <c r="K17" i="12"/>
  <c r="K93" i="12"/>
  <c r="N93" i="12"/>
  <c r="J93" i="12"/>
  <c r="M93" i="12"/>
  <c r="L93" i="12"/>
  <c r="J29" i="12"/>
  <c r="M29" i="12"/>
  <c r="N29" i="12"/>
  <c r="K29" i="12"/>
  <c r="J17" i="12"/>
  <c r="L29" i="12"/>
  <c r="N17" i="12"/>
  <c r="M17" i="12"/>
  <c r="L17" i="12"/>
  <c r="N23" i="11"/>
  <c r="N36" i="11" s="1"/>
  <c r="N53" i="11" s="1"/>
  <c r="N57" i="11" s="1"/>
  <c r="J36" i="11"/>
  <c r="L23" i="11"/>
  <c r="L36" i="11" s="1"/>
  <c r="L53" i="11" s="1"/>
  <c r="L57" i="11" s="1"/>
  <c r="M23" i="11"/>
  <c r="M36" i="11" s="1"/>
  <c r="M53" i="11" s="1"/>
  <c r="M57" i="11" s="1"/>
  <c r="M30" i="9"/>
  <c r="M31" i="9" s="1"/>
  <c r="J30" i="9"/>
  <c r="J31" i="9" s="1"/>
  <c r="N30" i="9"/>
  <c r="N31" i="9" s="1"/>
  <c r="K30" i="9"/>
  <c r="K31" i="9" s="1"/>
  <c r="L30" i="9"/>
  <c r="L31" i="9" s="1"/>
  <c r="N57" i="9"/>
  <c r="M101" i="8"/>
  <c r="N101" i="8"/>
  <c r="K101" i="8"/>
  <c r="L101" i="8"/>
  <c r="L32" i="8"/>
  <c r="N20" i="8"/>
  <c r="M20" i="8"/>
  <c r="M32" i="8"/>
  <c r="J32" i="8"/>
  <c r="N32" i="8"/>
  <c r="J20" i="8"/>
  <c r="L20" i="8"/>
  <c r="K20" i="8"/>
  <c r="K32" i="8"/>
  <c r="M50" i="7"/>
  <c r="J50" i="7"/>
  <c r="N33" i="7"/>
  <c r="L50" i="7"/>
  <c r="K50" i="7"/>
  <c r="K19" i="3"/>
  <c r="J19" i="3"/>
  <c r="M19" i="3"/>
  <c r="M55" i="4"/>
  <c r="N45" i="5"/>
  <c r="F45" i="5"/>
  <c r="K20" i="5"/>
  <c r="L20" i="5"/>
  <c r="L42" i="5" s="1"/>
  <c r="D20" i="5"/>
  <c r="H20" i="5"/>
  <c r="H42" i="5" s="1"/>
  <c r="J42" i="5"/>
  <c r="M20" i="5"/>
  <c r="M42" i="5" s="1"/>
  <c r="E20" i="5"/>
  <c r="E42" i="5" s="1"/>
  <c r="I42" i="5"/>
  <c r="N45" i="4"/>
  <c r="L51" i="3"/>
  <c r="L52" i="3" s="1"/>
  <c r="J51" i="3"/>
  <c r="N51" i="3"/>
  <c r="N52" i="3" s="1"/>
  <c r="N69" i="3" s="1"/>
  <c r="N73" i="3" s="1"/>
  <c r="M51" i="3"/>
  <c r="K51" i="3"/>
  <c r="M33" i="2"/>
  <c r="N100" i="2"/>
  <c r="M100" i="2"/>
  <c r="L100" i="2"/>
  <c r="K100" i="2"/>
  <c r="J100" i="2"/>
  <c r="J33" i="2"/>
  <c r="K33" i="2"/>
  <c r="L33" i="2"/>
  <c r="N33" i="2"/>
  <c r="J19" i="2"/>
  <c r="L19" i="2"/>
  <c r="K19" i="2"/>
  <c r="M19" i="2"/>
  <c r="N19" i="2"/>
  <c r="M46" i="21" l="1"/>
  <c r="M56" i="21" s="1"/>
  <c r="M60" i="21" s="1"/>
  <c r="K61" i="20"/>
  <c r="K76" i="20" s="1"/>
  <c r="K82" i="20" s="1"/>
  <c r="J45" i="22"/>
  <c r="J60" i="22" s="1"/>
  <c r="J65" i="22" s="1"/>
  <c r="N45" i="22"/>
  <c r="N60" i="22" s="1"/>
  <c r="N65" i="22" s="1"/>
  <c r="F94" i="19"/>
  <c r="F29" i="19"/>
  <c r="G94" i="19"/>
  <c r="D94" i="19"/>
  <c r="E94" i="19"/>
  <c r="L94" i="19"/>
  <c r="N75" i="19"/>
  <c r="L29" i="19"/>
  <c r="E29" i="19"/>
  <c r="I75" i="19"/>
  <c r="K29" i="19"/>
  <c r="F75" i="19"/>
  <c r="J94" i="19"/>
  <c r="D29" i="19"/>
  <c r="N94" i="19"/>
  <c r="L75" i="19"/>
  <c r="G75" i="19"/>
  <c r="H75" i="19"/>
  <c r="J75" i="19"/>
  <c r="H29" i="19"/>
  <c r="E75" i="19"/>
  <c r="L48" i="15"/>
  <c r="L58" i="15" s="1"/>
  <c r="L63" i="15" s="1"/>
  <c r="M83" i="18"/>
  <c r="D83" i="18"/>
  <c r="F83" i="18"/>
  <c r="K83" i="18"/>
  <c r="I83" i="18"/>
  <c r="C83" i="18"/>
  <c r="E83" i="18"/>
  <c r="L83" i="18"/>
  <c r="G83" i="18"/>
  <c r="N83" i="18"/>
  <c r="H83" i="18"/>
  <c r="M26" i="15"/>
  <c r="M48" i="15" s="1"/>
  <c r="M58" i="15" s="1"/>
  <c r="M63" i="15" s="1"/>
  <c r="J26" i="15"/>
  <c r="K26" i="15"/>
  <c r="K48" i="15" s="1"/>
  <c r="H120" i="18"/>
  <c r="C120" i="18"/>
  <c r="D120" i="18"/>
  <c r="E120" i="18"/>
  <c r="K21" i="10"/>
  <c r="K35" i="10" s="1"/>
  <c r="C35" i="10"/>
  <c r="J53" i="11"/>
  <c r="J57" i="11" s="1"/>
  <c r="F139" i="10"/>
  <c r="E35" i="10"/>
  <c r="M35" i="10"/>
  <c r="L30" i="12"/>
  <c r="L139" i="10"/>
  <c r="J139" i="10"/>
  <c r="D33" i="6"/>
  <c r="C81" i="1"/>
  <c r="J52" i="3"/>
  <c r="J69" i="3" s="1"/>
  <c r="J73" i="3" s="1"/>
  <c r="D19" i="1"/>
  <c r="C19" i="1"/>
  <c r="H19" i="1"/>
  <c r="I19" i="1"/>
  <c r="I34" i="1" s="1"/>
  <c r="D42" i="5"/>
  <c r="D45" i="5" s="1"/>
  <c r="G19" i="1"/>
  <c r="F19" i="1"/>
  <c r="F34" i="1" s="1"/>
  <c r="K45" i="5"/>
  <c r="K42" i="5"/>
  <c r="E19" i="1"/>
  <c r="L69" i="3"/>
  <c r="L73" i="3" s="1"/>
  <c r="M52" i="3"/>
  <c r="M69" i="3" s="1"/>
  <c r="M73" i="3" s="1"/>
  <c r="G29" i="19"/>
  <c r="K94" i="19"/>
  <c r="M94" i="19"/>
  <c r="H94" i="19"/>
  <c r="C75" i="19"/>
  <c r="K75" i="19"/>
  <c r="I29" i="19"/>
  <c r="C94" i="19"/>
  <c r="D75" i="19"/>
  <c r="J29" i="19"/>
  <c r="C29" i="19"/>
  <c r="I94" i="19"/>
  <c r="G120" i="18"/>
  <c r="I120" i="18"/>
  <c r="F120" i="18"/>
  <c r="M120" i="18"/>
  <c r="J83" i="18"/>
  <c r="N120" i="18"/>
  <c r="K120" i="18"/>
  <c r="I139" i="10"/>
  <c r="G139" i="10"/>
  <c r="G35" i="10"/>
  <c r="F102" i="10"/>
  <c r="I102" i="10"/>
  <c r="H35" i="10"/>
  <c r="L35" i="10"/>
  <c r="J35" i="10"/>
  <c r="E102" i="10"/>
  <c r="N139" i="10"/>
  <c r="K139" i="10"/>
  <c r="I35" i="10"/>
  <c r="C102" i="10"/>
  <c r="G102" i="10"/>
  <c r="C139" i="10"/>
  <c r="M139" i="10"/>
  <c r="H102" i="10"/>
  <c r="E139" i="10"/>
  <c r="D139" i="10"/>
  <c r="D102" i="10"/>
  <c r="F35" i="10"/>
  <c r="H139" i="10"/>
  <c r="D35" i="10"/>
  <c r="M33" i="6"/>
  <c r="H33" i="6"/>
  <c r="E33" i="6"/>
  <c r="I33" i="6"/>
  <c r="H105" i="6"/>
  <c r="H143" i="6"/>
  <c r="D143" i="6"/>
  <c r="I143" i="6"/>
  <c r="G143" i="6"/>
  <c r="G33" i="6"/>
  <c r="G105" i="6"/>
  <c r="L33" i="6"/>
  <c r="F33" i="6"/>
  <c r="D105" i="6"/>
  <c r="I105" i="6"/>
  <c r="C143" i="6"/>
  <c r="E105" i="6"/>
  <c r="E143" i="6"/>
  <c r="C105" i="6"/>
  <c r="F105" i="6"/>
  <c r="K33" i="6"/>
  <c r="F143" i="6"/>
  <c r="N33" i="6"/>
  <c r="L45" i="5"/>
  <c r="D118" i="1"/>
  <c r="I118" i="1"/>
  <c r="H118" i="1"/>
  <c r="G118" i="1"/>
  <c r="E118" i="1"/>
  <c r="C118" i="1"/>
  <c r="I81" i="1"/>
  <c r="E81" i="1"/>
  <c r="F81" i="1"/>
  <c r="F118" i="1"/>
  <c r="H81" i="1"/>
  <c r="G81" i="1"/>
  <c r="D81" i="1"/>
  <c r="M17" i="19"/>
  <c r="M29" i="19" s="1"/>
  <c r="J31" i="18"/>
  <c r="L19" i="18"/>
  <c r="L30" i="18" s="1"/>
  <c r="L31" i="18" s="1"/>
  <c r="M19" i="18"/>
  <c r="M30" i="18" s="1"/>
  <c r="M31" i="18" s="1"/>
  <c r="K19" i="18"/>
  <c r="K30" i="18" s="1"/>
  <c r="K31" i="18" s="1"/>
  <c r="K102" i="10"/>
  <c r="M102" i="10"/>
  <c r="J102" i="10"/>
  <c r="L102" i="10"/>
  <c r="N102" i="10"/>
  <c r="M105" i="6"/>
  <c r="J105" i="6"/>
  <c r="K105" i="6"/>
  <c r="L105" i="6"/>
  <c r="N105" i="6"/>
  <c r="J81" i="1"/>
  <c r="N81" i="1"/>
  <c r="M81" i="1"/>
  <c r="L81" i="1"/>
  <c r="K81" i="1"/>
  <c r="J20" i="1"/>
  <c r="J33" i="1" s="1"/>
  <c r="J34" i="1" s="1"/>
  <c r="J143" i="6"/>
  <c r="C33" i="6"/>
  <c r="M7" i="1"/>
  <c r="N7" i="1"/>
  <c r="M61" i="20"/>
  <c r="M76" i="20" s="1"/>
  <c r="M82" i="20" s="1"/>
  <c r="J46" i="21"/>
  <c r="J56" i="21" s="1"/>
  <c r="J60" i="21" s="1"/>
  <c r="I45" i="5"/>
  <c r="H45" i="5"/>
  <c r="J54" i="7"/>
  <c r="L33" i="8"/>
  <c r="L32" i="13"/>
  <c r="L72" i="13" s="1"/>
  <c r="L82" i="13" s="1"/>
  <c r="L89" i="13" s="1"/>
  <c r="L120" i="18"/>
  <c r="L30" i="17"/>
  <c r="L73" i="17" s="1"/>
  <c r="L90" i="17" s="1"/>
  <c r="L97" i="17" s="1"/>
  <c r="J120" i="18"/>
  <c r="M75" i="19"/>
  <c r="J76" i="20"/>
  <c r="J82" i="20" s="1"/>
  <c r="M45" i="22"/>
  <c r="M60" i="22" s="1"/>
  <c r="M65" i="22" s="1"/>
  <c r="K28" i="22"/>
  <c r="K45" i="22" s="1"/>
  <c r="K60" i="22" s="1"/>
  <c r="K65" i="22" s="1"/>
  <c r="N29" i="19"/>
  <c r="N31" i="18"/>
  <c r="N35" i="10"/>
  <c r="J7" i="6"/>
  <c r="N83" i="1"/>
  <c r="N118" i="1" s="1"/>
  <c r="K83" i="1"/>
  <c r="K118" i="1" s="1"/>
  <c r="M83" i="1"/>
  <c r="M118" i="1" s="1"/>
  <c r="J83" i="1"/>
  <c r="J118" i="1" s="1"/>
  <c r="L83" i="1"/>
  <c r="L118" i="1" s="1"/>
  <c r="K58" i="15"/>
  <c r="K63" i="15" s="1"/>
  <c r="K143" i="6"/>
  <c r="M143" i="6"/>
  <c r="N143" i="6"/>
  <c r="L143" i="6"/>
  <c r="N99" i="8"/>
  <c r="K34" i="1"/>
  <c r="L34" i="1"/>
  <c r="N76" i="20"/>
  <c r="N82" i="20" s="1"/>
  <c r="L76" i="20"/>
  <c r="L82" i="20" s="1"/>
  <c r="L45" i="22"/>
  <c r="L60" i="22" s="1"/>
  <c r="L65" i="22" s="1"/>
  <c r="K73" i="17"/>
  <c r="K90" i="17" s="1"/>
  <c r="K97" i="17" s="1"/>
  <c r="M73" i="17"/>
  <c r="M90" i="17" s="1"/>
  <c r="M97" i="17" s="1"/>
  <c r="N30" i="17"/>
  <c r="N73" i="17" s="1"/>
  <c r="N90" i="17" s="1"/>
  <c r="N97" i="17" s="1"/>
  <c r="J30" i="17"/>
  <c r="J73" i="17" s="1"/>
  <c r="J90" i="17" s="1"/>
  <c r="J97" i="17" s="1"/>
  <c r="K61" i="16"/>
  <c r="K96" i="16" s="1"/>
  <c r="K100" i="16" s="1"/>
  <c r="N30" i="16"/>
  <c r="N61" i="16" s="1"/>
  <c r="N96" i="16" s="1"/>
  <c r="N100" i="16" s="1"/>
  <c r="J61" i="16"/>
  <c r="J96" i="16" s="1"/>
  <c r="J100" i="16" s="1"/>
  <c r="M61" i="16"/>
  <c r="M96" i="16" s="1"/>
  <c r="M100" i="16" s="1"/>
  <c r="L61" i="16"/>
  <c r="L96" i="16" s="1"/>
  <c r="L100" i="16" s="1"/>
  <c r="I58" i="15"/>
  <c r="I63" i="15" s="1"/>
  <c r="N26" i="15"/>
  <c r="J32" i="13"/>
  <c r="J72" i="13" s="1"/>
  <c r="J82" i="13" s="1"/>
  <c r="J89" i="13" s="1"/>
  <c r="M32" i="13"/>
  <c r="M72" i="13" s="1"/>
  <c r="M82" i="13" s="1"/>
  <c r="M89" i="13" s="1"/>
  <c r="K32" i="13"/>
  <c r="K72" i="13" s="1"/>
  <c r="K82" i="13" s="1"/>
  <c r="K89" i="13" s="1"/>
  <c r="N32" i="13"/>
  <c r="N72" i="13" s="1"/>
  <c r="N82" i="13" s="1"/>
  <c r="N89" i="13" s="1"/>
  <c r="K30" i="12"/>
  <c r="K94" i="12" s="1"/>
  <c r="K127" i="12" s="1"/>
  <c r="K132" i="12" s="1"/>
  <c r="L94" i="12"/>
  <c r="L127" i="12" s="1"/>
  <c r="L132" i="12" s="1"/>
  <c r="M30" i="12"/>
  <c r="M94" i="12" s="1"/>
  <c r="M127" i="12" s="1"/>
  <c r="M132" i="12" s="1"/>
  <c r="J30" i="12"/>
  <c r="J94" i="12" s="1"/>
  <c r="J127" i="12" s="1"/>
  <c r="J132" i="12" s="1"/>
  <c r="N30" i="12"/>
  <c r="N94" i="12" s="1"/>
  <c r="N127" i="12" s="1"/>
  <c r="N132" i="12" s="1"/>
  <c r="J78" i="9"/>
  <c r="J85" i="9" s="1"/>
  <c r="M78" i="9"/>
  <c r="M85" i="9" s="1"/>
  <c r="K78" i="9"/>
  <c r="K85" i="9" s="1"/>
  <c r="L78" i="9"/>
  <c r="L85" i="9" s="1"/>
  <c r="N68" i="9"/>
  <c r="N78" i="9" s="1"/>
  <c r="N85" i="9" s="1"/>
  <c r="M33" i="8"/>
  <c r="N33" i="8"/>
  <c r="J33" i="8"/>
  <c r="K33" i="8"/>
  <c r="M54" i="7"/>
  <c r="N51" i="7"/>
  <c r="N54" i="7" s="1"/>
  <c r="L54" i="7"/>
  <c r="K54" i="7"/>
  <c r="K52" i="3"/>
  <c r="K69" i="3" s="1"/>
  <c r="K73" i="3" s="1"/>
  <c r="J45" i="5"/>
  <c r="M45" i="5"/>
  <c r="E45" i="5"/>
  <c r="L56" i="4"/>
  <c r="L60" i="4" s="1"/>
  <c r="K56" i="4"/>
  <c r="K60" i="4" s="1"/>
  <c r="J56" i="4"/>
  <c r="J60" i="4" s="1"/>
  <c r="M56" i="4"/>
  <c r="M60" i="4" s="1"/>
  <c r="N46" i="4"/>
  <c r="N56" i="4" s="1"/>
  <c r="N60" i="4" s="1"/>
  <c r="M34" i="2"/>
  <c r="J34" i="2"/>
  <c r="J66" i="2" s="1"/>
  <c r="N34" i="2"/>
  <c r="K34" i="2"/>
  <c r="L34" i="2"/>
  <c r="O81" i="1" l="1"/>
  <c r="O33" i="1"/>
  <c r="G76" i="19"/>
  <c r="G95" i="19" s="1"/>
  <c r="G102" i="19" s="1"/>
  <c r="F76" i="19"/>
  <c r="F95" i="19" s="1"/>
  <c r="F102" i="19" s="1"/>
  <c r="I76" i="19"/>
  <c r="I95" i="19" s="1"/>
  <c r="I102" i="19" s="1"/>
  <c r="E76" i="19"/>
  <c r="E95" i="19" s="1"/>
  <c r="E102" i="19" s="1"/>
  <c r="H76" i="19"/>
  <c r="H95" i="19" s="1"/>
  <c r="H102" i="19" s="1"/>
  <c r="D76" i="19"/>
  <c r="D95" i="19" s="1"/>
  <c r="D102" i="19" s="1"/>
  <c r="C76" i="19"/>
  <c r="C95" i="19" s="1"/>
  <c r="C102" i="19" s="1"/>
  <c r="N48" i="15"/>
  <c r="N58" i="15" s="1"/>
  <c r="N63" i="15" s="1"/>
  <c r="J58" i="15"/>
  <c r="J63" i="15" s="1"/>
  <c r="J48" i="15"/>
  <c r="K103" i="10"/>
  <c r="K140" i="10" s="1"/>
  <c r="K147" i="10" s="1"/>
  <c r="C103" i="10"/>
  <c r="C140" i="10" s="1"/>
  <c r="C147" i="10" s="1"/>
  <c r="E103" i="10"/>
  <c r="E140" i="10" s="1"/>
  <c r="E147" i="10" s="1"/>
  <c r="M103" i="10"/>
  <c r="M140" i="10" s="1"/>
  <c r="M147" i="10" s="1"/>
  <c r="F103" i="10"/>
  <c r="F140" i="10" s="1"/>
  <c r="F147" i="10" s="1"/>
  <c r="G103" i="10"/>
  <c r="G140" i="10" s="1"/>
  <c r="G147" i="10" s="1"/>
  <c r="I103" i="10"/>
  <c r="I140" i="10" s="1"/>
  <c r="I147" i="10" s="1"/>
  <c r="L140" i="8"/>
  <c r="D106" i="6"/>
  <c r="J20" i="6"/>
  <c r="J33" i="6" s="1"/>
  <c r="J106" i="6" s="1"/>
  <c r="H106" i="6"/>
  <c r="F106" i="6"/>
  <c r="M106" i="6"/>
  <c r="F82" i="1"/>
  <c r="J101" i="2"/>
  <c r="H34" i="1"/>
  <c r="H82" i="1" s="1"/>
  <c r="C34" i="1"/>
  <c r="D34" i="1"/>
  <c r="D82" i="1" s="1"/>
  <c r="G34" i="1"/>
  <c r="G82" i="1" s="1"/>
  <c r="E34" i="1"/>
  <c r="E82" i="1" s="1"/>
  <c r="M19" i="1"/>
  <c r="O19" i="1" s="1"/>
  <c r="N19" i="1"/>
  <c r="N34" i="1" s="1"/>
  <c r="H103" i="10"/>
  <c r="H140" i="10" s="1"/>
  <c r="H147" i="10" s="1"/>
  <c r="J103" i="10"/>
  <c r="J140" i="10" s="1"/>
  <c r="J147" i="10" s="1"/>
  <c r="D103" i="10"/>
  <c r="D140" i="10" s="1"/>
  <c r="D147" i="10" s="1"/>
  <c r="G106" i="6"/>
  <c r="E106" i="6"/>
  <c r="I106" i="6"/>
  <c r="L106" i="6"/>
  <c r="K106" i="6"/>
  <c r="C106" i="6"/>
  <c r="I82" i="1"/>
  <c r="N103" i="10"/>
  <c r="N140" i="10" s="1"/>
  <c r="L103" i="10"/>
  <c r="L140" i="10" s="1"/>
  <c r="L147" i="10" s="1"/>
  <c r="L82" i="1"/>
  <c r="K82" i="1"/>
  <c r="J82" i="1"/>
  <c r="N84" i="18"/>
  <c r="N121" i="18" s="1"/>
  <c r="N128" i="18" s="1"/>
  <c r="J140" i="8"/>
  <c r="N106" i="6"/>
  <c r="K140" i="8"/>
  <c r="N100" i="8"/>
  <c r="N134" i="8" s="1"/>
  <c r="N140" i="8" s="1"/>
  <c r="M140" i="8"/>
  <c r="M66" i="2"/>
  <c r="N66" i="2"/>
  <c r="K66" i="2"/>
  <c r="L66" i="2"/>
  <c r="C82" i="1" l="1"/>
  <c r="J144" i="6"/>
  <c r="I144" i="6"/>
  <c r="G144" i="6"/>
  <c r="M144" i="6"/>
  <c r="C144" i="6"/>
  <c r="F144" i="6"/>
  <c r="N144" i="6"/>
  <c r="K144" i="6"/>
  <c r="H144" i="6"/>
  <c r="L144" i="6"/>
  <c r="D144" i="6"/>
  <c r="E144" i="6"/>
  <c r="J106" i="2"/>
  <c r="I119" i="1"/>
  <c r="I124" i="1" s="1"/>
  <c r="C119" i="1"/>
  <c r="C124" i="1" s="1"/>
  <c r="F119" i="1"/>
  <c r="F124" i="1" s="1"/>
  <c r="E119" i="1"/>
  <c r="E124" i="1" s="1"/>
  <c r="G119" i="1"/>
  <c r="G124" i="1" s="1"/>
  <c r="H119" i="1"/>
  <c r="H124" i="1" s="1"/>
  <c r="D119" i="1"/>
  <c r="D124" i="1" s="1"/>
  <c r="K119" i="1"/>
  <c r="L119" i="1"/>
  <c r="M101" i="2"/>
  <c r="L101" i="2"/>
  <c r="N101" i="2"/>
  <c r="K101" i="2"/>
  <c r="M34" i="1"/>
  <c r="M82" i="1" s="1"/>
  <c r="M84" i="18"/>
  <c r="M121" i="18" s="1"/>
  <c r="M128" i="18" s="1"/>
  <c r="K84" i="18"/>
  <c r="K121" i="18" s="1"/>
  <c r="K128" i="18" s="1"/>
  <c r="L84" i="18"/>
  <c r="L121" i="18" s="1"/>
  <c r="L128" i="18" s="1"/>
  <c r="N82" i="1"/>
  <c r="O82" i="1" s="1"/>
  <c r="J84" i="18"/>
  <c r="J121" i="18" s="1"/>
  <c r="J128" i="18" s="1"/>
  <c r="N147" i="10"/>
  <c r="J119" i="1"/>
  <c r="J76" i="19"/>
  <c r="K76" i="19"/>
  <c r="L76" i="19"/>
  <c r="N76" i="19"/>
  <c r="N95" i="19" s="1"/>
  <c r="N102" i="19" s="1"/>
  <c r="M76" i="19"/>
  <c r="O34" i="1" l="1"/>
  <c r="K151" i="6"/>
  <c r="K4" i="6" s="1"/>
  <c r="N151" i="6"/>
  <c r="N4" i="6" s="1"/>
  <c r="I151" i="6"/>
  <c r="I4" i="6" s="1"/>
  <c r="H151" i="6"/>
  <c r="H4" i="6" s="1"/>
  <c r="J151" i="6"/>
  <c r="J4" i="6" s="1"/>
  <c r="F151" i="6"/>
  <c r="F4" i="6" s="1"/>
  <c r="C151" i="6"/>
  <c r="C4" i="6" s="1"/>
  <c r="E151" i="6"/>
  <c r="E4" i="6" s="1"/>
  <c r="M151" i="6"/>
  <c r="M4" i="6" s="1"/>
  <c r="L151" i="6"/>
  <c r="L4" i="6" s="1"/>
  <c r="D151" i="6"/>
  <c r="D4" i="6" s="1"/>
  <c r="G151" i="6"/>
  <c r="G4" i="6" s="1"/>
  <c r="J124" i="1"/>
  <c r="K106" i="2"/>
  <c r="N106" i="2"/>
  <c r="K124" i="1"/>
  <c r="L106" i="2"/>
  <c r="M106" i="2"/>
  <c r="L124" i="1"/>
  <c r="N119" i="1"/>
  <c r="M119" i="1"/>
  <c r="O119" i="1" s="1"/>
  <c r="J95" i="19"/>
  <c r="J102" i="19" s="1"/>
  <c r="M95" i="19"/>
  <c r="M102" i="19" s="1"/>
  <c r="L95" i="19"/>
  <c r="L102" i="19" s="1"/>
  <c r="K95" i="19"/>
  <c r="K102" i="19" s="1"/>
  <c r="M124" i="1" l="1"/>
  <c r="N124" i="1"/>
  <c r="O124" i="1" s="1"/>
  <c r="C7" i="18"/>
  <c r="C18" i="18" s="1"/>
  <c r="E7" i="18"/>
  <c r="E18" i="18" s="1"/>
  <c r="F7" i="18"/>
  <c r="D7" i="18"/>
  <c r="D18" i="18" s="1"/>
  <c r="G7" i="18"/>
  <c r="I7" i="18"/>
  <c r="H7" i="18"/>
  <c r="D31" i="18" l="1"/>
  <c r="D84" i="18" s="1"/>
  <c r="D121" i="18" s="1"/>
  <c r="D128" i="18" s="1"/>
  <c r="E31" i="18"/>
  <c r="E84" i="18" s="1"/>
  <c r="E121" i="18" s="1"/>
  <c r="E128" i="18" s="1"/>
  <c r="F18" i="18"/>
  <c r="G18" i="18"/>
  <c r="H18" i="18"/>
  <c r="C31" i="18"/>
  <c r="C84" i="18" s="1"/>
  <c r="C121" i="18" s="1"/>
  <c r="C128" i="18" s="1"/>
  <c r="I18" i="18"/>
  <c r="I31" i="18" l="1"/>
  <c r="I84" i="18" s="1"/>
  <c r="I121" i="18" s="1"/>
  <c r="I128" i="18" s="1"/>
  <c r="G31" i="18"/>
  <c r="G84" i="18" s="1"/>
  <c r="G121" i="18" s="1"/>
  <c r="G128" i="18" s="1"/>
  <c r="H31" i="18"/>
  <c r="H84" i="18" s="1"/>
  <c r="H121" i="18" s="1"/>
  <c r="H128" i="18" s="1"/>
  <c r="F31" i="18"/>
  <c r="F84" i="18" s="1"/>
  <c r="F121" i="18" s="1"/>
  <c r="F128" i="18" s="1"/>
</calcChain>
</file>

<file path=xl/sharedStrings.xml><?xml version="1.0" encoding="utf-8"?>
<sst xmlns="http://schemas.openxmlformats.org/spreadsheetml/2006/main" count="6520" uniqueCount="393">
  <si>
    <t>7810-KUEHNE + NAGEL S.A.-PERU(PE83)</t>
  </si>
  <si>
    <t>Currency: PEN(TLC)</t>
  </si>
  <si>
    <t>Statement ID: SGIPLALLM(P/L Statement (Sub-Dept))</t>
  </si>
  <si>
    <t>report Date: 18/08/2016</t>
  </si>
  <si>
    <t xml:space="preserve">Comp Code:  - Branch: PE83 - Org Code:  </t>
  </si>
  <si>
    <t>Format ID: SGIPL7</t>
  </si>
  <si>
    <t>report Time: 10:05:36 PE</t>
  </si>
  <si>
    <t>FOR THE MONTH OF Jul, 2016 - (07/2016)</t>
  </si>
  <si>
    <t>report User: ricardo.garcia</t>
  </si>
  <si>
    <t>Account</t>
  </si>
  <si>
    <t>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</si>
  <si>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</si>
  <si>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</si>
  <si>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</si>
  <si>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</si>
  <si>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</si>
  <si>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</si>
  <si>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</si>
  <si>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</si>
  <si>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</si>
  <si>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</si>
  <si>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</si>
  <si>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</si>
  <si>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30</t>
  </si>
  <si>
    <t>Invoiced turnover 3rd party</t>
  </si>
  <si>
    <t>3011010</t>
  </si>
  <si>
    <t>FORWARDING ACTIVITIES-WITH VAT</t>
  </si>
  <si>
    <t>3045000</t>
  </si>
  <si>
    <t>TURNOVER-MAIN CARRIAGE</t>
  </si>
  <si>
    <t>3045004</t>
  </si>
  <si>
    <t>FORWARDING ACTVIT (WITHOUT VAT</t>
  </si>
  <si>
    <t>3045008</t>
  </si>
  <si>
    <t>AIRFREIGHT EXPORT</t>
  </si>
  <si>
    <t>3045010</t>
  </si>
  <si>
    <t>TURNOVER WITH VAT</t>
  </si>
  <si>
    <t>3045046</t>
  </si>
  <si>
    <t>YXCHANGE GAINS/LOSSES A/R</t>
  </si>
  <si>
    <t>305</t>
  </si>
  <si>
    <t>Invoiced turnover 3rd party-Duties/Taxes</t>
  </si>
  <si>
    <t>3111/21</t>
  </si>
  <si>
    <t>Intra-/Intercompany turnover</t>
  </si>
  <si>
    <t>32</t>
  </si>
  <si>
    <t>Deferred trade income</t>
  </si>
  <si>
    <t>3221009</t>
  </si>
  <si>
    <t>DEFERRED TRADE INCOME</t>
  </si>
  <si>
    <t>33</t>
  </si>
  <si>
    <t>Profit share income/(expenses) KN</t>
  </si>
  <si>
    <t>A   TOTAL TURNOVER</t>
  </si>
  <si>
    <t>40</t>
  </si>
  <si>
    <t>Invoiced trade expenses 3rd party</t>
  </si>
  <si>
    <t>4011002</t>
  </si>
  <si>
    <t>INVOICED TRADE EXPE.WITH VAT</t>
  </si>
  <si>
    <t>4011052</t>
  </si>
  <si>
    <t>EXCHANGE GAINS/LOSSES A/P</t>
  </si>
  <si>
    <t>4045000</t>
  </si>
  <si>
    <t>TRADE EXP-MAIN CARRIAGE</t>
  </si>
  <si>
    <t>4045002</t>
  </si>
  <si>
    <t>4045003</t>
  </si>
  <si>
    <t>INVOICED TRADE EXPENSES</t>
  </si>
  <si>
    <t>4045052</t>
  </si>
  <si>
    <t>405</t>
  </si>
  <si>
    <t>Invoiced trade exp 3rd party-Duties/Taxes</t>
  </si>
  <si>
    <t>4111/21</t>
  </si>
  <si>
    <t>Intra-/Intercompany expenses</t>
  </si>
  <si>
    <t>4211</t>
  </si>
  <si>
    <t>Accrued trade expenses</t>
  </si>
  <si>
    <t>4211009</t>
  </si>
  <si>
    <t>ACCRUED TRADE EXPENSES</t>
  </si>
  <si>
    <t>4221</t>
  </si>
  <si>
    <t>Deferred trade expenses</t>
  </si>
  <si>
    <t>4221008</t>
  </si>
  <si>
    <t>DEFERRED TRADE EXPENSES</t>
  </si>
  <si>
    <t>B   TOTAL TRADE EXPENSES</t>
  </si>
  <si>
    <t>C   GROSS PROFIT</t>
  </si>
  <si>
    <t xml:space="preserve"> </t>
  </si>
  <si>
    <t>50</t>
  </si>
  <si>
    <t>Manpower</t>
  </si>
  <si>
    <t>5010001</t>
  </si>
  <si>
    <t>SALARIES/WAGES</t>
  </si>
  <si>
    <t>5010002</t>
  </si>
  <si>
    <t>SALARIES/MOV.</t>
  </si>
  <si>
    <t>5011002</t>
  </si>
  <si>
    <t>FOR 13TH &amp; 14TH SALARY</t>
  </si>
  <si>
    <t>5011003</t>
  </si>
  <si>
    <t>FOR PROFIT SHARE EMPLOYEES</t>
  </si>
  <si>
    <t>5012008</t>
  </si>
  <si>
    <t>OVERTIME</t>
  </si>
  <si>
    <t>5015001</t>
  </si>
  <si>
    <t>FOR UNTAKEN ANNUAL LEAVE</t>
  </si>
  <si>
    <t>5020000</t>
  </si>
  <si>
    <t>EMPLOYER CONTR. SOC. SECURITY</t>
  </si>
  <si>
    <t>5040001</t>
  </si>
  <si>
    <t>SEPARATION ALLOWANCE</t>
  </si>
  <si>
    <t>5040002</t>
  </si>
  <si>
    <t>SOCIAL EXPENSES/CTS</t>
  </si>
  <si>
    <t>5050001</t>
  </si>
  <si>
    <t>LUNCH CHECKS</t>
  </si>
  <si>
    <t>5052001</t>
  </si>
  <si>
    <t>CANTEEN</t>
  </si>
  <si>
    <t>5056000</t>
  </si>
  <si>
    <t>ACCIDENT INSURANCE SCTR-SALUD</t>
  </si>
  <si>
    <t>5056002</t>
  </si>
  <si>
    <t>ACCIDENT INSURANCE MULTIRIESGO</t>
  </si>
  <si>
    <t>5058001</t>
  </si>
  <si>
    <t>ILLNESS INSURANCE PRIVATE EPS</t>
  </si>
  <si>
    <t>5060001</t>
  </si>
  <si>
    <t>TEMPORARY STAFF FM 3RD PARTY</t>
  </si>
  <si>
    <t>5060003</t>
  </si>
  <si>
    <t>TEMPORARY STAFF-OVER TIME FM3RD PARTY</t>
  </si>
  <si>
    <t>5068001</t>
  </si>
  <si>
    <t>OVERALLS</t>
  </si>
  <si>
    <t>51</t>
  </si>
  <si>
    <t>Administration</t>
  </si>
  <si>
    <t>5110001</t>
  </si>
  <si>
    <t>OFFICE MATERIAL/</t>
  </si>
  <si>
    <t>5111000</t>
  </si>
  <si>
    <t>PRINTER AND PHOTOCOPIER SERVIC</t>
  </si>
  <si>
    <t>5157001</t>
  </si>
  <si>
    <t>EXTERNAL CONSULTING EXPENSE</t>
  </si>
  <si>
    <t>52</t>
  </si>
  <si>
    <t>Communication</t>
  </si>
  <si>
    <t>5230002</t>
  </si>
  <si>
    <t>MOBILE PHONE NEXTEL</t>
  </si>
  <si>
    <t>5230004</t>
  </si>
  <si>
    <t>MOBILE PHONE CLARO</t>
  </si>
  <si>
    <t>5280001</t>
  </si>
  <si>
    <t>COURIER SERVICE EXPENSES</t>
  </si>
  <si>
    <t>53</t>
  </si>
  <si>
    <t>Advertising/Travel</t>
  </si>
  <si>
    <t>5356002</t>
  </si>
  <si>
    <t>PERSSONAL TRANSPORTATION</t>
  </si>
  <si>
    <t>5358001</t>
  </si>
  <si>
    <t>ENTERTAINMENT</t>
  </si>
  <si>
    <t>54</t>
  </si>
  <si>
    <t>Vehicle/Equipment</t>
  </si>
  <si>
    <t>5421000</t>
  </si>
  <si>
    <t>SUPPLEMENTARY EDP EQUIPMENT</t>
  </si>
  <si>
    <t>55</t>
  </si>
  <si>
    <t>Depreciation of PPE</t>
  </si>
  <si>
    <t>555</t>
  </si>
  <si>
    <t>Amortisation + impairment of int. + goodwill</t>
  </si>
  <si>
    <t>56</t>
  </si>
  <si>
    <t>Other operating expenses/(income)</t>
  </si>
  <si>
    <t>57</t>
  </si>
  <si>
    <t>Facilities</t>
  </si>
  <si>
    <t>5710001</t>
  </si>
  <si>
    <t>RENT</t>
  </si>
  <si>
    <t>5711000</t>
  </si>
  <si>
    <t>INTERNAL RENT</t>
  </si>
  <si>
    <t>5721001</t>
  </si>
  <si>
    <t>UTILITIES-ENERGY</t>
  </si>
  <si>
    <t>5722001</t>
  </si>
  <si>
    <t>UTILITIES-WATER</t>
  </si>
  <si>
    <t>5750001</t>
  </si>
  <si>
    <t>SECURITY EXPENSES</t>
  </si>
  <si>
    <t>5770001</t>
  </si>
  <si>
    <t>MAINTENANCE/REP. OF BUILDING</t>
  </si>
  <si>
    <t>59</t>
  </si>
  <si>
    <t>Bad debts/Collection expenses</t>
  </si>
  <si>
    <t>5950001</t>
  </si>
  <si>
    <t>RECEIVABLE PROVISION TRADE</t>
  </si>
  <si>
    <t>5951009</t>
  </si>
  <si>
    <t>ACTUAL WRITE-OFFS RECEIVABLES</t>
  </si>
  <si>
    <t>5990100</t>
  </si>
  <si>
    <t>DOUBLE/OVERPAYMENTS FROM A/R</t>
  </si>
  <si>
    <t>D   TOTAL DIRECT EXPENSES</t>
  </si>
  <si>
    <t>E   PROFIT 1</t>
  </si>
  <si>
    <t>600/603</t>
  </si>
  <si>
    <t>NO/BO - Allocation</t>
  </si>
  <si>
    <t>6008001</t>
  </si>
  <si>
    <t>BRANCH PERSONNEL MANAGER</t>
  </si>
  <si>
    <t>6021004</t>
  </si>
  <si>
    <t>MANAGEMENT AT BRANCH LEVEL WM</t>
  </si>
  <si>
    <t>6021006</t>
  </si>
  <si>
    <t>MANAGEMENT AT NATIONAL FD</t>
  </si>
  <si>
    <t>6021016</t>
  </si>
  <si>
    <t>MANAGEMENT AT NATIONAL DEDICAT ED TO BU</t>
  </si>
  <si>
    <t>6022004</t>
  </si>
  <si>
    <t>CORPORATE COMPETENCE CCL</t>
  </si>
  <si>
    <t>6022006</t>
  </si>
  <si>
    <t>CORPORATE COMPETENCE CCD</t>
  </si>
  <si>
    <t>6026001</t>
  </si>
  <si>
    <t>NATIONAL MANAGEMENT</t>
  </si>
  <si>
    <t>6027001</t>
  </si>
  <si>
    <t>NATIONAL FINANCE</t>
  </si>
  <si>
    <t>6027002</t>
  </si>
  <si>
    <t>ALLOCATION NFL</t>
  </si>
  <si>
    <t>6027003</t>
  </si>
  <si>
    <t>6027005</t>
  </si>
  <si>
    <t>ALLOCATION NFR</t>
  </si>
  <si>
    <t>6027006</t>
  </si>
  <si>
    <t>ALLOCATION NFP</t>
  </si>
  <si>
    <t>6027007</t>
  </si>
  <si>
    <t>ALLOCATION NFM</t>
  </si>
  <si>
    <t>6028001</t>
  </si>
  <si>
    <t>NATIONAL PERSONNEL MANAGEMENT</t>
  </si>
  <si>
    <t>6029001</t>
  </si>
  <si>
    <t>NATIONAL SUPPORT SERVICES NMO</t>
  </si>
  <si>
    <t>6030001</t>
  </si>
  <si>
    <t>NATIONAL QUALITY MANAGEMENT</t>
  </si>
  <si>
    <t>604/606</t>
  </si>
  <si>
    <t>CE - Allocation</t>
  </si>
  <si>
    <t>6042001</t>
  </si>
  <si>
    <t>LOCAL CE ALLOC.-INTERNAL DATACENTRE</t>
  </si>
  <si>
    <t>6043001</t>
  </si>
  <si>
    <t>EXTERNAL DATA CENTRE</t>
  </si>
  <si>
    <t>6046001</t>
  </si>
  <si>
    <t>HARDWARE &amp; DESKTOP SUPPORT</t>
  </si>
  <si>
    <t>6047001</t>
  </si>
  <si>
    <t>COMUNICATION &amp; MESSAGING</t>
  </si>
  <si>
    <t>6048001</t>
  </si>
  <si>
    <t>NETWORK</t>
  </si>
  <si>
    <t>6050002</t>
  </si>
  <si>
    <t>SOFTWARE LIDA</t>
  </si>
  <si>
    <t>6051002</t>
  </si>
  <si>
    <t>OTHER SOFTWARE DEVELOP LIDX</t>
  </si>
  <si>
    <t>6053001</t>
  </si>
  <si>
    <t>IT NATIONAL &amp; LOCAL MANAGEMENT</t>
  </si>
  <si>
    <t>6060006</t>
  </si>
  <si>
    <t>CORPORATE IT REBILL GIFW</t>
  </si>
  <si>
    <t>6060007</t>
  </si>
  <si>
    <t>CORPORATE IT REBILL GIFD</t>
  </si>
  <si>
    <t>6065006</t>
  </si>
  <si>
    <t>SHARED SERVICE CENTRE-ALLOCATI ON FW</t>
  </si>
  <si>
    <t>6065007</t>
  </si>
  <si>
    <t>SHARED SERVICE CENTRE-ALLOCATI ON FD</t>
  </si>
  <si>
    <t>607/609</t>
  </si>
  <si>
    <t>VM - Allocation</t>
  </si>
  <si>
    <t>61</t>
  </si>
  <si>
    <t>Rebills</t>
  </si>
  <si>
    <t>62</t>
  </si>
  <si>
    <t>CF/RMF</t>
  </si>
  <si>
    <t>6210000</t>
  </si>
  <si>
    <t>CONSULTANCY FEES</t>
  </si>
  <si>
    <t>6220000</t>
  </si>
  <si>
    <t>REGIONAL MANAGEMENT FEES</t>
  </si>
  <si>
    <t>F   TOTAL INDIRECT EXPENSES</t>
  </si>
  <si>
    <t>G   EBIT</t>
  </si>
  <si>
    <t>65 + 66</t>
  </si>
  <si>
    <t>Financial expenses/(income)</t>
  </si>
  <si>
    <t>6519000</t>
  </si>
  <si>
    <t>INTEREST EXP - WORKING CAPITAL</t>
  </si>
  <si>
    <t>6519010</t>
  </si>
  <si>
    <t>INTEREST (INC)-WORKING CAPITAL</t>
  </si>
  <si>
    <t>67</t>
  </si>
  <si>
    <t>Result from Assoc. + Joint venture</t>
  </si>
  <si>
    <t>H   PROFIT 2</t>
  </si>
  <si>
    <t>Statistical information</t>
  </si>
  <si>
    <t>90</t>
  </si>
  <si>
    <t>Headcount</t>
  </si>
  <si>
    <t>9000000</t>
  </si>
  <si>
    <t>HEADCOUNT</t>
  </si>
  <si>
    <t>91</t>
  </si>
  <si>
    <t>Full time equivalent</t>
  </si>
  <si>
    <t>9100000</t>
  </si>
  <si>
    <t>FULL TIME EQUIVALENT</t>
  </si>
  <si>
    <t>9101</t>
  </si>
  <si>
    <t>FTE - White collar</t>
  </si>
  <si>
    <t>9101000</t>
  </si>
  <si>
    <t>FTE - WHITE COLLAR</t>
  </si>
  <si>
    <t>9102</t>
  </si>
  <si>
    <t>FTE - Blue collar</t>
  </si>
  <si>
    <t>9102000</t>
  </si>
  <si>
    <t>FTE - BLUE COLLAR</t>
  </si>
  <si>
    <t>9103</t>
  </si>
  <si>
    <t>FTE - Temporary staff</t>
  </si>
  <si>
    <t>9103000</t>
  </si>
  <si>
    <t>FTE - TEMP STAFF</t>
  </si>
  <si>
    <t>9104</t>
  </si>
  <si>
    <t>FTE - SSC</t>
  </si>
  <si>
    <t>9105</t>
  </si>
  <si>
    <t>FTE - Rebill</t>
  </si>
  <si>
    <t>9200</t>
  </si>
  <si>
    <t>No. of orders</t>
  </si>
  <si>
    <t>9300</t>
  </si>
  <si>
    <t>Actual tons</t>
  </si>
  <si>
    <t>9404</t>
  </si>
  <si>
    <t>Available space (M2)</t>
  </si>
  <si>
    <t>9404000</t>
  </si>
  <si>
    <t>AVAILABEL SPACE (M2)</t>
  </si>
  <si>
    <t>9405</t>
  </si>
  <si>
    <t>Used space (M2)</t>
  </si>
  <si>
    <t>9405000</t>
  </si>
  <si>
    <t>USED SPACE (M2)</t>
  </si>
  <si>
    <t>9406</t>
  </si>
  <si>
    <t>Idle space (M2)</t>
  </si>
  <si>
    <t>9406000</t>
  </si>
  <si>
    <t>IDLE SPACE (M2)</t>
  </si>
  <si>
    <t>9511</t>
  </si>
  <si>
    <t>KM Produced - Overland</t>
  </si>
  <si>
    <t>GP/FTE</t>
  </si>
  <si>
    <t>GP/Kilo</t>
  </si>
  <si>
    <t>***</t>
  </si>
  <si>
    <t>GP/TEU</t>
  </si>
  <si>
    <t>Orders/FTE</t>
  </si>
  <si>
    <t>GP/Order</t>
  </si>
  <si>
    <t>Comp Code:  - Branch: PE83 - 13: Centre DW1</t>
  </si>
  <si>
    <t>Comp Code:  - Branch: PE83 - 13: Centre WP1</t>
  </si>
  <si>
    <t>Comp Code:  - Branch: PE83 - 13: Centre WR1</t>
  </si>
  <si>
    <t>Comp Code:  - Branch: PE83 - 13: Centre WV1</t>
  </si>
  <si>
    <t>3011046</t>
  </si>
  <si>
    <t>5051001</t>
  </si>
  <si>
    <t>SUBSISTENCE (EMPLOYEE ALONEFOOD EXPENSES DURING TRAVEL)</t>
  </si>
  <si>
    <t>5052002</t>
  </si>
  <si>
    <t>PERSSONAL DINNERS</t>
  </si>
  <si>
    <t>5058002</t>
  </si>
  <si>
    <t>LIFE INSURANCE</t>
  </si>
  <si>
    <t>5074001</t>
  </si>
  <si>
    <t>OTHER TRAINING EXPENSES</t>
  </si>
  <si>
    <t>5110003</t>
  </si>
  <si>
    <t>OFFICE MATERIAL/PRINTING-COPY</t>
  </si>
  <si>
    <t>5155001</t>
  </si>
  <si>
    <t>QUALITY EXPENSES (QM)</t>
  </si>
  <si>
    <t>5160003</t>
  </si>
  <si>
    <t>LEGAL EXPENSES</t>
  </si>
  <si>
    <t>5352001</t>
  </si>
  <si>
    <t>AIRTICKETS-INTERNATIONAL</t>
  </si>
  <si>
    <t>5353001</t>
  </si>
  <si>
    <t>TAXI FARE/PARKING DURING TRAVE</t>
  </si>
  <si>
    <t>5356004</t>
  </si>
  <si>
    <t>TRANSPORTATION OF GOODS</t>
  </si>
  <si>
    <t>5358002</t>
  </si>
  <si>
    <t>DINNERS WITH CLIENT/SUPPLIER</t>
  </si>
  <si>
    <t>5360001</t>
  </si>
  <si>
    <t>MEMBERSHIP SUBSCRIPTIONS</t>
  </si>
  <si>
    <t>5362001</t>
  </si>
  <si>
    <t>HOTEL EXPENSES-INTERNATIONAL</t>
  </si>
  <si>
    <t>5401001</t>
  </si>
  <si>
    <t>LEASING OF FORK LIFT TRUCKS</t>
  </si>
  <si>
    <t>5410100</t>
  </si>
  <si>
    <t>LEASING OPERATING EQUIPMENT</t>
  </si>
  <si>
    <t>5420100</t>
  </si>
  <si>
    <t>MAINT.OPERATING EQUIPMENT</t>
  </si>
  <si>
    <t>5424100</t>
  </si>
  <si>
    <t>MAINTENANCE OFFICE EQUIP/FURNI</t>
  </si>
  <si>
    <t>5431100</t>
  </si>
  <si>
    <t>SHRINKING FOIL,WRAPPING MAT.</t>
  </si>
  <si>
    <t>5470002</t>
  </si>
  <si>
    <t>COMPANY CONTR USAGE PRIV.VEHIC</t>
  </si>
  <si>
    <t>5522000</t>
  </si>
  <si>
    <t>DEPR ROLLS-CONTAINERS-CAGESOTHER STORAGE EQUIPMENT</t>
  </si>
  <si>
    <t>5540001</t>
  </si>
  <si>
    <t>DEPR LEASEHOLD IMPROVEMENTS</t>
  </si>
  <si>
    <t>5540002</t>
  </si>
  <si>
    <t>DEPR VIDEO SURVEILL.SYSTEM</t>
  </si>
  <si>
    <t>5553000</t>
  </si>
  <si>
    <t>DEPRE.DESKTOP/LAPTOP/PC'S/MONI</t>
  </si>
  <si>
    <t>5560001</t>
  </si>
  <si>
    <t>DEPR OFFICE EQUIPMENT</t>
  </si>
  <si>
    <t>5565001</t>
  </si>
  <si>
    <t>DEPR OFFICE FURNITURE</t>
  </si>
  <si>
    <t>5570001</t>
  </si>
  <si>
    <t>DEPR NON-CAPITALISABLE PURCH.</t>
  </si>
  <si>
    <t>5568001</t>
  </si>
  <si>
    <t>DEPR SOFTWARE</t>
  </si>
  <si>
    <t>5730002</t>
  </si>
  <si>
    <t>CLEANING AND MAINTENANCE</t>
  </si>
  <si>
    <t>6130000</t>
  </si>
  <si>
    <t>REBILLS INTRA REGIONAL INCOMIN</t>
  </si>
  <si>
    <t>6551000</t>
  </si>
  <si>
    <t>**LOSS ON EXCHANGE</t>
  </si>
  <si>
    <t>6651002</t>
  </si>
  <si>
    <t>PROFIT ON EXCHANGE - Loss account</t>
  </si>
  <si>
    <t>9401000</t>
  </si>
  <si>
    <t>9402000</t>
  </si>
  <si>
    <t>9403000</t>
  </si>
  <si>
    <t>FTE - TEMP.STAFF</t>
  </si>
  <si>
    <t>Comp Code:  - Branch: PE83 - 13: Centre DW5</t>
  </si>
  <si>
    <t>Comp Code:  - Branch: PE83 - 13: Centre WP5</t>
  </si>
  <si>
    <t>Comp Code:  - Branch: PE83 - 13: Centre WR5</t>
  </si>
  <si>
    <t>3011004</t>
  </si>
  <si>
    <t>5356003</t>
  </si>
  <si>
    <t>TRANSPORTATION NO TAXABLE</t>
  </si>
  <si>
    <t>5422100</t>
  </si>
  <si>
    <t>MAINTENANCE EDP</t>
  </si>
  <si>
    <t>5440123</t>
  </si>
  <si>
    <t>GASOLINE (ROSANNA BASURCO)</t>
  </si>
  <si>
    <t>5521000</t>
  </si>
  <si>
    <t>DEPRECIATION FORKLIFT TRUCKS</t>
  </si>
  <si>
    <t>5610100</t>
  </si>
  <si>
    <t>LOSS ON SALE OF FIXED ASSETS</t>
  </si>
  <si>
    <t>Comp Code:  - Branch: PE83 - 13: Centre DW11</t>
  </si>
  <si>
    <t>Comp Code:  - Branch: PE83 - 13: Centre WP11</t>
  </si>
  <si>
    <t>Comp Code:  - Branch: PE83 - 13: Centre WR11</t>
  </si>
  <si>
    <t>Comp Code:  - Branch: PE83 - 13: Centre WV11</t>
  </si>
  <si>
    <t>Comp Code:  - Branch: PE83 - 13: Centre WR13</t>
  </si>
  <si>
    <t>Comp Code:  - Branch: PE83 - 13: Centre DW13</t>
  </si>
  <si>
    <t>Comp Code:  - Branch: PE83 - 13: Centre WP13</t>
  </si>
  <si>
    <t>5120001</t>
  </si>
  <si>
    <t>EDP-SERVICE BUREAU</t>
  </si>
  <si>
    <t>Comp Code:  - Branch: PE83 - 13: Centre WP14</t>
  </si>
  <si>
    <t>Comp Code:  - Branch: PE83 - 13: Centre WR14</t>
  </si>
  <si>
    <t>Comp Code:  - Branch: PE83 - 13: Centre DW14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</si>
</sst>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2" fillId="0" borderId="2" xfId="0" applyFont="1" applyBorder="1"/>
    <xf numFmtId="0" fontId="3" fillId="0" borderId="2" xfId="0" applyFont="1" applyBorder="1"/>
    <xf numFmtId="49" fontId="3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2" fillId="0" borderId="0" xfId="0" applyNumberFormat="1" applyFont="1"/>
    <xf numFmtId="164" fontId="2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3" fillId="0" borderId="3" xfId="0" applyFont="1" applyBorder="1"/>
    <xf numFmtId="164" fontId="3" fillId="0" borderId="3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9" fontId="2" fillId="0" borderId="0" xfId="1" applyFont="1" applyAlignment="1">
      <alignment horizontal="right"/>
    </xf>
    <xf numFmtId="4" fontId="2" fillId="0" borderId="0" xfId="0" applyNumberFormat="1" applyFont="1" applyAlignment="1">
      <alignment horizontal="right"/>
    </xf>
    <xf numFmtId="164" fontId="2" fillId="3" borderId="0" xfId="0" applyNumberFormat="1" applyFont="1" applyFill="1" applyAlignment="1">
      <alignment horizontal="right"/>
    </xf>
    <xf numFmtId="164" fontId="3" fillId="4" borderId="3" xfId="0" applyNumberFormat="1" applyFont="1" applyFill="1" applyBorder="1" applyAlignment="1">
      <alignment horizontal="right"/>
    </xf>
    <xf numFmtId="164" fontId="3" fillId="3" borderId="1" xfId="0" applyNumberFormat="1" applyFont="1" applyFill="1" applyBorder="1" applyAlignment="1">
      <alignment horizontal="right"/>
    </xf>
    <xf numFmtId="164" fontId="3" fillId="3" borderId="3" xfId="0" applyNumberFormat="1" applyFont="1" applyFill="1" applyBorder="1" applyAlignment="1">
      <alignment horizontal="right"/>
    </xf>
    <xf numFmtId="164" fontId="3" fillId="5" borderId="3" xfId="0" applyNumberFormat="1" applyFont="1" applyFill="1" applyBorder="1" applyAlignment="1">
      <alignment horizontal="right"/>
    </xf>
    <xf numFmtId="2" fontId="2" fillId="0" borderId="0" xfId="0" applyNumberFormat="1" applyFont="1"/>
    <xf numFmtId="164" fontId="3" fillId="6" borderId="3" xfId="0" applyNumberFormat="1" applyFont="1" applyFill="1" applyBorder="1" applyAlignment="1">
      <alignment horizontal="right"/>
    </xf>
    <xf numFmtId="164" fontId="2" fillId="7" borderId="0" xfId="0" applyNumberFormat="1" applyFont="1" applyFill="1" applyAlignment="1">
      <alignment horizontal="right"/>
    </xf>
    <xf numFmtId="164" fontId="2" fillId="8" borderId="0" xfId="0" applyNumberFormat="1" applyFont="1" applyFill="1" applyAlignment="1">
      <alignment horizontal="right"/>
    </xf>
    <xf numFmtId="164" fontId="3" fillId="8" borderId="3" xfId="0" applyNumberFormat="1" applyFont="1" applyFill="1" applyBorder="1" applyAlignment="1">
      <alignment horizontal="right"/>
    </xf>
    <xf numFmtId="164" fontId="3" fillId="8" borderId="1" xfId="0" applyNumberFormat="1" applyFont="1" applyFill="1" applyBorder="1" applyAlignment="1">
      <alignment horizontal="right"/>
    </xf>
    <xf numFmtId="0" fontId="3" fillId="7" borderId="3" xfId="0" applyFont="1" applyFill="1" applyBorder="1"/>
    <xf numFmtId="164" fontId="3" fillId="7" borderId="3" xfId="0" applyNumberFormat="1" applyFont="1" applyFill="1" applyBorder="1" applyAlignment="1">
      <alignment horizontal="right"/>
    </xf>
    <xf numFmtId="49" fontId="2" fillId="4" borderId="0" xfId="0" applyNumberFormat="1" applyFont="1" applyFill="1"/>
    <xf numFmtId="0" fontId="2" fillId="4" borderId="0" xfId="0" applyFont="1" applyFill="1"/>
    <xf numFmtId="0" fontId="3" fillId="4" borderId="3" xfId="0" applyFont="1" applyFill="1" applyBorder="1"/>
    <xf numFmtId="0" fontId="3" fillId="4" borderId="1" xfId="0" applyFont="1" applyFill="1" applyBorder="1"/>
    <xf numFmtId="164" fontId="2" fillId="4" borderId="0" xfId="0" applyNumberFormat="1" applyFont="1" applyFill="1" applyAlignment="1">
      <alignment horizontal="right" wrapText="1"/>
    </xf>
    <xf numFmtId="0" fontId="3" fillId="8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0" xfId="0" applyFont="1"/>
    <xf numFmtId="164" fontId="2" fillId="4" borderId="0" xfId="0" applyNumberFormat="1" applyFont="1" applyFill="1" applyAlignment="1">
      <alignment horizontal="right"/>
    </xf>
    <xf numFmtId="164" fontId="3" fillId="4" borderId="1" xfId="0" applyNumberFormat="1" applyFont="1" applyFill="1" applyBorder="1" applyAlignment="1">
      <alignment horizontal="right"/>
    </xf>
    <xf numFmtId="164" fontId="2" fillId="4" borderId="0" xfId="0" applyNumberFormat="1" applyFont="1" applyFill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 wrapText="1"/>
    </xf>
    <xf numFmtId="164" fontId="3" fillId="4" borderId="1" xfId="0" applyNumberFormat="1" applyFont="1" applyFill="1" applyBorder="1" applyAlignment="1">
      <alignment horizontal="right" vertical="center" wrapText="1"/>
    </xf>
    <xf numFmtId="164" fontId="3" fillId="4" borderId="3" xfId="0" applyNumberFormat="1" applyFont="1" applyFill="1" applyBorder="1" applyAlignment="1">
      <alignment horizontal="right" vertical="center" wrapText="1"/>
    </xf>
    <xf numFmtId="164" fontId="2" fillId="0" borderId="0" xfId="0" applyNumberFormat="1" applyFont="1"/>
    <xf numFmtId="164" fontId="2" fillId="0" borderId="2" xfId="0" applyNumberFormat="1" applyFont="1" applyBorder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782FD-286C-4E7A-8319-FC694B70BAEB}">
  <sheetPr codeName="Hoja34">
    <tabColor rgb="FFFFFF00"/>
  </sheetPr>
  <dimension ref="A1:O152"/>
  <sheetViews>
    <sheetView zoomScale="85" zoomScaleNormal="85" workbookViewId="0">
      <pane ySplit="6" topLeftCell="A15" activePane="bottomLeft" state="frozen"/>
      <selection activeCell="I54" sqref="I54"/>
      <selection pane="bottomLeft" activeCell="B34" sqref="B34"/>
    </sheetView>
  </sheetViews>
  <sheetFormatPr baseColWidth="10" defaultRowHeight="12" outlineLevelRow="1" x14ac:dyDescent="0.2"/>
  <cols>
    <col min="1" max="1" width="11.7109375" style="1" customWidth="1"/>
    <col min="2" max="2" width="37.140625" style="1" bestFit="1" customWidth="1"/>
    <col min="3" max="9" width="7.85546875" style="1" customWidth="1"/>
    <col min="10" max="14" width="7.85546875" style="40" customWidth="1"/>
    <col min="15" max="16384" width="11.42578125" style="1"/>
  </cols>
  <sheetData>
    <row r="1" spans="1:14" ht="13.5" customHeight="1" x14ac:dyDescent="0.2">
      <c r="A1" s="43">
        <v>1</v>
      </c>
      <c r="B1" s="43">
        <v>2</v>
      </c>
      <c r="C1" s="43">
        <v>3</v>
      </c>
      <c r="D1" s="43">
        <v>4</v>
      </c>
      <c r="E1" s="43">
        <v>5</v>
      </c>
      <c r="F1" s="43">
        <v>6</v>
      </c>
      <c r="G1" s="43">
        <v>7</v>
      </c>
      <c r="H1" s="43">
        <v>8</v>
      </c>
      <c r="I1" s="43">
        <v>9</v>
      </c>
      <c r="J1" s="38"/>
      <c r="K1" s="38"/>
      <c r="L1" s="38"/>
      <c r="M1" s="38"/>
      <c r="N1" s="38"/>
    </row>
    <row r="2" spans="1:14" ht="13.5" customHeight="1" x14ac:dyDescent="0.2">
      <c r="A2" s="3" t="s">
        <v>0</v>
      </c>
      <c r="B2" s="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4" ht="13.5" customHeight="1" x14ac:dyDescent="0.2">
      <c r="A3" s="2" t="s">
        <v>4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</row>
    <row r="4" spans="1:14" ht="13.5" customHeight="1" x14ac:dyDescent="0.2">
      <c r="A4" s="5"/>
      <c r="B4" s="5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41" t="s">
        <v>18</v>
      </c>
      <c r="K6" s="41" t="s">
        <v>19</v>
      </c>
      <c r="L6" s="41" t="s">
        <v>20</v>
      </c>
      <c r="M6" s="41" t="s">
        <v>21</v>
      </c>
      <c r="N6" s="41" t="s">
        <v>22</v>
      </c>
    </row>
    <row r="7" spans="1:14" ht="13.5" customHeight="1" x14ac:dyDescent="0.2">
      <c r="A7" s="33" t="s">
        <v>23</v>
      </c>
      <c r="B7" s="34" t="s">
        <v>24</v>
      </c>
      <c r="C7" s="37">
        <f>SUM(C8:C13)</f>
        <v>109.8</v>
      </c>
      <c r="D7" s="37">
        <f t="shared" ref="D7:H7" si="0">SUM(D8:D13)</f>
        <v>52.1</v>
      </c>
      <c r="E7" s="37">
        <f t="shared" si="0"/>
        <v>59.7</v>
      </c>
      <c r="F7" s="37">
        <f t="shared" si="0"/>
        <v>59.300000000000004</v>
      </c>
      <c r="G7" s="37">
        <f t="shared" si="0"/>
        <v>63.5</v>
      </c>
      <c r="H7" s="37">
        <f t="shared" si="0"/>
        <v>63.699999999999996</v>
      </c>
      <c r="I7" s="37">
        <f t="shared" ref="I7:N7" si="1">SUM(I8:I13)</f>
        <v>46.3</v>
      </c>
      <c r="J7" s="46">
        <f t="shared" si="1"/>
        <v>64</v>
      </c>
      <c r="K7" s="46">
        <f t="shared" si="1"/>
        <v>70</v>
      </c>
      <c r="L7" s="46">
        <f t="shared" si="1"/>
        <v>62</v>
      </c>
      <c r="M7" s="46">
        <f t="shared" si="1"/>
        <v>78</v>
      </c>
      <c r="N7" s="46">
        <f t="shared" si="1"/>
        <v>76</v>
      </c>
    </row>
    <row r="8" spans="1:14" hidden="1" outlineLevel="1" x14ac:dyDescent="0.2">
      <c r="A8" s="9" t="s">
        <v>25</v>
      </c>
      <c r="B8" s="1" t="s">
        <v>26</v>
      </c>
      <c r="C8" s="10">
        <f>IFERROR(VLOOKUP(A8,'Centre DW1'!$A$7:$N$106,3,FALSE),0)+
IFERROR(VLOOKUP(A8,'Centre WP1'!$A$7:$N$106,3,FALSE),0)+
IFERROR(VLOOKUP(A8,'Centre WR1'!$A$7:$N$106,3,FALSE),0)+
IFERROR(VLOOKUP(A8,'Centre WV1'!$A$7:$N$107,3,FALSE),0)</f>
        <v>0</v>
      </c>
      <c r="D8" s="10">
        <f>IFERROR(VLOOKUP(A8,'Centre DW1'!$A$7:$N$106,4,FALSE),0)+
IFERROR(VLOOKUP(A8,'Centre WP1'!$A$7:$N$106,4,FALSE),0)+
IFERROR(VLOOKUP(A8,'Centre WR1'!$A$7:$N$106,4,FALSE),0)+
IFERROR(VLOOKUP(A8,'Centre WV1'!$A$7:$N$107,4,FALSE),0)</f>
        <v>0</v>
      </c>
      <c r="E8" s="10">
        <f>IFERROR(VLOOKUP(A8,'Centre DW1'!$A$7:$N$106,5,FALSE),0)+
IFERROR(VLOOKUP(A8,'Centre WP1'!$A$7:$N$106,5,FALSE),0)+
IFERROR(VLOOKUP(A8,'Centre WR1'!$A$7:$N$106,5,FALSE),0)+
IFERROR(VLOOKUP(A8,'Centre WV1'!$A$7:$N$107,5,FALSE),0)</f>
        <v>0</v>
      </c>
      <c r="F8" s="10">
        <f>IFERROR(VLOOKUP(A8,'Centre DW1'!$A$7:$N$106,6,FALSE),0)+
IFERROR(VLOOKUP(A8,'Centre WP1'!$A$7:$N$106,6,FALSE),0)+
IFERROR(VLOOKUP(A8,'Centre WR1'!$A$7:$N$106,6,FALSE),0)+
IFERROR(VLOOKUP(A8,'Centre WV1'!$A$7:$N$107,6,FALSE),0)</f>
        <v>0</v>
      </c>
      <c r="G8" s="10">
        <f>IFERROR(VLOOKUP(A8,'Centre DW1'!$A$7:$N$106,7,FALSE),0)+
IFERROR(VLOOKUP(A8,'Centre WP1'!$A$7:$N$106,7,FALSE),0)+
IFERROR(VLOOKUP(A8,'Centre WR1'!$A$7:$N$106,7,FALSE),0)+
IFERROR(VLOOKUP(A8,'Centre WV1'!$A$7:$N$107,7,FALSE),0)</f>
        <v>0</v>
      </c>
      <c r="H8" s="10">
        <f>IFERROR(VLOOKUP(A8,'Centre DW1'!$A$7:$N$106,8,FALSE),0)+
IFERROR(VLOOKUP(A8,'Centre WP1'!$A$7:$N$106,8,FALSE),0)+
IFERROR(VLOOKUP(A8,'Centre WR1'!$A$7:$N$106,8,FALSE),0)+
IFERROR(VLOOKUP(A8,'Centre WV1'!$A$7:$N$107,8,FALSE),0)</f>
        <v>0</v>
      </c>
      <c r="I8" s="10">
        <f>IFERROR(VLOOKUP(A8,'Centre DW1'!$A$7:$N$106,9,FALSE),0)+
IFERROR(VLOOKUP(A8,'Centre WP1'!$A$7:$N$106,9,FALSE),0)+
IFERROR(VLOOKUP(A8,'Centre WR1'!$A$7:$N$106,9,FALSE),0)+
IFERROR(VLOOKUP(A8,'Centre WV1'!$A$7:$N$107,9,FALSE),0)</f>
        <v>0</v>
      </c>
      <c r="J8" s="47">
        <f>IFERROR(VLOOKUP(A8,'Centre DW1'!$A$7:$N$106,10,FALSE),0)+
IFERROR(VLOOKUP(A8,'Centre WP1'!$A$7:$N$106,10,FALSE),0)+
IFERROR(VLOOKUP(A8,'Centre WR1'!$A$7:$N$106,10,FALSE),0)+
IFERROR(VLOOKUP(A8,'Centre WV1'!$A$7:$N$107,10,FALSE),0)</f>
        <v>0</v>
      </c>
      <c r="K8" s="47">
        <f>IFERROR(VLOOKUP(A8,'Centre DW1'!$A$7:$N$106,11,FALSE),0)+
IFERROR(VLOOKUP(A8,'Centre WP1'!$A$7:$N$106,11,FALSE),0)+
IFERROR(VLOOKUP(A8,'Centre WR1'!$A$7:$N$106,11,FALSE),0)+
IFERROR(VLOOKUP(A8,'Centre WV1'!$A$7:$N$107,11,FALSE),0)</f>
        <v>0</v>
      </c>
      <c r="L8" s="47">
        <f>IFERROR(VLOOKUP(A8,'Centre DW1'!$A$7:$N$106,12,FALSE),0)+
IFERROR(VLOOKUP(A8,'Centre WP1'!$A$7:$N$106,12,FALSE),0)+
IFERROR(VLOOKUP(A8,'Centre WR1'!$A$7:$N$106,12,FALSE),0)+
IFERROR(VLOOKUP(A8,'Centre WV1'!$A$7:$N$107,12,FALSE),0)</f>
        <v>0</v>
      </c>
      <c r="M8" s="47">
        <f>IFERROR(VLOOKUP(A8,'Centre DW1'!$A$7:$N$106,13,FALSE),0)+
IFERROR(VLOOKUP(A8,'Centre WP1'!$A$7:$N$106,13,FALSE),0)+
IFERROR(VLOOKUP(A8,'Centre WR1'!$A$7:$N$106,13,FALSE),0)+
IFERROR(VLOOKUP(A8,'Centre WV1'!$A$7:$N$107,13,FALSE),0)</f>
        <v>0</v>
      </c>
      <c r="N8" s="47">
        <f>IFERROR(VLOOKUP(A8,'Centre DW1'!$A$7:$N$106,14,FALSE),0)+
IFERROR(VLOOKUP(A8,'Centre WP1'!$A$7:$N$106,14,FALSE),0)+
IFERROR(VLOOKUP(A8,'Centre WR1'!$A$7:$N$106,14,FALSE),0)+
IFERROR(VLOOKUP(A8,'Centre WV1'!$A$7:$N$107,14,FALSE),0)</f>
        <v>0</v>
      </c>
    </row>
    <row r="9" spans="1:14" hidden="1" outlineLevel="1" x14ac:dyDescent="0.2">
      <c r="A9" s="9" t="s">
        <v>27</v>
      </c>
      <c r="B9" s="1" t="s">
        <v>28</v>
      </c>
      <c r="C9" s="10">
        <f>IFERROR(VLOOKUP(A9,'Centre DW1'!$A$7:$N$106,3,FALSE),0)+
IFERROR(VLOOKUP(A9,'Centre WP1'!$A$7:$N$106,3,FALSE),0)+
IFERROR(VLOOKUP(A9,'Centre WR1'!$A$7:$N$106,3,FALSE),0)+
IFERROR(VLOOKUP(A9,'Centre WV1'!$A$7:$N$107,3,FALSE),0)</f>
        <v>0</v>
      </c>
      <c r="D9" s="10">
        <f>IFERROR(VLOOKUP(A9,'Centre DW1'!$A$7:$N$106,4,FALSE),0)+
IFERROR(VLOOKUP(A9,'Centre WP1'!$A$7:$N$106,4,FALSE),0)+
IFERROR(VLOOKUP(A9,'Centre WR1'!$A$7:$N$106,4,FALSE),0)+
IFERROR(VLOOKUP(A9,'Centre WV1'!$A$7:$N$107,4,FALSE),0)</f>
        <v>0</v>
      </c>
      <c r="E9" s="10">
        <f>IFERROR(VLOOKUP(A9,'Centre DW1'!$A$7:$N$106,5,FALSE),0)+
IFERROR(VLOOKUP(A9,'Centre WP1'!$A$7:$N$106,5,FALSE),0)+
IFERROR(VLOOKUP(A9,'Centre WR1'!$A$7:$N$106,5,FALSE),0)+
IFERROR(VLOOKUP(A9,'Centre WV1'!$A$7:$N$107,5,FALSE),0)</f>
        <v>0</v>
      </c>
      <c r="F9" s="10">
        <f>IFERROR(VLOOKUP(A9,'Centre DW1'!$A$7:$N$106,6,FALSE),0)+
IFERROR(VLOOKUP(A9,'Centre WP1'!$A$7:$N$106,6,FALSE),0)+
IFERROR(VLOOKUP(A9,'Centre WR1'!$A$7:$N$106,6,FALSE),0)+
IFERROR(VLOOKUP(A9,'Centre WV1'!$A$7:$N$107,6,FALSE),0)</f>
        <v>0</v>
      </c>
      <c r="G9" s="10">
        <f>IFERROR(VLOOKUP(A9,'Centre DW1'!$A$7:$N$106,7,FALSE),0)+
IFERROR(VLOOKUP(A9,'Centre WP1'!$A$7:$N$106,7,FALSE),0)+
IFERROR(VLOOKUP(A9,'Centre WR1'!$A$7:$N$106,7,FALSE),0)+
IFERROR(VLOOKUP(A9,'Centre WV1'!$A$7:$N$107,7,FALSE),0)</f>
        <v>0</v>
      </c>
      <c r="H9" s="10">
        <f>IFERROR(VLOOKUP(A9,'Centre DW1'!$A$7:$N$106,8,FALSE),0)+
IFERROR(VLOOKUP(A9,'Centre WP1'!$A$7:$N$106,8,FALSE),0)+
IFERROR(VLOOKUP(A9,'Centre WR1'!$A$7:$N$106,8,FALSE),0)+
IFERROR(VLOOKUP(A9,'Centre WV1'!$A$7:$N$107,8,FALSE),0)</f>
        <v>0</v>
      </c>
      <c r="I9" s="10">
        <f>IFERROR(VLOOKUP(A9,'Centre DW1'!$A$7:$N$106,9,FALSE),0)+
IFERROR(VLOOKUP(A9,'Centre WP1'!$A$7:$N$106,9,FALSE),0)+
IFERROR(VLOOKUP(A9,'Centre WR1'!$A$7:$N$106,9,FALSE),0)+
IFERROR(VLOOKUP(A9,'Centre WV1'!$A$7:$N$107,9,FALSE),0)</f>
        <v>0</v>
      </c>
      <c r="J9" s="47">
        <f>IFERROR(VLOOKUP(A9,'Centre DW1'!$A$7:$N$106,10,FALSE),0)+
IFERROR(VLOOKUP(A9,'Centre WP1'!$A$7:$N$106,10,FALSE),0)+
IFERROR(VLOOKUP(A9,'Centre WR1'!$A$7:$N$106,10,FALSE),0)+
IFERROR(VLOOKUP(A9,'Centre WV1'!$A$7:$N$107,10,FALSE),0)</f>
        <v>0</v>
      </c>
      <c r="K9" s="47">
        <f>IFERROR(VLOOKUP(A9,'Centre DW1'!$A$7:$N$106,11,FALSE),0)+
IFERROR(VLOOKUP(A9,'Centre WP1'!$A$7:$N$106,11,FALSE),0)+
IFERROR(VLOOKUP(A9,'Centre WR1'!$A$7:$N$106,11,FALSE),0)+
IFERROR(VLOOKUP(A9,'Centre WV1'!$A$7:$N$107,11,FALSE),0)</f>
        <v>0</v>
      </c>
      <c r="L9" s="47">
        <f>IFERROR(VLOOKUP(A9,'Centre DW1'!$A$7:$N$106,12,FALSE),0)+
IFERROR(VLOOKUP(A9,'Centre WP1'!$A$7:$N$106,12,FALSE),0)+
IFERROR(VLOOKUP(A9,'Centre WR1'!$A$7:$N$106,12,FALSE),0)+
IFERROR(VLOOKUP(A9,'Centre WV1'!$A$7:$N$107,12,FALSE),0)</f>
        <v>0</v>
      </c>
      <c r="M9" s="47">
        <f>IFERROR(VLOOKUP(A9,'Centre DW1'!$A$7:$N$106,13,FALSE),0)+
IFERROR(VLOOKUP(A9,'Centre WP1'!$A$7:$N$106,13,FALSE),0)+
IFERROR(VLOOKUP(A9,'Centre WR1'!$A$7:$N$106,13,FALSE),0)+
IFERROR(VLOOKUP(A9,'Centre WV1'!$A$7:$N$107,13,FALSE),0)</f>
        <v>0</v>
      </c>
      <c r="N9" s="47">
        <f>IFERROR(VLOOKUP(A9,'Centre DW1'!$A$7:$N$106,14,FALSE),0)+
IFERROR(VLOOKUP(A9,'Centre WP1'!$A$7:$N$106,14,FALSE),0)+
IFERROR(VLOOKUP(A9,'Centre WR1'!$A$7:$N$106,14,FALSE),0)+
IFERROR(VLOOKUP(A9,'Centre WV1'!$A$7:$N$107,14,FALSE),0)</f>
        <v>0</v>
      </c>
    </row>
    <row r="10" spans="1:14" hidden="1" outlineLevel="1" x14ac:dyDescent="0.2">
      <c r="A10" s="9" t="s">
        <v>29</v>
      </c>
      <c r="B10" s="1" t="s">
        <v>30</v>
      </c>
      <c r="C10" s="10">
        <f>IFERROR(VLOOKUP(A10,'Centre DW1'!$A$7:$N$106,3,FALSE),0)+
IFERROR(VLOOKUP(A10,'Centre WP1'!$A$7:$N$106,3,FALSE),0)+
IFERROR(VLOOKUP(A10,'Centre WR1'!$A$7:$N$106,3,FALSE),0)+
IFERROR(VLOOKUP(A10,'Centre WV1'!$A$7:$N$107,3,FALSE),0)</f>
        <v>0</v>
      </c>
      <c r="D10" s="10">
        <f>IFERROR(VLOOKUP(A10,'Centre DW1'!$A$7:$N$106,4,FALSE),0)+
IFERROR(VLOOKUP(A10,'Centre WP1'!$A$7:$N$106,4,FALSE),0)+
IFERROR(VLOOKUP(A10,'Centre WR1'!$A$7:$N$106,4,FALSE),0)+
IFERROR(VLOOKUP(A10,'Centre WV1'!$A$7:$N$107,4,FALSE),0)</f>
        <v>0</v>
      </c>
      <c r="E10" s="10">
        <f>IFERROR(VLOOKUP(A10,'Centre DW1'!$A$7:$N$106,5,FALSE),0)+
IFERROR(VLOOKUP(A10,'Centre WP1'!$A$7:$N$106,5,FALSE),0)+
IFERROR(VLOOKUP(A10,'Centre WR1'!$A$7:$N$106,5,FALSE),0)+
IFERROR(VLOOKUP(A10,'Centre WV1'!$A$7:$N$107,5,FALSE),0)</f>
        <v>0</v>
      </c>
      <c r="F10" s="10">
        <f>IFERROR(VLOOKUP(A10,'Centre DW1'!$A$7:$N$106,6,FALSE),0)+
IFERROR(VLOOKUP(A10,'Centre WP1'!$A$7:$N$106,6,FALSE),0)+
IFERROR(VLOOKUP(A10,'Centre WR1'!$A$7:$N$106,6,FALSE),0)+
IFERROR(VLOOKUP(A10,'Centre WV1'!$A$7:$N$107,6,FALSE),0)</f>
        <v>0</v>
      </c>
      <c r="G10" s="10">
        <f>IFERROR(VLOOKUP(A10,'Centre DW1'!$A$7:$N$106,7,FALSE),0)+
IFERROR(VLOOKUP(A10,'Centre WP1'!$A$7:$N$106,7,FALSE),0)+
IFERROR(VLOOKUP(A10,'Centre WR1'!$A$7:$N$106,7,FALSE),0)+
IFERROR(VLOOKUP(A10,'Centre WV1'!$A$7:$N$107,7,FALSE),0)</f>
        <v>0</v>
      </c>
      <c r="H10" s="10">
        <f>IFERROR(VLOOKUP(A10,'Centre DW1'!$A$7:$N$106,8,FALSE),0)+
IFERROR(VLOOKUP(A10,'Centre WP1'!$A$7:$N$106,8,FALSE),0)+
IFERROR(VLOOKUP(A10,'Centre WR1'!$A$7:$N$106,8,FALSE),0)+
IFERROR(VLOOKUP(A10,'Centre WV1'!$A$7:$N$107,8,FALSE),0)</f>
        <v>0</v>
      </c>
      <c r="I10" s="10">
        <f>IFERROR(VLOOKUP(A10,'Centre DW1'!$A$7:$N$106,9,FALSE),0)+
IFERROR(VLOOKUP(A10,'Centre WP1'!$A$7:$N$106,9,FALSE),0)+
IFERROR(VLOOKUP(A10,'Centre WR1'!$A$7:$N$106,9,FALSE),0)+
IFERROR(VLOOKUP(A10,'Centre WV1'!$A$7:$N$107,9,FALSE),0)</f>
        <v>0</v>
      </c>
      <c r="J10" s="47">
        <f>IFERROR(VLOOKUP(A10,'Centre DW1'!$A$7:$N$106,10,FALSE),0)+
IFERROR(VLOOKUP(A10,'Centre WP1'!$A$7:$N$106,10,FALSE),0)+
IFERROR(VLOOKUP(A10,'Centre WR1'!$A$7:$N$106,10,FALSE),0)+
IFERROR(VLOOKUP(A10,'Centre WV1'!$A$7:$N$107,10,FALSE),0)</f>
        <v>0</v>
      </c>
      <c r="K10" s="47">
        <f>IFERROR(VLOOKUP(A10,'Centre DW1'!$A$7:$N$106,11,FALSE),0)+
IFERROR(VLOOKUP(A10,'Centre WP1'!$A$7:$N$106,11,FALSE),0)+
IFERROR(VLOOKUP(A10,'Centre WR1'!$A$7:$N$106,11,FALSE),0)+
IFERROR(VLOOKUP(A10,'Centre WV1'!$A$7:$N$107,11,FALSE),0)</f>
        <v>0</v>
      </c>
      <c r="L10" s="47">
        <f>IFERROR(VLOOKUP(A10,'Centre DW1'!$A$7:$N$106,12,FALSE),0)+
IFERROR(VLOOKUP(A10,'Centre WP1'!$A$7:$N$106,12,FALSE),0)+
IFERROR(VLOOKUP(A10,'Centre WR1'!$A$7:$N$106,12,FALSE),0)+
IFERROR(VLOOKUP(A10,'Centre WV1'!$A$7:$N$107,12,FALSE),0)</f>
        <v>0</v>
      </c>
      <c r="M10" s="47">
        <f>IFERROR(VLOOKUP(A10,'Centre DW1'!$A$7:$N$106,13,FALSE),0)+
IFERROR(VLOOKUP(A10,'Centre WP1'!$A$7:$N$106,13,FALSE),0)+
IFERROR(VLOOKUP(A10,'Centre WR1'!$A$7:$N$106,13,FALSE),0)+
IFERROR(VLOOKUP(A10,'Centre WV1'!$A$7:$N$107,13,FALSE),0)</f>
        <v>0</v>
      </c>
      <c r="N10" s="47">
        <f>IFERROR(VLOOKUP(A10,'Centre DW1'!$A$7:$N$106,14,FALSE),0)+
IFERROR(VLOOKUP(A10,'Centre WP1'!$A$7:$N$106,14,FALSE),0)+
IFERROR(VLOOKUP(A10,'Centre WR1'!$A$7:$N$106,14,FALSE),0)+
IFERROR(VLOOKUP(A10,'Centre WV1'!$A$7:$N$107,14,FALSE),0)</f>
        <v>0</v>
      </c>
    </row>
    <row r="11" spans="1:14" hidden="1" outlineLevel="1" x14ac:dyDescent="0.2">
      <c r="A11" s="9" t="s">
        <v>31</v>
      </c>
      <c r="B11" s="1" t="s">
        <v>32</v>
      </c>
      <c r="C11" s="10">
        <f>IFERROR(VLOOKUP(A11,'Centre DW1'!$A$7:$N$106,3,FALSE),0)+
IFERROR(VLOOKUP(A11,'Centre WP1'!$A$7:$N$106,3,FALSE),0)+
IFERROR(VLOOKUP(A11,'Centre WR1'!$A$7:$N$106,3,FALSE),0)+
IFERROR(VLOOKUP(A11,'Centre WV1'!$A$7:$N$107,3,FALSE),0)</f>
        <v>0</v>
      </c>
      <c r="D11" s="10">
        <f>IFERROR(VLOOKUP(A11,'Centre DW1'!$A$7:$N$106,4,FALSE),0)+
IFERROR(VLOOKUP(A11,'Centre WP1'!$A$7:$N$106,4,FALSE),0)+
IFERROR(VLOOKUP(A11,'Centre WR1'!$A$7:$N$106,4,FALSE),0)+
IFERROR(VLOOKUP(A11,'Centre WV1'!$A$7:$N$107,4,FALSE),0)</f>
        <v>0</v>
      </c>
      <c r="E11" s="10">
        <f>IFERROR(VLOOKUP(A11,'Centre DW1'!$A$7:$N$106,5,FALSE),0)+
IFERROR(VLOOKUP(A11,'Centre WP1'!$A$7:$N$106,5,FALSE),0)+
IFERROR(VLOOKUP(A11,'Centre WR1'!$A$7:$N$106,5,FALSE),0)+
IFERROR(VLOOKUP(A11,'Centre WV1'!$A$7:$N$107,5,FALSE),0)</f>
        <v>0</v>
      </c>
      <c r="F11" s="10">
        <f>IFERROR(VLOOKUP(A11,'Centre DW1'!$A$7:$N$106,6,FALSE),0)+
IFERROR(VLOOKUP(A11,'Centre WP1'!$A$7:$N$106,6,FALSE),0)+
IFERROR(VLOOKUP(A11,'Centre WR1'!$A$7:$N$106,6,FALSE),0)+
IFERROR(VLOOKUP(A11,'Centre WV1'!$A$7:$N$107,6,FALSE),0)</f>
        <v>0</v>
      </c>
      <c r="G11" s="10">
        <f>IFERROR(VLOOKUP(A11,'Centre DW1'!$A$7:$N$106,7,FALSE),0)+
IFERROR(VLOOKUP(A11,'Centre WP1'!$A$7:$N$106,7,FALSE),0)+
IFERROR(VLOOKUP(A11,'Centre WR1'!$A$7:$N$106,7,FALSE),0)+
IFERROR(VLOOKUP(A11,'Centre WV1'!$A$7:$N$107,7,FALSE),0)</f>
        <v>0</v>
      </c>
      <c r="H11" s="10">
        <f>IFERROR(VLOOKUP(A11,'Centre DW1'!$A$7:$N$106,8,FALSE),0)+
IFERROR(VLOOKUP(A11,'Centre WP1'!$A$7:$N$106,8,FALSE),0)+
IFERROR(VLOOKUP(A11,'Centre WR1'!$A$7:$N$106,8,FALSE),0)+
IFERROR(VLOOKUP(A11,'Centre WV1'!$A$7:$N$107,8,FALSE),0)</f>
        <v>58.699999999999996</v>
      </c>
      <c r="I11" s="10">
        <f>IFERROR(VLOOKUP(A11,'Centre DW1'!$A$7:$N$106,9,FALSE),0)+
IFERROR(VLOOKUP(A11,'Centre WP1'!$A$7:$N$106,9,FALSE),0)+
IFERROR(VLOOKUP(A11,'Centre WR1'!$A$7:$N$106,9,FALSE),0)+
IFERROR(VLOOKUP(A11,'Centre WV1'!$A$7:$N$107,9,FALSE),0)</f>
        <v>1.9</v>
      </c>
      <c r="J11" s="47">
        <f>IFERROR(VLOOKUP(A11,'Centre DW1'!$A$7:$N$106,10,FALSE),0)+
IFERROR(VLOOKUP(A11,'Centre WP1'!$A$7:$N$106,10,FALSE),0)+
IFERROR(VLOOKUP(A11,'Centre WR1'!$A$7:$N$106,10,FALSE),0)+
IFERROR(VLOOKUP(A11,'Centre WV1'!$A$7:$N$107,10,FALSE),0)</f>
        <v>0</v>
      </c>
      <c r="K11" s="47">
        <f>IFERROR(VLOOKUP(A11,'Centre DW1'!$A$7:$N$106,11,FALSE),0)+
IFERROR(VLOOKUP(A11,'Centre WP1'!$A$7:$N$106,11,FALSE),0)+
IFERROR(VLOOKUP(A11,'Centre WR1'!$A$7:$N$106,11,FALSE),0)+
IFERROR(VLOOKUP(A11,'Centre WV1'!$A$7:$N$107,11,FALSE),0)</f>
        <v>0</v>
      </c>
      <c r="L11" s="47">
        <f>IFERROR(VLOOKUP(A11,'Centre DW1'!$A$7:$N$106,12,FALSE),0)+
IFERROR(VLOOKUP(A11,'Centre WP1'!$A$7:$N$106,12,FALSE),0)+
IFERROR(VLOOKUP(A11,'Centre WR1'!$A$7:$N$106,12,FALSE),0)+
IFERROR(VLOOKUP(A11,'Centre WV1'!$A$7:$N$107,12,FALSE),0)</f>
        <v>0</v>
      </c>
      <c r="M11" s="47">
        <f>IFERROR(VLOOKUP(A11,'Centre DW1'!$A$7:$N$106,13,FALSE),0)+
IFERROR(VLOOKUP(A11,'Centre WP1'!$A$7:$N$106,13,FALSE),0)+
IFERROR(VLOOKUP(A11,'Centre WR1'!$A$7:$N$106,13,FALSE),0)+
IFERROR(VLOOKUP(A11,'Centre WV1'!$A$7:$N$107,13,FALSE),0)</f>
        <v>65</v>
      </c>
      <c r="N11" s="47">
        <f>IFERROR(VLOOKUP(A11,'Centre DW1'!$A$7:$N$106,14,FALSE),0)+
IFERROR(VLOOKUP(A11,'Centre WP1'!$A$7:$N$106,14,FALSE),0)+
IFERROR(VLOOKUP(A11,'Centre WR1'!$A$7:$N$106,14,FALSE),0)+
IFERROR(VLOOKUP(A11,'Centre WV1'!$A$7:$N$107,14,FALSE),0)</f>
        <v>71</v>
      </c>
    </row>
    <row r="12" spans="1:14" hidden="1" outlineLevel="1" x14ac:dyDescent="0.2">
      <c r="A12" s="9" t="s">
        <v>33</v>
      </c>
      <c r="B12" s="1" t="s">
        <v>34</v>
      </c>
      <c r="C12" s="10">
        <f>IFERROR(VLOOKUP(A12,'Centre DW1'!$A$7:$N$106,3,FALSE),0)+
IFERROR(VLOOKUP(A12,'Centre WP1'!$A$7:$N$106,3,FALSE),0)+
IFERROR(VLOOKUP(A12,'Centre WR1'!$A$7:$N$106,3,FALSE),0)+
IFERROR(VLOOKUP(A12,'Centre WV1'!$A$7:$N$107,3,FALSE),0)</f>
        <v>109.8</v>
      </c>
      <c r="D12" s="10">
        <f>IFERROR(VLOOKUP(A12,'Centre DW1'!$A$7:$N$106,4,FALSE),0)+
IFERROR(VLOOKUP(A12,'Centre WP1'!$A$7:$N$106,4,FALSE),0)+
IFERROR(VLOOKUP(A12,'Centre WR1'!$A$7:$N$106,4,FALSE),0)+
IFERROR(VLOOKUP(A12,'Centre WV1'!$A$7:$N$107,4,FALSE),0)</f>
        <v>54.5</v>
      </c>
      <c r="E12" s="10">
        <f>IFERROR(VLOOKUP(A12,'Centre DW1'!$A$7:$N$106,5,FALSE),0)+
IFERROR(VLOOKUP(A12,'Centre WP1'!$A$7:$N$106,5,FALSE),0)+
IFERROR(VLOOKUP(A12,'Centre WR1'!$A$7:$N$106,5,FALSE),0)+
IFERROR(VLOOKUP(A12,'Centre WV1'!$A$7:$N$107,5,FALSE),0)</f>
        <v>59.7</v>
      </c>
      <c r="F12" s="10">
        <f>IFERROR(VLOOKUP(A12,'Centre DW1'!$A$7:$N$106,6,FALSE),0)+
IFERROR(VLOOKUP(A12,'Centre WP1'!$A$7:$N$106,6,FALSE),0)+
IFERROR(VLOOKUP(A12,'Centre WR1'!$A$7:$N$106,6,FALSE),0)+
IFERROR(VLOOKUP(A12,'Centre WV1'!$A$7:$N$107,6,FALSE),0)</f>
        <v>59.300000000000004</v>
      </c>
      <c r="G12" s="10">
        <f>IFERROR(VLOOKUP(A12,'Centre DW1'!$A$7:$N$106,7,FALSE),0)+
IFERROR(VLOOKUP(A12,'Centre WP1'!$A$7:$N$106,7,FALSE),0)+
IFERROR(VLOOKUP(A12,'Centre WR1'!$A$7:$N$106,7,FALSE),0)+
IFERROR(VLOOKUP(A12,'Centre WV1'!$A$7:$N$107,7,FALSE),0)</f>
        <v>63.5</v>
      </c>
      <c r="H12" s="10">
        <f>IFERROR(VLOOKUP(A12,'Centre DW1'!$A$7:$N$106,8,FALSE),0)+
IFERROR(VLOOKUP(A12,'Centre WP1'!$A$7:$N$106,8,FALSE),0)+
IFERROR(VLOOKUP(A12,'Centre WR1'!$A$7:$N$106,8,FALSE),0)+
IFERROR(VLOOKUP(A12,'Centre WV1'!$A$7:$N$107,8,FALSE),0)</f>
        <v>5</v>
      </c>
      <c r="I12" s="10">
        <f>IFERROR(VLOOKUP(A12,'Centre DW1'!$A$7:$N$106,9,FALSE),0)+
IFERROR(VLOOKUP(A12,'Centre WP1'!$A$7:$N$106,9,FALSE),0)+
IFERROR(VLOOKUP(A12,'Centre WR1'!$A$7:$N$106,9,FALSE),0)+
IFERROR(VLOOKUP(A12,'Centre WV1'!$A$7:$N$107,9,FALSE),0)</f>
        <v>46.8</v>
      </c>
      <c r="J12" s="47">
        <f>IFERROR(VLOOKUP(A12,'Centre DW1'!$A$7:$N$106,10,FALSE),0)+
IFERROR(VLOOKUP(A12,'Centre WP1'!$A$7:$N$106,10,FALSE),0)+
IFERROR(VLOOKUP(A12,'Centre WR1'!$A$7:$N$106,10,FALSE),0)+
IFERROR(VLOOKUP(A12,'Centre WV1'!$A$7:$N$107,10,FALSE),0)</f>
        <v>64</v>
      </c>
      <c r="K12" s="47">
        <f>IFERROR(VLOOKUP(A12,'Centre DW1'!$A$7:$N$106,11,FALSE),0)+
IFERROR(VLOOKUP(A12,'Centre WP1'!$A$7:$N$106,11,FALSE),0)+
IFERROR(VLOOKUP(A12,'Centre WR1'!$A$7:$N$106,11,FALSE),0)+
IFERROR(VLOOKUP(A12,'Centre WV1'!$A$7:$N$107,11,FALSE),0)</f>
        <v>70</v>
      </c>
      <c r="L12" s="47">
        <f>IFERROR(VLOOKUP(A12,'Centre DW1'!$A$7:$N$106,12,FALSE),0)+
IFERROR(VLOOKUP(A12,'Centre WP1'!$A$7:$N$106,12,FALSE),0)+
IFERROR(VLOOKUP(A12,'Centre WR1'!$A$7:$N$106,12,FALSE),0)+
IFERROR(VLOOKUP(A12,'Centre WV1'!$A$7:$N$107,12,FALSE),0)</f>
        <v>62</v>
      </c>
      <c r="M12" s="47">
        <f>IFERROR(VLOOKUP(A12,'Centre DW1'!$A$7:$N$106,13,FALSE),0)+
IFERROR(VLOOKUP(A12,'Centre WP1'!$A$7:$N$106,13,FALSE),0)+
IFERROR(VLOOKUP(A12,'Centre WR1'!$A$7:$N$106,13,FALSE),0)+
IFERROR(VLOOKUP(A12,'Centre WV1'!$A$7:$N$107,13,FALSE),0)</f>
        <v>13</v>
      </c>
      <c r="N12" s="47">
        <f>IFERROR(VLOOKUP(A12,'Centre DW1'!$A$7:$N$106,14,FALSE),0)+
IFERROR(VLOOKUP(A12,'Centre WP1'!$A$7:$N$106,14,FALSE),0)+
IFERROR(VLOOKUP(A12,'Centre WR1'!$A$7:$N$106,14,FALSE),0)+
IFERROR(VLOOKUP(A12,'Centre WV1'!$A$7:$N$107,14,FALSE),0)</f>
        <v>5</v>
      </c>
    </row>
    <row r="13" spans="1:14" hidden="1" outlineLevel="1" x14ac:dyDescent="0.2">
      <c r="A13" s="9" t="s">
        <v>35</v>
      </c>
      <c r="B13" s="1" t="s">
        <v>36</v>
      </c>
      <c r="C13" s="10">
        <f>IFERROR(VLOOKUP(A13,'Centre DW1'!$A$7:$N$106,3,FALSE),0)+
IFERROR(VLOOKUP(A13,'Centre WP1'!$A$7:$N$106,3,FALSE),0)+
IFERROR(VLOOKUP(A13,'Centre WR1'!$A$7:$N$106,3,FALSE),0)+
IFERROR(VLOOKUP(A13,'Centre WV1'!$A$7:$N$107,3,FALSE),0)</f>
        <v>0</v>
      </c>
      <c r="D13" s="10">
        <f>IFERROR(VLOOKUP(A13,'Centre DW1'!$A$7:$N$106,4,FALSE),0)+
IFERROR(VLOOKUP(A13,'Centre WP1'!$A$7:$N$106,4,FALSE),0)+
IFERROR(VLOOKUP(A13,'Centre WR1'!$A$7:$N$106,4,FALSE),0)+
IFERROR(VLOOKUP(A13,'Centre WV1'!$A$7:$N$107,4,FALSE),0)</f>
        <v>-2.4</v>
      </c>
      <c r="E13" s="10">
        <f>IFERROR(VLOOKUP(A13,'Centre DW1'!$A$7:$N$106,5,FALSE),0)+
IFERROR(VLOOKUP(A13,'Centre WP1'!$A$7:$N$106,5,FALSE),0)+
IFERROR(VLOOKUP(A13,'Centre WR1'!$A$7:$N$106,5,FALSE),0)+
IFERROR(VLOOKUP(A13,'Centre WV1'!$A$7:$N$107,5,FALSE),0)</f>
        <v>0</v>
      </c>
      <c r="F13" s="10">
        <f>IFERROR(VLOOKUP(A13,'Centre DW1'!$A$7:$N$106,6,FALSE),0)+
IFERROR(VLOOKUP(A13,'Centre WP1'!$A$7:$N$106,6,FALSE),0)+
IFERROR(VLOOKUP(A13,'Centre WR1'!$A$7:$N$106,6,FALSE),0)+
IFERROR(VLOOKUP(A13,'Centre WV1'!$A$7:$N$107,6,FALSE),0)</f>
        <v>0</v>
      </c>
      <c r="G13" s="10">
        <f>IFERROR(VLOOKUP(A13,'Centre DW1'!$A$7:$N$106,7,FALSE),0)+
IFERROR(VLOOKUP(A13,'Centre WP1'!$A$7:$N$106,7,FALSE),0)+
IFERROR(VLOOKUP(A13,'Centre WR1'!$A$7:$N$106,7,FALSE),0)+
IFERROR(VLOOKUP(A13,'Centre WV1'!$A$7:$N$107,7,FALSE),0)</f>
        <v>0</v>
      </c>
      <c r="H13" s="10">
        <f>IFERROR(VLOOKUP(A13,'Centre DW1'!$A$7:$N$106,8,FALSE),0)+
IFERROR(VLOOKUP(A13,'Centre WP1'!$A$7:$N$106,8,FALSE),0)+
IFERROR(VLOOKUP(A13,'Centre WR1'!$A$7:$N$106,8,FALSE),0)+
IFERROR(VLOOKUP(A13,'Centre WV1'!$A$7:$N$107,8,FALSE),0)</f>
        <v>0</v>
      </c>
      <c r="I13" s="10">
        <f>IFERROR(VLOOKUP(A13,'Centre DW1'!$A$7:$N$106,9,FALSE),0)+
IFERROR(VLOOKUP(A13,'Centre WP1'!$A$7:$N$106,9,FALSE),0)+
IFERROR(VLOOKUP(A13,'Centre WR1'!$A$7:$N$106,9,FALSE),0)+
IFERROR(VLOOKUP(A13,'Centre WV1'!$A$7:$N$107,9,FALSE),0)</f>
        <v>-2.4</v>
      </c>
      <c r="J13" s="47">
        <f>IFERROR(VLOOKUP(A13,'Centre DW1'!$A$7:$N$106,10,FALSE),0)+
IFERROR(VLOOKUP(A13,'Centre WP1'!$A$7:$N$106,10,FALSE),0)+
IFERROR(VLOOKUP(A13,'Centre WR1'!$A$7:$N$106,10,FALSE),0)+
IFERROR(VLOOKUP(A13,'Centre WV1'!$A$7:$N$107,10,FALSE),0)</f>
        <v>0</v>
      </c>
      <c r="K13" s="47">
        <f>IFERROR(VLOOKUP(A13,'Centre DW1'!$A$7:$N$106,11,FALSE),0)+
IFERROR(VLOOKUP(A13,'Centre WP1'!$A$7:$N$106,11,FALSE),0)+
IFERROR(VLOOKUP(A13,'Centre WR1'!$A$7:$N$106,11,FALSE),0)+
IFERROR(VLOOKUP(A13,'Centre WV1'!$A$7:$N$107,11,FALSE),0)</f>
        <v>0</v>
      </c>
      <c r="L13" s="47">
        <f>IFERROR(VLOOKUP(A13,'Centre DW1'!$A$7:$N$106,12,FALSE),0)+
IFERROR(VLOOKUP(A13,'Centre WP1'!$A$7:$N$106,12,FALSE),0)+
IFERROR(VLOOKUP(A13,'Centre WR1'!$A$7:$N$106,12,FALSE),0)+
IFERROR(VLOOKUP(A13,'Centre WV1'!$A$7:$N$107,12,FALSE),0)</f>
        <v>0</v>
      </c>
      <c r="M13" s="47">
        <f>IFERROR(VLOOKUP(A13,'Centre DW1'!$A$7:$N$106,13,FALSE),0)+
IFERROR(VLOOKUP(A13,'Centre WP1'!$A$7:$N$106,13,FALSE),0)+
IFERROR(VLOOKUP(A13,'Centre WR1'!$A$7:$N$106,13,FALSE),0)+
IFERROR(VLOOKUP(A13,'Centre WV1'!$A$7:$N$107,13,FALSE),0)</f>
        <v>0</v>
      </c>
      <c r="N13" s="47">
        <f>IFERROR(VLOOKUP(A13,'Centre DW1'!$A$7:$N$106,14,FALSE),0)+
IFERROR(VLOOKUP(A13,'Centre WP1'!$A$7:$N$106,14,FALSE),0)+
IFERROR(VLOOKUP(A13,'Centre WR1'!$A$7:$N$106,14,FALSE),0)+
IFERROR(VLOOKUP(A13,'Centre WV1'!$A$7:$N$107,14,FALSE),0)</f>
        <v>0</v>
      </c>
    </row>
    <row r="14" spans="1:14" collapsed="1" x14ac:dyDescent="0.2">
      <c r="A14" s="33" t="s">
        <v>37</v>
      </c>
      <c r="B14" s="34" t="s">
        <v>38</v>
      </c>
      <c r="C14" s="44">
        <f>IFERROR(VLOOKUP(A14,'Centre DW1'!$A$7:$N$106,3,FALSE),0)+
IFERROR(VLOOKUP(A14,'Centre WP1'!$A$7:$N$106,3,FALSE),0)+
IFERROR(VLOOKUP(A14,'Centre WR1'!$A$7:$N$106,3,FALSE),0)+
IFERROR(VLOOKUP(A14,'Centre WV1'!$A$7:$N$107,3,FALSE),0)</f>
        <v>0</v>
      </c>
      <c r="D14" s="44">
        <f>IFERROR(VLOOKUP(A14,'Centre DW1'!$A$7:$N$106,4,FALSE),0)+
IFERROR(VLOOKUP(A14,'Centre WP1'!$A$7:$N$106,4,FALSE),0)+
IFERROR(VLOOKUP(A14,'Centre WR1'!$A$7:$N$106,4,FALSE),0)+
IFERROR(VLOOKUP(A14,'Centre WV1'!$A$7:$N$107,4,FALSE),0)</f>
        <v>0</v>
      </c>
      <c r="E14" s="44">
        <f>IFERROR(VLOOKUP(A14,'Centre DW1'!$A$7:$N$106,5,FALSE),0)+
IFERROR(VLOOKUP(A14,'Centre WP1'!$A$7:$N$106,5,FALSE),0)+
IFERROR(VLOOKUP(A14,'Centre WR1'!$A$7:$N$106,5,FALSE),0)+
IFERROR(VLOOKUP(A14,'Centre WV1'!$A$7:$N$107,5,FALSE),0)</f>
        <v>0</v>
      </c>
      <c r="F14" s="44">
        <f>IFERROR(VLOOKUP(A14,'Centre DW1'!$A$7:$N$106,6,FALSE),0)+
IFERROR(VLOOKUP(A14,'Centre WP1'!$A$7:$N$106,6,FALSE),0)+
IFERROR(VLOOKUP(A14,'Centre WR1'!$A$7:$N$106,6,FALSE),0)+
IFERROR(VLOOKUP(A14,'Centre WV1'!$A$7:$N$107,6,FALSE),0)</f>
        <v>0</v>
      </c>
      <c r="G14" s="44">
        <f>IFERROR(VLOOKUP(A14,'Centre DW1'!$A$7:$N$106,7,FALSE),0)+
IFERROR(VLOOKUP(A14,'Centre WP1'!$A$7:$N$106,7,FALSE),0)+
IFERROR(VLOOKUP(A14,'Centre WR1'!$A$7:$N$106,7,FALSE),0)+
IFERROR(VLOOKUP(A14,'Centre WV1'!$A$7:$N$107,7,FALSE),0)</f>
        <v>0</v>
      </c>
      <c r="H14" s="44">
        <f>IFERROR(VLOOKUP(A14,'Centre DW1'!$A$7:$N$106,8,FALSE),0)+
IFERROR(VLOOKUP(A14,'Centre WP1'!$A$7:$N$106,8,FALSE),0)+
IFERROR(VLOOKUP(A14,'Centre WR1'!$A$7:$N$106,8,FALSE),0)+
IFERROR(VLOOKUP(A14,'Centre WV1'!$A$7:$N$107,8,FALSE),0)</f>
        <v>0</v>
      </c>
      <c r="I14" s="44">
        <f>IFERROR(VLOOKUP(A14,'Centre DW1'!$A$7:$N$106,9,FALSE),0)+
IFERROR(VLOOKUP(A14,'Centre WP1'!$A$7:$N$106,9,FALSE),0)+
IFERROR(VLOOKUP(A14,'Centre WR1'!$A$7:$N$106,9,FALSE),0)+
IFERROR(VLOOKUP(A14,'Centre WV1'!$A$7:$N$107,9,FALSE),0)</f>
        <v>0</v>
      </c>
      <c r="J14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  <c r="K14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  <c r="L14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  <c r="M14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  <c r="N14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</row>
    <row r="15" spans="1:14" x14ac:dyDescent="0.2">
      <c r="A15" s="33" t="s">
        <v>39</v>
      </c>
      <c r="B15" s="34" t="s">
        <v>40</v>
      </c>
      <c r="C15" s="44">
        <f>IFERROR(VLOOKUP(A15,'Centre DW1'!$A$7:$N$106,3,FALSE),0)+
IFERROR(VLOOKUP(A15,'Centre WP1'!$A$7:$N$106,3,FALSE),0)+
IFERROR(VLOOKUP(A15,'Centre WR1'!$A$7:$N$106,3,FALSE),0)+
IFERROR(VLOOKUP(A15,'Centre WV1'!$A$7:$N$107,3,FALSE),0)</f>
        <v>0</v>
      </c>
      <c r="D15" s="44">
        <f>IFERROR(VLOOKUP(A15,'Centre DW1'!$A$7:$N$106,4,FALSE),0)+
IFERROR(VLOOKUP(A15,'Centre WP1'!$A$7:$N$106,4,FALSE),0)+
IFERROR(VLOOKUP(A15,'Centre WR1'!$A$7:$N$106,4,FALSE),0)+
IFERROR(VLOOKUP(A15,'Centre WV1'!$A$7:$N$107,4,FALSE),0)</f>
        <v>0</v>
      </c>
      <c r="E15" s="44">
        <f>IFERROR(VLOOKUP(A15,'Centre DW1'!$A$7:$N$106,5,FALSE),0)+
IFERROR(VLOOKUP(A15,'Centre WP1'!$A$7:$N$106,5,FALSE),0)+
IFERROR(VLOOKUP(A15,'Centre WR1'!$A$7:$N$106,5,FALSE),0)+
IFERROR(VLOOKUP(A15,'Centre WV1'!$A$7:$N$107,5,FALSE),0)</f>
        <v>0</v>
      </c>
      <c r="F15" s="44">
        <f>IFERROR(VLOOKUP(A15,'Centre DW1'!$A$7:$N$106,6,FALSE),0)+
IFERROR(VLOOKUP(A15,'Centre WP1'!$A$7:$N$106,6,FALSE),0)+
IFERROR(VLOOKUP(A15,'Centre WR1'!$A$7:$N$106,6,FALSE),0)+
IFERROR(VLOOKUP(A15,'Centre WV1'!$A$7:$N$107,6,FALSE),0)</f>
        <v>0</v>
      </c>
      <c r="G15" s="44">
        <f>IFERROR(VLOOKUP(A15,'Centre DW1'!$A$7:$N$106,7,FALSE),0)+
IFERROR(VLOOKUP(A15,'Centre WP1'!$A$7:$N$106,7,FALSE),0)+
IFERROR(VLOOKUP(A15,'Centre WR1'!$A$7:$N$106,7,FALSE),0)+
IFERROR(VLOOKUP(A15,'Centre WV1'!$A$7:$N$107,7,FALSE),0)</f>
        <v>0</v>
      </c>
      <c r="H15" s="44">
        <f>IFERROR(VLOOKUP(A15,'Centre DW1'!$A$7:$N$106,8,FALSE),0)+
IFERROR(VLOOKUP(A15,'Centre WP1'!$A$7:$N$106,8,FALSE),0)+
IFERROR(VLOOKUP(A15,'Centre WR1'!$A$7:$N$106,8,FALSE),0)+
IFERROR(VLOOKUP(A15,'Centre WV1'!$A$7:$N$107,8,FALSE),0)</f>
        <v>0</v>
      </c>
      <c r="I15" s="44">
        <f>IFERROR(VLOOKUP(A15,'Centre DW1'!$A$7:$N$106,9,FALSE),0)+
IFERROR(VLOOKUP(A15,'Centre WP1'!$A$7:$N$106,9,FALSE),0)+
IFERROR(VLOOKUP(A15,'Centre WR1'!$A$7:$N$106,9,FALSE),0)+
IFERROR(VLOOKUP(A15,'Centre WV1'!$A$7:$N$107,9,FALSE),0)</f>
        <v>0</v>
      </c>
      <c r="J15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  <c r="K15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  <c r="L15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  <c r="M15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  <c r="N15" s="46">
        <f>IFERROR(VLOOKUP(#REF!,'Centre DW1'!$A$7:$N$106,10,FALSE),0)+
IFERROR(VLOOKUP(#REF!,'Centre WP1'!$A$7:$N$106,10,FALSE),0)+
IFERROR(VLOOKUP(#REF!,'Centre WR1'!$A$7:$N$106,10,FALSE),0)+
IFERROR(VLOOKUP(#REF!,'Centre WV1'!$A$7:$N$107,10,FALSE),0)</f>
        <v>0</v>
      </c>
    </row>
    <row r="16" spans="1:14" x14ac:dyDescent="0.2">
      <c r="A16" s="33" t="s">
        <v>41</v>
      </c>
      <c r="B16" s="34" t="s">
        <v>42</v>
      </c>
      <c r="C16" s="46">
        <f>C17</f>
        <v>0</v>
      </c>
      <c r="D16" s="46">
        <f t="shared" ref="D16:N16" si="2">D17</f>
        <v>0</v>
      </c>
      <c r="E16" s="46">
        <f t="shared" si="2"/>
        <v>0</v>
      </c>
      <c r="F16" s="46">
        <f t="shared" si="2"/>
        <v>0</v>
      </c>
      <c r="G16" s="46">
        <f t="shared" si="2"/>
        <v>0</v>
      </c>
      <c r="H16" s="46">
        <f t="shared" si="2"/>
        <v>0</v>
      </c>
      <c r="I16" s="46">
        <f t="shared" si="2"/>
        <v>0</v>
      </c>
      <c r="J16" s="46">
        <f t="shared" si="2"/>
        <v>0</v>
      </c>
      <c r="K16" s="46">
        <f t="shared" si="2"/>
        <v>0</v>
      </c>
      <c r="L16" s="46">
        <f t="shared" si="2"/>
        <v>0</v>
      </c>
      <c r="M16" s="46">
        <f t="shared" si="2"/>
        <v>0</v>
      </c>
      <c r="N16" s="46">
        <f t="shared" si="2"/>
        <v>0</v>
      </c>
    </row>
    <row r="17" spans="1:15" hidden="1" outlineLevel="1" x14ac:dyDescent="0.2">
      <c r="A17" s="9" t="s">
        <v>43</v>
      </c>
      <c r="B17" s="1" t="s">
        <v>44</v>
      </c>
      <c r="C17" s="10">
        <f>IFERROR(VLOOKUP(A17,'Centre DW1'!$A$7:$N$106,3,FALSE),0)+
IFERROR(VLOOKUP(A17,'Centre WP1'!$A$7:$N$106,3,FALSE),0)+
IFERROR(VLOOKUP(A17,'Centre WR1'!$A$7:$N$106,3,FALSE),0)+
IFERROR(VLOOKUP(A17,'Centre WV1'!$A$7:$N$107,3,FALSE),0)</f>
        <v>0</v>
      </c>
      <c r="D17" s="10">
        <f>IFERROR(VLOOKUP(A17,'Centre DW1'!$A$7:$N$106,4,FALSE),0)+
IFERROR(VLOOKUP(A17,'Centre WP1'!$A$7:$N$106,4,FALSE),0)+
IFERROR(VLOOKUP(A17,'Centre WR1'!$A$7:$N$106,4,FALSE),0)+
IFERROR(VLOOKUP(A17,'Centre WV1'!$A$7:$N$107,4,FALSE),0)</f>
        <v>0</v>
      </c>
      <c r="E17" s="10">
        <f>IFERROR(VLOOKUP(A17,'Centre DW1'!$A$7:$N$106,5,FALSE),0)+
IFERROR(VLOOKUP(A17,'Centre WP1'!$A$7:$N$106,5,FALSE),0)+
IFERROR(VLOOKUP(A17,'Centre WR1'!$A$7:$N$106,5,FALSE),0)+
IFERROR(VLOOKUP(A17,'Centre WV1'!$A$7:$N$107,5,FALSE),0)</f>
        <v>0</v>
      </c>
      <c r="F17" s="10">
        <f>IFERROR(VLOOKUP(A17,'Centre DW1'!$A$7:$N$106,6,FALSE),0)+
IFERROR(VLOOKUP(A17,'Centre WP1'!$A$7:$N$106,6,FALSE),0)+
IFERROR(VLOOKUP(A17,'Centre WR1'!$A$7:$N$106,6,FALSE),0)+
IFERROR(VLOOKUP(A17,'Centre WV1'!$A$7:$N$107,6,FALSE),0)</f>
        <v>0</v>
      </c>
      <c r="G17" s="10">
        <f>IFERROR(VLOOKUP(A17,'Centre DW1'!$A$7:$N$106,7,FALSE),0)+
IFERROR(VLOOKUP(A17,'Centre WP1'!$A$7:$N$106,7,FALSE),0)+
IFERROR(VLOOKUP(A17,'Centre WR1'!$A$7:$N$106,7,FALSE),0)+
IFERROR(VLOOKUP(A17,'Centre WV1'!$A$7:$N$107,7,FALSE),0)</f>
        <v>0</v>
      </c>
      <c r="H17" s="10">
        <f>IFERROR(VLOOKUP(A17,'Centre DW1'!$A$7:$N$106,8,FALSE),0)+
IFERROR(VLOOKUP(A17,'Centre WP1'!$A$7:$N$106,8,FALSE),0)+
IFERROR(VLOOKUP(A17,'Centre WR1'!$A$7:$N$106,8,FALSE),0)+
IFERROR(VLOOKUP(A17,'Centre WV1'!$A$7:$N$107,8,FALSE),0)</f>
        <v>0</v>
      </c>
      <c r="I17" s="10">
        <f>IFERROR(VLOOKUP(A17,'Centre DW1'!$A$7:$N$106,9,FALSE),0)+
IFERROR(VLOOKUP(A17,'Centre WP1'!$A$7:$N$106,9,FALSE),0)+
IFERROR(VLOOKUP(A17,'Centre WR1'!$A$7:$N$106,9,FALSE),0)+
IFERROR(VLOOKUP(A17,'Centre WV1'!$A$7:$N$107,9,FALSE),0)</f>
        <v>0</v>
      </c>
      <c r="J17" s="47">
        <f>IFERROR(VLOOKUP(A17,'Centre DW1'!$A$7:$N$106,10,FALSE),0)+
IFERROR(VLOOKUP(A17,'Centre WP1'!$A$7:$N$106,10,FALSE),0)+
IFERROR(VLOOKUP(A17,'Centre WR1'!$A$7:$N$106,10,FALSE),0)+
IFERROR(VLOOKUP(A17,'Centre WV1'!$A$7:$N$107,10,FALSE),0)</f>
        <v>0</v>
      </c>
      <c r="K17" s="47">
        <f>IFERROR(VLOOKUP(A17,'Centre DW1'!$A$7:$N$106,11,FALSE),0)+
IFERROR(VLOOKUP(A17,'Centre WP1'!$A$7:$N$106,11,FALSE),0)+
IFERROR(VLOOKUP(A17,'Centre WR1'!$A$7:$N$106,11,FALSE),0)+
IFERROR(VLOOKUP(A17,'Centre WV1'!$A$7:$N$107,11,FALSE),0)</f>
        <v>0</v>
      </c>
      <c r="L17" s="47">
        <f>IFERROR(VLOOKUP(A17,'Centre DW1'!$A$7:$N$106,12,FALSE),0)+
IFERROR(VLOOKUP(A17,'Centre WP1'!$A$7:$N$106,12,FALSE),0)+
IFERROR(VLOOKUP(A17,'Centre WR1'!$A$7:$N$106,12,FALSE),0)+
IFERROR(VLOOKUP(A17,'Centre WV1'!$A$7:$N$107,12,FALSE),0)</f>
        <v>0</v>
      </c>
      <c r="M17" s="47">
        <f>IFERROR(VLOOKUP(A17,'Centre DW1'!$A$7:$N$106,13,FALSE),0)+
IFERROR(VLOOKUP(A17,'Centre WP1'!$A$7:$N$106,13,FALSE),0)+
IFERROR(VLOOKUP(A17,'Centre WR1'!$A$7:$N$106,13,FALSE),0)+
IFERROR(VLOOKUP(A17,'Centre WV1'!$A$7:$N$107,13,FALSE),0)</f>
        <v>0</v>
      </c>
      <c r="N17" s="47">
        <f>IFERROR(VLOOKUP(A17,'Centre DW1'!$A$7:$N$106,14,FALSE),0)+
IFERROR(VLOOKUP(A17,'Centre WP1'!$A$7:$N$106,14,FALSE),0)+
IFERROR(VLOOKUP(A17,'Centre WR1'!$A$7:$N$106,14,FALSE),0)+
IFERROR(VLOOKUP(A17,'Centre WV1'!$A$7:$N$107,14,FALSE),0)</f>
        <v>0</v>
      </c>
    </row>
    <row r="18" spans="1:15" collapsed="1" x14ac:dyDescent="0.2">
      <c r="A18" s="33" t="s">
        <v>45</v>
      </c>
      <c r="B18" s="34" t="s">
        <v>46</v>
      </c>
      <c r="C18" s="44">
        <f>IFERROR(VLOOKUP(A18,'Centre DW1'!$A$7:$N$106,3,FALSE),0)+
IFERROR(VLOOKUP(A18,'Centre WP1'!$A$7:$N$106,3,FALSE),0)+
IFERROR(VLOOKUP(A18,'Centre WR1'!$A$7:$N$106,3,FALSE),0)+
IFERROR(VLOOKUP(A18,'Centre WV1'!$A$7:$N$107,3,FALSE),0)</f>
        <v>0</v>
      </c>
      <c r="D18" s="44">
        <f>IFERROR(VLOOKUP(A18,'Centre DW1'!$A$7:$N$106,4,FALSE),0)+
IFERROR(VLOOKUP(A18,'Centre WP1'!$A$7:$N$106,4,FALSE),0)+
IFERROR(VLOOKUP(A18,'Centre WR1'!$A$7:$N$106,4,FALSE),0)+
IFERROR(VLOOKUP(A18,'Centre WV1'!$A$7:$N$107,4,FALSE),0)</f>
        <v>0</v>
      </c>
      <c r="E18" s="44">
        <f>IFERROR(VLOOKUP(A18,'Centre DW1'!$A$7:$N$106,5,FALSE),0)+
IFERROR(VLOOKUP(A18,'Centre WP1'!$A$7:$N$106,5,FALSE),0)+
IFERROR(VLOOKUP(A18,'Centre WR1'!$A$7:$N$106,5,FALSE),0)+
IFERROR(VLOOKUP(A18,'Centre WV1'!$A$7:$N$107,5,FALSE),0)</f>
        <v>0</v>
      </c>
      <c r="F18" s="44">
        <f>IFERROR(VLOOKUP(A18,'Centre DW1'!$A$7:$N$106,6,FALSE),0)+
IFERROR(VLOOKUP(A18,'Centre WP1'!$A$7:$N$106,6,FALSE),0)+
IFERROR(VLOOKUP(A18,'Centre WR1'!$A$7:$N$106,6,FALSE),0)+
IFERROR(VLOOKUP(A18,'Centre WV1'!$A$7:$N$107,6,FALSE),0)</f>
        <v>0</v>
      </c>
      <c r="G18" s="44">
        <f>IFERROR(VLOOKUP(A18,'Centre DW1'!$A$7:$N$106,7,FALSE),0)+
IFERROR(VLOOKUP(A18,'Centre WP1'!$A$7:$N$106,7,FALSE),0)+
IFERROR(VLOOKUP(A18,'Centre WR1'!$A$7:$N$106,7,FALSE),0)+
IFERROR(VLOOKUP(A18,'Centre WV1'!$A$7:$N$107,7,FALSE),0)</f>
        <v>0</v>
      </c>
      <c r="H18" s="44">
        <f>IFERROR(VLOOKUP(A18,'Centre DW1'!$A$7:$N$106,8,FALSE),0)+
IFERROR(VLOOKUP(A18,'Centre WP1'!$A$7:$N$106,8,FALSE),0)+
IFERROR(VLOOKUP(A18,'Centre WR1'!$A$7:$N$106,8,FALSE),0)+
IFERROR(VLOOKUP(A18,'Centre WV1'!$A$7:$N$107,8,FALSE),0)</f>
        <v>0</v>
      </c>
      <c r="I18" s="44">
        <f>IFERROR(VLOOKUP(A18,'Centre DW1'!$A$7:$N$106,9,FALSE),0)+
IFERROR(VLOOKUP(A18,'Centre WP1'!$A$7:$N$106,9,FALSE),0)+
IFERROR(VLOOKUP(A18,'Centre WR1'!$A$7:$N$106,9,FALSE),0)+
IFERROR(VLOOKUP(A18,'Centre WV1'!$A$7:$N$107,9,FALSE),0)</f>
        <v>0</v>
      </c>
      <c r="J18" s="46">
        <f>IFERROR(VLOOKUP(#REF!,'Centre DW1'!$A$7:$N$106,14,FALSE),0)+
IFERROR(VLOOKUP(#REF!,'Centre WP1'!$A$7:$N$106,14,FALSE),0)+
IFERROR(VLOOKUP(#REF!,'Centre WR1'!$A$7:$N$106,14,FALSE),0)+
IFERROR(VLOOKUP(#REF!,'Centre WV1'!$A$7:$N$107,14,FALSE),0)</f>
        <v>0</v>
      </c>
      <c r="K18" s="46">
        <f>IFERROR(VLOOKUP(#REF!,'Centre DW1'!$A$7:$N$106,14,FALSE),0)+
IFERROR(VLOOKUP(#REF!,'Centre WP1'!$A$7:$N$106,14,FALSE),0)+
IFERROR(VLOOKUP(#REF!,'Centre WR1'!$A$7:$N$106,14,FALSE),0)+
IFERROR(VLOOKUP(#REF!,'Centre WV1'!$A$7:$N$107,14,FALSE),0)</f>
        <v>0</v>
      </c>
      <c r="L18" s="46">
        <f>IFERROR(VLOOKUP(#REF!,'Centre DW1'!$A$7:$N$106,14,FALSE),0)+
IFERROR(VLOOKUP(#REF!,'Centre WP1'!$A$7:$N$106,14,FALSE),0)+
IFERROR(VLOOKUP(#REF!,'Centre WR1'!$A$7:$N$106,14,FALSE),0)+
IFERROR(VLOOKUP(#REF!,'Centre WV1'!$A$7:$N$107,14,FALSE),0)</f>
        <v>0</v>
      </c>
      <c r="M18" s="46">
        <f>IFERROR(VLOOKUP(#REF!,'Centre DW1'!$A$7:$N$106,14,FALSE),0)+
IFERROR(VLOOKUP(#REF!,'Centre WP1'!$A$7:$N$106,14,FALSE),0)+
IFERROR(VLOOKUP(#REF!,'Centre WR1'!$A$7:$N$106,14,FALSE),0)+
IFERROR(VLOOKUP(#REF!,'Centre WV1'!$A$7:$N$107,14,FALSE),0)</f>
        <v>0</v>
      </c>
      <c r="N18" s="46">
        <f>IFERROR(VLOOKUP(A18,'Centre DW1'!$A$7:$N$106,14,FALSE),0)+
IFERROR(VLOOKUP(A18,'Centre WP1'!$A$7:$N$106,14,FALSE),0)+
IFERROR(VLOOKUP(A18,'Centre WR1'!$A$7:$N$106,14,FALSE),0)+
IFERROR(VLOOKUP(A18,'Centre WV1'!$A$7:$N$107,14,FALSE),0)</f>
        <v>0</v>
      </c>
    </row>
    <row r="19" spans="1:15" x14ac:dyDescent="0.2">
      <c r="A19" s="35"/>
      <c r="B19" s="35" t="s">
        <v>47</v>
      </c>
      <c r="C19" s="21">
        <f>+C7+C14+C15+C16+C18</f>
        <v>109.8</v>
      </c>
      <c r="D19" s="21">
        <f t="shared" ref="D19:N19" si="3">+D7+D14+D15+D16+D18</f>
        <v>52.1</v>
      </c>
      <c r="E19" s="21">
        <f t="shared" si="3"/>
        <v>59.7</v>
      </c>
      <c r="F19" s="21">
        <f t="shared" si="3"/>
        <v>59.300000000000004</v>
      </c>
      <c r="G19" s="21">
        <f t="shared" si="3"/>
        <v>63.5</v>
      </c>
      <c r="H19" s="21">
        <f t="shared" si="3"/>
        <v>63.699999999999996</v>
      </c>
      <c r="I19" s="21">
        <f t="shared" si="3"/>
        <v>46.3</v>
      </c>
      <c r="J19" s="21">
        <f t="shared" si="3"/>
        <v>64</v>
      </c>
      <c r="K19" s="21">
        <f t="shared" si="3"/>
        <v>70</v>
      </c>
      <c r="L19" s="21">
        <f t="shared" si="3"/>
        <v>62</v>
      </c>
      <c r="M19" s="21">
        <f t="shared" si="3"/>
        <v>78</v>
      </c>
      <c r="N19" s="21">
        <f t="shared" si="3"/>
        <v>76</v>
      </c>
      <c r="O19" s="50">
        <f>SUM(C19:N19)</f>
        <v>804.40000000000009</v>
      </c>
    </row>
    <row r="20" spans="1:15" x14ac:dyDescent="0.2">
      <c r="A20" s="33" t="s">
        <v>48</v>
      </c>
      <c r="B20" s="34" t="s">
        <v>49</v>
      </c>
      <c r="C20" s="46">
        <f>SUM(C21:C26)</f>
        <v>33.700000000000003</v>
      </c>
      <c r="D20" s="46">
        <f t="shared" ref="D20:I20" si="4">SUM(D21:D26)</f>
        <v>25.7</v>
      </c>
      <c r="E20" s="46">
        <f t="shared" si="4"/>
        <v>25.3</v>
      </c>
      <c r="F20" s="46">
        <f t="shared" si="4"/>
        <v>14.799999999999999</v>
      </c>
      <c r="G20" s="46">
        <f t="shared" si="4"/>
        <v>36.300000000000004</v>
      </c>
      <c r="H20" s="46">
        <f t="shared" si="4"/>
        <v>17.5</v>
      </c>
      <c r="I20" s="46">
        <f t="shared" si="4"/>
        <v>25.7</v>
      </c>
      <c r="J20" s="46">
        <f>SUM(J21:J26)</f>
        <v>37.299999999999997</v>
      </c>
      <c r="K20" s="46">
        <f t="shared" ref="K20:N20" si="5">SUM(K21:K26)</f>
        <v>32.1</v>
      </c>
      <c r="L20" s="46">
        <f t="shared" si="5"/>
        <v>29.1</v>
      </c>
      <c r="M20" s="46">
        <f t="shared" si="5"/>
        <v>21.1</v>
      </c>
      <c r="N20" s="46">
        <f t="shared" si="5"/>
        <v>23.1</v>
      </c>
    </row>
    <row r="21" spans="1:15" hidden="1" outlineLevel="1" x14ac:dyDescent="0.2">
      <c r="A21" s="9" t="s">
        <v>50</v>
      </c>
      <c r="B21" s="1" t="s">
        <v>51</v>
      </c>
      <c r="C21" s="10">
        <f>IFERROR(VLOOKUP(A21,'Centre DW1'!$A$7:$N$106,3,FALSE),0)+
IFERROR(VLOOKUP(A21,'Centre WP1'!$A$7:$N$106,3,FALSE),0)+
IFERROR(VLOOKUP(A21,'Centre WR1'!$A$7:$N$106,3,FALSE),0)+
IFERROR(VLOOKUP(A21,'Centre WV1'!$A$7:$N$107,3,FALSE),0)</f>
        <v>0</v>
      </c>
      <c r="D21" s="10">
        <f>IFERROR(VLOOKUP(A21,'Centre DW1'!$A$7:$N$106,4,FALSE),0)+
IFERROR(VLOOKUP(A21,'Centre WP1'!$A$7:$N$106,4,FALSE),0)+
IFERROR(VLOOKUP(A21,'Centre WR1'!$A$7:$N$106,4,FALSE),0)+
IFERROR(VLOOKUP(A21,'Centre WV1'!$A$7:$N$107,4,FALSE),0)</f>
        <v>0</v>
      </c>
      <c r="E21" s="10">
        <f>IFERROR(VLOOKUP(A21,'Centre DW1'!$A$7:$N$106,5,FALSE),0)+
IFERROR(VLOOKUP(A21,'Centre WP1'!$A$7:$N$106,5,FALSE),0)+
IFERROR(VLOOKUP(A21,'Centre WR1'!$A$7:$N$106,5,FALSE),0)+
IFERROR(VLOOKUP(A21,'Centre WV1'!$A$7:$N$107,5,FALSE),0)</f>
        <v>0</v>
      </c>
      <c r="F21" s="10">
        <f>IFERROR(VLOOKUP(A21,'Centre DW1'!$A$7:$N$106,6,FALSE),0)+
IFERROR(VLOOKUP(A21,'Centre WP1'!$A$7:$N$106,6,FALSE),0)+
IFERROR(VLOOKUP(A21,'Centre WR1'!$A$7:$N$106,6,FALSE),0)+
IFERROR(VLOOKUP(A21,'Centre WV1'!$A$7:$N$107,6,FALSE),0)</f>
        <v>0</v>
      </c>
      <c r="G21" s="10">
        <f>IFERROR(VLOOKUP(A21,'Centre DW1'!$A$7:$N$106,7,FALSE),0)+
IFERROR(VLOOKUP(A21,'Centre WP1'!$A$7:$N$106,7,FALSE),0)+
IFERROR(VLOOKUP(A21,'Centre WR1'!$A$7:$N$106,7,FALSE),0)+
IFERROR(VLOOKUP(A21,'Centre WV1'!$A$7:$N$107,7,FALSE),0)</f>
        <v>0</v>
      </c>
      <c r="H21" s="10">
        <f>IFERROR(VLOOKUP(A21,'Centre DW1'!$A$7:$N$106,8,FALSE),0)+
IFERROR(VLOOKUP(A21,'Centre WP1'!$A$7:$N$106,8,FALSE),0)+
IFERROR(VLOOKUP(A21,'Centre WR1'!$A$7:$N$106,8,FALSE),0)+
IFERROR(VLOOKUP(A21,'Centre WV1'!$A$7:$N$107,8,FALSE),0)</f>
        <v>0</v>
      </c>
      <c r="I21" s="10">
        <f>IFERROR(VLOOKUP(A21,'Centre DW1'!$A$7:$N$106,9,FALSE),0)+
IFERROR(VLOOKUP(A21,'Centre WP1'!$A$7:$N$106,9,FALSE),0)+
IFERROR(VLOOKUP(A21,'Centre WR1'!$A$7:$N$106,9,FALSE),0)+
IFERROR(VLOOKUP(A21,'Centre WV1'!$A$7:$N$107,9,FALSE),0)</f>
        <v>0</v>
      </c>
      <c r="J21" s="47">
        <f>IFERROR(VLOOKUP(A21,'Centre DW1'!$A$7:$N$106,10,FALSE),0)+
IFERROR(VLOOKUP(A21,'Centre WP1'!$A$7:$N$106,10,FALSE),0)+
IFERROR(VLOOKUP(A21,'Centre WR1'!$A$7:$N$106,10,FALSE),0)+
IFERROR(VLOOKUP(A21,'Centre WV1'!$A$7:$N$107,10,FALSE),0)</f>
        <v>0</v>
      </c>
      <c r="K21" s="47">
        <f>IFERROR(VLOOKUP(A21,'Centre DW1'!$A$7:$N$106,11,FALSE),0)+
IFERROR(VLOOKUP(A21,'Centre WP1'!$A$7:$N$106,11,FALSE),0)+
IFERROR(VLOOKUP(A21,'Centre WR1'!$A$7:$N$106,11,FALSE),0)+
IFERROR(VLOOKUP(A21,'Centre WV1'!$A$7:$N$107,11,FALSE),0)</f>
        <v>0</v>
      </c>
      <c r="L21" s="47">
        <f>IFERROR(VLOOKUP(A21,'Centre DW1'!$A$7:$N$106,12,FALSE),0)+
IFERROR(VLOOKUP(A21,'Centre WP1'!$A$7:$N$106,12,FALSE),0)+
IFERROR(VLOOKUP(A21,'Centre WR1'!$A$7:$N$106,12,FALSE),0)+
IFERROR(VLOOKUP(A21,'Centre WV1'!$A$7:$N$107,12,FALSE),0)</f>
        <v>0</v>
      </c>
      <c r="M21" s="47">
        <f>IFERROR(VLOOKUP(A21,'Centre DW1'!$A$7:$N$106,13,FALSE),0)+
IFERROR(VLOOKUP(A21,'Centre WP1'!$A$7:$N$106,13,FALSE),0)+
IFERROR(VLOOKUP(A21,'Centre WR1'!$A$7:$N$106,13,FALSE),0)+
IFERROR(VLOOKUP(A21,'Centre WV1'!$A$7:$N$107,13,FALSE),0)</f>
        <v>0</v>
      </c>
      <c r="N21" s="47">
        <f>IFERROR(VLOOKUP(A21,'Centre DW1'!$A$7:$N$106,14,FALSE),0)+
IFERROR(VLOOKUP(A21,'Centre WP1'!$A$7:$N$106,14,FALSE),0)+
IFERROR(VLOOKUP(A21,'Centre WR1'!$A$7:$N$106,14,FALSE),0)+
IFERROR(VLOOKUP(A21,'Centre WV1'!$A$7:$N$107,14,FALSE),0)</f>
        <v>0</v>
      </c>
    </row>
    <row r="22" spans="1:15" hidden="1" outlineLevel="1" x14ac:dyDescent="0.2">
      <c r="A22" s="9" t="s">
        <v>52</v>
      </c>
      <c r="B22" s="1" t="s">
        <v>53</v>
      </c>
      <c r="C22" s="10">
        <f>IFERROR(VLOOKUP(A22,'Centre DW1'!$A$7:$N$106,3,FALSE),0)+
IFERROR(VLOOKUP(A22,'Centre WP1'!$A$7:$N$106,3,FALSE),0)+
IFERROR(VLOOKUP(A22,'Centre WR1'!$A$7:$N$106,3,FALSE),0)+
IFERROR(VLOOKUP(A22,'Centre WV1'!$A$7:$N$107,3,FALSE),0)</f>
        <v>0</v>
      </c>
      <c r="D22" s="10">
        <f>IFERROR(VLOOKUP(A22,'Centre DW1'!$A$7:$N$106,4,FALSE),0)+
IFERROR(VLOOKUP(A22,'Centre WP1'!$A$7:$N$106,4,FALSE),0)+
IFERROR(VLOOKUP(A22,'Centre WR1'!$A$7:$N$106,4,FALSE),0)+
IFERROR(VLOOKUP(A22,'Centre WV1'!$A$7:$N$107,4,FALSE),0)</f>
        <v>0</v>
      </c>
      <c r="E22" s="10">
        <f>IFERROR(VLOOKUP(A22,'Centre DW1'!$A$7:$N$106,5,FALSE),0)+
IFERROR(VLOOKUP(A22,'Centre WP1'!$A$7:$N$106,5,FALSE),0)+
IFERROR(VLOOKUP(A22,'Centre WR1'!$A$7:$N$106,5,FALSE),0)+
IFERROR(VLOOKUP(A22,'Centre WV1'!$A$7:$N$107,5,FALSE),0)</f>
        <v>0</v>
      </c>
      <c r="F22" s="10">
        <f>IFERROR(VLOOKUP(A22,'Centre DW1'!$A$7:$N$106,6,FALSE),0)+
IFERROR(VLOOKUP(A22,'Centre WP1'!$A$7:$N$106,6,FALSE),0)+
IFERROR(VLOOKUP(A22,'Centre WR1'!$A$7:$N$106,6,FALSE),0)+
IFERROR(VLOOKUP(A22,'Centre WV1'!$A$7:$N$107,6,FALSE),0)</f>
        <v>0</v>
      </c>
      <c r="G22" s="10">
        <f>IFERROR(VLOOKUP(A22,'Centre DW1'!$A$7:$N$106,7,FALSE),0)+
IFERROR(VLOOKUP(A22,'Centre WP1'!$A$7:$N$106,7,FALSE),0)+
IFERROR(VLOOKUP(A22,'Centre WR1'!$A$7:$N$106,7,FALSE),0)+
IFERROR(VLOOKUP(A22,'Centre WV1'!$A$7:$N$107,7,FALSE),0)</f>
        <v>0</v>
      </c>
      <c r="H22" s="10">
        <f>IFERROR(VLOOKUP(A22,'Centre DW1'!$A$7:$N$106,8,FALSE),0)+
IFERROR(VLOOKUP(A22,'Centre WP1'!$A$7:$N$106,8,FALSE),0)+
IFERROR(VLOOKUP(A22,'Centre WR1'!$A$7:$N$106,8,FALSE),0)+
IFERROR(VLOOKUP(A22,'Centre WV1'!$A$7:$N$107,8,FALSE),0)</f>
        <v>0</v>
      </c>
      <c r="I22" s="10">
        <f>IFERROR(VLOOKUP(A22,'Centre DW1'!$A$7:$N$106,9,FALSE),0)+
IFERROR(VLOOKUP(A22,'Centre WP1'!$A$7:$N$106,9,FALSE),0)+
IFERROR(VLOOKUP(A22,'Centre WR1'!$A$7:$N$106,9,FALSE),0)+
IFERROR(VLOOKUP(A22,'Centre WV1'!$A$7:$N$107,9,FALSE),0)</f>
        <v>0</v>
      </c>
      <c r="J22" s="47">
        <f>IFERROR(VLOOKUP(A22,'Centre DW1'!$A$7:$N$106,10,FALSE),0)+
IFERROR(VLOOKUP(A22,'Centre WP1'!$A$7:$N$106,10,FALSE),0)+
IFERROR(VLOOKUP(A22,'Centre WR1'!$A$7:$N$106,10,FALSE),0)+
IFERROR(VLOOKUP(A22,'Centre WV1'!$A$7:$N$107,10,FALSE),0)</f>
        <v>0</v>
      </c>
      <c r="K22" s="47">
        <f>IFERROR(VLOOKUP(A22,'Centre DW1'!$A$7:$N$106,11,FALSE),0)+
IFERROR(VLOOKUP(A22,'Centre WP1'!$A$7:$N$106,11,FALSE),0)+
IFERROR(VLOOKUP(A22,'Centre WR1'!$A$7:$N$106,11,FALSE),0)+
IFERROR(VLOOKUP(A22,'Centre WV1'!$A$7:$N$107,11,FALSE),0)</f>
        <v>0</v>
      </c>
      <c r="L22" s="47">
        <f>IFERROR(VLOOKUP(A22,'Centre DW1'!$A$7:$N$106,12,FALSE),0)+
IFERROR(VLOOKUP(A22,'Centre WP1'!$A$7:$N$106,12,FALSE),0)+
IFERROR(VLOOKUP(A22,'Centre WR1'!$A$7:$N$106,12,FALSE),0)+
IFERROR(VLOOKUP(A22,'Centre WV1'!$A$7:$N$107,12,FALSE),0)</f>
        <v>0</v>
      </c>
      <c r="M22" s="47">
        <f>IFERROR(VLOOKUP(A22,'Centre DW1'!$A$7:$N$106,13,FALSE),0)+
IFERROR(VLOOKUP(A22,'Centre WP1'!$A$7:$N$106,13,FALSE),0)+
IFERROR(VLOOKUP(A22,'Centre WR1'!$A$7:$N$106,13,FALSE),0)+
IFERROR(VLOOKUP(A22,'Centre WV1'!$A$7:$N$107,13,FALSE),0)</f>
        <v>0</v>
      </c>
      <c r="N22" s="47">
        <f>IFERROR(VLOOKUP(A22,'Centre DW1'!$A$7:$N$106,14,FALSE),0)+
IFERROR(VLOOKUP(A22,'Centre WP1'!$A$7:$N$106,14,FALSE),0)+
IFERROR(VLOOKUP(A22,'Centre WR1'!$A$7:$N$106,14,FALSE),0)+
IFERROR(VLOOKUP(A22,'Centre WV1'!$A$7:$N$107,14,FALSE),0)</f>
        <v>0</v>
      </c>
    </row>
    <row r="23" spans="1:15" hidden="1" outlineLevel="1" x14ac:dyDescent="0.2">
      <c r="A23" s="9" t="s">
        <v>54</v>
      </c>
      <c r="B23" s="1" t="s">
        <v>55</v>
      </c>
      <c r="C23" s="10">
        <f>IFERROR(VLOOKUP(A23,'Centre DW1'!$A$7:$N$106,3,FALSE),0)+
IFERROR(VLOOKUP(A23,'Centre WP1'!$A$7:$N$106,3,FALSE),0)+
IFERROR(VLOOKUP(A23,'Centre WR1'!$A$7:$N$106,3,FALSE),0)+
IFERROR(VLOOKUP(A23,'Centre WV1'!$A$7:$N$107,3,FALSE),0)</f>
        <v>0</v>
      </c>
      <c r="D23" s="10">
        <f>IFERROR(VLOOKUP(A23,'Centre DW1'!$A$7:$N$106,4,FALSE),0)+
IFERROR(VLOOKUP(A23,'Centre WP1'!$A$7:$N$106,4,FALSE),0)+
IFERROR(VLOOKUP(A23,'Centre WR1'!$A$7:$N$106,4,FALSE),0)+
IFERROR(VLOOKUP(A23,'Centre WV1'!$A$7:$N$107,4,FALSE),0)</f>
        <v>0</v>
      </c>
      <c r="E23" s="10">
        <f>IFERROR(VLOOKUP(A23,'Centre DW1'!$A$7:$N$106,5,FALSE),0)+
IFERROR(VLOOKUP(A23,'Centre WP1'!$A$7:$N$106,5,FALSE),0)+
IFERROR(VLOOKUP(A23,'Centre WR1'!$A$7:$N$106,5,FALSE),0)+
IFERROR(VLOOKUP(A23,'Centre WV1'!$A$7:$N$107,5,FALSE),0)</f>
        <v>0</v>
      </c>
      <c r="F23" s="10">
        <f>IFERROR(VLOOKUP(A23,'Centre DW1'!$A$7:$N$106,6,FALSE),0)+
IFERROR(VLOOKUP(A23,'Centre WP1'!$A$7:$N$106,6,FALSE),0)+
IFERROR(VLOOKUP(A23,'Centre WR1'!$A$7:$N$106,6,FALSE),0)+
IFERROR(VLOOKUP(A23,'Centre WV1'!$A$7:$N$107,6,FALSE),0)</f>
        <v>0</v>
      </c>
      <c r="G23" s="10">
        <f>IFERROR(VLOOKUP(A23,'Centre DW1'!$A$7:$N$106,7,FALSE),0)+
IFERROR(VLOOKUP(A23,'Centre WP1'!$A$7:$N$106,7,FALSE),0)+
IFERROR(VLOOKUP(A23,'Centre WR1'!$A$7:$N$106,7,FALSE),0)+
IFERROR(VLOOKUP(A23,'Centre WV1'!$A$7:$N$107,7,FALSE),0)</f>
        <v>0</v>
      </c>
      <c r="H23" s="10">
        <f>IFERROR(VLOOKUP(A23,'Centre DW1'!$A$7:$N$106,8,FALSE),0)+
IFERROR(VLOOKUP(A23,'Centre WP1'!$A$7:$N$106,8,FALSE),0)+
IFERROR(VLOOKUP(A23,'Centre WR1'!$A$7:$N$106,8,FALSE),0)+
IFERROR(VLOOKUP(A23,'Centre WV1'!$A$7:$N$107,8,FALSE),0)</f>
        <v>17.5</v>
      </c>
      <c r="I23" s="10">
        <f>IFERROR(VLOOKUP(A23,'Centre DW1'!$A$7:$N$106,9,FALSE),0)+
IFERROR(VLOOKUP(A23,'Centre WP1'!$A$7:$N$106,9,FALSE),0)+
IFERROR(VLOOKUP(A23,'Centre WR1'!$A$7:$N$106,9,FALSE),0)+
IFERROR(VLOOKUP(A23,'Centre WV1'!$A$7:$N$107,9,FALSE),0)</f>
        <v>0</v>
      </c>
      <c r="J23" s="47">
        <f>IFERROR(VLOOKUP(A23,'Centre DW1'!$A$7:$N$106,10,FALSE),0)+
IFERROR(VLOOKUP(A23,'Centre WP1'!$A$7:$N$106,10,FALSE),0)+
IFERROR(VLOOKUP(A23,'Centre WR1'!$A$7:$N$106,10,FALSE),0)+
IFERROR(VLOOKUP(A23,'Centre WV1'!$A$7:$N$107,10,FALSE),0)</f>
        <v>0</v>
      </c>
      <c r="K23" s="47">
        <f>IFERROR(VLOOKUP(A23,'Centre DW1'!$A$7:$N$106,11,FALSE),0)+
IFERROR(VLOOKUP(A23,'Centre WP1'!$A$7:$N$106,11,FALSE),0)+
IFERROR(VLOOKUP(A23,'Centre WR1'!$A$7:$N$106,11,FALSE),0)+
IFERROR(VLOOKUP(A23,'Centre WV1'!$A$7:$N$107,11,FALSE),0)</f>
        <v>0</v>
      </c>
      <c r="L23" s="47">
        <f>IFERROR(VLOOKUP(A23,'Centre DW1'!$A$7:$N$106,12,FALSE),0)+
IFERROR(VLOOKUP(A23,'Centre WP1'!$A$7:$N$106,12,FALSE),0)+
IFERROR(VLOOKUP(A23,'Centre WR1'!$A$7:$N$106,12,FALSE),0)+
IFERROR(VLOOKUP(A23,'Centre WV1'!$A$7:$N$107,12,FALSE),0)</f>
        <v>0</v>
      </c>
      <c r="M23" s="47">
        <f>IFERROR(VLOOKUP(A23,'Centre DW1'!$A$7:$N$106,13,FALSE),0)+
IFERROR(VLOOKUP(A23,'Centre WP1'!$A$7:$N$106,13,FALSE),0)+
IFERROR(VLOOKUP(A23,'Centre WR1'!$A$7:$N$106,13,FALSE),0)+
IFERROR(VLOOKUP(A23,'Centre WV1'!$A$7:$N$107,13,FALSE),0)</f>
        <v>21</v>
      </c>
      <c r="N23" s="47">
        <f>IFERROR(VLOOKUP(A23,'Centre DW1'!$A$7:$N$106,14,FALSE),0)+
IFERROR(VLOOKUP(A23,'Centre WP1'!$A$7:$N$106,14,FALSE),0)+
IFERROR(VLOOKUP(A23,'Centre WR1'!$A$7:$N$106,14,FALSE),0)+
IFERROR(VLOOKUP(A23,'Centre WV1'!$A$7:$N$107,14,FALSE),0)</f>
        <v>23</v>
      </c>
    </row>
    <row r="24" spans="1:15" hidden="1" outlineLevel="1" x14ac:dyDescent="0.2">
      <c r="A24" s="9" t="s">
        <v>56</v>
      </c>
      <c r="B24" s="1" t="s">
        <v>51</v>
      </c>
      <c r="C24" s="10">
        <f>IFERROR(VLOOKUP(A24,'Centre DW1'!$A$7:$N$106,3,FALSE),0)+
IFERROR(VLOOKUP(A24,'Centre WP1'!$A$7:$N$106,3,FALSE),0)+
IFERROR(VLOOKUP(A24,'Centre WR1'!$A$7:$N$106,3,FALSE),0)+
IFERROR(VLOOKUP(A24,'Centre WV1'!$A$7:$N$107,3,FALSE),0)</f>
        <v>33.200000000000003</v>
      </c>
      <c r="D24" s="10">
        <f>IFERROR(VLOOKUP(A24,'Centre DW1'!$A$7:$N$106,4,FALSE),0)+
IFERROR(VLOOKUP(A24,'Centre WP1'!$A$7:$N$106,4,FALSE),0)+
IFERROR(VLOOKUP(A24,'Centre WR1'!$A$7:$N$106,4,FALSE),0)+
IFERROR(VLOOKUP(A24,'Centre WV1'!$A$7:$N$107,4,FALSE),0)</f>
        <v>28.3</v>
      </c>
      <c r="E24" s="10">
        <f>IFERROR(VLOOKUP(A24,'Centre DW1'!$A$7:$N$106,5,FALSE),0)+
IFERROR(VLOOKUP(A24,'Centre WP1'!$A$7:$N$106,5,FALSE),0)+
IFERROR(VLOOKUP(A24,'Centre WR1'!$A$7:$N$106,5,FALSE),0)+
IFERROR(VLOOKUP(A24,'Centre WV1'!$A$7:$N$107,5,FALSE),0)</f>
        <v>25</v>
      </c>
      <c r="F24" s="10">
        <f>IFERROR(VLOOKUP(A24,'Centre DW1'!$A$7:$N$106,6,FALSE),0)+
IFERROR(VLOOKUP(A24,'Centre WP1'!$A$7:$N$106,6,FALSE),0)+
IFERROR(VLOOKUP(A24,'Centre WR1'!$A$7:$N$106,6,FALSE),0)+
IFERROR(VLOOKUP(A24,'Centre WV1'!$A$7:$N$107,6,FALSE),0)</f>
        <v>14.7</v>
      </c>
      <c r="G24" s="10">
        <f>IFERROR(VLOOKUP(A24,'Centre DW1'!$A$7:$N$106,7,FALSE),0)+
IFERROR(VLOOKUP(A24,'Centre WP1'!$A$7:$N$106,7,FALSE),0)+
IFERROR(VLOOKUP(A24,'Centre WR1'!$A$7:$N$106,7,FALSE),0)+
IFERROR(VLOOKUP(A24,'Centre WV1'!$A$7:$N$107,7,FALSE),0)</f>
        <v>36.200000000000003</v>
      </c>
      <c r="H24" s="10">
        <f>IFERROR(VLOOKUP(A24,'Centre DW1'!$A$7:$N$106,8,FALSE),0)+
IFERROR(VLOOKUP(A24,'Centre WP1'!$A$7:$N$106,8,FALSE),0)+
IFERROR(VLOOKUP(A24,'Centre WR1'!$A$7:$N$106,8,FALSE),0)+
IFERROR(VLOOKUP(A24,'Centre WV1'!$A$7:$N$107,8,FALSE),0)</f>
        <v>0</v>
      </c>
      <c r="I24" s="10">
        <f>IFERROR(VLOOKUP(A24,'Centre DW1'!$A$7:$N$106,9,FALSE),0)+
IFERROR(VLOOKUP(A24,'Centre WP1'!$A$7:$N$106,9,FALSE),0)+
IFERROR(VLOOKUP(A24,'Centre WR1'!$A$7:$N$106,9,FALSE),0)+
IFERROR(VLOOKUP(A24,'Centre WV1'!$A$7:$N$107,9,FALSE),0)</f>
        <v>28.3</v>
      </c>
      <c r="J24" s="47">
        <f>IFERROR(VLOOKUP(A24,'Centre DW1'!$A$7:$N$106,10,FALSE),0)+
IFERROR(VLOOKUP(A24,'Centre WP1'!$A$7:$N$106,10,FALSE),0)+
IFERROR(VLOOKUP(A24,'Centre WR1'!$A$7:$N$106,10,FALSE),0)+
IFERROR(VLOOKUP(A24,'Centre WV1'!$A$7:$N$107,10,FALSE),0)</f>
        <v>37</v>
      </c>
      <c r="K24" s="47">
        <f>IFERROR(VLOOKUP(A24,'Centre DW1'!$A$7:$N$106,11,FALSE),0)+
IFERROR(VLOOKUP(A24,'Centre WP1'!$A$7:$N$106,11,FALSE),0)+
IFERROR(VLOOKUP(A24,'Centre WR1'!$A$7:$N$106,11,FALSE),0)+
IFERROR(VLOOKUP(A24,'Centre WV1'!$A$7:$N$107,11,FALSE),0)</f>
        <v>32</v>
      </c>
      <c r="L24" s="47">
        <f>IFERROR(VLOOKUP(A24,'Centre DW1'!$A$7:$N$106,12,FALSE),0)+
IFERROR(VLOOKUP(A24,'Centre WP1'!$A$7:$N$106,12,FALSE),0)+
IFERROR(VLOOKUP(A24,'Centre WR1'!$A$7:$N$106,12,FALSE),0)+
IFERROR(VLOOKUP(A24,'Centre WV1'!$A$7:$N$107,12,FALSE),0)</f>
        <v>29</v>
      </c>
      <c r="M24" s="47">
        <f>IFERROR(VLOOKUP(A24,'Centre DW1'!$A$7:$N$106,13,FALSE),0)+
IFERROR(VLOOKUP(A24,'Centre WP1'!$A$7:$N$106,13,FALSE),0)+
IFERROR(VLOOKUP(A24,'Centre WR1'!$A$7:$N$106,13,FALSE),0)+
IFERROR(VLOOKUP(A24,'Centre WV1'!$A$7:$N$107,13,FALSE),0)</f>
        <v>0</v>
      </c>
      <c r="N24" s="47">
        <f>IFERROR(VLOOKUP(A24,'Centre DW1'!$A$7:$N$106,14,FALSE),0)+
IFERROR(VLOOKUP(A24,'Centre WP1'!$A$7:$N$106,14,FALSE),0)+
IFERROR(VLOOKUP(A24,'Centre WR1'!$A$7:$N$106,14,FALSE),0)+
IFERROR(VLOOKUP(A24,'Centre WV1'!$A$7:$N$107,14,FALSE),0)</f>
        <v>0</v>
      </c>
    </row>
    <row r="25" spans="1:15" hidden="1" outlineLevel="1" x14ac:dyDescent="0.2">
      <c r="A25" s="9" t="s">
        <v>57</v>
      </c>
      <c r="B25" s="1" t="s">
        <v>58</v>
      </c>
      <c r="C25" s="10">
        <f>IFERROR(VLOOKUP(A25,'Centre DW1'!$A$7:$N$106,3,FALSE),0)+
IFERROR(VLOOKUP(A25,'Centre WP1'!$A$7:$N$106,3,FALSE),0)+
IFERROR(VLOOKUP(A25,'Centre WR1'!$A$7:$N$106,3,FALSE),0)+
IFERROR(VLOOKUP(A25,'Centre WV1'!$A$7:$N$107,3,FALSE),0)</f>
        <v>0.5</v>
      </c>
      <c r="D25" s="10">
        <f>IFERROR(VLOOKUP(A25,'Centre DW1'!$A$7:$N$106,4,FALSE),0)+
IFERROR(VLOOKUP(A25,'Centre WP1'!$A$7:$N$106,4,FALSE),0)+
IFERROR(VLOOKUP(A25,'Centre WR1'!$A$7:$N$106,4,FALSE),0)+
IFERROR(VLOOKUP(A25,'Centre WV1'!$A$7:$N$107,4,FALSE),0)</f>
        <v>0</v>
      </c>
      <c r="E25" s="10">
        <f>IFERROR(VLOOKUP(A25,'Centre DW1'!$A$7:$N$106,5,FALSE),0)+
IFERROR(VLOOKUP(A25,'Centre WP1'!$A$7:$N$106,5,FALSE),0)+
IFERROR(VLOOKUP(A25,'Centre WR1'!$A$7:$N$106,5,FALSE),0)+
IFERROR(VLOOKUP(A25,'Centre WV1'!$A$7:$N$107,5,FALSE),0)</f>
        <v>0.3</v>
      </c>
      <c r="F25" s="10">
        <f>IFERROR(VLOOKUP(A25,'Centre DW1'!$A$7:$N$106,6,FALSE),0)+
IFERROR(VLOOKUP(A25,'Centre WP1'!$A$7:$N$106,6,FALSE),0)+
IFERROR(VLOOKUP(A25,'Centre WR1'!$A$7:$N$106,6,FALSE),0)+
IFERROR(VLOOKUP(A25,'Centre WV1'!$A$7:$N$107,6,FALSE),0)</f>
        <v>0.1</v>
      </c>
      <c r="G25" s="10">
        <f>IFERROR(VLOOKUP(A25,'Centre DW1'!$A$7:$N$106,7,FALSE),0)+
IFERROR(VLOOKUP(A25,'Centre WP1'!$A$7:$N$106,7,FALSE),0)+
IFERROR(VLOOKUP(A25,'Centre WR1'!$A$7:$N$106,7,FALSE),0)+
IFERROR(VLOOKUP(A25,'Centre WV1'!$A$7:$N$107,7,FALSE),0)</f>
        <v>0.1</v>
      </c>
      <c r="H25" s="10">
        <f>IFERROR(VLOOKUP(A25,'Centre DW1'!$A$7:$N$106,8,FALSE),0)+
IFERROR(VLOOKUP(A25,'Centre WP1'!$A$7:$N$106,8,FALSE),0)+
IFERROR(VLOOKUP(A25,'Centre WR1'!$A$7:$N$106,8,FALSE),0)+
IFERROR(VLOOKUP(A25,'Centre WV1'!$A$7:$N$107,8,FALSE),0)</f>
        <v>0</v>
      </c>
      <c r="I25" s="10">
        <f>IFERROR(VLOOKUP(A25,'Centre DW1'!$A$7:$N$106,9,FALSE),0)+
IFERROR(VLOOKUP(A25,'Centre WP1'!$A$7:$N$106,9,FALSE),0)+
IFERROR(VLOOKUP(A25,'Centre WR1'!$A$7:$N$106,9,FALSE),0)+
IFERROR(VLOOKUP(A25,'Centre WV1'!$A$7:$N$107,9,FALSE),0)</f>
        <v>0</v>
      </c>
      <c r="J25" s="47">
        <f>IFERROR(VLOOKUP(A25,'Centre DW1'!$A$7:$N$106,10,FALSE),0)+
IFERROR(VLOOKUP(A25,'Centre WP1'!$A$7:$N$106,10,FALSE),0)+
IFERROR(VLOOKUP(A25,'Centre WR1'!$A$7:$N$106,10,FALSE),0)+
IFERROR(VLOOKUP(A25,'Centre WV1'!$A$7:$N$107,10,FALSE),0)</f>
        <v>0.3</v>
      </c>
      <c r="K25" s="47">
        <f>IFERROR(VLOOKUP(A25,'Centre DW1'!$A$7:$N$106,11,FALSE),0)+
IFERROR(VLOOKUP(A25,'Centre WP1'!$A$7:$N$106,11,FALSE),0)+
IFERROR(VLOOKUP(A25,'Centre WR1'!$A$7:$N$106,11,FALSE),0)+
IFERROR(VLOOKUP(A25,'Centre WV1'!$A$7:$N$107,11,FALSE),0)</f>
        <v>0.1</v>
      </c>
      <c r="L25" s="47">
        <f>IFERROR(VLOOKUP(A25,'Centre DW1'!$A$7:$N$106,12,FALSE),0)+
IFERROR(VLOOKUP(A25,'Centre WP1'!$A$7:$N$106,12,FALSE),0)+
IFERROR(VLOOKUP(A25,'Centre WR1'!$A$7:$N$106,12,FALSE),0)+
IFERROR(VLOOKUP(A25,'Centre WV1'!$A$7:$N$107,12,FALSE),0)</f>
        <v>0.1</v>
      </c>
      <c r="M25" s="47">
        <f>IFERROR(VLOOKUP(A25,'Centre DW1'!$A$7:$N$106,13,FALSE),0)+
IFERROR(VLOOKUP(A25,'Centre WP1'!$A$7:$N$106,13,FALSE),0)+
IFERROR(VLOOKUP(A25,'Centre WR1'!$A$7:$N$106,13,FALSE),0)+
IFERROR(VLOOKUP(A25,'Centre WV1'!$A$7:$N$107,13,FALSE),0)</f>
        <v>0.1</v>
      </c>
      <c r="N25" s="47">
        <f>IFERROR(VLOOKUP(A25,'Centre DW1'!$A$7:$N$106,14,FALSE),0)+
IFERROR(VLOOKUP(A25,'Centre WP1'!$A$7:$N$106,14,FALSE),0)+
IFERROR(VLOOKUP(A25,'Centre WR1'!$A$7:$N$106,14,FALSE),0)+
IFERROR(VLOOKUP(A25,'Centre WV1'!$A$7:$N$107,14,FALSE),0)</f>
        <v>0.1</v>
      </c>
    </row>
    <row r="26" spans="1:15" hidden="1" outlineLevel="1" x14ac:dyDescent="0.2">
      <c r="A26" s="9" t="s">
        <v>59</v>
      </c>
      <c r="B26" s="1" t="s">
        <v>53</v>
      </c>
      <c r="C26" s="10">
        <f>IFERROR(VLOOKUP(A26,'Centre DW1'!$A$7:$N$106,3,FALSE),0)+
IFERROR(VLOOKUP(A26,'Centre WP1'!$A$7:$N$106,3,FALSE),0)+
IFERROR(VLOOKUP(A26,'Centre WR1'!$A$7:$N$106,3,FALSE),0)+
IFERROR(VLOOKUP(A26,'Centre WV1'!$A$7:$N$107,3,FALSE),0)</f>
        <v>0</v>
      </c>
      <c r="D26" s="10">
        <f>IFERROR(VLOOKUP(A26,'Centre DW1'!$A$7:$N$106,4,FALSE),0)+
IFERROR(VLOOKUP(A26,'Centre WP1'!$A$7:$N$106,4,FALSE),0)+
IFERROR(VLOOKUP(A26,'Centre WR1'!$A$7:$N$106,4,FALSE),0)+
IFERROR(VLOOKUP(A26,'Centre WV1'!$A$7:$N$107,4,FALSE),0)</f>
        <v>-2.6</v>
      </c>
      <c r="E26" s="10">
        <f>IFERROR(VLOOKUP(A26,'Centre DW1'!$A$7:$N$106,5,FALSE),0)+
IFERROR(VLOOKUP(A26,'Centre WP1'!$A$7:$N$106,5,FALSE),0)+
IFERROR(VLOOKUP(A26,'Centre WR1'!$A$7:$N$106,5,FALSE),0)+
IFERROR(VLOOKUP(A26,'Centre WV1'!$A$7:$N$107,5,FALSE),0)</f>
        <v>0</v>
      </c>
      <c r="F26" s="10">
        <f>IFERROR(VLOOKUP(A26,'Centre DW1'!$A$7:$N$106,6,FALSE),0)+
IFERROR(VLOOKUP(A26,'Centre WP1'!$A$7:$N$106,6,FALSE),0)+
IFERROR(VLOOKUP(A26,'Centre WR1'!$A$7:$N$106,6,FALSE),0)+
IFERROR(VLOOKUP(A26,'Centre WV1'!$A$7:$N$107,6,FALSE),0)</f>
        <v>0</v>
      </c>
      <c r="G26" s="10">
        <f>IFERROR(VLOOKUP(A26,'Centre DW1'!$A$7:$N$106,7,FALSE),0)+
IFERROR(VLOOKUP(A26,'Centre WP1'!$A$7:$N$106,7,FALSE),0)+
IFERROR(VLOOKUP(A26,'Centre WR1'!$A$7:$N$106,7,FALSE),0)+
IFERROR(VLOOKUP(A26,'Centre WV1'!$A$7:$N$107,7,FALSE),0)</f>
        <v>0</v>
      </c>
      <c r="H26" s="10">
        <f>IFERROR(VLOOKUP(A26,'Centre DW1'!$A$7:$N$106,8,FALSE),0)+
IFERROR(VLOOKUP(A26,'Centre WP1'!$A$7:$N$106,8,FALSE),0)+
IFERROR(VLOOKUP(A26,'Centre WR1'!$A$7:$N$106,8,FALSE),0)+
IFERROR(VLOOKUP(A26,'Centre WV1'!$A$7:$N$107,8,FALSE),0)</f>
        <v>0</v>
      </c>
      <c r="I26" s="10">
        <f>IFERROR(VLOOKUP(A26,'Centre DW1'!$A$7:$N$106,9,FALSE),0)+
IFERROR(VLOOKUP(A26,'Centre WP1'!$A$7:$N$106,9,FALSE),0)+
IFERROR(VLOOKUP(A26,'Centre WR1'!$A$7:$N$106,9,FALSE),0)+
IFERROR(VLOOKUP(A26,'Centre WV1'!$A$7:$N$107,9,FALSE),0)</f>
        <v>-2.6</v>
      </c>
      <c r="J26" s="47">
        <f>IFERROR(VLOOKUP(A26,'Centre DW1'!$A$7:$N$106,10,FALSE),0)+
IFERROR(VLOOKUP(A26,'Centre WP1'!$A$7:$N$106,10,FALSE),0)+
IFERROR(VLOOKUP(A26,'Centre WR1'!$A$7:$N$106,10,FALSE),0)+
IFERROR(VLOOKUP(A26,'Centre WV1'!$A$7:$N$107,10,FALSE),0)</f>
        <v>0</v>
      </c>
      <c r="K26" s="47">
        <f>IFERROR(VLOOKUP(A26,'Centre DW1'!$A$7:$N$106,11,FALSE),0)+
IFERROR(VLOOKUP(A26,'Centre WP1'!$A$7:$N$106,11,FALSE),0)+
IFERROR(VLOOKUP(A26,'Centre WR1'!$A$7:$N$106,11,FALSE),0)+
IFERROR(VLOOKUP(A26,'Centre WV1'!$A$7:$N$107,11,FALSE),0)</f>
        <v>0</v>
      </c>
      <c r="L26" s="47">
        <f>IFERROR(VLOOKUP(A26,'Centre DW1'!$A$7:$N$106,12,FALSE),0)+
IFERROR(VLOOKUP(A26,'Centre WP1'!$A$7:$N$106,12,FALSE),0)+
IFERROR(VLOOKUP(A26,'Centre WR1'!$A$7:$N$106,12,FALSE),0)+
IFERROR(VLOOKUP(A26,'Centre WV1'!$A$7:$N$107,12,FALSE),0)</f>
        <v>0</v>
      </c>
      <c r="M26" s="47">
        <f>IFERROR(VLOOKUP(A26,'Centre DW1'!$A$7:$N$106,13,FALSE),0)+
IFERROR(VLOOKUP(A26,'Centre WP1'!$A$7:$N$106,13,FALSE),0)+
IFERROR(VLOOKUP(A26,'Centre WR1'!$A$7:$N$106,13,FALSE),0)+
IFERROR(VLOOKUP(A26,'Centre WV1'!$A$7:$N$107,13,FALSE),0)</f>
        <v>0</v>
      </c>
      <c r="N26" s="47">
        <f>IFERROR(VLOOKUP(A26,'Centre DW1'!$A$7:$N$106,14,FALSE),0)+
IFERROR(VLOOKUP(A26,'Centre WP1'!$A$7:$N$106,14,FALSE),0)+
IFERROR(VLOOKUP(A26,'Centre WR1'!$A$7:$N$106,14,FALSE),0)+
IFERROR(VLOOKUP(A26,'Centre WV1'!$A$7:$N$107,14,FALSE),0)</f>
        <v>0</v>
      </c>
    </row>
    <row r="27" spans="1:15" collapsed="1" x14ac:dyDescent="0.2">
      <c r="A27" s="33" t="s">
        <v>60</v>
      </c>
      <c r="B27" s="34" t="s">
        <v>61</v>
      </c>
      <c r="C27" s="44">
        <f>IFERROR(VLOOKUP(A27,'Centre DW1'!$A$7:$N$106,3,FALSE),0)+
IFERROR(VLOOKUP(A27,'Centre WP1'!$A$7:$N$106,3,FALSE),0)+
IFERROR(VLOOKUP(A27,'Centre WR1'!$A$7:$N$106,3,FALSE),0)+
IFERROR(VLOOKUP(A27,'Centre WV1'!$A$7:$N$107,3,FALSE),0)</f>
        <v>0</v>
      </c>
      <c r="D27" s="44">
        <f>IFERROR(VLOOKUP(A27,'Centre DW1'!$A$7:$N$106,4,FALSE),0)+
IFERROR(VLOOKUP(A27,'Centre WP1'!$A$7:$N$106,4,FALSE),0)+
IFERROR(VLOOKUP(A27,'Centre WR1'!$A$7:$N$106,4,FALSE),0)+
IFERROR(VLOOKUP(A27,'Centre WV1'!$A$7:$N$107,4,FALSE),0)</f>
        <v>0</v>
      </c>
      <c r="E27" s="44">
        <f>IFERROR(VLOOKUP(A27,'Centre DW1'!$A$7:$N$106,5,FALSE),0)+
IFERROR(VLOOKUP(A27,'Centre WP1'!$A$7:$N$106,5,FALSE),0)+
IFERROR(VLOOKUP(A27,'Centre WR1'!$A$7:$N$106,5,FALSE),0)+
IFERROR(VLOOKUP(A27,'Centre WV1'!$A$7:$N$107,5,FALSE),0)</f>
        <v>0</v>
      </c>
      <c r="F27" s="44">
        <f>IFERROR(VLOOKUP(A27,'Centre DW1'!$A$7:$N$106,6,FALSE),0)+
IFERROR(VLOOKUP(A27,'Centre WP1'!$A$7:$N$106,6,FALSE),0)+
IFERROR(VLOOKUP(A27,'Centre WR1'!$A$7:$N$106,6,FALSE),0)+
IFERROR(VLOOKUP(A27,'Centre WV1'!$A$7:$N$107,6,FALSE),0)</f>
        <v>0</v>
      </c>
      <c r="G27" s="44">
        <f>IFERROR(VLOOKUP(A27,'Centre DW1'!$A$7:$N$106,7,FALSE),0)+
IFERROR(VLOOKUP(A27,'Centre WP1'!$A$7:$N$106,7,FALSE),0)+
IFERROR(VLOOKUP(A27,'Centre WR1'!$A$7:$N$106,7,FALSE),0)+
IFERROR(VLOOKUP(A27,'Centre WV1'!$A$7:$N$107,7,FALSE),0)</f>
        <v>0</v>
      </c>
      <c r="H27" s="44">
        <f>IFERROR(VLOOKUP(A27,'Centre DW1'!$A$7:$N$106,8,FALSE),0)+
IFERROR(VLOOKUP(A27,'Centre WP1'!$A$7:$N$106,8,FALSE),0)+
IFERROR(VLOOKUP(A27,'Centre WR1'!$A$7:$N$106,8,FALSE),0)+
IFERROR(VLOOKUP(A27,'Centre WV1'!$A$7:$N$107,8,FALSE),0)</f>
        <v>0</v>
      </c>
      <c r="I27" s="44">
        <f>IFERROR(VLOOKUP(A27,'Centre DW1'!$A$7:$N$106,9,FALSE),0)+
IFERROR(VLOOKUP(A27,'Centre WP1'!$A$7:$N$106,9,FALSE),0)+
IFERROR(VLOOKUP(A27,'Centre WR1'!$A$7:$N$106,9,FALSE),0)+
IFERROR(VLOOKUP(A27,'Centre WV1'!$A$7:$N$107,9,FALSE),0)</f>
        <v>0</v>
      </c>
      <c r="J27" s="46">
        <f>IFERROR(VLOOKUP(A27,'Centre DW1'!$A$7:$N$106,10,FALSE),0)+
IFERROR(VLOOKUP(A27,'Centre WP1'!$A$7:$N$106,10,FALSE),0)+
IFERROR(VLOOKUP(A27,'Centre WR1'!$A$7:$N$106,10,FALSE),0)+
IFERROR(VLOOKUP(A27,'Centre WV1'!$A$7:$N$107,10,FALSE),0)</f>
        <v>0</v>
      </c>
      <c r="K27" s="46">
        <f>IFERROR(VLOOKUP(A27,'Centre DW1'!$A$7:$N$106,11,FALSE),0)+
IFERROR(VLOOKUP(A27,'Centre WP1'!$A$7:$N$106,11,FALSE),0)+
IFERROR(VLOOKUP(A27,'Centre WR1'!$A$7:$N$106,11,FALSE),0)+
IFERROR(VLOOKUP(A27,'Centre WV1'!$A$7:$N$107,11,FALSE),0)</f>
        <v>0</v>
      </c>
      <c r="L27" s="46">
        <f>IFERROR(VLOOKUP(A27,'Centre DW1'!$A$7:$N$106,12,FALSE),0)+
IFERROR(VLOOKUP(A27,'Centre WP1'!$A$7:$N$106,12,FALSE),0)+
IFERROR(VLOOKUP(A27,'Centre WR1'!$A$7:$N$106,12,FALSE),0)+
IFERROR(VLOOKUP(A27,'Centre WV1'!$A$7:$N$107,12,FALSE),0)</f>
        <v>0</v>
      </c>
      <c r="M27" s="46">
        <f>IFERROR(VLOOKUP(A27,'Centre DW1'!$A$7:$N$106,13,FALSE),0)+
IFERROR(VLOOKUP(A27,'Centre WP1'!$A$7:$N$106,13,FALSE),0)+
IFERROR(VLOOKUP(A27,'Centre WR1'!$A$7:$N$106,13,FALSE),0)+
IFERROR(VLOOKUP(A27,'Centre WV1'!$A$7:$N$107,13,FALSE),0)</f>
        <v>0</v>
      </c>
      <c r="N27" s="46">
        <f>IFERROR(VLOOKUP(A27,'Centre DW1'!$A$7:$N$106,14,FALSE),0)+
IFERROR(VLOOKUP(A27,'Centre WP1'!$A$7:$N$106,14,FALSE),0)+
IFERROR(VLOOKUP(A27,'Centre WR1'!$A$7:$N$106,14,FALSE),0)+
IFERROR(VLOOKUP(A27,'Centre WV1'!$A$7:$N$107,14,FALSE),0)</f>
        <v>0</v>
      </c>
    </row>
    <row r="28" spans="1:15" x14ac:dyDescent="0.2">
      <c r="A28" s="33" t="s">
        <v>62</v>
      </c>
      <c r="B28" s="34" t="s">
        <v>63</v>
      </c>
      <c r="C28" s="44">
        <f>IFERROR(VLOOKUP(A28,'Centre DW1'!$A$7:$N$106,3,FALSE),0)+
IFERROR(VLOOKUP(A28,'Centre WP1'!$A$7:$N$106,3,FALSE),0)+
IFERROR(VLOOKUP(A28,'Centre WR1'!$A$7:$N$106,3,FALSE),0)+
IFERROR(VLOOKUP(A28,'Centre WV1'!$A$7:$N$107,3,FALSE),0)</f>
        <v>0</v>
      </c>
      <c r="D28" s="44">
        <f>IFERROR(VLOOKUP(A28,'Centre DW1'!$A$7:$N$106,4,FALSE),0)+
IFERROR(VLOOKUP(A28,'Centre WP1'!$A$7:$N$106,4,FALSE),0)+
IFERROR(VLOOKUP(A28,'Centre WR1'!$A$7:$N$106,4,FALSE),0)+
IFERROR(VLOOKUP(A28,'Centre WV1'!$A$7:$N$107,4,FALSE),0)</f>
        <v>0</v>
      </c>
      <c r="E28" s="44">
        <f>IFERROR(VLOOKUP(A28,'Centre DW1'!$A$7:$N$106,5,FALSE),0)+
IFERROR(VLOOKUP(A28,'Centre WP1'!$A$7:$N$106,5,FALSE),0)+
IFERROR(VLOOKUP(A28,'Centre WR1'!$A$7:$N$106,5,FALSE),0)+
IFERROR(VLOOKUP(A28,'Centre WV1'!$A$7:$N$107,5,FALSE),0)</f>
        <v>0</v>
      </c>
      <c r="F28" s="44">
        <f>IFERROR(VLOOKUP(A28,'Centre DW1'!$A$7:$N$106,6,FALSE),0)+
IFERROR(VLOOKUP(A28,'Centre WP1'!$A$7:$N$106,6,FALSE),0)+
IFERROR(VLOOKUP(A28,'Centre WR1'!$A$7:$N$106,6,FALSE),0)+
IFERROR(VLOOKUP(A28,'Centre WV1'!$A$7:$N$107,6,FALSE),0)</f>
        <v>0</v>
      </c>
      <c r="G28" s="44">
        <f>IFERROR(VLOOKUP(A28,'Centre DW1'!$A$7:$N$106,7,FALSE),0)+
IFERROR(VLOOKUP(A28,'Centre WP1'!$A$7:$N$106,7,FALSE),0)+
IFERROR(VLOOKUP(A28,'Centre WR1'!$A$7:$N$106,7,FALSE),0)+
IFERROR(VLOOKUP(A28,'Centre WV1'!$A$7:$N$107,7,FALSE),0)</f>
        <v>0</v>
      </c>
      <c r="H28" s="44">
        <f>IFERROR(VLOOKUP(A28,'Centre DW1'!$A$7:$N$106,8,FALSE),0)+
IFERROR(VLOOKUP(A28,'Centre WP1'!$A$7:$N$106,8,FALSE),0)+
IFERROR(VLOOKUP(A28,'Centre WR1'!$A$7:$N$106,8,FALSE),0)+
IFERROR(VLOOKUP(A28,'Centre WV1'!$A$7:$N$107,8,FALSE),0)</f>
        <v>0</v>
      </c>
      <c r="I28" s="44">
        <f>IFERROR(VLOOKUP(A28,'Centre DW1'!$A$7:$N$106,9,FALSE),0)+
IFERROR(VLOOKUP(A28,'Centre WP1'!$A$7:$N$106,9,FALSE),0)+
IFERROR(VLOOKUP(A28,'Centre WR1'!$A$7:$N$106,9,FALSE),0)+
IFERROR(VLOOKUP(A28,'Centre WV1'!$A$7:$N$107,9,FALSE),0)</f>
        <v>0</v>
      </c>
      <c r="J28" s="46">
        <f>IFERROR(VLOOKUP(A28,'Centre DW1'!$A$7:$N$106,10,FALSE),0)+
IFERROR(VLOOKUP(A28,'Centre WP1'!$A$7:$N$106,10,FALSE),0)+
IFERROR(VLOOKUP(A28,'Centre WR1'!$A$7:$N$106,10,FALSE),0)+
IFERROR(VLOOKUP(A28,'Centre WV1'!$A$7:$N$107,10,FALSE),0)</f>
        <v>0</v>
      </c>
      <c r="K28" s="46">
        <f>IFERROR(VLOOKUP(A28,'Centre DW1'!$A$7:$N$106,11,FALSE),0)+
IFERROR(VLOOKUP(A28,'Centre WP1'!$A$7:$N$106,11,FALSE),0)+
IFERROR(VLOOKUP(A28,'Centre WR1'!$A$7:$N$106,11,FALSE),0)+
IFERROR(VLOOKUP(A28,'Centre WV1'!$A$7:$N$107,11,FALSE),0)</f>
        <v>0</v>
      </c>
      <c r="L28" s="46">
        <f>IFERROR(VLOOKUP(A28,'Centre DW1'!$A$7:$N$106,12,FALSE),0)+
IFERROR(VLOOKUP(A28,'Centre WP1'!$A$7:$N$106,12,FALSE),0)+
IFERROR(VLOOKUP(A28,'Centre WR1'!$A$7:$N$106,12,FALSE),0)+
IFERROR(VLOOKUP(A28,'Centre WV1'!$A$7:$N$107,12,FALSE),0)</f>
        <v>0</v>
      </c>
      <c r="M28" s="46">
        <f>IFERROR(VLOOKUP(A28,'Centre DW1'!$A$7:$N$106,13,FALSE),0)+
IFERROR(VLOOKUP(A28,'Centre WP1'!$A$7:$N$106,13,FALSE),0)+
IFERROR(VLOOKUP(A28,'Centre WR1'!$A$7:$N$106,13,FALSE),0)+
IFERROR(VLOOKUP(A28,'Centre WV1'!$A$7:$N$107,13,FALSE),0)</f>
        <v>0</v>
      </c>
      <c r="N28" s="46">
        <f>IFERROR(VLOOKUP(A28,'Centre DW1'!$A$7:$N$106,14,FALSE),0)+
IFERROR(VLOOKUP(A28,'Centre WP1'!$A$7:$N$106,14,FALSE),0)+
IFERROR(VLOOKUP(A28,'Centre WR1'!$A$7:$N$106,14,FALSE),0)+
IFERROR(VLOOKUP(A28,'Centre WV1'!$A$7:$N$107,14,FALSE),0)</f>
        <v>0</v>
      </c>
    </row>
    <row r="29" spans="1:15" x14ac:dyDescent="0.2">
      <c r="A29" s="33" t="s">
        <v>64</v>
      </c>
      <c r="B29" s="34" t="s">
        <v>65</v>
      </c>
      <c r="C29" s="44">
        <f>C30</f>
        <v>6.4</v>
      </c>
      <c r="D29" s="44">
        <f t="shared" ref="D29:N29" si="6">D30</f>
        <v>-26.3</v>
      </c>
      <c r="E29" s="44">
        <f t="shared" si="6"/>
        <v>-8.4</v>
      </c>
      <c r="F29" s="44">
        <f t="shared" si="6"/>
        <v>1.1000000000000001</v>
      </c>
      <c r="G29" s="44">
        <f t="shared" si="6"/>
        <v>-6.3</v>
      </c>
      <c r="H29" s="44">
        <f t="shared" si="6"/>
        <v>-0.6</v>
      </c>
      <c r="I29" s="44">
        <f t="shared" si="6"/>
        <v>-26.3</v>
      </c>
      <c r="J29" s="44">
        <f t="shared" si="6"/>
        <v>-8.4</v>
      </c>
      <c r="K29" s="44">
        <f t="shared" si="6"/>
        <v>1.1000000000000001</v>
      </c>
      <c r="L29" s="44">
        <f t="shared" si="6"/>
        <v>-6.3</v>
      </c>
      <c r="M29" s="44">
        <f t="shared" si="6"/>
        <v>-0.6</v>
      </c>
      <c r="N29" s="44">
        <f t="shared" si="6"/>
        <v>-0.6</v>
      </c>
    </row>
    <row r="30" spans="1:15" hidden="1" outlineLevel="1" x14ac:dyDescent="0.2">
      <c r="A30" s="9" t="s">
        <v>66</v>
      </c>
      <c r="B30" s="1" t="s">
        <v>67</v>
      </c>
      <c r="C30" s="10">
        <f>IFERROR(VLOOKUP(A30,'Centre DW1'!$A$7:$N$106,3,FALSE),0)+
IFERROR(VLOOKUP(A30,'Centre WP1'!$A$7:$N$106,3,FALSE),0)+
IFERROR(VLOOKUP(A30,'Centre WR1'!$A$7:$N$106,3,FALSE),0)+
IFERROR(VLOOKUP(A30,'Centre WV1'!$A$7:$N$107,3,FALSE),0)</f>
        <v>6.4</v>
      </c>
      <c r="D30" s="10">
        <f>IFERROR(VLOOKUP(A30,'Centre DW1'!$A$7:$N$106,4,FALSE),0)+
IFERROR(VLOOKUP(A30,'Centre WP1'!$A$7:$N$106,4,FALSE),0)+
IFERROR(VLOOKUP(A30,'Centre WR1'!$A$7:$N$106,4,FALSE),0)+
IFERROR(VLOOKUP(A30,'Centre WV1'!$A$7:$N$107,4,FALSE),0)</f>
        <v>-26.3</v>
      </c>
      <c r="E30" s="10">
        <f>IFERROR(VLOOKUP(A30,'Centre DW1'!$A$7:$N$106,5,FALSE),0)+
IFERROR(VLOOKUP(A30,'Centre WP1'!$A$7:$N$106,5,FALSE),0)+
IFERROR(VLOOKUP(A30,'Centre WR1'!$A$7:$N$106,5,FALSE),0)+
IFERROR(VLOOKUP(A30,'Centre WV1'!$A$7:$N$107,5,FALSE),0)</f>
        <v>-8.4</v>
      </c>
      <c r="F30" s="10">
        <f>IFERROR(VLOOKUP(A30,'Centre DW1'!$A$7:$N$106,6,FALSE),0)+
IFERROR(VLOOKUP(A30,'Centre WP1'!$A$7:$N$106,6,FALSE),0)+
IFERROR(VLOOKUP(A30,'Centre WR1'!$A$7:$N$106,6,FALSE),0)+
IFERROR(VLOOKUP(A30,'Centre WV1'!$A$7:$N$107,6,FALSE),0)</f>
        <v>1.1000000000000001</v>
      </c>
      <c r="G30" s="10">
        <f>IFERROR(VLOOKUP(A30,'Centre DW1'!$A$7:$N$106,7,FALSE),0)+
IFERROR(VLOOKUP(A30,'Centre WP1'!$A$7:$N$106,7,FALSE),0)+
IFERROR(VLOOKUP(A30,'Centre WR1'!$A$7:$N$106,7,FALSE),0)+
IFERROR(VLOOKUP(A30,'Centre WV1'!$A$7:$N$107,7,FALSE),0)</f>
        <v>-6.3</v>
      </c>
      <c r="H30" s="10">
        <f>IFERROR(VLOOKUP(A30,'Centre DW1'!$A$7:$N$106,8,FALSE),0)+
IFERROR(VLOOKUP(A30,'Centre WP1'!$A$7:$N$106,8,FALSE),0)+
IFERROR(VLOOKUP(A30,'Centre WR1'!$A$7:$N$106,8,FALSE),0)+
IFERROR(VLOOKUP(A30,'Centre WV1'!$A$7:$N$107,8,FALSE),0)</f>
        <v>-0.6</v>
      </c>
      <c r="I30" s="10">
        <f>IFERROR(VLOOKUP(A30,'Centre DW1'!$A$7:$N$106,9,FALSE),0)+
IFERROR(VLOOKUP(A30,'Centre WP1'!$A$7:$N$106,9,FALSE),0)+
IFERROR(VLOOKUP(A30,'Centre WR1'!$A$7:$N$106,9,FALSE),0)+
IFERROR(VLOOKUP(A30,'Centre WV1'!$A$7:$N$107,9,FALSE),0)</f>
        <v>-26.3</v>
      </c>
      <c r="J30" s="47">
        <f>IFERROR(VLOOKUP(A30,'Centre DW1'!$A$7:$N$106,10,FALSE),0)+
IFERROR(VLOOKUP(A30,'Centre WP1'!$A$7:$N$106,10,FALSE),0)+
IFERROR(VLOOKUP(A30,'Centre WR1'!$A$7:$N$106,10,FALSE),0)+
IFERROR(VLOOKUP(A30,'Centre WV1'!$A$7:$N$107,10,FALSE),0)</f>
        <v>-8.4</v>
      </c>
      <c r="K30" s="47">
        <f>IFERROR(VLOOKUP(A30,'Centre DW1'!$A$7:$N$106,11,FALSE),0)+
IFERROR(VLOOKUP(A30,'Centre WP1'!$A$7:$N$106,11,FALSE),0)+
IFERROR(VLOOKUP(A30,'Centre WR1'!$A$7:$N$106,11,FALSE),0)+
IFERROR(VLOOKUP(A30,'Centre WV1'!$A$7:$N$107,11,FALSE),0)</f>
        <v>1.1000000000000001</v>
      </c>
      <c r="L30" s="47">
        <f>IFERROR(VLOOKUP(A30,'Centre DW1'!$A$7:$N$106,12,FALSE),0)+
IFERROR(VLOOKUP(A30,'Centre WP1'!$A$7:$N$106,12,FALSE),0)+
IFERROR(VLOOKUP(A30,'Centre WR1'!$A$7:$N$106,12,FALSE),0)+
IFERROR(VLOOKUP(A30,'Centre WV1'!$A$7:$N$107,12,FALSE),0)</f>
        <v>-6.3</v>
      </c>
      <c r="M30" s="47">
        <f>IFERROR(VLOOKUP(A30,'Centre DW1'!$A$7:$N$106,13,FALSE),0)+
IFERROR(VLOOKUP(A30,'Centre WP1'!$A$7:$N$106,13,FALSE),0)+
IFERROR(VLOOKUP(A30,'Centre WR1'!$A$7:$N$106,13,FALSE),0)+
IFERROR(VLOOKUP(A30,'Centre WV1'!$A$7:$N$107,13,FALSE),0)</f>
        <v>-0.6</v>
      </c>
      <c r="N30" s="47">
        <f>IFERROR(VLOOKUP(A30,'Centre DW1'!$A$7:$N$106,14,FALSE),0)+
IFERROR(VLOOKUP(A30,'Centre WP1'!$A$7:$N$106,14,FALSE),0)+
IFERROR(VLOOKUP(A30,'Centre WR1'!$A$7:$N$106,14,FALSE),0)+
IFERROR(VLOOKUP(A30,'Centre WV1'!$A$7:$N$107,14,FALSE),0)</f>
        <v>-0.6</v>
      </c>
    </row>
    <row r="31" spans="1:15" collapsed="1" x14ac:dyDescent="0.2">
      <c r="A31" s="33" t="s">
        <v>68</v>
      </c>
      <c r="B31" s="34" t="s">
        <v>69</v>
      </c>
      <c r="C31" s="44">
        <f>+C32</f>
        <v>0</v>
      </c>
      <c r="D31" s="44">
        <f>IFERROR(VLOOKUP(A31,'Centre DW1'!$A$7:$N$106,4,FALSE),0)+
IFERROR(VLOOKUP(A31,'Centre WP1'!$A$7:$N$106,4,FALSE),0)+
IFERROR(VLOOKUP(A31,'Centre WR1'!$A$7:$N$106,4,FALSE),0)+
IFERROR(VLOOKUP(A31,'Centre WV1'!$A$7:$N$107,4,FALSE),0)</f>
        <v>0</v>
      </c>
      <c r="E31" s="44">
        <f>IFERROR(VLOOKUP(A31,'Centre DW1'!$A$7:$N$106,5,FALSE),0)+
IFERROR(VLOOKUP(A31,'Centre WP1'!$A$7:$N$106,5,FALSE),0)+
IFERROR(VLOOKUP(A31,'Centre WR1'!$A$7:$N$106,5,FALSE),0)+
IFERROR(VLOOKUP(A31,'Centre WV1'!$A$7:$N$107,5,FALSE),0)</f>
        <v>0</v>
      </c>
      <c r="F31" s="44">
        <f>IFERROR(VLOOKUP(A31,'Centre DW1'!$A$7:$N$106,6,FALSE),0)+
IFERROR(VLOOKUP(A31,'Centre WP1'!$A$7:$N$106,6,FALSE),0)+
IFERROR(VLOOKUP(A31,'Centre WR1'!$A$7:$N$106,6,FALSE),0)+
IFERROR(VLOOKUP(A31,'Centre WV1'!$A$7:$N$107,6,FALSE),0)</f>
        <v>0</v>
      </c>
      <c r="G31" s="44">
        <f>IFERROR(VLOOKUP(A31,'Centre DW1'!$A$7:$N$106,7,FALSE),0)+
IFERROR(VLOOKUP(A31,'Centre WP1'!$A$7:$N$106,7,FALSE),0)+
IFERROR(VLOOKUP(A31,'Centre WR1'!$A$7:$N$106,7,FALSE),0)+
IFERROR(VLOOKUP(A31,'Centre WV1'!$A$7:$N$107,7,FALSE),0)</f>
        <v>0</v>
      </c>
      <c r="H31" s="44">
        <f>IFERROR(VLOOKUP(A31,'Centre DW1'!$A$7:$N$106,8,FALSE),0)+
IFERROR(VLOOKUP(A31,'Centre WP1'!$A$7:$N$106,8,FALSE),0)+
IFERROR(VLOOKUP(A31,'Centre WR1'!$A$7:$N$106,8,FALSE),0)+
IFERROR(VLOOKUP(A31,'Centre WV1'!$A$7:$N$107,8,FALSE),0)</f>
        <v>0</v>
      </c>
      <c r="I31" s="44">
        <f>IFERROR(VLOOKUP(A31,'Centre DW1'!$A$7:$N$106,9,FALSE),0)+
IFERROR(VLOOKUP(A31,'Centre WP1'!$A$7:$N$106,9,FALSE),0)+
IFERROR(VLOOKUP(A31,'Centre WR1'!$A$7:$N$106,9,FALSE),0)+
IFERROR(VLOOKUP(A31,'Centre WV1'!$A$7:$N$107,9,FALSE),0)</f>
        <v>0</v>
      </c>
      <c r="J31" s="46">
        <f>+J32</f>
        <v>0</v>
      </c>
      <c r="K31" s="46">
        <f t="shared" ref="K31:N31" si="7">+K32</f>
        <v>0</v>
      </c>
      <c r="L31" s="46">
        <f t="shared" si="7"/>
        <v>0</v>
      </c>
      <c r="M31" s="46">
        <f t="shared" si="7"/>
        <v>0</v>
      </c>
      <c r="N31" s="46">
        <f t="shared" si="7"/>
        <v>0</v>
      </c>
    </row>
    <row r="32" spans="1:15" hidden="1" outlineLevel="1" x14ac:dyDescent="0.2">
      <c r="A32" s="9" t="s">
        <v>70</v>
      </c>
      <c r="B32" s="1" t="s">
        <v>71</v>
      </c>
      <c r="C32" s="10">
        <f>IFERROR(VLOOKUP(A32,'Centre DW1'!$A$7:$N$106,3,FALSE),0)+
IFERROR(VLOOKUP(A32,'Centre WP1'!$A$7:$N$106,3,FALSE),0)+
IFERROR(VLOOKUP(A32,'Centre WR1'!$A$7:$N$106,3,FALSE),0)+
IFERROR(VLOOKUP(A32,'Centre WV1'!$A$7:$N$107,3,FALSE),0)</f>
        <v>0</v>
      </c>
      <c r="D32" s="10">
        <f>IFERROR(VLOOKUP(A32,'Centre DW1'!$A$7:$N$106,4,FALSE),0)+
IFERROR(VLOOKUP(A32,'Centre WP1'!$A$7:$N$106,4,FALSE),0)+
IFERROR(VLOOKUP(A32,'Centre WR1'!$A$7:$N$106,4,FALSE),0)+
IFERROR(VLOOKUP(A32,'Centre WV1'!$A$7:$N$107,4,FALSE),0)</f>
        <v>0</v>
      </c>
      <c r="E32" s="10">
        <f>IFERROR(VLOOKUP(A32,'Centre DW1'!$A$7:$N$106,5,FALSE),0)+
IFERROR(VLOOKUP(A32,'Centre WP1'!$A$7:$N$106,5,FALSE),0)+
IFERROR(VLOOKUP(A32,'Centre WR1'!$A$7:$N$106,5,FALSE),0)+
IFERROR(VLOOKUP(A32,'Centre WV1'!$A$7:$N$107,5,FALSE),0)</f>
        <v>0</v>
      </c>
      <c r="F32" s="10">
        <f>IFERROR(VLOOKUP(A32,'Centre DW1'!$A$7:$N$106,6,FALSE),0)+
IFERROR(VLOOKUP(A32,'Centre WP1'!$A$7:$N$106,6,FALSE),0)+
IFERROR(VLOOKUP(A32,'Centre WR1'!$A$7:$N$106,6,FALSE),0)+
IFERROR(VLOOKUP(A32,'Centre WV1'!$A$7:$N$107,6,FALSE),0)</f>
        <v>0</v>
      </c>
      <c r="G32" s="10">
        <f>IFERROR(VLOOKUP(A32,'Centre DW1'!$A$7:$N$106,7,FALSE),0)+
IFERROR(VLOOKUP(A32,'Centre WP1'!$A$7:$N$106,7,FALSE),0)+
IFERROR(VLOOKUP(A32,'Centre WR1'!$A$7:$N$106,7,FALSE),0)+
IFERROR(VLOOKUP(A32,'Centre WV1'!$A$7:$N$107,7,FALSE),0)</f>
        <v>0</v>
      </c>
      <c r="H32" s="10">
        <f>IFERROR(VLOOKUP(A32,'Centre DW1'!$A$7:$N$106,8,FALSE),0)+
IFERROR(VLOOKUP(A32,'Centre WP1'!$A$7:$N$106,8,FALSE),0)+
IFERROR(VLOOKUP(A32,'Centre WR1'!$A$7:$N$106,8,FALSE),0)+
IFERROR(VLOOKUP(A32,'Centre WV1'!$A$7:$N$107,8,FALSE),0)</f>
        <v>0</v>
      </c>
      <c r="I32" s="10">
        <f>IFERROR(VLOOKUP(A32,'Centre DW1'!$A$7:$N$106,9,FALSE),0)+
IFERROR(VLOOKUP(A32,'Centre WP1'!$A$7:$N$106,9,FALSE),0)+
IFERROR(VLOOKUP(A32,'Centre WR1'!$A$7:$N$106,9,FALSE),0)+
IFERROR(VLOOKUP(A32,'Centre WV1'!$A$7:$N$107,9,FALSE),0)</f>
        <v>0</v>
      </c>
      <c r="J32" s="47">
        <f>IFERROR(VLOOKUP(A32,'Centre DW1'!$A$7:$N$106,10,FALSE),0)+
IFERROR(VLOOKUP(A32,'Centre WP1'!$A$7:$N$106,10,FALSE),0)+
IFERROR(VLOOKUP(A32,'Centre WR1'!$A$7:$N$106,10,FALSE),0)+
IFERROR(VLOOKUP(A32,'Centre WV1'!$A$7:$N$107,10,FALSE),0)</f>
        <v>0</v>
      </c>
      <c r="K32" s="47">
        <f>IFERROR(VLOOKUP(A32,'Centre DW1'!$A$7:$N$106,11,FALSE),0)+
IFERROR(VLOOKUP(A32,'Centre WP1'!$A$7:$N$106,11,FALSE),0)+
IFERROR(VLOOKUP(A32,'Centre WR1'!$A$7:$N$106,11,FALSE),0)+
IFERROR(VLOOKUP(A32,'Centre WV1'!$A$7:$N$107,11,FALSE),0)</f>
        <v>0</v>
      </c>
      <c r="L32" s="47">
        <f>IFERROR(VLOOKUP(A32,'Centre DW1'!$A$7:$N$106,12,FALSE),0)+
IFERROR(VLOOKUP(A32,'Centre WP1'!$A$7:$N$106,12,FALSE),0)+
IFERROR(VLOOKUP(A32,'Centre WR1'!$A$7:$N$106,12,FALSE),0)+
IFERROR(VLOOKUP(A32,'Centre WV1'!$A$7:$N$107,12,FALSE),0)</f>
        <v>0</v>
      </c>
      <c r="M32" s="47">
        <f>IFERROR(VLOOKUP(A32,'Centre DW1'!$A$7:$N$106,13,FALSE),0)+
IFERROR(VLOOKUP(A32,'Centre WP1'!$A$7:$N$106,13,FALSE),0)+
IFERROR(VLOOKUP(A32,'Centre WR1'!$A$7:$N$106,13,FALSE),0)+
IFERROR(VLOOKUP(A32,'Centre WV1'!$A$7:$N$107,13,FALSE),0)</f>
        <v>0</v>
      </c>
      <c r="N32" s="47">
        <f>IFERROR(VLOOKUP(A32,'Centre DW1'!$A$7:$N$106,14,FALSE),0)+
IFERROR(VLOOKUP(A32,'Centre WP1'!$A$7:$N$106,14,FALSE),0)+
IFERROR(VLOOKUP(A32,'Centre WR1'!$A$7:$N$106,14,FALSE),0)+
IFERROR(VLOOKUP(A32,'Centre WV1'!$A$7:$N$107,14,FALSE),0)</f>
        <v>0</v>
      </c>
    </row>
    <row r="33" spans="1:15" collapsed="1" x14ac:dyDescent="0.2">
      <c r="A33" s="36"/>
      <c r="B33" s="36" t="s">
        <v>72</v>
      </c>
      <c r="C33" s="45">
        <f t="shared" ref="C33:I33" si="8">+C20+C27+C28+C29+C31</f>
        <v>40.1</v>
      </c>
      <c r="D33" s="45">
        <f t="shared" si="8"/>
        <v>-0.60000000000000142</v>
      </c>
      <c r="E33" s="45">
        <f t="shared" si="8"/>
        <v>16.899999999999999</v>
      </c>
      <c r="F33" s="45">
        <f t="shared" si="8"/>
        <v>15.899999999999999</v>
      </c>
      <c r="G33" s="45">
        <f t="shared" si="8"/>
        <v>30.000000000000004</v>
      </c>
      <c r="H33" s="45">
        <f t="shared" si="8"/>
        <v>16.899999999999999</v>
      </c>
      <c r="I33" s="45">
        <f t="shared" si="8"/>
        <v>-0.60000000000000142</v>
      </c>
      <c r="J33" s="48">
        <f>+J20+J27+J28+J29+J31</f>
        <v>28.9</v>
      </c>
      <c r="K33" s="48">
        <f t="shared" ref="K33:N33" si="9">+K20+K27+K28+K29+K31</f>
        <v>33.200000000000003</v>
      </c>
      <c r="L33" s="48">
        <f t="shared" si="9"/>
        <v>22.8</v>
      </c>
      <c r="M33" s="48">
        <f t="shared" si="9"/>
        <v>20.5</v>
      </c>
      <c r="N33" s="48">
        <f t="shared" si="9"/>
        <v>22.5</v>
      </c>
      <c r="O33" s="50">
        <f>SUM(C33:N33)</f>
        <v>246.5</v>
      </c>
    </row>
    <row r="34" spans="1:15" x14ac:dyDescent="0.2">
      <c r="A34" s="35"/>
      <c r="B34" s="35" t="s">
        <v>73</v>
      </c>
      <c r="C34" s="21">
        <f t="shared" ref="C34:I34" si="10">+C19-C33</f>
        <v>69.699999999999989</v>
      </c>
      <c r="D34" s="21">
        <f t="shared" si="10"/>
        <v>52.7</v>
      </c>
      <c r="E34" s="21">
        <f t="shared" si="10"/>
        <v>42.800000000000004</v>
      </c>
      <c r="F34" s="21">
        <f t="shared" si="10"/>
        <v>43.400000000000006</v>
      </c>
      <c r="G34" s="21">
        <f t="shared" si="10"/>
        <v>33.5</v>
      </c>
      <c r="H34" s="21">
        <f t="shared" si="10"/>
        <v>46.8</v>
      </c>
      <c r="I34" s="21">
        <f t="shared" si="10"/>
        <v>46.9</v>
      </c>
      <c r="J34" s="49">
        <f>+J19-J33</f>
        <v>35.1</v>
      </c>
      <c r="K34" s="49">
        <f t="shared" ref="K34:N34" si="11">+K19-K33</f>
        <v>36.799999999999997</v>
      </c>
      <c r="L34" s="49">
        <f t="shared" si="11"/>
        <v>39.200000000000003</v>
      </c>
      <c r="M34" s="49">
        <f t="shared" si="11"/>
        <v>57.5</v>
      </c>
      <c r="N34" s="49">
        <f t="shared" si="11"/>
        <v>53.5</v>
      </c>
      <c r="O34" s="50">
        <f>SUM(C34:N34)</f>
        <v>557.9</v>
      </c>
    </row>
    <row r="35" spans="1:15" x14ac:dyDescent="0.2">
      <c r="A35" s="9" t="s">
        <v>74</v>
      </c>
      <c r="B35" s="1" t="s">
        <v>74</v>
      </c>
      <c r="C35" s="10" t="s">
        <v>74</v>
      </c>
      <c r="D35" s="10" t="s">
        <v>74</v>
      </c>
      <c r="E35" s="10" t="s">
        <v>74</v>
      </c>
      <c r="F35" s="10" t="s">
        <v>74</v>
      </c>
      <c r="G35" s="10" t="s">
        <v>74</v>
      </c>
      <c r="H35" s="10" t="s">
        <v>74</v>
      </c>
      <c r="I35" s="10" t="s">
        <v>74</v>
      </c>
      <c r="J35" s="47" t="s">
        <v>74</v>
      </c>
      <c r="K35" s="47" t="s">
        <v>74</v>
      </c>
      <c r="L35" s="47" t="s">
        <v>74</v>
      </c>
      <c r="M35" s="47" t="s">
        <v>74</v>
      </c>
      <c r="N35" s="47" t="s">
        <v>74</v>
      </c>
    </row>
    <row r="36" spans="1:15" x14ac:dyDescent="0.2">
      <c r="A36" s="33" t="s">
        <v>75</v>
      </c>
      <c r="B36" s="34" t="s">
        <v>76</v>
      </c>
      <c r="C36" s="46">
        <f t="shared" ref="C36:I36" si="12">SUM(C37:C53)</f>
        <v>5.4000000000000012</v>
      </c>
      <c r="D36" s="46">
        <f t="shared" si="12"/>
        <v>5.9</v>
      </c>
      <c r="E36" s="46">
        <f t="shared" si="12"/>
        <v>4.8999999999999995</v>
      </c>
      <c r="F36" s="46">
        <f t="shared" si="12"/>
        <v>20.400000000000002</v>
      </c>
      <c r="G36" s="46">
        <f t="shared" si="12"/>
        <v>5.6</v>
      </c>
      <c r="H36" s="46">
        <f t="shared" si="12"/>
        <v>3.8</v>
      </c>
      <c r="I36" s="46">
        <f t="shared" si="12"/>
        <v>9.5</v>
      </c>
      <c r="J36" s="46">
        <f>SUM(J37:J53)</f>
        <v>7</v>
      </c>
      <c r="K36" s="46">
        <f t="shared" ref="K36:N36" si="13">SUM(K37:K53)</f>
        <v>21.400000000000002</v>
      </c>
      <c r="L36" s="46">
        <f t="shared" si="13"/>
        <v>5.8</v>
      </c>
      <c r="M36" s="46">
        <f t="shared" si="13"/>
        <v>5.1999999999999993</v>
      </c>
      <c r="N36" s="46">
        <f t="shared" si="13"/>
        <v>4.3999999999999995</v>
      </c>
    </row>
    <row r="37" spans="1:15" hidden="1" outlineLevel="1" x14ac:dyDescent="0.2">
      <c r="A37" s="9" t="s">
        <v>77</v>
      </c>
      <c r="B37" s="1" t="s">
        <v>78</v>
      </c>
      <c r="C37" s="10">
        <f>IFERROR(VLOOKUP(A37,'Centre DW1'!$A$7:$N$106,3,FALSE),0)+
IFERROR(VLOOKUP(A37,'Centre WP1'!$A$7:$N$106,3,FALSE),0)+
IFERROR(VLOOKUP(A37,'Centre WR1'!$A$7:$N$106,3,FALSE),0)+
IFERROR(VLOOKUP(A37,'Centre WV1'!$A$7:$N$107,3,FALSE),0)</f>
        <v>2.7</v>
      </c>
      <c r="D37" s="10">
        <f>IFERROR(VLOOKUP(A37,'Centre DW1'!$A$7:$N$106,4,FALSE),0)+
IFERROR(VLOOKUP(A37,'Centre WP1'!$A$7:$N$106,4,FALSE),0)+
IFERROR(VLOOKUP(A37,'Centre WR1'!$A$7:$N$106,4,FALSE),0)+
IFERROR(VLOOKUP(A37,'Centre WV1'!$A$7:$N$107,4,FALSE),0)</f>
        <v>3.3</v>
      </c>
      <c r="E37" s="10">
        <f>IFERROR(VLOOKUP(A37,'Centre DW1'!$A$7:$N$106,5,FALSE),0)+
IFERROR(VLOOKUP(A37,'Centre WP1'!$A$7:$N$106,5,FALSE),0)+
IFERROR(VLOOKUP(A37,'Centre WR1'!$A$7:$N$106,5,FALSE),0)+
IFERROR(VLOOKUP(A37,'Centre WV1'!$A$7:$N$107,5,FALSE),0)</f>
        <v>2.9</v>
      </c>
      <c r="F37" s="10">
        <f>IFERROR(VLOOKUP(A37,'Centre DW1'!$A$7:$N$106,6,FALSE),0)+
IFERROR(VLOOKUP(A37,'Centre WP1'!$A$7:$N$106,6,FALSE),0)+
IFERROR(VLOOKUP(A37,'Centre WR1'!$A$7:$N$106,6,FALSE),0)+
IFERROR(VLOOKUP(A37,'Centre WV1'!$A$7:$N$107,6,FALSE),0)</f>
        <v>3</v>
      </c>
      <c r="G37" s="10">
        <f>IFERROR(VLOOKUP(A37,'Centre DW1'!$A$7:$N$106,7,FALSE),0)+
IFERROR(VLOOKUP(A37,'Centre WP1'!$A$7:$N$106,7,FALSE),0)+
IFERROR(VLOOKUP(A37,'Centre WR1'!$A$7:$N$106,7,FALSE),0)+
IFERROR(VLOOKUP(A37,'Centre WV1'!$A$7:$N$107,7,FALSE),0)</f>
        <v>3.8000000000000003</v>
      </c>
      <c r="H37" s="10">
        <f>IFERROR(VLOOKUP(A37,'Centre DW1'!$A$7:$N$106,8,FALSE),0)+
IFERROR(VLOOKUP(A37,'Centre WP1'!$A$7:$N$106,8,FALSE),0)+
IFERROR(VLOOKUP(A37,'Centre WR1'!$A$7:$N$106,8,FALSE),0)+
IFERROR(VLOOKUP(A37,'Centre WV1'!$A$7:$N$107,8,FALSE),0)</f>
        <v>3.6</v>
      </c>
      <c r="I37" s="10">
        <f>IFERROR(VLOOKUP(A37,'Centre DW1'!$A$7:$N$106,9,FALSE),0)+
IFERROR(VLOOKUP(A37,'Centre WP1'!$A$7:$N$106,9,FALSE),0)+
IFERROR(VLOOKUP(A37,'Centre WR1'!$A$7:$N$106,9,FALSE),0)+
IFERROR(VLOOKUP(A37,'Centre WV1'!$A$7:$N$107,9,FALSE),0)</f>
        <v>5.4</v>
      </c>
      <c r="J37" s="47">
        <f>IFERROR(VLOOKUP(A37,'Centre DW1'!$A$7:$N$106,10,FALSE),0)+
IFERROR(VLOOKUP(A37,'Centre WP1'!$A$7:$N$106,10,FALSE),0)+
IFERROR(VLOOKUP(A37,'Centre WR1'!$A$7:$N$106,10,FALSE),0)+
IFERROR(VLOOKUP(A37,'Centre WV1'!$A$7:$N$107,10,FALSE),0)</f>
        <v>5</v>
      </c>
      <c r="K37" s="47">
        <f>IFERROR(VLOOKUP(A37,'Centre DW1'!$A$7:$N$106,11,FALSE),0)+
IFERROR(VLOOKUP(A37,'Centre WP1'!$A$7:$N$106,11,FALSE),0)+
IFERROR(VLOOKUP(A37,'Centre WR1'!$A$7:$N$106,11,FALSE),0)+
IFERROR(VLOOKUP(A37,'Centre WV1'!$A$7:$N$107,11,FALSE),0)</f>
        <v>4</v>
      </c>
      <c r="L37" s="47">
        <f>IFERROR(VLOOKUP(A37,'Centre DW1'!$A$7:$N$106,12,FALSE),0)+
IFERROR(VLOOKUP(A37,'Centre WP1'!$A$7:$N$106,12,FALSE),0)+
IFERROR(VLOOKUP(A37,'Centre WR1'!$A$7:$N$106,12,FALSE),0)+
IFERROR(VLOOKUP(A37,'Centre WV1'!$A$7:$N$107,12,FALSE),0)</f>
        <v>4</v>
      </c>
      <c r="M37" s="47">
        <f>IFERROR(VLOOKUP(A37,'Centre DW1'!$A$7:$N$106,13,FALSE),0)+
IFERROR(VLOOKUP(A37,'Centre WP1'!$A$7:$N$106,13,FALSE),0)+
IFERROR(VLOOKUP(A37,'Centre WR1'!$A$7:$N$106,13,FALSE),0)+
IFERROR(VLOOKUP(A37,'Centre WV1'!$A$7:$N$107,13,FALSE),0)</f>
        <v>5</v>
      </c>
      <c r="N37" s="47">
        <f>IFERROR(VLOOKUP(A37,'Centre DW1'!$A$7:$N$106,14,FALSE),0)+
IFERROR(VLOOKUP(A37,'Centre WP1'!$A$7:$N$106,14,FALSE),0)+
IFERROR(VLOOKUP(A37,'Centre WR1'!$A$7:$N$106,14,FALSE),0)+
IFERROR(VLOOKUP(A37,'Centre WV1'!$A$7:$N$107,14,FALSE),0)</f>
        <v>4</v>
      </c>
    </row>
    <row r="38" spans="1:15" hidden="1" outlineLevel="1" x14ac:dyDescent="0.2">
      <c r="A38" s="9" t="s">
        <v>79</v>
      </c>
      <c r="B38" s="1" t="s">
        <v>80</v>
      </c>
      <c r="C38" s="10">
        <f>IFERROR(VLOOKUP(A38,'Centre DW1'!$A$7:$N$106,3,FALSE),0)+
IFERROR(VLOOKUP(A38,'Centre WP1'!$A$7:$N$106,3,FALSE),0)+
IFERROR(VLOOKUP(A38,'Centre WR1'!$A$7:$N$106,3,FALSE),0)+
IFERROR(VLOOKUP(A38,'Centre WV1'!$A$7:$N$107,3,FALSE),0)</f>
        <v>0.4</v>
      </c>
      <c r="D38" s="10">
        <f>IFERROR(VLOOKUP(A38,'Centre DW1'!$A$7:$N$106,4,FALSE),0)+
IFERROR(VLOOKUP(A38,'Centre WP1'!$A$7:$N$106,4,FALSE),0)+
IFERROR(VLOOKUP(A38,'Centre WR1'!$A$7:$N$106,4,FALSE),0)+
IFERROR(VLOOKUP(A38,'Centre WV1'!$A$7:$N$107,4,FALSE),0)</f>
        <v>0.4</v>
      </c>
      <c r="E38" s="10">
        <f>IFERROR(VLOOKUP(A38,'Centre DW1'!$A$7:$N$106,5,FALSE),0)+
IFERROR(VLOOKUP(A38,'Centre WP1'!$A$7:$N$106,5,FALSE),0)+
IFERROR(VLOOKUP(A38,'Centre WR1'!$A$7:$N$106,5,FALSE),0)+
IFERROR(VLOOKUP(A38,'Centre WV1'!$A$7:$N$107,5,FALSE),0)</f>
        <v>0.4</v>
      </c>
      <c r="F38" s="10">
        <f>IFERROR(VLOOKUP(A38,'Centre DW1'!$A$7:$N$106,6,FALSE),0)+
IFERROR(VLOOKUP(A38,'Centre WP1'!$A$7:$N$106,6,FALSE),0)+
IFERROR(VLOOKUP(A38,'Centre WR1'!$A$7:$N$106,6,FALSE),0)+
IFERROR(VLOOKUP(A38,'Centre WV1'!$A$7:$N$107,6,FALSE),0)</f>
        <v>0.2</v>
      </c>
      <c r="G38" s="10">
        <f>IFERROR(VLOOKUP(A38,'Centre DW1'!$A$7:$N$106,7,FALSE),0)+
IFERROR(VLOOKUP(A38,'Centre WP1'!$A$7:$N$106,7,FALSE),0)+
IFERROR(VLOOKUP(A38,'Centre WR1'!$A$7:$N$106,7,FALSE),0)+
IFERROR(VLOOKUP(A38,'Centre WV1'!$A$7:$N$107,7,FALSE),0)</f>
        <v>0</v>
      </c>
      <c r="H38" s="10">
        <f>IFERROR(VLOOKUP(A38,'Centre DW1'!$A$7:$N$106,8,FALSE),0)+
IFERROR(VLOOKUP(A38,'Centre WP1'!$A$7:$N$106,8,FALSE),0)+
IFERROR(VLOOKUP(A38,'Centre WR1'!$A$7:$N$106,8,FALSE),0)+
IFERROR(VLOOKUP(A38,'Centre WV1'!$A$7:$N$107,8,FALSE),0)</f>
        <v>0</v>
      </c>
      <c r="I38" s="10">
        <f>IFERROR(VLOOKUP(A38,'Centre DW1'!$A$7:$N$106,9,FALSE),0)+
IFERROR(VLOOKUP(A38,'Centre WP1'!$A$7:$N$106,9,FALSE),0)+
IFERROR(VLOOKUP(A38,'Centre WR1'!$A$7:$N$106,9,FALSE),0)+
IFERROR(VLOOKUP(A38,'Centre WV1'!$A$7:$N$107,9,FALSE),0)</f>
        <v>0.4</v>
      </c>
      <c r="J38" s="47">
        <f>IFERROR(VLOOKUP(A38,'Centre DW1'!$A$7:$N$106,10,FALSE),0)+
IFERROR(VLOOKUP(A38,'Centre WP1'!$A$7:$N$106,10,FALSE),0)+
IFERROR(VLOOKUP(A38,'Centre WR1'!$A$7:$N$106,10,FALSE),0)+
IFERROR(VLOOKUP(A38,'Centre WV1'!$A$7:$N$107,10,FALSE),0)</f>
        <v>0.4</v>
      </c>
      <c r="K38" s="47">
        <f>IFERROR(VLOOKUP(A38,'Centre DW1'!$A$7:$N$106,11,FALSE),0)+
IFERROR(VLOOKUP(A38,'Centre WP1'!$A$7:$N$106,11,FALSE),0)+
IFERROR(VLOOKUP(A38,'Centre WR1'!$A$7:$N$106,11,FALSE),0)+
IFERROR(VLOOKUP(A38,'Centre WV1'!$A$7:$N$107,11,FALSE),0)</f>
        <v>0.2</v>
      </c>
      <c r="L38" s="47">
        <f>IFERROR(VLOOKUP(A38,'Centre DW1'!$A$7:$N$106,12,FALSE),0)+
IFERROR(VLOOKUP(A38,'Centre WP1'!$A$7:$N$106,12,FALSE),0)+
IFERROR(VLOOKUP(A38,'Centre WR1'!$A$7:$N$106,12,FALSE),0)+
IFERROR(VLOOKUP(A38,'Centre WV1'!$A$7:$N$107,12,FALSE),0)</f>
        <v>0</v>
      </c>
      <c r="M38" s="47">
        <f>IFERROR(VLOOKUP(A38,'Centre DW1'!$A$7:$N$106,13,FALSE),0)+
IFERROR(VLOOKUP(A38,'Centre WP1'!$A$7:$N$106,13,FALSE),0)+
IFERROR(VLOOKUP(A38,'Centre WR1'!$A$7:$N$106,13,FALSE),0)+
IFERROR(VLOOKUP(A38,'Centre WV1'!$A$7:$N$107,13,FALSE),0)</f>
        <v>0</v>
      </c>
      <c r="N38" s="47">
        <f>IFERROR(VLOOKUP(A38,'Centre DW1'!$A$7:$N$106,14,FALSE),0)+
IFERROR(VLOOKUP(A38,'Centre WP1'!$A$7:$N$106,14,FALSE),0)+
IFERROR(VLOOKUP(A38,'Centre WR1'!$A$7:$N$106,14,FALSE),0)+
IFERROR(VLOOKUP(A38,'Centre WV1'!$A$7:$N$107,14,FALSE),0)</f>
        <v>0</v>
      </c>
    </row>
    <row r="39" spans="1:15" hidden="1" outlineLevel="1" x14ac:dyDescent="0.2">
      <c r="A39" s="9" t="s">
        <v>81</v>
      </c>
      <c r="B39" s="1" t="s">
        <v>82</v>
      </c>
      <c r="C39" s="10">
        <f>IFERROR(VLOOKUP(A39,'Centre DW1'!$A$7:$N$106,3,FALSE),0)+
IFERROR(VLOOKUP(A39,'Centre WP1'!$A$7:$N$106,3,FALSE),0)+
IFERROR(VLOOKUP(A39,'Centre WR1'!$A$7:$N$106,3,FALSE),0)+
IFERROR(VLOOKUP(A39,'Centre WV1'!$A$7:$N$107,3,FALSE),0)</f>
        <v>0.8</v>
      </c>
      <c r="D39" s="10">
        <f>IFERROR(VLOOKUP(A39,'Centre DW1'!$A$7:$N$106,4,FALSE),0)+
IFERROR(VLOOKUP(A39,'Centre WP1'!$A$7:$N$106,4,FALSE),0)+
IFERROR(VLOOKUP(A39,'Centre WR1'!$A$7:$N$106,4,FALSE),0)+
IFERROR(VLOOKUP(A39,'Centre WV1'!$A$7:$N$107,4,FALSE),0)</f>
        <v>0.8</v>
      </c>
      <c r="E39" s="10">
        <f>IFERROR(VLOOKUP(A39,'Centre DW1'!$A$7:$N$106,5,FALSE),0)+
IFERROR(VLOOKUP(A39,'Centre WP1'!$A$7:$N$106,5,FALSE),0)+
IFERROR(VLOOKUP(A39,'Centre WR1'!$A$7:$N$106,5,FALSE),0)+
IFERROR(VLOOKUP(A39,'Centre WV1'!$A$7:$N$107,5,FALSE),0)</f>
        <v>0.6</v>
      </c>
      <c r="F39" s="10">
        <f>IFERROR(VLOOKUP(A39,'Centre DW1'!$A$7:$N$106,6,FALSE),0)+
IFERROR(VLOOKUP(A39,'Centre WP1'!$A$7:$N$106,6,FALSE),0)+
IFERROR(VLOOKUP(A39,'Centre WR1'!$A$7:$N$106,6,FALSE),0)+
IFERROR(VLOOKUP(A39,'Centre WV1'!$A$7:$N$107,6,FALSE),0)</f>
        <v>2</v>
      </c>
      <c r="G39" s="10">
        <f>IFERROR(VLOOKUP(A39,'Centre DW1'!$A$7:$N$106,7,FALSE),0)+
IFERROR(VLOOKUP(A39,'Centre WP1'!$A$7:$N$106,7,FALSE),0)+
IFERROR(VLOOKUP(A39,'Centre WR1'!$A$7:$N$106,7,FALSE),0)+
IFERROR(VLOOKUP(A39,'Centre WV1'!$A$7:$N$107,7,FALSE),0)</f>
        <v>0.7</v>
      </c>
      <c r="H39" s="10">
        <f>IFERROR(VLOOKUP(A39,'Centre DW1'!$A$7:$N$106,8,FALSE),0)+
IFERROR(VLOOKUP(A39,'Centre WP1'!$A$7:$N$106,8,FALSE),0)+
IFERROR(VLOOKUP(A39,'Centre WR1'!$A$7:$N$106,8,FALSE),0)+
IFERROR(VLOOKUP(A39,'Centre WV1'!$A$7:$N$107,8,FALSE),0)</f>
        <v>-0.99999999999999989</v>
      </c>
      <c r="I39" s="10">
        <f>IFERROR(VLOOKUP(A39,'Centre DW1'!$A$7:$N$106,9,FALSE),0)+
IFERROR(VLOOKUP(A39,'Centre WP1'!$A$7:$N$106,9,FALSE),0)+
IFERROR(VLOOKUP(A39,'Centre WR1'!$A$7:$N$106,9,FALSE),0)+
IFERROR(VLOOKUP(A39,'Centre WV1'!$A$7:$N$107,9,FALSE),0)</f>
        <v>1.2000000000000002</v>
      </c>
      <c r="J39" s="47">
        <f>IFERROR(VLOOKUP(A39,'Centre DW1'!$A$7:$N$106,10,FALSE),0)+
IFERROR(VLOOKUP(A39,'Centre WP1'!$A$7:$N$106,10,FALSE),0)+
IFERROR(VLOOKUP(A39,'Centre WR1'!$A$7:$N$106,10,FALSE),0)+
IFERROR(VLOOKUP(A39,'Centre WV1'!$A$7:$N$107,10,FALSE),0)</f>
        <v>0.6</v>
      </c>
      <c r="K39" s="47">
        <f>IFERROR(VLOOKUP(A39,'Centre DW1'!$A$7:$N$106,11,FALSE),0)+
IFERROR(VLOOKUP(A39,'Centre WP1'!$A$7:$N$106,11,FALSE),0)+
IFERROR(VLOOKUP(A39,'Centre WR1'!$A$7:$N$106,11,FALSE),0)+
IFERROR(VLOOKUP(A39,'Centre WV1'!$A$7:$N$107,11,FALSE),0)</f>
        <v>2</v>
      </c>
      <c r="L39" s="47">
        <f>IFERROR(VLOOKUP(A39,'Centre DW1'!$A$7:$N$106,12,FALSE),0)+
IFERROR(VLOOKUP(A39,'Centre WP1'!$A$7:$N$106,12,FALSE),0)+
IFERROR(VLOOKUP(A39,'Centre WR1'!$A$7:$N$106,12,FALSE),0)+
IFERROR(VLOOKUP(A39,'Centre WV1'!$A$7:$N$107,12,FALSE),0)</f>
        <v>0.7</v>
      </c>
      <c r="M39" s="47">
        <f>IFERROR(VLOOKUP(A39,'Centre DW1'!$A$7:$N$106,13,FALSE),0)+
IFERROR(VLOOKUP(A39,'Centre WP1'!$A$7:$N$106,13,FALSE),0)+
IFERROR(VLOOKUP(A39,'Centre WR1'!$A$7:$N$106,13,FALSE),0)+
IFERROR(VLOOKUP(A39,'Centre WV1'!$A$7:$N$107,13,FALSE),0)</f>
        <v>-0.99999999999999989</v>
      </c>
      <c r="N39" s="47">
        <f>IFERROR(VLOOKUP(A39,'Centre DW1'!$A$7:$N$106,14,FALSE),0)+
IFERROR(VLOOKUP(A39,'Centre WP1'!$A$7:$N$106,14,FALSE),0)+
IFERROR(VLOOKUP(A39,'Centre WR1'!$A$7:$N$106,14,FALSE),0)+
IFERROR(VLOOKUP(A39,'Centre WV1'!$A$7:$N$107,14,FALSE),0)</f>
        <v>-0.99999999999999989</v>
      </c>
    </row>
    <row r="40" spans="1:15" hidden="1" outlineLevel="1" x14ac:dyDescent="0.2">
      <c r="A40" s="9" t="s">
        <v>83</v>
      </c>
      <c r="B40" s="1" t="s">
        <v>84</v>
      </c>
      <c r="C40" s="10">
        <f>IFERROR(VLOOKUP(A40,'Centre DW1'!$A$7:$N$106,3,FALSE),0)+
IFERROR(VLOOKUP(A40,'Centre WP1'!$A$7:$N$106,3,FALSE),0)+
IFERROR(VLOOKUP(A40,'Centre WR1'!$A$7:$N$106,3,FALSE),0)+
IFERROR(VLOOKUP(A40,'Centre WV1'!$A$7:$N$107,3,FALSE),0)</f>
        <v>0</v>
      </c>
      <c r="D40" s="10">
        <f>IFERROR(VLOOKUP(A40,'Centre DW1'!$A$7:$N$106,4,FALSE),0)+
IFERROR(VLOOKUP(A40,'Centre WP1'!$A$7:$N$106,4,FALSE),0)+
IFERROR(VLOOKUP(A40,'Centre WR1'!$A$7:$N$106,4,FALSE),0)+
IFERROR(VLOOKUP(A40,'Centre WV1'!$A$7:$N$107,4,FALSE),0)</f>
        <v>0</v>
      </c>
      <c r="E40" s="10">
        <f>IFERROR(VLOOKUP(A40,'Centre DW1'!$A$7:$N$106,5,FALSE),0)+
IFERROR(VLOOKUP(A40,'Centre WP1'!$A$7:$N$106,5,FALSE),0)+
IFERROR(VLOOKUP(A40,'Centre WR1'!$A$7:$N$106,5,FALSE),0)+
IFERROR(VLOOKUP(A40,'Centre WV1'!$A$7:$N$107,5,FALSE),0)</f>
        <v>0</v>
      </c>
      <c r="F40" s="10">
        <f>IFERROR(VLOOKUP(A40,'Centre DW1'!$A$7:$N$106,6,FALSE),0)+
IFERROR(VLOOKUP(A40,'Centre WP1'!$A$7:$N$106,6,FALSE),0)+
IFERROR(VLOOKUP(A40,'Centre WR1'!$A$7:$N$106,6,FALSE),0)+
IFERROR(VLOOKUP(A40,'Centre WV1'!$A$7:$N$107,6,FALSE),0)</f>
        <v>0</v>
      </c>
      <c r="G40" s="10">
        <f>IFERROR(VLOOKUP(A40,'Centre DW1'!$A$7:$N$106,7,FALSE),0)+
IFERROR(VLOOKUP(A40,'Centre WP1'!$A$7:$N$106,7,FALSE),0)+
IFERROR(VLOOKUP(A40,'Centre WR1'!$A$7:$N$106,7,FALSE),0)+
IFERROR(VLOOKUP(A40,'Centre WV1'!$A$7:$N$107,7,FALSE),0)</f>
        <v>0</v>
      </c>
      <c r="H40" s="10">
        <f>IFERROR(VLOOKUP(A40,'Centre DW1'!$A$7:$N$106,8,FALSE),0)+
IFERROR(VLOOKUP(A40,'Centre WP1'!$A$7:$N$106,8,FALSE),0)+
IFERROR(VLOOKUP(A40,'Centre WR1'!$A$7:$N$106,8,FALSE),0)+
IFERROR(VLOOKUP(A40,'Centre WV1'!$A$7:$N$107,8,FALSE),0)</f>
        <v>0</v>
      </c>
      <c r="I40" s="10">
        <f>IFERROR(VLOOKUP(A40,'Centre DW1'!$A$7:$N$106,9,FALSE),0)+
IFERROR(VLOOKUP(A40,'Centre WP1'!$A$7:$N$106,9,FALSE),0)+
IFERROR(VLOOKUP(A40,'Centre WR1'!$A$7:$N$106,9,FALSE),0)+
IFERROR(VLOOKUP(A40,'Centre WV1'!$A$7:$N$107,9,FALSE),0)</f>
        <v>0</v>
      </c>
      <c r="J40" s="47">
        <f>IFERROR(VLOOKUP(A40,'Centre DW1'!$A$7:$N$106,10,FALSE),0)+
IFERROR(VLOOKUP(A40,'Centre WP1'!$A$7:$N$106,10,FALSE),0)+
IFERROR(VLOOKUP(A40,'Centre WR1'!$A$7:$N$106,10,FALSE),0)+
IFERROR(VLOOKUP(A40,'Centre WV1'!$A$7:$N$107,10,FALSE),0)</f>
        <v>0</v>
      </c>
      <c r="K40" s="47">
        <f>IFERROR(VLOOKUP(A40,'Centre DW1'!$A$7:$N$106,11,FALSE),0)+
IFERROR(VLOOKUP(A40,'Centre WP1'!$A$7:$N$106,11,FALSE),0)+
IFERROR(VLOOKUP(A40,'Centre WR1'!$A$7:$N$106,11,FALSE),0)+
IFERROR(VLOOKUP(A40,'Centre WV1'!$A$7:$N$107,11,FALSE),0)</f>
        <v>0</v>
      </c>
      <c r="L40" s="47">
        <f>IFERROR(VLOOKUP(A40,'Centre DW1'!$A$7:$N$106,12,FALSE),0)+
IFERROR(VLOOKUP(A40,'Centre WP1'!$A$7:$N$106,12,FALSE),0)+
IFERROR(VLOOKUP(A40,'Centre WR1'!$A$7:$N$106,12,FALSE),0)+
IFERROR(VLOOKUP(A40,'Centre WV1'!$A$7:$N$107,12,FALSE),0)</f>
        <v>0</v>
      </c>
      <c r="M40" s="47">
        <f>IFERROR(VLOOKUP(A40,'Centre DW1'!$A$7:$N$106,13,FALSE),0)+
IFERROR(VLOOKUP(A40,'Centre WP1'!$A$7:$N$106,13,FALSE),0)+
IFERROR(VLOOKUP(A40,'Centre WR1'!$A$7:$N$106,13,FALSE),0)+
IFERROR(VLOOKUP(A40,'Centre WV1'!$A$7:$N$107,13,FALSE),0)</f>
        <v>0</v>
      </c>
      <c r="N40" s="47">
        <f>IFERROR(VLOOKUP(A40,'Centre DW1'!$A$7:$N$106,14,FALSE),0)+
IFERROR(VLOOKUP(A40,'Centre WP1'!$A$7:$N$106,14,FALSE),0)+
IFERROR(VLOOKUP(A40,'Centre WR1'!$A$7:$N$106,14,FALSE),0)+
IFERROR(VLOOKUP(A40,'Centre WV1'!$A$7:$N$107,14,FALSE),0)</f>
        <v>0</v>
      </c>
    </row>
    <row r="41" spans="1:15" hidden="1" outlineLevel="1" x14ac:dyDescent="0.2">
      <c r="A41" s="9" t="s">
        <v>85</v>
      </c>
      <c r="B41" s="1" t="s">
        <v>86</v>
      </c>
      <c r="C41" s="10">
        <f>IFERROR(VLOOKUP(A41,'Centre DW1'!$A$7:$N$106,3,FALSE),0)+
IFERROR(VLOOKUP(A41,'Centre WP1'!$A$7:$N$106,3,FALSE),0)+
IFERROR(VLOOKUP(A41,'Centre WR1'!$A$7:$N$106,3,FALSE),0)+
IFERROR(VLOOKUP(A41,'Centre WV1'!$A$7:$N$107,3,FALSE),0)</f>
        <v>0</v>
      </c>
      <c r="D41" s="10">
        <f>IFERROR(VLOOKUP(A41,'Centre DW1'!$A$7:$N$106,4,FALSE),0)+
IFERROR(VLOOKUP(A41,'Centre WP1'!$A$7:$N$106,4,FALSE),0)+
IFERROR(VLOOKUP(A41,'Centre WR1'!$A$7:$N$106,4,FALSE),0)+
IFERROR(VLOOKUP(A41,'Centre WV1'!$A$7:$N$107,4,FALSE),0)</f>
        <v>0</v>
      </c>
      <c r="E41" s="10">
        <f>IFERROR(VLOOKUP(A41,'Centre DW1'!$A$7:$N$106,5,FALSE),0)+
IFERROR(VLOOKUP(A41,'Centre WP1'!$A$7:$N$106,5,FALSE),0)+
IFERROR(VLOOKUP(A41,'Centre WR1'!$A$7:$N$106,5,FALSE),0)+
IFERROR(VLOOKUP(A41,'Centre WV1'!$A$7:$N$107,5,FALSE),0)</f>
        <v>0</v>
      </c>
      <c r="F41" s="10">
        <f>IFERROR(VLOOKUP(A41,'Centre DW1'!$A$7:$N$106,6,FALSE),0)+
IFERROR(VLOOKUP(A41,'Centre WP1'!$A$7:$N$106,6,FALSE),0)+
IFERROR(VLOOKUP(A41,'Centre WR1'!$A$7:$N$106,6,FALSE),0)+
IFERROR(VLOOKUP(A41,'Centre WV1'!$A$7:$N$107,6,FALSE),0)</f>
        <v>0</v>
      </c>
      <c r="G41" s="10">
        <f>IFERROR(VLOOKUP(A41,'Centre DW1'!$A$7:$N$106,7,FALSE),0)+
IFERROR(VLOOKUP(A41,'Centre WP1'!$A$7:$N$106,7,FALSE),0)+
IFERROR(VLOOKUP(A41,'Centre WR1'!$A$7:$N$106,7,FALSE),0)+
IFERROR(VLOOKUP(A41,'Centre WV1'!$A$7:$N$107,7,FALSE),0)</f>
        <v>0</v>
      </c>
      <c r="H41" s="10">
        <f>IFERROR(VLOOKUP(A41,'Centre DW1'!$A$7:$N$106,8,FALSE),0)+
IFERROR(VLOOKUP(A41,'Centre WP1'!$A$7:$N$106,8,FALSE),0)+
IFERROR(VLOOKUP(A41,'Centre WR1'!$A$7:$N$106,8,FALSE),0)+
IFERROR(VLOOKUP(A41,'Centre WV1'!$A$7:$N$107,8,FALSE),0)</f>
        <v>0.1</v>
      </c>
      <c r="I41" s="10">
        <f>IFERROR(VLOOKUP(A41,'Centre DW1'!$A$7:$N$106,9,FALSE),0)+
IFERROR(VLOOKUP(A41,'Centre WP1'!$A$7:$N$106,9,FALSE),0)+
IFERROR(VLOOKUP(A41,'Centre WR1'!$A$7:$N$106,9,FALSE),0)+
IFERROR(VLOOKUP(A41,'Centre WV1'!$A$7:$N$107,9,FALSE),0)</f>
        <v>0</v>
      </c>
      <c r="J41" s="47">
        <f>IFERROR(VLOOKUP(A41,'Centre DW1'!$A$7:$N$106,10,FALSE),0)+
IFERROR(VLOOKUP(A41,'Centre WP1'!$A$7:$N$106,10,FALSE),0)+
IFERROR(VLOOKUP(A41,'Centre WR1'!$A$7:$N$106,10,FALSE),0)+
IFERROR(VLOOKUP(A41,'Centre WV1'!$A$7:$N$107,10,FALSE),0)</f>
        <v>0</v>
      </c>
      <c r="K41" s="47">
        <f>IFERROR(VLOOKUP(A41,'Centre DW1'!$A$7:$N$106,11,FALSE),0)+
IFERROR(VLOOKUP(A41,'Centre WP1'!$A$7:$N$106,11,FALSE),0)+
IFERROR(VLOOKUP(A41,'Centre WR1'!$A$7:$N$106,11,FALSE),0)+
IFERROR(VLOOKUP(A41,'Centre WV1'!$A$7:$N$107,11,FALSE),0)</f>
        <v>0</v>
      </c>
      <c r="L41" s="47">
        <f>IFERROR(VLOOKUP(A41,'Centre DW1'!$A$7:$N$106,12,FALSE),0)+
IFERROR(VLOOKUP(A41,'Centre WP1'!$A$7:$N$106,12,FALSE),0)+
IFERROR(VLOOKUP(A41,'Centre WR1'!$A$7:$N$106,12,FALSE),0)+
IFERROR(VLOOKUP(A41,'Centre WV1'!$A$7:$N$107,12,FALSE),0)</f>
        <v>0</v>
      </c>
      <c r="M41" s="47">
        <f>IFERROR(VLOOKUP(A41,'Centre DW1'!$A$7:$N$106,13,FALSE),0)+
IFERROR(VLOOKUP(A41,'Centre WP1'!$A$7:$N$106,13,FALSE),0)+
IFERROR(VLOOKUP(A41,'Centre WR1'!$A$7:$N$106,13,FALSE),0)+
IFERROR(VLOOKUP(A41,'Centre WV1'!$A$7:$N$107,13,FALSE),0)</f>
        <v>0.1</v>
      </c>
      <c r="N41" s="47">
        <f>IFERROR(VLOOKUP(A41,'Centre DW1'!$A$7:$N$106,14,FALSE),0)+
IFERROR(VLOOKUP(A41,'Centre WP1'!$A$7:$N$106,14,FALSE),0)+
IFERROR(VLOOKUP(A41,'Centre WR1'!$A$7:$N$106,14,FALSE),0)+
IFERROR(VLOOKUP(A41,'Centre WV1'!$A$7:$N$107,14,FALSE),0)</f>
        <v>0</v>
      </c>
    </row>
    <row r="42" spans="1:15" hidden="1" outlineLevel="1" x14ac:dyDescent="0.2">
      <c r="A42" s="9" t="s">
        <v>87</v>
      </c>
      <c r="B42" s="1" t="s">
        <v>88</v>
      </c>
      <c r="C42" s="10">
        <f>IFERROR(VLOOKUP(A42,'Centre DW1'!$A$7:$N$106,3,FALSE),0)+
IFERROR(VLOOKUP(A42,'Centre WP1'!$A$7:$N$106,3,FALSE),0)+
IFERROR(VLOOKUP(A42,'Centre WR1'!$A$7:$N$106,3,FALSE),0)+
IFERROR(VLOOKUP(A42,'Centre WV1'!$A$7:$N$107,3,FALSE),0)</f>
        <v>0.4</v>
      </c>
      <c r="D42" s="10">
        <f>IFERROR(VLOOKUP(A42,'Centre DW1'!$A$7:$N$106,4,FALSE),0)+
IFERROR(VLOOKUP(A42,'Centre WP1'!$A$7:$N$106,4,FALSE),0)+
IFERROR(VLOOKUP(A42,'Centre WR1'!$A$7:$N$106,4,FALSE),0)+
IFERROR(VLOOKUP(A42,'Centre WV1'!$A$7:$N$107,4,FALSE),0)</f>
        <v>0.3</v>
      </c>
      <c r="E42" s="10">
        <f>IFERROR(VLOOKUP(A42,'Centre DW1'!$A$7:$N$106,5,FALSE),0)+
IFERROR(VLOOKUP(A42,'Centre WP1'!$A$7:$N$106,5,FALSE),0)+
IFERROR(VLOOKUP(A42,'Centre WR1'!$A$7:$N$106,5,FALSE),0)+
IFERROR(VLOOKUP(A42,'Centre WV1'!$A$7:$N$107,5,FALSE),0)</f>
        <v>0.2</v>
      </c>
      <c r="F42" s="10">
        <f>IFERROR(VLOOKUP(A42,'Centre DW1'!$A$7:$N$106,6,FALSE),0)+
IFERROR(VLOOKUP(A42,'Centre WP1'!$A$7:$N$106,6,FALSE),0)+
IFERROR(VLOOKUP(A42,'Centre WR1'!$A$7:$N$106,6,FALSE),0)+
IFERROR(VLOOKUP(A42,'Centre WV1'!$A$7:$N$107,6,FALSE),0)</f>
        <v>0.30000000000000004</v>
      </c>
      <c r="G42" s="10">
        <f>IFERROR(VLOOKUP(A42,'Centre DW1'!$A$7:$N$106,7,FALSE),0)+
IFERROR(VLOOKUP(A42,'Centre WP1'!$A$7:$N$106,7,FALSE),0)+
IFERROR(VLOOKUP(A42,'Centre WR1'!$A$7:$N$106,7,FALSE),0)+
IFERROR(VLOOKUP(A42,'Centre WV1'!$A$7:$N$107,7,FALSE),0)</f>
        <v>0.30000000000000004</v>
      </c>
      <c r="H42" s="10">
        <f>IFERROR(VLOOKUP(A42,'Centre DW1'!$A$7:$N$106,8,FALSE),0)+
IFERROR(VLOOKUP(A42,'Centre WP1'!$A$7:$N$106,8,FALSE),0)+
IFERROR(VLOOKUP(A42,'Centre WR1'!$A$7:$N$106,8,FALSE),0)+
IFERROR(VLOOKUP(A42,'Centre WV1'!$A$7:$N$107,8,FALSE),0)</f>
        <v>0.30000000000000004</v>
      </c>
      <c r="I42" s="10">
        <f>IFERROR(VLOOKUP(A42,'Centre DW1'!$A$7:$N$106,9,FALSE),0)+
IFERROR(VLOOKUP(A42,'Centre WP1'!$A$7:$N$106,9,FALSE),0)+
IFERROR(VLOOKUP(A42,'Centre WR1'!$A$7:$N$106,9,FALSE),0)+
IFERROR(VLOOKUP(A42,'Centre WV1'!$A$7:$N$107,9,FALSE),0)</f>
        <v>0.5</v>
      </c>
      <c r="J42" s="47">
        <f>IFERROR(VLOOKUP(A42,'Centre DW1'!$A$7:$N$106,10,FALSE),0)+
IFERROR(VLOOKUP(A42,'Centre WP1'!$A$7:$N$106,10,FALSE),0)+
IFERROR(VLOOKUP(A42,'Centre WR1'!$A$7:$N$106,10,FALSE),0)+
IFERROR(VLOOKUP(A42,'Centre WV1'!$A$7:$N$107,10,FALSE),0)</f>
        <v>0.2</v>
      </c>
      <c r="K42" s="47">
        <f>IFERROR(VLOOKUP(A42,'Centre DW1'!$A$7:$N$106,11,FALSE),0)+
IFERROR(VLOOKUP(A42,'Centre WP1'!$A$7:$N$106,11,FALSE),0)+
IFERROR(VLOOKUP(A42,'Centre WR1'!$A$7:$N$106,11,FALSE),0)+
IFERROR(VLOOKUP(A42,'Centre WV1'!$A$7:$N$107,11,FALSE),0)</f>
        <v>0.30000000000000004</v>
      </c>
      <c r="L42" s="47">
        <f>IFERROR(VLOOKUP(A42,'Centre DW1'!$A$7:$N$106,12,FALSE),0)+
IFERROR(VLOOKUP(A42,'Centre WP1'!$A$7:$N$106,12,FALSE),0)+
IFERROR(VLOOKUP(A42,'Centre WR1'!$A$7:$N$106,12,FALSE),0)+
IFERROR(VLOOKUP(A42,'Centre WV1'!$A$7:$N$107,12,FALSE),0)</f>
        <v>0.30000000000000004</v>
      </c>
      <c r="M42" s="47">
        <f>IFERROR(VLOOKUP(A42,'Centre DW1'!$A$7:$N$106,13,FALSE),0)+
IFERROR(VLOOKUP(A42,'Centre WP1'!$A$7:$N$106,13,FALSE),0)+
IFERROR(VLOOKUP(A42,'Centre WR1'!$A$7:$N$106,13,FALSE),0)+
IFERROR(VLOOKUP(A42,'Centre WV1'!$A$7:$N$107,13,FALSE),0)</f>
        <v>0.30000000000000004</v>
      </c>
      <c r="N42" s="47">
        <f>IFERROR(VLOOKUP(A42,'Centre DW1'!$A$7:$N$106,14,FALSE),0)+
IFERROR(VLOOKUP(A42,'Centre WP1'!$A$7:$N$106,14,FALSE),0)+
IFERROR(VLOOKUP(A42,'Centre WR1'!$A$7:$N$106,14,FALSE),0)+
IFERROR(VLOOKUP(A42,'Centre WV1'!$A$7:$N$107,14,FALSE),0)</f>
        <v>0.30000000000000004</v>
      </c>
    </row>
    <row r="43" spans="1:15" hidden="1" outlineLevel="1" x14ac:dyDescent="0.2">
      <c r="A43" s="9" t="s">
        <v>89</v>
      </c>
      <c r="B43" s="1" t="s">
        <v>90</v>
      </c>
      <c r="C43" s="10">
        <f>IFERROR(VLOOKUP(A43,'Centre DW1'!$A$7:$N$106,3,FALSE),0)+
IFERROR(VLOOKUP(A43,'Centre WP1'!$A$7:$N$106,3,FALSE),0)+
IFERROR(VLOOKUP(A43,'Centre WR1'!$A$7:$N$106,3,FALSE),0)+
IFERROR(VLOOKUP(A43,'Centre WV1'!$A$7:$N$107,3,FALSE),0)</f>
        <v>0.4</v>
      </c>
      <c r="D43" s="10">
        <f>IFERROR(VLOOKUP(A43,'Centre DW1'!$A$7:$N$106,4,FALSE),0)+
IFERROR(VLOOKUP(A43,'Centre WP1'!$A$7:$N$106,4,FALSE),0)+
IFERROR(VLOOKUP(A43,'Centre WR1'!$A$7:$N$106,4,FALSE),0)+
IFERROR(VLOOKUP(A43,'Centre WV1'!$A$7:$N$107,4,FALSE),0)</f>
        <v>0.4</v>
      </c>
      <c r="E43" s="10">
        <f>IFERROR(VLOOKUP(A43,'Centre DW1'!$A$7:$N$106,5,FALSE),0)+
IFERROR(VLOOKUP(A43,'Centre WP1'!$A$7:$N$106,5,FALSE),0)+
IFERROR(VLOOKUP(A43,'Centre WR1'!$A$7:$N$106,5,FALSE),0)+
IFERROR(VLOOKUP(A43,'Centre WV1'!$A$7:$N$107,5,FALSE),0)</f>
        <v>0.3</v>
      </c>
      <c r="F43" s="10">
        <f>IFERROR(VLOOKUP(A43,'Centre DW1'!$A$7:$N$106,6,FALSE),0)+
IFERROR(VLOOKUP(A43,'Centre WP1'!$A$7:$N$106,6,FALSE),0)+
IFERROR(VLOOKUP(A43,'Centre WR1'!$A$7:$N$106,6,FALSE),0)+
IFERROR(VLOOKUP(A43,'Centre WV1'!$A$7:$N$107,6,FALSE),0)</f>
        <v>0.79999999999999993</v>
      </c>
      <c r="G43" s="10">
        <f>IFERROR(VLOOKUP(A43,'Centre DW1'!$A$7:$N$106,7,FALSE),0)+
IFERROR(VLOOKUP(A43,'Centre WP1'!$A$7:$N$106,7,FALSE),0)+
IFERROR(VLOOKUP(A43,'Centre WR1'!$A$7:$N$106,7,FALSE),0)+
IFERROR(VLOOKUP(A43,'Centre WV1'!$A$7:$N$107,7,FALSE),0)</f>
        <v>0.30000000000000004</v>
      </c>
      <c r="H43" s="10">
        <f>IFERROR(VLOOKUP(A43,'Centre DW1'!$A$7:$N$106,8,FALSE),0)+
IFERROR(VLOOKUP(A43,'Centre WP1'!$A$7:$N$106,8,FALSE),0)+
IFERROR(VLOOKUP(A43,'Centre WR1'!$A$7:$N$106,8,FALSE),0)+
IFERROR(VLOOKUP(A43,'Centre WV1'!$A$7:$N$107,8,FALSE),0)</f>
        <v>0.30000000000000004</v>
      </c>
      <c r="I43" s="10">
        <f>IFERROR(VLOOKUP(A43,'Centre DW1'!$A$7:$N$106,9,FALSE),0)+
IFERROR(VLOOKUP(A43,'Centre WP1'!$A$7:$N$106,9,FALSE),0)+
IFERROR(VLOOKUP(A43,'Centre WR1'!$A$7:$N$106,9,FALSE),0)+
IFERROR(VLOOKUP(A43,'Centre WV1'!$A$7:$N$107,9,FALSE),0)</f>
        <v>0.60000000000000009</v>
      </c>
      <c r="J43" s="47">
        <f>IFERROR(VLOOKUP(A43,'Centre DW1'!$A$7:$N$106,10,FALSE),0)+
IFERROR(VLOOKUP(A43,'Centre WP1'!$A$7:$N$106,10,FALSE),0)+
IFERROR(VLOOKUP(A43,'Centre WR1'!$A$7:$N$106,10,FALSE),0)+
IFERROR(VLOOKUP(A43,'Centre WV1'!$A$7:$N$107,10,FALSE),0)</f>
        <v>0.3</v>
      </c>
      <c r="K43" s="47">
        <f>IFERROR(VLOOKUP(A43,'Centre DW1'!$A$7:$N$106,11,FALSE),0)+
IFERROR(VLOOKUP(A43,'Centre WP1'!$A$7:$N$106,11,FALSE),0)+
IFERROR(VLOOKUP(A43,'Centre WR1'!$A$7:$N$106,11,FALSE),0)+
IFERROR(VLOOKUP(A43,'Centre WV1'!$A$7:$N$107,11,FALSE),0)</f>
        <v>0.79999999999999993</v>
      </c>
      <c r="L43" s="47">
        <f>IFERROR(VLOOKUP(A43,'Centre DW1'!$A$7:$N$106,12,FALSE),0)+
IFERROR(VLOOKUP(A43,'Centre WP1'!$A$7:$N$106,12,FALSE),0)+
IFERROR(VLOOKUP(A43,'Centre WR1'!$A$7:$N$106,12,FALSE),0)+
IFERROR(VLOOKUP(A43,'Centre WV1'!$A$7:$N$107,12,FALSE),0)</f>
        <v>0.30000000000000004</v>
      </c>
      <c r="M43" s="47">
        <f>IFERROR(VLOOKUP(A43,'Centre DW1'!$A$7:$N$106,13,FALSE),0)+
IFERROR(VLOOKUP(A43,'Centre WP1'!$A$7:$N$106,13,FALSE),0)+
IFERROR(VLOOKUP(A43,'Centre WR1'!$A$7:$N$106,13,FALSE),0)+
IFERROR(VLOOKUP(A43,'Centre WV1'!$A$7:$N$107,13,FALSE),0)</f>
        <v>0.30000000000000004</v>
      </c>
      <c r="N43" s="47">
        <f>IFERROR(VLOOKUP(A43,'Centre DW1'!$A$7:$N$106,14,FALSE),0)+
IFERROR(VLOOKUP(A43,'Centre WP1'!$A$7:$N$106,14,FALSE),0)+
IFERROR(VLOOKUP(A43,'Centre WR1'!$A$7:$N$106,14,FALSE),0)+
IFERROR(VLOOKUP(A43,'Centre WV1'!$A$7:$N$107,14,FALSE),0)</f>
        <v>0.30000000000000004</v>
      </c>
    </row>
    <row r="44" spans="1:15" hidden="1" outlineLevel="1" x14ac:dyDescent="0.2">
      <c r="A44" s="9" t="s">
        <v>91</v>
      </c>
      <c r="B44" s="1" t="s">
        <v>92</v>
      </c>
      <c r="C44" s="10">
        <f>IFERROR(VLOOKUP(A44,'Centre DW1'!$A$7:$N$106,3,FALSE),0)+
IFERROR(VLOOKUP(A44,'Centre WP1'!$A$7:$N$106,3,FALSE),0)+
IFERROR(VLOOKUP(A44,'Centre WR1'!$A$7:$N$106,3,FALSE),0)+
IFERROR(VLOOKUP(A44,'Centre WV1'!$A$7:$N$107,3,FALSE),0)</f>
        <v>0</v>
      </c>
      <c r="D44" s="10">
        <f>IFERROR(VLOOKUP(A44,'Centre DW1'!$A$7:$N$106,4,FALSE),0)+
IFERROR(VLOOKUP(A44,'Centre WP1'!$A$7:$N$106,4,FALSE),0)+
IFERROR(VLOOKUP(A44,'Centre WR1'!$A$7:$N$106,4,FALSE),0)+
IFERROR(VLOOKUP(A44,'Centre WV1'!$A$7:$N$107,4,FALSE),0)</f>
        <v>0</v>
      </c>
      <c r="E44" s="10">
        <f>IFERROR(VLOOKUP(A44,'Centre DW1'!$A$7:$N$106,5,FALSE),0)+
IFERROR(VLOOKUP(A44,'Centre WP1'!$A$7:$N$106,5,FALSE),0)+
IFERROR(VLOOKUP(A44,'Centre WR1'!$A$7:$N$106,5,FALSE),0)+
IFERROR(VLOOKUP(A44,'Centre WV1'!$A$7:$N$107,5,FALSE),0)</f>
        <v>0</v>
      </c>
      <c r="F44" s="10">
        <f>IFERROR(VLOOKUP(A44,'Centre DW1'!$A$7:$N$106,6,FALSE),0)+
IFERROR(VLOOKUP(A44,'Centre WP1'!$A$7:$N$106,6,FALSE),0)+
IFERROR(VLOOKUP(A44,'Centre WR1'!$A$7:$N$106,6,FALSE),0)+
IFERROR(VLOOKUP(A44,'Centre WV1'!$A$7:$N$107,6,FALSE),0)</f>
        <v>11.7</v>
      </c>
      <c r="G44" s="10">
        <f>IFERROR(VLOOKUP(A44,'Centre DW1'!$A$7:$N$106,7,FALSE),0)+
IFERROR(VLOOKUP(A44,'Centre WP1'!$A$7:$N$106,7,FALSE),0)+
IFERROR(VLOOKUP(A44,'Centre WR1'!$A$7:$N$106,7,FALSE),0)+
IFERROR(VLOOKUP(A44,'Centre WV1'!$A$7:$N$107,7,FALSE),0)</f>
        <v>0</v>
      </c>
      <c r="H44" s="10">
        <f>IFERROR(VLOOKUP(A44,'Centre DW1'!$A$7:$N$106,8,FALSE),0)+
IFERROR(VLOOKUP(A44,'Centre WP1'!$A$7:$N$106,8,FALSE),0)+
IFERROR(VLOOKUP(A44,'Centre WR1'!$A$7:$N$106,8,FALSE),0)+
IFERROR(VLOOKUP(A44,'Centre WV1'!$A$7:$N$107,8,FALSE),0)</f>
        <v>0</v>
      </c>
      <c r="I44" s="10">
        <f>IFERROR(VLOOKUP(A44,'Centre DW1'!$A$7:$N$106,9,FALSE),0)+
IFERROR(VLOOKUP(A44,'Centre WP1'!$A$7:$N$106,9,FALSE),0)+
IFERROR(VLOOKUP(A44,'Centre WR1'!$A$7:$N$106,9,FALSE),0)+
IFERROR(VLOOKUP(A44,'Centre WV1'!$A$7:$N$107,9,FALSE),0)</f>
        <v>0</v>
      </c>
      <c r="J44" s="47">
        <f>IFERROR(VLOOKUP(A44,'Centre DW1'!$A$7:$N$106,10,FALSE),0)+
IFERROR(VLOOKUP(A44,'Centre WP1'!$A$7:$N$106,10,FALSE),0)+
IFERROR(VLOOKUP(A44,'Centre WR1'!$A$7:$N$106,10,FALSE),0)+
IFERROR(VLOOKUP(A44,'Centre WV1'!$A$7:$N$107,10,FALSE),0)</f>
        <v>0</v>
      </c>
      <c r="K44" s="47">
        <f>IFERROR(VLOOKUP(A44,'Centre DW1'!$A$7:$N$106,11,FALSE),0)+
IFERROR(VLOOKUP(A44,'Centre WP1'!$A$7:$N$106,11,FALSE),0)+
IFERROR(VLOOKUP(A44,'Centre WR1'!$A$7:$N$106,11,FALSE),0)+
IFERROR(VLOOKUP(A44,'Centre WV1'!$A$7:$N$107,11,FALSE),0)</f>
        <v>11.7</v>
      </c>
      <c r="L44" s="47">
        <f>IFERROR(VLOOKUP(A44,'Centre DW1'!$A$7:$N$106,12,FALSE),0)+
IFERROR(VLOOKUP(A44,'Centre WP1'!$A$7:$N$106,12,FALSE),0)+
IFERROR(VLOOKUP(A44,'Centre WR1'!$A$7:$N$106,12,FALSE),0)+
IFERROR(VLOOKUP(A44,'Centre WV1'!$A$7:$N$107,12,FALSE),0)</f>
        <v>0</v>
      </c>
      <c r="M44" s="47">
        <f>IFERROR(VLOOKUP(A44,'Centre DW1'!$A$7:$N$106,13,FALSE),0)+
IFERROR(VLOOKUP(A44,'Centre WP1'!$A$7:$N$106,13,FALSE),0)+
IFERROR(VLOOKUP(A44,'Centre WR1'!$A$7:$N$106,13,FALSE),0)+
IFERROR(VLOOKUP(A44,'Centre WV1'!$A$7:$N$107,13,FALSE),0)</f>
        <v>0</v>
      </c>
      <c r="N44" s="47">
        <f>IFERROR(VLOOKUP(A44,'Centre DW1'!$A$7:$N$106,14,FALSE),0)+
IFERROR(VLOOKUP(A44,'Centre WP1'!$A$7:$N$106,14,FALSE),0)+
IFERROR(VLOOKUP(A44,'Centre WR1'!$A$7:$N$106,14,FALSE),0)+
IFERROR(VLOOKUP(A44,'Centre WV1'!$A$7:$N$107,14,FALSE),0)</f>
        <v>0</v>
      </c>
    </row>
    <row r="45" spans="1:15" hidden="1" outlineLevel="1" x14ac:dyDescent="0.2">
      <c r="A45" s="9" t="s">
        <v>93</v>
      </c>
      <c r="B45" s="1" t="s">
        <v>94</v>
      </c>
      <c r="C45" s="10">
        <f>IFERROR(VLOOKUP(A45,'Centre DW1'!$A$7:$N$106,3,FALSE),0)+
IFERROR(VLOOKUP(A45,'Centre WP1'!$A$7:$N$106,3,FALSE),0)+
IFERROR(VLOOKUP(A45,'Centre WR1'!$A$7:$N$106,3,FALSE),0)+
IFERROR(VLOOKUP(A45,'Centre WV1'!$A$7:$N$107,3,FALSE),0)</f>
        <v>0.4</v>
      </c>
      <c r="D45" s="10">
        <f>IFERROR(VLOOKUP(A45,'Centre DW1'!$A$7:$N$106,4,FALSE),0)+
IFERROR(VLOOKUP(A45,'Centre WP1'!$A$7:$N$106,4,FALSE),0)+
IFERROR(VLOOKUP(A45,'Centre WR1'!$A$7:$N$106,4,FALSE),0)+
IFERROR(VLOOKUP(A45,'Centre WV1'!$A$7:$N$107,4,FALSE),0)</f>
        <v>0.4</v>
      </c>
      <c r="E45" s="10">
        <f>IFERROR(VLOOKUP(A45,'Centre DW1'!$A$7:$N$106,5,FALSE),0)+
IFERROR(VLOOKUP(A45,'Centre WP1'!$A$7:$N$106,5,FALSE),0)+
IFERROR(VLOOKUP(A45,'Centre WR1'!$A$7:$N$106,5,FALSE),0)+
IFERROR(VLOOKUP(A45,'Centre WV1'!$A$7:$N$107,5,FALSE),0)</f>
        <v>0.3</v>
      </c>
      <c r="F45" s="10">
        <f>IFERROR(VLOOKUP(A45,'Centre DW1'!$A$7:$N$106,6,FALSE),0)+
IFERROR(VLOOKUP(A45,'Centre WP1'!$A$7:$N$106,6,FALSE),0)+
IFERROR(VLOOKUP(A45,'Centre WR1'!$A$7:$N$106,6,FALSE),0)+
IFERROR(VLOOKUP(A45,'Centre WV1'!$A$7:$N$107,6,FALSE),0)</f>
        <v>2.1</v>
      </c>
      <c r="G45" s="10">
        <f>IFERROR(VLOOKUP(A45,'Centre DW1'!$A$7:$N$106,7,FALSE),0)+
IFERROR(VLOOKUP(A45,'Centre WP1'!$A$7:$N$106,7,FALSE),0)+
IFERROR(VLOOKUP(A45,'Centre WR1'!$A$7:$N$106,7,FALSE),0)+
IFERROR(VLOOKUP(A45,'Centre WV1'!$A$7:$N$107,7,FALSE),0)</f>
        <v>0.30000000000000004</v>
      </c>
      <c r="H45" s="10">
        <f>IFERROR(VLOOKUP(A45,'Centre DW1'!$A$7:$N$106,8,FALSE),0)+
IFERROR(VLOOKUP(A45,'Centre WP1'!$A$7:$N$106,8,FALSE),0)+
IFERROR(VLOOKUP(A45,'Centre WR1'!$A$7:$N$106,8,FALSE),0)+
IFERROR(VLOOKUP(A45,'Centre WV1'!$A$7:$N$107,8,FALSE),0)</f>
        <v>0.30000000000000004</v>
      </c>
      <c r="I45" s="10">
        <f>IFERROR(VLOOKUP(A45,'Centre DW1'!$A$7:$N$106,9,FALSE),0)+
IFERROR(VLOOKUP(A45,'Centre WP1'!$A$7:$N$106,9,FALSE),0)+
IFERROR(VLOOKUP(A45,'Centre WR1'!$A$7:$N$106,9,FALSE),0)+
IFERROR(VLOOKUP(A45,'Centre WV1'!$A$7:$N$107,9,FALSE),0)</f>
        <v>0.7</v>
      </c>
      <c r="J45" s="47">
        <f>IFERROR(VLOOKUP(A45,'Centre DW1'!$A$7:$N$106,10,FALSE),0)+
IFERROR(VLOOKUP(A45,'Centre WP1'!$A$7:$N$106,10,FALSE),0)+
IFERROR(VLOOKUP(A45,'Centre WR1'!$A$7:$N$106,10,FALSE),0)+
IFERROR(VLOOKUP(A45,'Centre WV1'!$A$7:$N$107,10,FALSE),0)</f>
        <v>0.3</v>
      </c>
      <c r="K45" s="47">
        <f>IFERROR(VLOOKUP(A45,'Centre DW1'!$A$7:$N$106,11,FALSE),0)+
IFERROR(VLOOKUP(A45,'Centre WP1'!$A$7:$N$106,11,FALSE),0)+
IFERROR(VLOOKUP(A45,'Centre WR1'!$A$7:$N$106,11,FALSE),0)+
IFERROR(VLOOKUP(A45,'Centre WV1'!$A$7:$N$107,11,FALSE),0)</f>
        <v>2.1</v>
      </c>
      <c r="L45" s="47">
        <f>IFERROR(VLOOKUP(A45,'Centre DW1'!$A$7:$N$106,12,FALSE),0)+
IFERROR(VLOOKUP(A45,'Centre WP1'!$A$7:$N$106,12,FALSE),0)+
IFERROR(VLOOKUP(A45,'Centre WR1'!$A$7:$N$106,12,FALSE),0)+
IFERROR(VLOOKUP(A45,'Centre WV1'!$A$7:$N$107,12,FALSE),0)</f>
        <v>0.30000000000000004</v>
      </c>
      <c r="M45" s="47">
        <f>IFERROR(VLOOKUP(A45,'Centre DW1'!$A$7:$N$106,13,FALSE),0)+
IFERROR(VLOOKUP(A45,'Centre WP1'!$A$7:$N$106,13,FALSE),0)+
IFERROR(VLOOKUP(A45,'Centre WR1'!$A$7:$N$106,13,FALSE),0)+
IFERROR(VLOOKUP(A45,'Centre WV1'!$A$7:$N$107,13,FALSE),0)</f>
        <v>0.30000000000000004</v>
      </c>
      <c r="N45" s="47">
        <f>IFERROR(VLOOKUP(A45,'Centre DW1'!$A$7:$N$106,14,FALSE),0)+
IFERROR(VLOOKUP(A45,'Centre WP1'!$A$7:$N$106,14,FALSE),0)+
IFERROR(VLOOKUP(A45,'Centre WR1'!$A$7:$N$106,14,FALSE),0)+
IFERROR(VLOOKUP(A45,'Centre WV1'!$A$7:$N$107,14,FALSE),0)</f>
        <v>0.4</v>
      </c>
    </row>
    <row r="46" spans="1:15" hidden="1" outlineLevel="1" x14ac:dyDescent="0.2">
      <c r="A46" s="9" t="s">
        <v>95</v>
      </c>
      <c r="B46" s="1" t="s">
        <v>96</v>
      </c>
      <c r="C46" s="10">
        <f>IFERROR(VLOOKUP(A46,'Centre DW1'!$A$7:$N$106,3,FALSE),0)+
IFERROR(VLOOKUP(A46,'Centre WP1'!$A$7:$N$106,3,FALSE),0)+
IFERROR(VLOOKUP(A46,'Centre WR1'!$A$7:$N$106,3,FALSE),0)+
IFERROR(VLOOKUP(A46,'Centre WV1'!$A$7:$N$107,3,FALSE),0)</f>
        <v>0.3</v>
      </c>
      <c r="D46" s="10">
        <f>IFERROR(VLOOKUP(A46,'Centre DW1'!$A$7:$N$106,4,FALSE),0)+
IFERROR(VLOOKUP(A46,'Centre WP1'!$A$7:$N$106,4,FALSE),0)+
IFERROR(VLOOKUP(A46,'Centre WR1'!$A$7:$N$106,4,FALSE),0)+
IFERROR(VLOOKUP(A46,'Centre WV1'!$A$7:$N$107,4,FALSE),0)</f>
        <v>0.3</v>
      </c>
      <c r="E46" s="10">
        <f>IFERROR(VLOOKUP(A46,'Centre DW1'!$A$7:$N$106,5,FALSE),0)+
IFERROR(VLOOKUP(A46,'Centre WP1'!$A$7:$N$106,5,FALSE),0)+
IFERROR(VLOOKUP(A46,'Centre WR1'!$A$7:$N$106,5,FALSE),0)+
IFERROR(VLOOKUP(A46,'Centre WV1'!$A$7:$N$107,5,FALSE),0)</f>
        <v>0.2</v>
      </c>
      <c r="F46" s="10">
        <f>IFERROR(VLOOKUP(A46,'Centre DW1'!$A$7:$N$106,6,FALSE),0)+
IFERROR(VLOOKUP(A46,'Centre WP1'!$A$7:$N$106,6,FALSE),0)+
IFERROR(VLOOKUP(A46,'Centre WR1'!$A$7:$N$106,6,FALSE),0)+
IFERROR(VLOOKUP(A46,'Centre WV1'!$A$7:$N$107,6,FALSE),0)</f>
        <v>0.30000000000000004</v>
      </c>
      <c r="G46" s="10">
        <f>IFERROR(VLOOKUP(A46,'Centre DW1'!$A$7:$N$106,7,FALSE),0)+
IFERROR(VLOOKUP(A46,'Centre WP1'!$A$7:$N$106,7,FALSE),0)+
IFERROR(VLOOKUP(A46,'Centre WR1'!$A$7:$N$106,7,FALSE),0)+
IFERROR(VLOOKUP(A46,'Centre WV1'!$A$7:$N$107,7,FALSE),0)</f>
        <v>0.2</v>
      </c>
      <c r="H46" s="10">
        <f>IFERROR(VLOOKUP(A46,'Centre DW1'!$A$7:$N$106,8,FALSE),0)+
IFERROR(VLOOKUP(A46,'Centre WP1'!$A$7:$N$106,8,FALSE),0)+
IFERROR(VLOOKUP(A46,'Centre WR1'!$A$7:$N$106,8,FALSE),0)+
IFERROR(VLOOKUP(A46,'Centre WV1'!$A$7:$N$107,8,FALSE),0)</f>
        <v>0.2</v>
      </c>
      <c r="I46" s="10">
        <f>IFERROR(VLOOKUP(A46,'Centre DW1'!$A$7:$N$106,9,FALSE),0)+
IFERROR(VLOOKUP(A46,'Centre WP1'!$A$7:$N$106,9,FALSE),0)+
IFERROR(VLOOKUP(A46,'Centre WR1'!$A$7:$N$106,9,FALSE),0)+
IFERROR(VLOOKUP(A46,'Centre WV1'!$A$7:$N$107,9,FALSE),0)</f>
        <v>0.5</v>
      </c>
      <c r="J46" s="47">
        <f>IFERROR(VLOOKUP(A46,'Centre DW1'!$A$7:$N$106,10,FALSE),0)+
IFERROR(VLOOKUP(A46,'Centre WP1'!$A$7:$N$106,10,FALSE),0)+
IFERROR(VLOOKUP(A46,'Centre WR1'!$A$7:$N$106,10,FALSE),0)+
IFERROR(VLOOKUP(A46,'Centre WV1'!$A$7:$N$107,10,FALSE),0)</f>
        <v>0.2</v>
      </c>
      <c r="K46" s="47">
        <f>IFERROR(VLOOKUP(A46,'Centre DW1'!$A$7:$N$106,11,FALSE),0)+
IFERROR(VLOOKUP(A46,'Centre WP1'!$A$7:$N$106,11,FALSE),0)+
IFERROR(VLOOKUP(A46,'Centre WR1'!$A$7:$N$106,11,FALSE),0)+
IFERROR(VLOOKUP(A46,'Centre WV1'!$A$7:$N$107,11,FALSE),0)</f>
        <v>0.30000000000000004</v>
      </c>
      <c r="L46" s="47">
        <f>IFERROR(VLOOKUP(A46,'Centre DW1'!$A$7:$N$106,12,FALSE),0)+
IFERROR(VLOOKUP(A46,'Centre WP1'!$A$7:$N$106,12,FALSE),0)+
IFERROR(VLOOKUP(A46,'Centre WR1'!$A$7:$N$106,12,FALSE),0)+
IFERROR(VLOOKUP(A46,'Centre WV1'!$A$7:$N$107,12,FALSE),0)</f>
        <v>0.2</v>
      </c>
      <c r="M46" s="47">
        <f>IFERROR(VLOOKUP(A46,'Centre DW1'!$A$7:$N$106,13,FALSE),0)+
IFERROR(VLOOKUP(A46,'Centre WP1'!$A$7:$N$106,13,FALSE),0)+
IFERROR(VLOOKUP(A46,'Centre WR1'!$A$7:$N$106,13,FALSE),0)+
IFERROR(VLOOKUP(A46,'Centre WV1'!$A$7:$N$107,13,FALSE),0)</f>
        <v>0.2</v>
      </c>
      <c r="N46" s="47">
        <f>IFERROR(VLOOKUP(A46,'Centre DW1'!$A$7:$N$106,14,FALSE),0)+
IFERROR(VLOOKUP(A46,'Centre WP1'!$A$7:$N$106,14,FALSE),0)+
IFERROR(VLOOKUP(A46,'Centre WR1'!$A$7:$N$106,14,FALSE),0)+
IFERROR(VLOOKUP(A46,'Centre WV1'!$A$7:$N$107,14,FALSE),0)</f>
        <v>0.2</v>
      </c>
    </row>
    <row r="47" spans="1:15" hidden="1" outlineLevel="1" x14ac:dyDescent="0.2">
      <c r="A47" s="9" t="s">
        <v>97</v>
      </c>
      <c r="B47" s="1" t="s">
        <v>98</v>
      </c>
      <c r="C47" s="10">
        <f>IFERROR(VLOOKUP(A47,'Centre DW1'!$A$7:$N$106,3,FALSE),0)+
IFERROR(VLOOKUP(A47,'Centre WP1'!$A$7:$N$106,3,FALSE),0)+
IFERROR(VLOOKUP(A47,'Centre WR1'!$A$7:$N$106,3,FALSE),0)+
IFERROR(VLOOKUP(A47,'Centre WV1'!$A$7:$N$107,3,FALSE),0)</f>
        <v>0</v>
      </c>
      <c r="D47" s="10">
        <f>IFERROR(VLOOKUP(A47,'Centre DW1'!$A$7:$N$106,4,FALSE),0)+
IFERROR(VLOOKUP(A47,'Centre WP1'!$A$7:$N$106,4,FALSE),0)+
IFERROR(VLOOKUP(A47,'Centre WR1'!$A$7:$N$106,4,FALSE),0)+
IFERROR(VLOOKUP(A47,'Centre WV1'!$A$7:$N$107,4,FALSE),0)</f>
        <v>0</v>
      </c>
      <c r="E47" s="10">
        <f>IFERROR(VLOOKUP(A47,'Centre DW1'!$A$7:$N$106,5,FALSE),0)+
IFERROR(VLOOKUP(A47,'Centre WP1'!$A$7:$N$106,5,FALSE),0)+
IFERROR(VLOOKUP(A47,'Centre WR1'!$A$7:$N$106,5,FALSE),0)+
IFERROR(VLOOKUP(A47,'Centre WV1'!$A$7:$N$107,5,FALSE),0)</f>
        <v>0</v>
      </c>
      <c r="F47" s="10">
        <f>IFERROR(VLOOKUP(A47,'Centre DW1'!$A$7:$N$106,6,FALSE),0)+
IFERROR(VLOOKUP(A47,'Centre WP1'!$A$7:$N$106,6,FALSE),0)+
IFERROR(VLOOKUP(A47,'Centre WR1'!$A$7:$N$106,6,FALSE),0)+
IFERROR(VLOOKUP(A47,'Centre WV1'!$A$7:$N$107,6,FALSE),0)</f>
        <v>0</v>
      </c>
      <c r="G47" s="10">
        <f>IFERROR(VLOOKUP(A47,'Centre DW1'!$A$7:$N$106,7,FALSE),0)+
IFERROR(VLOOKUP(A47,'Centre WP1'!$A$7:$N$106,7,FALSE),0)+
IFERROR(VLOOKUP(A47,'Centre WR1'!$A$7:$N$106,7,FALSE),0)+
IFERROR(VLOOKUP(A47,'Centre WV1'!$A$7:$N$107,7,FALSE),0)</f>
        <v>0</v>
      </c>
      <c r="H47" s="10">
        <f>IFERROR(VLOOKUP(A47,'Centre DW1'!$A$7:$N$106,8,FALSE),0)+
IFERROR(VLOOKUP(A47,'Centre WP1'!$A$7:$N$106,8,FALSE),0)+
IFERROR(VLOOKUP(A47,'Centre WR1'!$A$7:$N$106,8,FALSE),0)+
IFERROR(VLOOKUP(A47,'Centre WV1'!$A$7:$N$107,8,FALSE),0)</f>
        <v>0</v>
      </c>
      <c r="I47" s="10">
        <f>IFERROR(VLOOKUP(A47,'Centre DW1'!$A$7:$N$106,9,FALSE),0)+
IFERROR(VLOOKUP(A47,'Centre WP1'!$A$7:$N$106,9,FALSE),0)+
IFERROR(VLOOKUP(A47,'Centre WR1'!$A$7:$N$106,9,FALSE),0)+
IFERROR(VLOOKUP(A47,'Centre WV1'!$A$7:$N$107,9,FALSE),0)</f>
        <v>0</v>
      </c>
      <c r="J47" s="47">
        <f>IFERROR(VLOOKUP(A47,'Centre DW1'!$A$7:$N$106,10,FALSE),0)+
IFERROR(VLOOKUP(A47,'Centre WP1'!$A$7:$N$106,10,FALSE),0)+
IFERROR(VLOOKUP(A47,'Centre WR1'!$A$7:$N$106,10,FALSE),0)+
IFERROR(VLOOKUP(A47,'Centre WV1'!$A$7:$N$107,10,FALSE),0)</f>
        <v>0</v>
      </c>
      <c r="K47" s="47">
        <f>IFERROR(VLOOKUP(A47,'Centre DW1'!$A$7:$N$106,11,FALSE),0)+
IFERROR(VLOOKUP(A47,'Centre WP1'!$A$7:$N$106,11,FALSE),0)+
IFERROR(VLOOKUP(A47,'Centre WR1'!$A$7:$N$106,11,FALSE),0)+
IFERROR(VLOOKUP(A47,'Centre WV1'!$A$7:$N$107,11,FALSE),0)</f>
        <v>0</v>
      </c>
      <c r="L47" s="47">
        <f>IFERROR(VLOOKUP(A47,'Centre DW1'!$A$7:$N$106,12,FALSE),0)+
IFERROR(VLOOKUP(A47,'Centre WP1'!$A$7:$N$106,12,FALSE),0)+
IFERROR(VLOOKUP(A47,'Centre WR1'!$A$7:$N$106,12,FALSE),0)+
IFERROR(VLOOKUP(A47,'Centre WV1'!$A$7:$N$107,12,FALSE),0)</f>
        <v>0</v>
      </c>
      <c r="M47" s="47">
        <f>IFERROR(VLOOKUP(A47,'Centre DW1'!$A$7:$N$106,13,FALSE),0)+
IFERROR(VLOOKUP(A47,'Centre WP1'!$A$7:$N$106,13,FALSE),0)+
IFERROR(VLOOKUP(A47,'Centre WR1'!$A$7:$N$106,13,FALSE),0)+
IFERROR(VLOOKUP(A47,'Centre WV1'!$A$7:$N$107,13,FALSE),0)</f>
        <v>0</v>
      </c>
      <c r="N47" s="47">
        <f>IFERROR(VLOOKUP(A47,'Centre DW1'!$A$7:$N$106,14,FALSE),0)+
IFERROR(VLOOKUP(A47,'Centre WP1'!$A$7:$N$106,14,FALSE),0)+
IFERROR(VLOOKUP(A47,'Centre WR1'!$A$7:$N$106,14,FALSE),0)+
IFERROR(VLOOKUP(A47,'Centre WV1'!$A$7:$N$107,14,FALSE),0)</f>
        <v>0</v>
      </c>
    </row>
    <row r="48" spans="1:15" hidden="1" outlineLevel="1" x14ac:dyDescent="0.2">
      <c r="A48" s="9" t="s">
        <v>99</v>
      </c>
      <c r="B48" s="1" t="s">
        <v>100</v>
      </c>
      <c r="C48" s="10">
        <f>IFERROR(VLOOKUP(A48,'Centre DW1'!$A$7:$N$106,3,FALSE),0)+
IFERROR(VLOOKUP(A48,'Centre WP1'!$A$7:$N$106,3,FALSE),0)+
IFERROR(VLOOKUP(A48,'Centre WR1'!$A$7:$N$106,3,FALSE),0)+
IFERROR(VLOOKUP(A48,'Centre WV1'!$A$7:$N$107,3,FALSE),0)</f>
        <v>0</v>
      </c>
      <c r="D48" s="10">
        <f>IFERROR(VLOOKUP(A48,'Centre DW1'!$A$7:$N$106,4,FALSE),0)+
IFERROR(VLOOKUP(A48,'Centre WP1'!$A$7:$N$106,4,FALSE),0)+
IFERROR(VLOOKUP(A48,'Centre WR1'!$A$7:$N$106,4,FALSE),0)+
IFERROR(VLOOKUP(A48,'Centre WV1'!$A$7:$N$107,4,FALSE),0)</f>
        <v>0</v>
      </c>
      <c r="E48" s="10">
        <f>IFERROR(VLOOKUP(A48,'Centre DW1'!$A$7:$N$106,5,FALSE),0)+
IFERROR(VLOOKUP(A48,'Centre WP1'!$A$7:$N$106,5,FALSE),0)+
IFERROR(VLOOKUP(A48,'Centre WR1'!$A$7:$N$106,5,FALSE),0)+
IFERROR(VLOOKUP(A48,'Centre WV1'!$A$7:$N$107,5,FALSE),0)</f>
        <v>0</v>
      </c>
      <c r="F48" s="10">
        <f>IFERROR(VLOOKUP(A48,'Centre DW1'!$A$7:$N$106,6,FALSE),0)+
IFERROR(VLOOKUP(A48,'Centre WP1'!$A$7:$N$106,6,FALSE),0)+
IFERROR(VLOOKUP(A48,'Centre WR1'!$A$7:$N$106,6,FALSE),0)+
IFERROR(VLOOKUP(A48,'Centre WV1'!$A$7:$N$107,6,FALSE),0)</f>
        <v>0</v>
      </c>
      <c r="G48" s="10">
        <f>IFERROR(VLOOKUP(A48,'Centre DW1'!$A$7:$N$106,7,FALSE),0)+
IFERROR(VLOOKUP(A48,'Centre WP1'!$A$7:$N$106,7,FALSE),0)+
IFERROR(VLOOKUP(A48,'Centre WR1'!$A$7:$N$106,7,FALSE),0)+
IFERROR(VLOOKUP(A48,'Centre WV1'!$A$7:$N$107,7,FALSE),0)</f>
        <v>0</v>
      </c>
      <c r="H48" s="10">
        <f>IFERROR(VLOOKUP(A48,'Centre DW1'!$A$7:$N$106,8,FALSE),0)+
IFERROR(VLOOKUP(A48,'Centre WP1'!$A$7:$N$106,8,FALSE),0)+
IFERROR(VLOOKUP(A48,'Centre WR1'!$A$7:$N$106,8,FALSE),0)+
IFERROR(VLOOKUP(A48,'Centre WV1'!$A$7:$N$107,8,FALSE),0)</f>
        <v>0</v>
      </c>
      <c r="I48" s="10">
        <f>IFERROR(VLOOKUP(A48,'Centre DW1'!$A$7:$N$106,9,FALSE),0)+
IFERROR(VLOOKUP(A48,'Centre WP1'!$A$7:$N$106,9,FALSE),0)+
IFERROR(VLOOKUP(A48,'Centre WR1'!$A$7:$N$106,9,FALSE),0)+
IFERROR(VLOOKUP(A48,'Centre WV1'!$A$7:$N$107,9,FALSE),0)</f>
        <v>0</v>
      </c>
      <c r="J48" s="47">
        <f>IFERROR(VLOOKUP(A48,'Centre DW1'!$A$7:$N$106,10,FALSE),0)+
IFERROR(VLOOKUP(A48,'Centre WP1'!$A$7:$N$106,10,FALSE),0)+
IFERROR(VLOOKUP(A48,'Centre WR1'!$A$7:$N$106,10,FALSE),0)+
IFERROR(VLOOKUP(A48,'Centre WV1'!$A$7:$N$107,10,FALSE),0)</f>
        <v>0</v>
      </c>
      <c r="K48" s="47">
        <f>IFERROR(VLOOKUP(A48,'Centre DW1'!$A$7:$N$106,11,FALSE),0)+
IFERROR(VLOOKUP(A48,'Centre WP1'!$A$7:$N$106,11,FALSE),0)+
IFERROR(VLOOKUP(A48,'Centre WR1'!$A$7:$N$106,11,FALSE),0)+
IFERROR(VLOOKUP(A48,'Centre WV1'!$A$7:$N$107,11,FALSE),0)</f>
        <v>0</v>
      </c>
      <c r="L48" s="47">
        <f>IFERROR(VLOOKUP(A48,'Centre DW1'!$A$7:$N$106,12,FALSE),0)+
IFERROR(VLOOKUP(A48,'Centre WP1'!$A$7:$N$106,12,FALSE),0)+
IFERROR(VLOOKUP(A48,'Centre WR1'!$A$7:$N$106,12,FALSE),0)+
IFERROR(VLOOKUP(A48,'Centre WV1'!$A$7:$N$107,12,FALSE),0)</f>
        <v>0</v>
      </c>
      <c r="M48" s="47">
        <f>IFERROR(VLOOKUP(A48,'Centre DW1'!$A$7:$N$106,13,FALSE),0)+
IFERROR(VLOOKUP(A48,'Centre WP1'!$A$7:$N$106,13,FALSE),0)+
IFERROR(VLOOKUP(A48,'Centre WR1'!$A$7:$N$106,13,FALSE),0)+
IFERROR(VLOOKUP(A48,'Centre WV1'!$A$7:$N$107,13,FALSE),0)</f>
        <v>0</v>
      </c>
      <c r="N48" s="47">
        <f>IFERROR(VLOOKUP(A48,'Centre DW1'!$A$7:$N$106,14,FALSE),0)+
IFERROR(VLOOKUP(A48,'Centre WP1'!$A$7:$N$106,14,FALSE),0)+
IFERROR(VLOOKUP(A48,'Centre WR1'!$A$7:$N$106,14,FALSE),0)+
IFERROR(VLOOKUP(A48,'Centre WV1'!$A$7:$N$107,14,FALSE),0)</f>
        <v>0</v>
      </c>
    </row>
    <row r="49" spans="1:14" hidden="1" outlineLevel="1" x14ac:dyDescent="0.2">
      <c r="A49" s="9" t="s">
        <v>101</v>
      </c>
      <c r="B49" s="1" t="s">
        <v>102</v>
      </c>
      <c r="C49" s="10">
        <f>IFERROR(VLOOKUP(A49,'Centre DW1'!$A$7:$N$106,3,FALSE),0)+
IFERROR(VLOOKUP(A49,'Centre WP1'!$A$7:$N$106,3,FALSE),0)+
IFERROR(VLOOKUP(A49,'Centre WR1'!$A$7:$N$106,3,FALSE),0)+
IFERROR(VLOOKUP(A49,'Centre WV1'!$A$7:$N$107,3,FALSE),0)</f>
        <v>0</v>
      </c>
      <c r="D49" s="10">
        <f>IFERROR(VLOOKUP(A49,'Centre DW1'!$A$7:$N$106,4,FALSE),0)+
IFERROR(VLOOKUP(A49,'Centre WP1'!$A$7:$N$106,4,FALSE),0)+
IFERROR(VLOOKUP(A49,'Centre WR1'!$A$7:$N$106,4,FALSE),0)+
IFERROR(VLOOKUP(A49,'Centre WV1'!$A$7:$N$107,4,FALSE),0)</f>
        <v>0</v>
      </c>
      <c r="E49" s="10">
        <f>IFERROR(VLOOKUP(A49,'Centre DW1'!$A$7:$N$106,5,FALSE),0)+
IFERROR(VLOOKUP(A49,'Centre WP1'!$A$7:$N$106,5,FALSE),0)+
IFERROR(VLOOKUP(A49,'Centre WR1'!$A$7:$N$106,5,FALSE),0)+
IFERROR(VLOOKUP(A49,'Centre WV1'!$A$7:$N$107,5,FALSE),0)</f>
        <v>0</v>
      </c>
      <c r="F49" s="10">
        <f>IFERROR(VLOOKUP(A49,'Centre DW1'!$A$7:$N$106,6,FALSE),0)+
IFERROR(VLOOKUP(A49,'Centre WP1'!$A$7:$N$106,6,FALSE),0)+
IFERROR(VLOOKUP(A49,'Centre WR1'!$A$7:$N$106,6,FALSE),0)+
IFERROR(VLOOKUP(A49,'Centre WV1'!$A$7:$N$107,6,FALSE),0)</f>
        <v>0</v>
      </c>
      <c r="G49" s="10">
        <f>IFERROR(VLOOKUP(A49,'Centre DW1'!$A$7:$N$106,7,FALSE),0)+
IFERROR(VLOOKUP(A49,'Centre WP1'!$A$7:$N$106,7,FALSE),0)+
IFERROR(VLOOKUP(A49,'Centre WR1'!$A$7:$N$106,7,FALSE),0)+
IFERROR(VLOOKUP(A49,'Centre WV1'!$A$7:$N$107,7,FALSE),0)</f>
        <v>0</v>
      </c>
      <c r="H49" s="10">
        <f>IFERROR(VLOOKUP(A49,'Centre DW1'!$A$7:$N$106,8,FALSE),0)+
IFERROR(VLOOKUP(A49,'Centre WP1'!$A$7:$N$106,8,FALSE),0)+
IFERROR(VLOOKUP(A49,'Centre WR1'!$A$7:$N$106,8,FALSE),0)+
IFERROR(VLOOKUP(A49,'Centre WV1'!$A$7:$N$107,8,FALSE),0)</f>
        <v>0</v>
      </c>
      <c r="I49" s="10">
        <f>IFERROR(VLOOKUP(A49,'Centre DW1'!$A$7:$N$106,9,FALSE),0)+
IFERROR(VLOOKUP(A49,'Centre WP1'!$A$7:$N$106,9,FALSE),0)+
IFERROR(VLOOKUP(A49,'Centre WR1'!$A$7:$N$106,9,FALSE),0)+
IFERROR(VLOOKUP(A49,'Centre WV1'!$A$7:$N$107,9,FALSE),0)</f>
        <v>0</v>
      </c>
      <c r="J49" s="47">
        <f>IFERROR(VLOOKUP(A49,'Centre DW1'!$A$7:$N$106,10,FALSE),0)+
IFERROR(VLOOKUP(A49,'Centre WP1'!$A$7:$N$106,10,FALSE),0)+
IFERROR(VLOOKUP(A49,'Centre WR1'!$A$7:$N$106,10,FALSE),0)+
IFERROR(VLOOKUP(A49,'Centre WV1'!$A$7:$N$107,10,FALSE),0)</f>
        <v>0</v>
      </c>
      <c r="K49" s="47">
        <f>IFERROR(VLOOKUP(A49,'Centre DW1'!$A$7:$N$106,11,FALSE),0)+
IFERROR(VLOOKUP(A49,'Centre WP1'!$A$7:$N$106,11,FALSE),0)+
IFERROR(VLOOKUP(A49,'Centre WR1'!$A$7:$N$106,11,FALSE),0)+
IFERROR(VLOOKUP(A49,'Centre WV1'!$A$7:$N$107,11,FALSE),0)</f>
        <v>0</v>
      </c>
      <c r="L49" s="47">
        <f>IFERROR(VLOOKUP(A49,'Centre DW1'!$A$7:$N$106,12,FALSE),0)+
IFERROR(VLOOKUP(A49,'Centre WP1'!$A$7:$N$106,12,FALSE),0)+
IFERROR(VLOOKUP(A49,'Centre WR1'!$A$7:$N$106,12,FALSE),0)+
IFERROR(VLOOKUP(A49,'Centre WV1'!$A$7:$N$107,12,FALSE),0)</f>
        <v>0</v>
      </c>
      <c r="M49" s="47">
        <f>IFERROR(VLOOKUP(A49,'Centre DW1'!$A$7:$N$106,13,FALSE),0)+
IFERROR(VLOOKUP(A49,'Centre WP1'!$A$7:$N$106,13,FALSE),0)+
IFERROR(VLOOKUP(A49,'Centre WR1'!$A$7:$N$106,13,FALSE),0)+
IFERROR(VLOOKUP(A49,'Centre WV1'!$A$7:$N$107,13,FALSE),0)</f>
        <v>0</v>
      </c>
      <c r="N49" s="47">
        <f>IFERROR(VLOOKUP(A49,'Centre DW1'!$A$7:$N$106,14,FALSE),0)+
IFERROR(VLOOKUP(A49,'Centre WP1'!$A$7:$N$106,14,FALSE),0)+
IFERROR(VLOOKUP(A49,'Centre WR1'!$A$7:$N$106,14,FALSE),0)+
IFERROR(VLOOKUP(A49,'Centre WV1'!$A$7:$N$107,14,FALSE),0)</f>
        <v>0</v>
      </c>
    </row>
    <row r="50" spans="1:14" hidden="1" outlineLevel="1" x14ac:dyDescent="0.2">
      <c r="A50" s="9" t="s">
        <v>103</v>
      </c>
      <c r="B50" s="1" t="s">
        <v>104</v>
      </c>
      <c r="C50" s="10">
        <f>IFERROR(VLOOKUP(A50,'Centre DW1'!$A$7:$N$106,3,FALSE),0)+
IFERROR(VLOOKUP(A50,'Centre WP1'!$A$7:$N$106,3,FALSE),0)+
IFERROR(VLOOKUP(A50,'Centre WR1'!$A$7:$N$106,3,FALSE),0)+
IFERROR(VLOOKUP(A50,'Centre WV1'!$A$7:$N$107,3,FALSE),0)</f>
        <v>0</v>
      </c>
      <c r="D50" s="10">
        <f>IFERROR(VLOOKUP(A50,'Centre DW1'!$A$7:$N$106,4,FALSE),0)+
IFERROR(VLOOKUP(A50,'Centre WP1'!$A$7:$N$106,4,FALSE),0)+
IFERROR(VLOOKUP(A50,'Centre WR1'!$A$7:$N$106,4,FALSE),0)+
IFERROR(VLOOKUP(A50,'Centre WV1'!$A$7:$N$107,4,FALSE),0)</f>
        <v>0</v>
      </c>
      <c r="E50" s="10">
        <f>IFERROR(VLOOKUP(A50,'Centre DW1'!$A$7:$N$106,5,FALSE),0)+
IFERROR(VLOOKUP(A50,'Centre WP1'!$A$7:$N$106,5,FALSE),0)+
IFERROR(VLOOKUP(A50,'Centre WR1'!$A$7:$N$106,5,FALSE),0)+
IFERROR(VLOOKUP(A50,'Centre WV1'!$A$7:$N$107,5,FALSE),0)</f>
        <v>0</v>
      </c>
      <c r="F50" s="10">
        <f>IFERROR(VLOOKUP(A50,'Centre DW1'!$A$7:$N$106,6,FALSE),0)+
IFERROR(VLOOKUP(A50,'Centre WP1'!$A$7:$N$106,6,FALSE),0)+
IFERROR(VLOOKUP(A50,'Centre WR1'!$A$7:$N$106,6,FALSE),0)+
IFERROR(VLOOKUP(A50,'Centre WV1'!$A$7:$N$107,6,FALSE),0)</f>
        <v>0</v>
      </c>
      <c r="G50" s="10">
        <f>IFERROR(VLOOKUP(A50,'Centre DW1'!$A$7:$N$106,7,FALSE),0)+
IFERROR(VLOOKUP(A50,'Centre WP1'!$A$7:$N$106,7,FALSE),0)+
IFERROR(VLOOKUP(A50,'Centre WR1'!$A$7:$N$106,7,FALSE),0)+
IFERROR(VLOOKUP(A50,'Centre WV1'!$A$7:$N$107,7,FALSE),0)</f>
        <v>0</v>
      </c>
      <c r="H50" s="10">
        <f>IFERROR(VLOOKUP(A50,'Centre DW1'!$A$7:$N$106,8,FALSE),0)+
IFERROR(VLOOKUP(A50,'Centre WP1'!$A$7:$N$106,8,FALSE),0)+
IFERROR(VLOOKUP(A50,'Centre WR1'!$A$7:$N$106,8,FALSE),0)+
IFERROR(VLOOKUP(A50,'Centre WV1'!$A$7:$N$107,8,FALSE),0)</f>
        <v>0</v>
      </c>
      <c r="I50" s="10">
        <f>IFERROR(VLOOKUP(A50,'Centre DW1'!$A$7:$N$106,9,FALSE),0)+
IFERROR(VLOOKUP(A50,'Centre WP1'!$A$7:$N$106,9,FALSE),0)+
IFERROR(VLOOKUP(A50,'Centre WR1'!$A$7:$N$106,9,FALSE),0)+
IFERROR(VLOOKUP(A50,'Centre WV1'!$A$7:$N$107,9,FALSE),0)</f>
        <v>0</v>
      </c>
      <c r="J50" s="47">
        <f>IFERROR(VLOOKUP(A50,'Centre DW1'!$A$7:$N$106,10,FALSE),0)+
IFERROR(VLOOKUP(A50,'Centre WP1'!$A$7:$N$106,10,FALSE),0)+
IFERROR(VLOOKUP(A50,'Centre WR1'!$A$7:$N$106,10,FALSE),0)+
IFERROR(VLOOKUP(A50,'Centre WV1'!$A$7:$N$107,10,FALSE),0)</f>
        <v>0</v>
      </c>
      <c r="K50" s="47">
        <f>IFERROR(VLOOKUP(A50,'Centre DW1'!$A$7:$N$106,11,FALSE),0)+
IFERROR(VLOOKUP(A50,'Centre WP1'!$A$7:$N$106,11,FALSE),0)+
IFERROR(VLOOKUP(A50,'Centre WR1'!$A$7:$N$106,11,FALSE),0)+
IFERROR(VLOOKUP(A50,'Centre WV1'!$A$7:$N$107,11,FALSE),0)</f>
        <v>0</v>
      </c>
      <c r="L50" s="47">
        <f>IFERROR(VLOOKUP(A50,'Centre DW1'!$A$7:$N$106,12,FALSE),0)+
IFERROR(VLOOKUP(A50,'Centre WP1'!$A$7:$N$106,12,FALSE),0)+
IFERROR(VLOOKUP(A50,'Centre WR1'!$A$7:$N$106,12,FALSE),0)+
IFERROR(VLOOKUP(A50,'Centre WV1'!$A$7:$N$107,12,FALSE),0)</f>
        <v>0</v>
      </c>
      <c r="M50" s="47">
        <f>IFERROR(VLOOKUP(A50,'Centre DW1'!$A$7:$N$106,13,FALSE),0)+
IFERROR(VLOOKUP(A50,'Centre WP1'!$A$7:$N$106,13,FALSE),0)+
IFERROR(VLOOKUP(A50,'Centre WR1'!$A$7:$N$106,13,FALSE),0)+
IFERROR(VLOOKUP(A50,'Centre WV1'!$A$7:$N$107,13,FALSE),0)</f>
        <v>0</v>
      </c>
      <c r="N50" s="47">
        <f>IFERROR(VLOOKUP(A50,'Centre DW1'!$A$7:$N$106,14,FALSE),0)+
IFERROR(VLOOKUP(A50,'Centre WP1'!$A$7:$N$106,14,FALSE),0)+
IFERROR(VLOOKUP(A50,'Centre WR1'!$A$7:$N$106,14,FALSE),0)+
IFERROR(VLOOKUP(A50,'Centre WV1'!$A$7:$N$107,14,FALSE),0)</f>
        <v>0</v>
      </c>
    </row>
    <row r="51" spans="1:14" hidden="1" outlineLevel="1" x14ac:dyDescent="0.2">
      <c r="A51" s="9" t="s">
        <v>105</v>
      </c>
      <c r="B51" s="1" t="s">
        <v>106</v>
      </c>
      <c r="C51" s="10">
        <f>IFERROR(VLOOKUP(A51,'Centre DW1'!$A$7:$N$106,3,FALSE),0)+
IFERROR(VLOOKUP(A51,'Centre WP1'!$A$7:$N$106,3,FALSE),0)+
IFERROR(VLOOKUP(A51,'Centre WR1'!$A$7:$N$106,3,FALSE),0)+
IFERROR(VLOOKUP(A51,'Centre WV1'!$A$7:$N$107,3,FALSE),0)</f>
        <v>0</v>
      </c>
      <c r="D51" s="10">
        <f>IFERROR(VLOOKUP(A51,'Centre DW1'!$A$7:$N$106,4,FALSE),0)+
IFERROR(VLOOKUP(A51,'Centre WP1'!$A$7:$N$106,4,FALSE),0)+
IFERROR(VLOOKUP(A51,'Centre WR1'!$A$7:$N$106,4,FALSE),0)+
IFERROR(VLOOKUP(A51,'Centre WV1'!$A$7:$N$107,4,FALSE),0)</f>
        <v>0</v>
      </c>
      <c r="E51" s="10">
        <f>IFERROR(VLOOKUP(A51,'Centre DW1'!$A$7:$N$106,5,FALSE),0)+
IFERROR(VLOOKUP(A51,'Centre WP1'!$A$7:$N$106,5,FALSE),0)+
IFERROR(VLOOKUP(A51,'Centre WR1'!$A$7:$N$106,5,FALSE),0)+
IFERROR(VLOOKUP(A51,'Centre WV1'!$A$7:$N$107,5,FALSE),0)</f>
        <v>0</v>
      </c>
      <c r="F51" s="10">
        <f>IFERROR(VLOOKUP(A51,'Centre DW1'!$A$7:$N$106,6,FALSE),0)+
IFERROR(VLOOKUP(A51,'Centre WP1'!$A$7:$N$106,6,FALSE),0)+
IFERROR(VLOOKUP(A51,'Centre WR1'!$A$7:$N$106,6,FALSE),0)+
IFERROR(VLOOKUP(A51,'Centre WV1'!$A$7:$N$107,6,FALSE),0)</f>
        <v>0</v>
      </c>
      <c r="G51" s="10">
        <f>IFERROR(VLOOKUP(A51,'Centre DW1'!$A$7:$N$106,7,FALSE),0)+
IFERROR(VLOOKUP(A51,'Centre WP1'!$A$7:$N$106,7,FALSE),0)+
IFERROR(VLOOKUP(A51,'Centre WR1'!$A$7:$N$106,7,FALSE),0)+
IFERROR(VLOOKUP(A51,'Centre WV1'!$A$7:$N$107,7,FALSE),0)</f>
        <v>0</v>
      </c>
      <c r="H51" s="10">
        <f>IFERROR(VLOOKUP(A51,'Centre DW1'!$A$7:$N$106,8,FALSE),0)+
IFERROR(VLOOKUP(A51,'Centre WP1'!$A$7:$N$106,8,FALSE),0)+
IFERROR(VLOOKUP(A51,'Centre WR1'!$A$7:$N$106,8,FALSE),0)+
IFERROR(VLOOKUP(A51,'Centre WV1'!$A$7:$N$107,8,FALSE),0)</f>
        <v>0</v>
      </c>
      <c r="I51" s="10">
        <f>IFERROR(VLOOKUP(A51,'Centre DW1'!$A$7:$N$106,9,FALSE),0)+
IFERROR(VLOOKUP(A51,'Centre WP1'!$A$7:$N$106,9,FALSE),0)+
IFERROR(VLOOKUP(A51,'Centre WR1'!$A$7:$N$106,9,FALSE),0)+
IFERROR(VLOOKUP(A51,'Centre WV1'!$A$7:$N$107,9,FALSE),0)</f>
        <v>0</v>
      </c>
      <c r="J51" s="47">
        <f>IFERROR(VLOOKUP(A51,'Centre DW1'!$A$7:$N$106,10,FALSE),0)+
IFERROR(VLOOKUP(A51,'Centre WP1'!$A$7:$N$106,10,FALSE),0)+
IFERROR(VLOOKUP(A51,'Centre WR1'!$A$7:$N$106,10,FALSE),0)+
IFERROR(VLOOKUP(A51,'Centre WV1'!$A$7:$N$107,10,FALSE),0)</f>
        <v>0</v>
      </c>
      <c r="K51" s="47">
        <f>IFERROR(VLOOKUP(A51,'Centre DW1'!$A$7:$N$106,11,FALSE),0)+
IFERROR(VLOOKUP(A51,'Centre WP1'!$A$7:$N$106,11,FALSE),0)+
IFERROR(VLOOKUP(A51,'Centre WR1'!$A$7:$N$106,11,FALSE),0)+
IFERROR(VLOOKUP(A51,'Centre WV1'!$A$7:$N$107,11,FALSE),0)</f>
        <v>0</v>
      </c>
      <c r="L51" s="47">
        <f>IFERROR(VLOOKUP(A51,'Centre DW1'!$A$7:$N$106,12,FALSE),0)+
IFERROR(VLOOKUP(A51,'Centre WP1'!$A$7:$N$106,12,FALSE),0)+
IFERROR(VLOOKUP(A51,'Centre WR1'!$A$7:$N$106,12,FALSE),0)+
IFERROR(VLOOKUP(A51,'Centre WV1'!$A$7:$N$107,12,FALSE),0)</f>
        <v>0</v>
      </c>
      <c r="M51" s="47">
        <f>IFERROR(VLOOKUP(A51,'Centre DW1'!$A$7:$N$106,13,FALSE),0)+
IFERROR(VLOOKUP(A51,'Centre WP1'!$A$7:$N$106,13,FALSE),0)+
IFERROR(VLOOKUP(A51,'Centre WR1'!$A$7:$N$106,13,FALSE),0)+
IFERROR(VLOOKUP(A51,'Centre WV1'!$A$7:$N$107,13,FALSE),0)</f>
        <v>0</v>
      </c>
      <c r="N51" s="47">
        <f>IFERROR(VLOOKUP(A51,'Centre DW1'!$A$7:$N$106,14,FALSE),0)+
IFERROR(VLOOKUP(A51,'Centre WP1'!$A$7:$N$106,14,FALSE),0)+
IFERROR(VLOOKUP(A51,'Centre WR1'!$A$7:$N$106,14,FALSE),0)+
IFERROR(VLOOKUP(A51,'Centre WV1'!$A$7:$N$107,14,FALSE),0)</f>
        <v>0</v>
      </c>
    </row>
    <row r="52" spans="1:14" hidden="1" outlineLevel="1" x14ac:dyDescent="0.2">
      <c r="A52" s="9" t="s">
        <v>107</v>
      </c>
      <c r="B52" s="1" t="s">
        <v>108</v>
      </c>
      <c r="C52" s="10">
        <f>IFERROR(VLOOKUP(A52,'Centre DW1'!$A$7:$N$106,3,FALSE),0)+
IFERROR(VLOOKUP(A52,'Centre WP1'!$A$7:$N$106,3,FALSE),0)+
IFERROR(VLOOKUP(A52,'Centre WR1'!$A$7:$N$106,3,FALSE),0)+
IFERROR(VLOOKUP(A52,'Centre WV1'!$A$7:$N$107,3,FALSE),0)</f>
        <v>0</v>
      </c>
      <c r="D52" s="10">
        <f>IFERROR(VLOOKUP(A52,'Centre DW1'!$A$7:$N$106,4,FALSE),0)+
IFERROR(VLOOKUP(A52,'Centre WP1'!$A$7:$N$106,4,FALSE),0)+
IFERROR(VLOOKUP(A52,'Centre WR1'!$A$7:$N$106,4,FALSE),0)+
IFERROR(VLOOKUP(A52,'Centre WV1'!$A$7:$N$107,4,FALSE),0)</f>
        <v>0</v>
      </c>
      <c r="E52" s="10">
        <f>IFERROR(VLOOKUP(A52,'Centre DW1'!$A$7:$N$106,5,FALSE),0)+
IFERROR(VLOOKUP(A52,'Centre WP1'!$A$7:$N$106,5,FALSE),0)+
IFERROR(VLOOKUP(A52,'Centre WR1'!$A$7:$N$106,5,FALSE),0)+
IFERROR(VLOOKUP(A52,'Centre WV1'!$A$7:$N$107,5,FALSE),0)</f>
        <v>0</v>
      </c>
      <c r="F52" s="10">
        <f>IFERROR(VLOOKUP(A52,'Centre DW1'!$A$7:$N$106,6,FALSE),0)+
IFERROR(VLOOKUP(A52,'Centre WP1'!$A$7:$N$106,6,FALSE),0)+
IFERROR(VLOOKUP(A52,'Centre WR1'!$A$7:$N$106,6,FALSE),0)+
IFERROR(VLOOKUP(A52,'Centre WV1'!$A$7:$N$107,6,FALSE),0)</f>
        <v>0</v>
      </c>
      <c r="G52" s="10">
        <f>IFERROR(VLOOKUP(A52,'Centre DW1'!$A$7:$N$106,7,FALSE),0)+
IFERROR(VLOOKUP(A52,'Centre WP1'!$A$7:$N$106,7,FALSE),0)+
IFERROR(VLOOKUP(A52,'Centre WR1'!$A$7:$N$106,7,FALSE),0)+
IFERROR(VLOOKUP(A52,'Centre WV1'!$A$7:$N$107,7,FALSE),0)</f>
        <v>0</v>
      </c>
      <c r="H52" s="10">
        <f>IFERROR(VLOOKUP(A52,'Centre DW1'!$A$7:$N$106,8,FALSE),0)+
IFERROR(VLOOKUP(A52,'Centre WP1'!$A$7:$N$106,8,FALSE),0)+
IFERROR(VLOOKUP(A52,'Centre WR1'!$A$7:$N$106,8,FALSE),0)+
IFERROR(VLOOKUP(A52,'Centre WV1'!$A$7:$N$107,8,FALSE),0)</f>
        <v>0</v>
      </c>
      <c r="I52" s="10">
        <f>IFERROR(VLOOKUP(A52,'Centre DW1'!$A$7:$N$106,9,FALSE),0)+
IFERROR(VLOOKUP(A52,'Centre WP1'!$A$7:$N$106,9,FALSE),0)+
IFERROR(VLOOKUP(A52,'Centre WR1'!$A$7:$N$106,9,FALSE),0)+
IFERROR(VLOOKUP(A52,'Centre WV1'!$A$7:$N$107,9,FALSE),0)</f>
        <v>0</v>
      </c>
      <c r="J52" s="47">
        <f>IFERROR(VLOOKUP(A52,'Centre DW1'!$A$7:$N$106,10,FALSE),0)+
IFERROR(VLOOKUP(A52,'Centre WP1'!$A$7:$N$106,10,FALSE),0)+
IFERROR(VLOOKUP(A52,'Centre WR1'!$A$7:$N$106,10,FALSE),0)+
IFERROR(VLOOKUP(A52,'Centre WV1'!$A$7:$N$107,10,FALSE),0)</f>
        <v>0</v>
      </c>
      <c r="K52" s="47">
        <f>IFERROR(VLOOKUP(A52,'Centre DW1'!$A$7:$N$106,11,FALSE),0)+
IFERROR(VLOOKUP(A52,'Centre WP1'!$A$7:$N$106,11,FALSE),0)+
IFERROR(VLOOKUP(A52,'Centre WR1'!$A$7:$N$106,11,FALSE),0)+
IFERROR(VLOOKUP(A52,'Centre WV1'!$A$7:$N$107,11,FALSE),0)</f>
        <v>0</v>
      </c>
      <c r="L52" s="47">
        <f>IFERROR(VLOOKUP(A52,'Centre DW1'!$A$7:$N$106,12,FALSE),0)+
IFERROR(VLOOKUP(A52,'Centre WP1'!$A$7:$N$106,12,FALSE),0)+
IFERROR(VLOOKUP(A52,'Centre WR1'!$A$7:$N$106,12,FALSE),0)+
IFERROR(VLOOKUP(A52,'Centre WV1'!$A$7:$N$107,12,FALSE),0)</f>
        <v>0</v>
      </c>
      <c r="M52" s="47">
        <f>IFERROR(VLOOKUP(A52,'Centre DW1'!$A$7:$N$106,13,FALSE),0)+
IFERROR(VLOOKUP(A52,'Centre WP1'!$A$7:$N$106,13,FALSE),0)+
IFERROR(VLOOKUP(A52,'Centre WR1'!$A$7:$N$106,13,FALSE),0)+
IFERROR(VLOOKUP(A52,'Centre WV1'!$A$7:$N$107,13,FALSE),0)</f>
        <v>0</v>
      </c>
      <c r="N52" s="47">
        <f>IFERROR(VLOOKUP(A52,'Centre DW1'!$A$7:$N$106,14,FALSE),0)+
IFERROR(VLOOKUP(A52,'Centre WP1'!$A$7:$N$106,14,FALSE),0)+
IFERROR(VLOOKUP(A52,'Centre WR1'!$A$7:$N$106,14,FALSE),0)+
IFERROR(VLOOKUP(A52,'Centre WV1'!$A$7:$N$107,14,FALSE),0)</f>
        <v>0</v>
      </c>
    </row>
    <row r="53" spans="1:14" hidden="1" outlineLevel="1" x14ac:dyDescent="0.2">
      <c r="A53" s="9" t="s">
        <v>109</v>
      </c>
      <c r="B53" s="1" t="s">
        <v>110</v>
      </c>
      <c r="C53" s="10">
        <f>IFERROR(VLOOKUP(A53,'Centre DW1'!$A$7:$N$106,3,FALSE),0)+
IFERROR(VLOOKUP(A53,'Centre WP1'!$A$7:$N$106,3,FALSE),0)+
IFERROR(VLOOKUP(A53,'Centre WR1'!$A$7:$N$106,3,FALSE),0)+
IFERROR(VLOOKUP(A53,'Centre WV1'!$A$7:$N$107,3,FALSE),0)</f>
        <v>0</v>
      </c>
      <c r="D53" s="10">
        <f>IFERROR(VLOOKUP(A53,'Centre DW1'!$A$7:$N$106,4,FALSE),0)+
IFERROR(VLOOKUP(A53,'Centre WP1'!$A$7:$N$106,4,FALSE),0)+
IFERROR(VLOOKUP(A53,'Centre WR1'!$A$7:$N$106,4,FALSE),0)+
IFERROR(VLOOKUP(A53,'Centre WV1'!$A$7:$N$107,4,FALSE),0)</f>
        <v>0</v>
      </c>
      <c r="E53" s="10">
        <f>IFERROR(VLOOKUP(A53,'Centre DW1'!$A$7:$N$106,5,FALSE),0)+
IFERROR(VLOOKUP(A53,'Centre WP1'!$A$7:$N$106,5,FALSE),0)+
IFERROR(VLOOKUP(A53,'Centre WR1'!$A$7:$N$106,5,FALSE),0)+
IFERROR(VLOOKUP(A53,'Centre WV1'!$A$7:$N$107,5,FALSE),0)</f>
        <v>0</v>
      </c>
      <c r="F53" s="10">
        <f>IFERROR(VLOOKUP(A53,'Centre DW1'!$A$7:$N$106,6,FALSE),0)+
IFERROR(VLOOKUP(A53,'Centre WP1'!$A$7:$N$106,6,FALSE),0)+
IFERROR(VLOOKUP(A53,'Centre WR1'!$A$7:$N$106,6,FALSE),0)+
IFERROR(VLOOKUP(A53,'Centre WV1'!$A$7:$N$107,6,FALSE),0)</f>
        <v>0</v>
      </c>
      <c r="G53" s="10">
        <f>IFERROR(VLOOKUP(A53,'Centre DW1'!$A$7:$N$106,7,FALSE),0)+
IFERROR(VLOOKUP(A53,'Centre WP1'!$A$7:$N$106,7,FALSE),0)+
IFERROR(VLOOKUP(A53,'Centre WR1'!$A$7:$N$106,7,FALSE),0)+
IFERROR(VLOOKUP(A53,'Centre WV1'!$A$7:$N$107,7,FALSE),0)</f>
        <v>0</v>
      </c>
      <c r="H53" s="10">
        <f>IFERROR(VLOOKUP(A53,'Centre DW1'!$A$7:$N$106,8,FALSE),0)+
IFERROR(VLOOKUP(A53,'Centre WP1'!$A$7:$N$106,8,FALSE),0)+
IFERROR(VLOOKUP(A53,'Centre WR1'!$A$7:$N$106,8,FALSE),0)+
IFERROR(VLOOKUP(A53,'Centre WV1'!$A$7:$N$107,8,FALSE),0)</f>
        <v>0</v>
      </c>
      <c r="I53" s="10">
        <f>IFERROR(VLOOKUP(A53,'Centre DW1'!$A$7:$N$106,9,FALSE),0)+
IFERROR(VLOOKUP(A53,'Centre WP1'!$A$7:$N$106,9,FALSE),0)+
IFERROR(VLOOKUP(A53,'Centre WR1'!$A$7:$N$106,9,FALSE),0)+
IFERROR(VLOOKUP(A53,'Centre WV1'!$A$7:$N$107,9,FALSE),0)</f>
        <v>0.2</v>
      </c>
      <c r="J53" s="47">
        <f>IFERROR(VLOOKUP(A53,'Centre DW1'!$A$7:$N$106,10,FALSE),0)+
IFERROR(VLOOKUP(A53,'Centre WP1'!$A$7:$N$106,10,FALSE),0)+
IFERROR(VLOOKUP(A53,'Centre WR1'!$A$7:$N$106,10,FALSE),0)+
IFERROR(VLOOKUP(A53,'Centre WV1'!$A$7:$N$107,10,FALSE),0)</f>
        <v>0</v>
      </c>
      <c r="K53" s="47">
        <f>IFERROR(VLOOKUP(A53,'Centre DW1'!$A$7:$N$106,11,FALSE),0)+
IFERROR(VLOOKUP(A53,'Centre WP1'!$A$7:$N$106,11,FALSE),0)+
IFERROR(VLOOKUP(A53,'Centre WR1'!$A$7:$N$106,11,FALSE),0)+
IFERROR(VLOOKUP(A53,'Centre WV1'!$A$7:$N$107,11,FALSE),0)</f>
        <v>0</v>
      </c>
      <c r="L53" s="47">
        <f>IFERROR(VLOOKUP(A53,'Centre DW1'!$A$7:$N$106,12,FALSE),0)+
IFERROR(VLOOKUP(A53,'Centre WP1'!$A$7:$N$106,12,FALSE),0)+
IFERROR(VLOOKUP(A53,'Centre WR1'!$A$7:$N$106,12,FALSE),0)+
IFERROR(VLOOKUP(A53,'Centre WV1'!$A$7:$N$107,12,FALSE),0)</f>
        <v>0</v>
      </c>
      <c r="M53" s="47">
        <f>IFERROR(VLOOKUP(A53,'Centre DW1'!$A$7:$N$106,13,FALSE),0)+
IFERROR(VLOOKUP(A53,'Centre WP1'!$A$7:$N$106,13,FALSE),0)+
IFERROR(VLOOKUP(A53,'Centre WR1'!$A$7:$N$106,13,FALSE),0)+
IFERROR(VLOOKUP(A53,'Centre WV1'!$A$7:$N$107,13,FALSE),0)</f>
        <v>0</v>
      </c>
      <c r="N53" s="47">
        <f>IFERROR(VLOOKUP(A53,'Centre DW1'!$A$7:$N$106,14,FALSE),0)+
IFERROR(VLOOKUP(A53,'Centre WP1'!$A$7:$N$106,14,FALSE),0)+
IFERROR(VLOOKUP(A53,'Centre WR1'!$A$7:$N$106,14,FALSE),0)+
IFERROR(VLOOKUP(A53,'Centre WV1'!$A$7:$N$107,14,FALSE),0)</f>
        <v>0.2</v>
      </c>
    </row>
    <row r="54" spans="1:14" collapsed="1" x14ac:dyDescent="0.2">
      <c r="A54" s="33" t="s">
        <v>111</v>
      </c>
      <c r="B54" s="34" t="s">
        <v>112</v>
      </c>
      <c r="C54" s="46">
        <f t="shared" ref="C54:J54" si="14">SUM(C55:C57)</f>
        <v>0</v>
      </c>
      <c r="D54" s="46">
        <f t="shared" si="14"/>
        <v>0</v>
      </c>
      <c r="E54" s="46">
        <f t="shared" si="14"/>
        <v>0</v>
      </c>
      <c r="F54" s="46">
        <f t="shared" si="14"/>
        <v>0</v>
      </c>
      <c r="G54" s="46">
        <f t="shared" si="14"/>
        <v>0</v>
      </c>
      <c r="H54" s="46">
        <f t="shared" si="14"/>
        <v>0</v>
      </c>
      <c r="I54" s="46">
        <f t="shared" si="14"/>
        <v>0</v>
      </c>
      <c r="J54" s="46">
        <f t="shared" si="14"/>
        <v>0</v>
      </c>
      <c r="K54" s="46">
        <f t="shared" ref="K54:N54" si="15">SUM(K55:K57)</f>
        <v>0</v>
      </c>
      <c r="L54" s="46">
        <f t="shared" si="15"/>
        <v>0</v>
      </c>
      <c r="M54" s="46">
        <f t="shared" si="15"/>
        <v>0</v>
      </c>
      <c r="N54" s="46">
        <f t="shared" si="15"/>
        <v>0</v>
      </c>
    </row>
    <row r="55" spans="1:14" hidden="1" outlineLevel="1" x14ac:dyDescent="0.2">
      <c r="A55" s="9" t="s">
        <v>113</v>
      </c>
      <c r="B55" s="1" t="s">
        <v>114</v>
      </c>
      <c r="C55" s="10">
        <f>IFERROR(VLOOKUP(A55,'Centre DW1'!$A$7:$N$106,3,FALSE),0)+
IFERROR(VLOOKUP(A55,'Centre WP1'!$A$7:$N$106,3,FALSE),0)+
IFERROR(VLOOKUP(A55,'Centre WR1'!$A$7:$N$106,3,FALSE),0)+
IFERROR(VLOOKUP(A55,'Centre WV1'!$A$7:$N$107,3,FALSE),0)</f>
        <v>0</v>
      </c>
      <c r="D55" s="10">
        <f>IFERROR(VLOOKUP(A55,'Centre DW1'!$A$7:$N$106,4,FALSE),0)+
IFERROR(VLOOKUP(A55,'Centre WP1'!$A$7:$N$106,4,FALSE),0)+
IFERROR(VLOOKUP(A55,'Centre WR1'!$A$7:$N$106,4,FALSE),0)+
IFERROR(VLOOKUP(A55,'Centre WV1'!$A$7:$N$107,4,FALSE),0)</f>
        <v>0</v>
      </c>
      <c r="E55" s="10">
        <f>IFERROR(VLOOKUP(A55,'Centre DW1'!$A$7:$N$106,5,FALSE),0)+
IFERROR(VLOOKUP(A55,'Centre WP1'!$A$7:$N$106,5,FALSE),0)+
IFERROR(VLOOKUP(A55,'Centre WR1'!$A$7:$N$106,5,FALSE),0)+
IFERROR(VLOOKUP(A55,'Centre WV1'!$A$7:$N$107,5,FALSE),0)</f>
        <v>0</v>
      </c>
      <c r="F55" s="10">
        <f>IFERROR(VLOOKUP(A55,'Centre DW1'!$A$7:$N$106,6,FALSE),0)+
IFERROR(VLOOKUP(A55,'Centre WP1'!$A$7:$N$106,6,FALSE),0)+
IFERROR(VLOOKUP(A55,'Centre WR1'!$A$7:$N$106,6,FALSE),0)+
IFERROR(VLOOKUP(A55,'Centre WV1'!$A$7:$N$107,6,FALSE),0)</f>
        <v>0</v>
      </c>
      <c r="G55" s="10">
        <f>IFERROR(VLOOKUP(A55,'Centre DW1'!$A$7:$N$106,7,FALSE),0)+
IFERROR(VLOOKUP(A55,'Centre WP1'!$A$7:$N$106,7,FALSE),0)+
IFERROR(VLOOKUP(A55,'Centre WR1'!$A$7:$N$106,7,FALSE),0)+
IFERROR(VLOOKUP(A55,'Centre WV1'!$A$7:$N$107,7,FALSE),0)</f>
        <v>0</v>
      </c>
      <c r="H55" s="10">
        <f>IFERROR(VLOOKUP(A55,'Centre DW1'!$A$7:$N$106,8,FALSE),0)+
IFERROR(VLOOKUP(A55,'Centre WP1'!$A$7:$N$106,8,FALSE),0)+
IFERROR(VLOOKUP(A55,'Centre WR1'!$A$7:$N$106,8,FALSE),0)+
IFERROR(VLOOKUP(A55,'Centre WV1'!$A$7:$N$107,8,FALSE),0)</f>
        <v>0</v>
      </c>
      <c r="I55" s="10">
        <f>IFERROR(VLOOKUP(A55,'Centre DW1'!$A$7:$N$106,9,FALSE),0)+
IFERROR(VLOOKUP(A55,'Centre WP1'!$A$7:$N$106,9,FALSE),0)+
IFERROR(VLOOKUP(A55,'Centre WR1'!$A$7:$N$106,9,FALSE),0)+
IFERROR(VLOOKUP(A55,'Centre WV1'!$A$7:$N$107,9,FALSE),0)</f>
        <v>0</v>
      </c>
      <c r="J55" s="47">
        <f>IFERROR(VLOOKUP(A55,'Centre DW1'!$A$7:$N$106,10,FALSE),0)+
IFERROR(VLOOKUP(A55,'Centre WP1'!$A$7:$N$106,10,FALSE),0)+
IFERROR(VLOOKUP(A55,'Centre WR1'!$A$7:$N$106,10,FALSE),0)+
IFERROR(VLOOKUP(A55,'Centre WV1'!$A$7:$N$107,10,FALSE),0)</f>
        <v>0</v>
      </c>
      <c r="K55" s="47">
        <f>IFERROR(VLOOKUP(A55,'Centre DW1'!$A$7:$N$106,11,FALSE),0)+
IFERROR(VLOOKUP(A55,'Centre WP1'!$A$7:$N$106,11,FALSE),0)+
IFERROR(VLOOKUP(A55,'Centre WR1'!$A$7:$N$106,11,FALSE),0)+
IFERROR(VLOOKUP(A55,'Centre WV1'!$A$7:$N$107,11,FALSE),0)</f>
        <v>0</v>
      </c>
      <c r="L55" s="47">
        <f>IFERROR(VLOOKUP(A55,'Centre DW1'!$A$7:$N$106,12,FALSE),0)+
IFERROR(VLOOKUP(A55,'Centre WP1'!$A$7:$N$106,12,FALSE),0)+
IFERROR(VLOOKUP(A55,'Centre WR1'!$A$7:$N$106,12,FALSE),0)+
IFERROR(VLOOKUP(A55,'Centre WV1'!$A$7:$N$107,12,FALSE),0)</f>
        <v>0</v>
      </c>
      <c r="M55" s="47">
        <f>IFERROR(VLOOKUP(A55,'Centre DW1'!$A$7:$N$106,13,FALSE),0)+
IFERROR(VLOOKUP(A55,'Centre WP1'!$A$7:$N$106,13,FALSE),0)+
IFERROR(VLOOKUP(A55,'Centre WR1'!$A$7:$N$106,13,FALSE),0)+
IFERROR(VLOOKUP(A55,'Centre WV1'!$A$7:$N$107,13,FALSE),0)</f>
        <v>0</v>
      </c>
      <c r="N55" s="47">
        <f>IFERROR(VLOOKUP(A55,'Centre DW1'!$A$7:$N$106,14,FALSE),0)+
IFERROR(VLOOKUP(A55,'Centre WP1'!$A$7:$N$106,14,FALSE),0)+
IFERROR(VLOOKUP(A55,'Centre WR1'!$A$7:$N$106,14,FALSE),0)+
IFERROR(VLOOKUP(A55,'Centre WV1'!$A$7:$N$107,14,FALSE),0)</f>
        <v>0</v>
      </c>
    </row>
    <row r="56" spans="1:14" hidden="1" outlineLevel="1" x14ac:dyDescent="0.2">
      <c r="A56" s="9" t="s">
        <v>115</v>
      </c>
      <c r="B56" s="1" t="s">
        <v>116</v>
      </c>
      <c r="C56" s="10">
        <f>IFERROR(VLOOKUP(A56,'Centre DW1'!$A$7:$N$106,3,FALSE),0)+
IFERROR(VLOOKUP(A56,'Centre WP1'!$A$7:$N$106,3,FALSE),0)+
IFERROR(VLOOKUP(A56,'Centre WR1'!$A$7:$N$106,3,FALSE),0)+
IFERROR(VLOOKUP(A56,'Centre WV1'!$A$7:$N$107,3,FALSE),0)</f>
        <v>0</v>
      </c>
      <c r="D56" s="10">
        <f>IFERROR(VLOOKUP(A56,'Centre DW1'!$A$7:$N$106,4,FALSE),0)+
IFERROR(VLOOKUP(A56,'Centre WP1'!$A$7:$N$106,4,FALSE),0)+
IFERROR(VLOOKUP(A56,'Centre WR1'!$A$7:$N$106,4,FALSE),0)+
IFERROR(VLOOKUP(A56,'Centre WV1'!$A$7:$N$107,4,FALSE),0)</f>
        <v>0</v>
      </c>
      <c r="E56" s="10">
        <f>IFERROR(VLOOKUP(A56,'Centre DW1'!$A$7:$N$106,5,FALSE),0)+
IFERROR(VLOOKUP(A56,'Centre WP1'!$A$7:$N$106,5,FALSE),0)+
IFERROR(VLOOKUP(A56,'Centre WR1'!$A$7:$N$106,5,FALSE),0)+
IFERROR(VLOOKUP(A56,'Centre WV1'!$A$7:$N$107,5,FALSE),0)</f>
        <v>0</v>
      </c>
      <c r="F56" s="10">
        <f>IFERROR(VLOOKUP(A56,'Centre DW1'!$A$7:$N$106,6,FALSE),0)+
IFERROR(VLOOKUP(A56,'Centre WP1'!$A$7:$N$106,6,FALSE),0)+
IFERROR(VLOOKUP(A56,'Centre WR1'!$A$7:$N$106,6,FALSE),0)+
IFERROR(VLOOKUP(A56,'Centre WV1'!$A$7:$N$107,6,FALSE),0)</f>
        <v>0</v>
      </c>
      <c r="G56" s="10">
        <f>IFERROR(VLOOKUP(A56,'Centre DW1'!$A$7:$N$106,7,FALSE),0)+
IFERROR(VLOOKUP(A56,'Centre WP1'!$A$7:$N$106,7,FALSE),0)+
IFERROR(VLOOKUP(A56,'Centre WR1'!$A$7:$N$106,7,FALSE),0)+
IFERROR(VLOOKUP(A56,'Centre WV1'!$A$7:$N$107,7,FALSE),0)</f>
        <v>0</v>
      </c>
      <c r="H56" s="10">
        <f>IFERROR(VLOOKUP(A56,'Centre DW1'!$A$7:$N$106,8,FALSE),0)+
IFERROR(VLOOKUP(A56,'Centre WP1'!$A$7:$N$106,8,FALSE),0)+
IFERROR(VLOOKUP(A56,'Centre WR1'!$A$7:$N$106,8,FALSE),0)+
IFERROR(VLOOKUP(A56,'Centre WV1'!$A$7:$N$107,8,FALSE),0)</f>
        <v>0</v>
      </c>
      <c r="I56" s="10">
        <f>IFERROR(VLOOKUP(A56,'Centre DW1'!$A$7:$N$106,9,FALSE),0)+
IFERROR(VLOOKUP(A56,'Centre WP1'!$A$7:$N$106,9,FALSE),0)+
IFERROR(VLOOKUP(A56,'Centre WR1'!$A$7:$N$106,9,FALSE),0)+
IFERROR(VLOOKUP(A56,'Centre WV1'!$A$7:$N$107,9,FALSE),0)</f>
        <v>0</v>
      </c>
      <c r="J56" s="47">
        <f>IFERROR(VLOOKUP(A56,'Centre DW1'!$A$7:$N$106,10,FALSE),0)+
IFERROR(VLOOKUP(A56,'Centre WP1'!$A$7:$N$106,10,FALSE),0)+
IFERROR(VLOOKUP(A56,'Centre WR1'!$A$7:$N$106,10,FALSE),0)+
IFERROR(VLOOKUP(A56,'Centre WV1'!$A$7:$N$107,10,FALSE),0)</f>
        <v>0</v>
      </c>
      <c r="K56" s="47">
        <f>IFERROR(VLOOKUP(A56,'Centre DW1'!$A$7:$N$106,11,FALSE),0)+
IFERROR(VLOOKUP(A56,'Centre WP1'!$A$7:$N$106,11,FALSE),0)+
IFERROR(VLOOKUP(A56,'Centre WR1'!$A$7:$N$106,11,FALSE),0)+
IFERROR(VLOOKUP(A56,'Centre WV1'!$A$7:$N$107,11,FALSE),0)</f>
        <v>0</v>
      </c>
      <c r="L56" s="47">
        <f>IFERROR(VLOOKUP(A56,'Centre DW1'!$A$7:$N$106,12,FALSE),0)+
IFERROR(VLOOKUP(A56,'Centre WP1'!$A$7:$N$106,12,FALSE),0)+
IFERROR(VLOOKUP(A56,'Centre WR1'!$A$7:$N$106,12,FALSE),0)+
IFERROR(VLOOKUP(A56,'Centre WV1'!$A$7:$N$107,12,FALSE),0)</f>
        <v>0</v>
      </c>
      <c r="M56" s="47">
        <f>IFERROR(VLOOKUP(A56,'Centre DW1'!$A$7:$N$106,13,FALSE),0)+
IFERROR(VLOOKUP(A56,'Centre WP1'!$A$7:$N$106,13,FALSE),0)+
IFERROR(VLOOKUP(A56,'Centre WR1'!$A$7:$N$106,13,FALSE),0)+
IFERROR(VLOOKUP(A56,'Centre WV1'!$A$7:$N$107,13,FALSE),0)</f>
        <v>0</v>
      </c>
      <c r="N56" s="47">
        <f>IFERROR(VLOOKUP(A56,'Centre DW1'!$A$7:$N$106,14,FALSE),0)+
IFERROR(VLOOKUP(A56,'Centre WP1'!$A$7:$N$106,14,FALSE),0)+
IFERROR(VLOOKUP(A56,'Centre WR1'!$A$7:$N$106,14,FALSE),0)+
IFERROR(VLOOKUP(A56,'Centre WV1'!$A$7:$N$107,14,FALSE),0)</f>
        <v>0</v>
      </c>
    </row>
    <row r="57" spans="1:14" hidden="1" outlineLevel="1" x14ac:dyDescent="0.2">
      <c r="A57" s="9" t="s">
        <v>117</v>
      </c>
      <c r="B57" s="1" t="s">
        <v>118</v>
      </c>
      <c r="C57" s="10">
        <f>IFERROR(VLOOKUP(A57,'Centre DW1'!$A$7:$N$106,3,FALSE),0)+
IFERROR(VLOOKUP(A57,'Centre WP1'!$A$7:$N$106,3,FALSE),0)+
IFERROR(VLOOKUP(A57,'Centre WR1'!$A$7:$N$106,3,FALSE),0)+
IFERROR(VLOOKUP(A57,'Centre WV1'!$A$7:$N$107,3,FALSE),0)</f>
        <v>0</v>
      </c>
      <c r="D57" s="10">
        <f>IFERROR(VLOOKUP(A57,'Centre DW1'!$A$7:$N$106,4,FALSE),0)+
IFERROR(VLOOKUP(A57,'Centre WP1'!$A$7:$N$106,4,FALSE),0)+
IFERROR(VLOOKUP(A57,'Centre WR1'!$A$7:$N$106,4,FALSE),0)+
IFERROR(VLOOKUP(A57,'Centre WV1'!$A$7:$N$107,4,FALSE),0)</f>
        <v>0</v>
      </c>
      <c r="E57" s="10">
        <f>IFERROR(VLOOKUP(A57,'Centre DW1'!$A$7:$N$106,5,FALSE),0)+
IFERROR(VLOOKUP(A57,'Centre WP1'!$A$7:$N$106,5,FALSE),0)+
IFERROR(VLOOKUP(A57,'Centre WR1'!$A$7:$N$106,5,FALSE),0)+
IFERROR(VLOOKUP(A57,'Centre WV1'!$A$7:$N$107,5,FALSE),0)</f>
        <v>0</v>
      </c>
      <c r="F57" s="10">
        <f>IFERROR(VLOOKUP(A57,'Centre DW1'!$A$7:$N$106,6,FALSE),0)+
IFERROR(VLOOKUP(A57,'Centre WP1'!$A$7:$N$106,6,FALSE),0)+
IFERROR(VLOOKUP(A57,'Centre WR1'!$A$7:$N$106,6,FALSE),0)+
IFERROR(VLOOKUP(A57,'Centre WV1'!$A$7:$N$107,6,FALSE),0)</f>
        <v>0</v>
      </c>
      <c r="G57" s="10">
        <f>IFERROR(VLOOKUP(A57,'Centre DW1'!$A$7:$N$106,7,FALSE),0)+
IFERROR(VLOOKUP(A57,'Centre WP1'!$A$7:$N$106,7,FALSE),0)+
IFERROR(VLOOKUP(A57,'Centre WR1'!$A$7:$N$106,7,FALSE),0)+
IFERROR(VLOOKUP(A57,'Centre WV1'!$A$7:$N$107,7,FALSE),0)</f>
        <v>0</v>
      </c>
      <c r="H57" s="10">
        <f>IFERROR(VLOOKUP(A57,'Centre DW1'!$A$7:$N$106,8,FALSE),0)+
IFERROR(VLOOKUP(A57,'Centre WP1'!$A$7:$N$106,8,FALSE),0)+
IFERROR(VLOOKUP(A57,'Centre WR1'!$A$7:$N$106,8,FALSE),0)+
IFERROR(VLOOKUP(A57,'Centre WV1'!$A$7:$N$107,8,FALSE),0)</f>
        <v>0</v>
      </c>
      <c r="I57" s="10">
        <f>IFERROR(VLOOKUP(A57,'Centre DW1'!$A$7:$N$106,9,FALSE),0)+
IFERROR(VLOOKUP(A57,'Centre WP1'!$A$7:$N$106,9,FALSE),0)+
IFERROR(VLOOKUP(A57,'Centre WR1'!$A$7:$N$106,9,FALSE),0)+
IFERROR(VLOOKUP(A57,'Centre WV1'!$A$7:$N$107,9,FALSE),0)</f>
        <v>0</v>
      </c>
      <c r="J57" s="47">
        <f>IFERROR(VLOOKUP(A57,'Centre DW1'!$A$7:$N$106,10,FALSE),0)+
IFERROR(VLOOKUP(A57,'Centre WP1'!$A$7:$N$106,10,FALSE),0)+
IFERROR(VLOOKUP(A57,'Centre WR1'!$A$7:$N$106,10,FALSE),0)+
IFERROR(VLOOKUP(A57,'Centre WV1'!$A$7:$N$107,10,FALSE),0)</f>
        <v>0</v>
      </c>
      <c r="K57" s="47">
        <f>IFERROR(VLOOKUP(A57,'Centre DW1'!$A$7:$N$106,11,FALSE),0)+
IFERROR(VLOOKUP(A57,'Centre WP1'!$A$7:$N$106,11,FALSE),0)+
IFERROR(VLOOKUP(A57,'Centre WR1'!$A$7:$N$106,11,FALSE),0)+
IFERROR(VLOOKUP(A57,'Centre WV1'!$A$7:$N$107,11,FALSE),0)</f>
        <v>0</v>
      </c>
      <c r="L57" s="47">
        <f>IFERROR(VLOOKUP(A57,'Centre DW1'!$A$7:$N$106,12,FALSE),0)+
IFERROR(VLOOKUP(A57,'Centre WP1'!$A$7:$N$106,12,FALSE),0)+
IFERROR(VLOOKUP(A57,'Centre WR1'!$A$7:$N$106,12,FALSE),0)+
IFERROR(VLOOKUP(A57,'Centre WV1'!$A$7:$N$107,12,FALSE),0)</f>
        <v>0</v>
      </c>
      <c r="M57" s="47">
        <f>IFERROR(VLOOKUP(A57,'Centre DW1'!$A$7:$N$106,13,FALSE),0)+
IFERROR(VLOOKUP(A57,'Centre WP1'!$A$7:$N$106,13,FALSE),0)+
IFERROR(VLOOKUP(A57,'Centre WR1'!$A$7:$N$106,13,FALSE),0)+
IFERROR(VLOOKUP(A57,'Centre WV1'!$A$7:$N$107,13,FALSE),0)</f>
        <v>0</v>
      </c>
      <c r="N57" s="47">
        <f>IFERROR(VLOOKUP(A57,'Centre DW1'!$A$7:$N$106,14,FALSE),0)+
IFERROR(VLOOKUP(A57,'Centre WP1'!$A$7:$N$106,14,FALSE),0)+
IFERROR(VLOOKUP(A57,'Centre WR1'!$A$7:$N$106,14,FALSE),0)+
IFERROR(VLOOKUP(A57,'Centre WV1'!$A$7:$N$107,14,FALSE),0)</f>
        <v>0</v>
      </c>
    </row>
    <row r="58" spans="1:14" collapsed="1" x14ac:dyDescent="0.2">
      <c r="A58" s="33" t="s">
        <v>119</v>
      </c>
      <c r="B58" s="34" t="s">
        <v>120</v>
      </c>
      <c r="C58" s="46">
        <f t="shared" ref="C58:I58" si="16">SUM(C59:C61)</f>
        <v>0</v>
      </c>
      <c r="D58" s="46">
        <f t="shared" si="16"/>
        <v>0</v>
      </c>
      <c r="E58" s="46">
        <f t="shared" si="16"/>
        <v>0</v>
      </c>
      <c r="F58" s="46">
        <f t="shared" si="16"/>
        <v>0</v>
      </c>
      <c r="G58" s="46">
        <f t="shared" si="16"/>
        <v>0</v>
      </c>
      <c r="H58" s="46">
        <f t="shared" si="16"/>
        <v>0.1</v>
      </c>
      <c r="I58" s="46">
        <f t="shared" si="16"/>
        <v>0</v>
      </c>
      <c r="J58" s="46">
        <f ca="1">SUM(J59:J61)</f>
        <v>1</v>
      </c>
      <c r="K58" s="46">
        <f t="shared" ref="K58:N58" ca="1" si="17">SUM(K59:K61)</f>
        <v>1</v>
      </c>
      <c r="L58" s="46">
        <f t="shared" ca="1" si="17"/>
        <v>1</v>
      </c>
      <c r="M58" s="46">
        <f t="shared" ca="1" si="17"/>
        <v>1</v>
      </c>
      <c r="N58" s="46">
        <f t="shared" ca="1" si="17"/>
        <v>1</v>
      </c>
    </row>
    <row r="59" spans="1:14" hidden="1" outlineLevel="1" x14ac:dyDescent="0.2">
      <c r="A59" s="9" t="s">
        <v>121</v>
      </c>
      <c r="B59" s="1" t="s">
        <v>122</v>
      </c>
      <c r="C59" s="10">
        <f>IFERROR(VLOOKUP(A59,'Centre DW1'!$A$7:$N$106,3,FALSE),0)+
IFERROR(VLOOKUP(A59,'Centre WP1'!$A$7:$N$106,3,FALSE),0)+
IFERROR(VLOOKUP(A59,'Centre WR1'!$A$7:$N$106,3,FALSE),0)+
IFERROR(VLOOKUP(A59,'Centre WV1'!$A$7:$N$107,3,FALSE),0)</f>
        <v>0</v>
      </c>
      <c r="D59" s="10">
        <f>IFERROR(VLOOKUP(A59,'Centre DW1'!$A$7:$N$106,4,FALSE),0)+
IFERROR(VLOOKUP(A59,'Centre WP1'!$A$7:$N$106,4,FALSE),0)+
IFERROR(VLOOKUP(A59,'Centre WR1'!$A$7:$N$106,4,FALSE),0)+
IFERROR(VLOOKUP(A59,'Centre WV1'!$A$7:$N$107,4,FALSE),0)</f>
        <v>0</v>
      </c>
      <c r="E59" s="10">
        <f>IFERROR(VLOOKUP(A59,'Centre DW1'!$A$7:$N$106,5,FALSE),0)+
IFERROR(VLOOKUP(A59,'Centre WP1'!$A$7:$N$106,5,FALSE),0)+
IFERROR(VLOOKUP(A59,'Centre WR1'!$A$7:$N$106,5,FALSE),0)+
IFERROR(VLOOKUP(A59,'Centre WV1'!$A$7:$N$107,5,FALSE),0)</f>
        <v>0</v>
      </c>
      <c r="F59" s="10">
        <f>IFERROR(VLOOKUP(A59,'Centre DW1'!$A$7:$N$106,6,FALSE),0)+
IFERROR(VLOOKUP(A59,'Centre WP1'!$A$7:$N$106,6,FALSE),0)+
IFERROR(VLOOKUP(A59,'Centre WR1'!$A$7:$N$106,6,FALSE),0)+
IFERROR(VLOOKUP(A59,'Centre WV1'!$A$7:$N$107,6,FALSE),0)</f>
        <v>0</v>
      </c>
      <c r="G59" s="10">
        <f>IFERROR(VLOOKUP(A59,'Centre DW1'!$A$7:$N$106,7,FALSE),0)+
IFERROR(VLOOKUP(A59,'Centre WP1'!$A$7:$N$106,7,FALSE),0)+
IFERROR(VLOOKUP(A59,'Centre WR1'!$A$7:$N$106,7,FALSE),0)+
IFERROR(VLOOKUP(A59,'Centre WV1'!$A$7:$N$107,7,FALSE),0)</f>
        <v>0</v>
      </c>
      <c r="H59" s="10">
        <f>IFERROR(VLOOKUP(A59,'Centre DW1'!$A$7:$N$106,8,FALSE),0)+
IFERROR(VLOOKUP(A59,'Centre WP1'!$A$7:$N$106,8,FALSE),0)+
IFERROR(VLOOKUP(A59,'Centre WR1'!$A$7:$N$106,8,FALSE),0)+
IFERROR(VLOOKUP(A59,'Centre WV1'!$A$7:$N$107,8,FALSE),0)</f>
        <v>0</v>
      </c>
      <c r="I59" s="10">
        <f>IFERROR(VLOOKUP(A59,'Centre DW1'!$A$7:$N$106,9,FALSE),0)+
IFERROR(VLOOKUP(A59,'Centre WP1'!$A$7:$N$106,9,FALSE),0)+
IFERROR(VLOOKUP(A59,'Centre WR1'!$A$7:$N$106,9,FALSE),0)+
IFERROR(VLOOKUP(A59,'Centre WV1'!$A$7:$N$107,9,FALSE),0)</f>
        <v>0</v>
      </c>
      <c r="J59" s="47">
        <f>IFERROR(VLOOKUP(A59,'Centre DW1'!$A$7:$N$106,10,FALSE),0)+
IFERROR(VLOOKUP(A59,'Centre WP1'!$A$7:$N$106,10,FALSE),0)+
IFERROR(VLOOKUP(A59,'Centre WR1'!$A$7:$N$106,10,FALSE),0)+
IFERROR(VLOOKUP(A59,'Centre WV1'!$A$7:$N$107,10,FALSE),0)</f>
        <v>0</v>
      </c>
      <c r="K59" s="47">
        <f>IFERROR(VLOOKUP(A59,'Centre DW1'!$A$7:$N$106,11,FALSE),0)+
IFERROR(VLOOKUP(A59,'Centre WP1'!$A$7:$N$106,11,FALSE),0)+
IFERROR(VLOOKUP(A59,'Centre WR1'!$A$7:$N$106,11,FALSE),0)+
IFERROR(VLOOKUP(A59,'Centre WV1'!$A$7:$N$107,11,FALSE),0)</f>
        <v>0</v>
      </c>
      <c r="L59" s="47">
        <f>IFERROR(VLOOKUP(A59,'Centre DW1'!$A$7:$N$106,12,FALSE),0)+
IFERROR(VLOOKUP(A59,'Centre WP1'!$A$7:$N$106,12,FALSE),0)+
IFERROR(VLOOKUP(A59,'Centre WR1'!$A$7:$N$106,12,FALSE),0)+
IFERROR(VLOOKUP(A59,'Centre WV1'!$A$7:$N$107,12,FALSE),0)</f>
        <v>0</v>
      </c>
      <c r="M59" s="47">
        <f>IFERROR(VLOOKUP(A59,'Centre DW1'!$A$7:$N$106,13,FALSE),0)+
IFERROR(VLOOKUP(A59,'Centre WP1'!$A$7:$N$106,13,FALSE),0)+
IFERROR(VLOOKUP(A59,'Centre WR1'!$A$7:$N$106,13,FALSE),0)+
IFERROR(VLOOKUP(A59,'Centre WV1'!$A$7:$N$107,13,FALSE),0)</f>
        <v>0</v>
      </c>
      <c r="N59" s="47">
        <f>IFERROR(VLOOKUP(A59,'Centre DW1'!$A$7:$N$106,14,FALSE),0)+
IFERROR(VLOOKUP(A59,'Centre WP1'!$A$7:$N$106,14,FALSE),0)+
IFERROR(VLOOKUP(A59,'Centre WR1'!$A$7:$N$106,14,FALSE),0)+
IFERROR(VLOOKUP(A59,'Centre WV1'!$A$7:$N$107,14,FALSE),0)</f>
        <v>0</v>
      </c>
    </row>
    <row r="60" spans="1:14" hidden="1" outlineLevel="1" x14ac:dyDescent="0.2">
      <c r="A60" s="9" t="s">
        <v>123</v>
      </c>
      <c r="B60" s="1" t="s">
        <v>124</v>
      </c>
      <c r="C60" s="10">
        <f>IFERROR(VLOOKUP(A60,'Centre DW1'!$A$7:$N$106,3,FALSE),0)+
IFERROR(VLOOKUP(A60,'Centre WP1'!$A$7:$N$106,3,FALSE),0)+
IFERROR(VLOOKUP(A60,'Centre WR1'!$A$7:$N$106,3,FALSE),0)+
IFERROR(VLOOKUP(A60,'Centre WV1'!$A$7:$N$107,3,FALSE),0)</f>
        <v>0</v>
      </c>
      <c r="D60" s="10">
        <f>IFERROR(VLOOKUP(A60,'Centre DW1'!$A$7:$N$106,4,FALSE),0)+
IFERROR(VLOOKUP(A60,'Centre WP1'!$A$7:$N$106,4,FALSE),0)+
IFERROR(VLOOKUP(A60,'Centre WR1'!$A$7:$N$106,4,FALSE),0)+
IFERROR(VLOOKUP(A60,'Centre WV1'!$A$7:$N$107,4,FALSE),0)</f>
        <v>0</v>
      </c>
      <c r="E60" s="10">
        <f>IFERROR(VLOOKUP(A60,'Centre DW1'!$A$7:$N$106,5,FALSE),0)+
IFERROR(VLOOKUP(A60,'Centre WP1'!$A$7:$N$106,5,FALSE),0)+
IFERROR(VLOOKUP(A60,'Centre WR1'!$A$7:$N$106,5,FALSE),0)+
IFERROR(VLOOKUP(A60,'Centre WV1'!$A$7:$N$107,5,FALSE),0)</f>
        <v>0</v>
      </c>
      <c r="F60" s="10">
        <f>IFERROR(VLOOKUP(A60,'Centre DW1'!$A$7:$N$106,6,FALSE),0)+
IFERROR(VLOOKUP(A60,'Centre WP1'!$A$7:$N$106,6,FALSE),0)+
IFERROR(VLOOKUP(A60,'Centre WR1'!$A$7:$N$106,6,FALSE),0)+
IFERROR(VLOOKUP(A60,'Centre WV1'!$A$7:$N$107,6,FALSE),0)</f>
        <v>0</v>
      </c>
      <c r="G60" s="10">
        <f>IFERROR(VLOOKUP(A60,'Centre DW1'!$A$7:$N$106,7,FALSE),0)+
IFERROR(VLOOKUP(A60,'Centre WP1'!$A$7:$N$106,7,FALSE),0)+
IFERROR(VLOOKUP(A60,'Centre WR1'!$A$7:$N$106,7,FALSE),0)+
IFERROR(VLOOKUP(A60,'Centre WV1'!$A$7:$N$107,7,FALSE),0)</f>
        <v>0</v>
      </c>
      <c r="H60" s="10">
        <f>IFERROR(VLOOKUP(A60,'Centre DW1'!$A$7:$N$106,8,FALSE),0)+
IFERROR(VLOOKUP(A60,'Centre WP1'!$A$7:$N$106,8,FALSE),0)+
IFERROR(VLOOKUP(A60,'Centre WR1'!$A$7:$N$106,8,FALSE),0)+
IFERROR(VLOOKUP(A60,'Centre WV1'!$A$7:$N$107,8,FALSE),0)</f>
        <v>0.1</v>
      </c>
      <c r="I60" s="10">
        <f>IFERROR(VLOOKUP(A60,'Centre DW1'!$A$7:$N$106,9,FALSE),0)+
IFERROR(VLOOKUP(A60,'Centre WP1'!$A$7:$N$106,9,FALSE),0)+
IFERROR(VLOOKUP(A60,'Centre WR1'!$A$7:$N$106,9,FALSE),0)+
IFERROR(VLOOKUP(A60,'Centre WV1'!$A$7:$N$107,9,FALSE),0)</f>
        <v>0</v>
      </c>
      <c r="J60" s="47">
        <f ca="1">IFERROR(VLOOKUP(A60,'Centre DW1'!$A$7:$N$106,10,FALSE),0)+
IFERROR(VLOOKUP(A60,'Centre WP1'!$A$7:$N$106,10,FALSE),0)+
IFERROR(VLOOKUP(A60,'Centre WR1'!$A$7:$N$106,10,FALSE),0)+
IFERROR(VLOOKUP(A60,'Centre WV1'!$A$7:$N$107,10,FALSE),0)</f>
        <v>1</v>
      </c>
      <c r="K60" s="47">
        <f ca="1">IFERROR(VLOOKUP(A60,'Centre DW1'!$A$7:$N$106,11,FALSE),0)+
IFERROR(VLOOKUP(A60,'Centre WP1'!$A$7:$N$106,11,FALSE),0)+
IFERROR(VLOOKUP(A60,'Centre WR1'!$A$7:$N$106,11,FALSE),0)+
IFERROR(VLOOKUP(A60,'Centre WV1'!$A$7:$N$107,11,FALSE),0)</f>
        <v>1</v>
      </c>
      <c r="L60" s="47">
        <f ca="1">IFERROR(VLOOKUP(A60,'Centre DW1'!$A$7:$N$106,12,FALSE),0)+
IFERROR(VLOOKUP(A60,'Centre WP1'!$A$7:$N$106,12,FALSE),0)+
IFERROR(VLOOKUP(A60,'Centre WR1'!$A$7:$N$106,12,FALSE),0)+
IFERROR(VLOOKUP(A60,'Centre WV1'!$A$7:$N$107,12,FALSE),0)</f>
        <v>1</v>
      </c>
      <c r="M60" s="47">
        <f ca="1">IFERROR(VLOOKUP(A60,'Centre DW1'!$A$7:$N$106,13,FALSE),0)+
IFERROR(VLOOKUP(A60,'Centre WP1'!$A$7:$N$106,13,FALSE),0)+
IFERROR(VLOOKUP(A60,'Centre WR1'!$A$7:$N$106,13,FALSE),0)+
IFERROR(VLOOKUP(A60,'Centre WV1'!$A$7:$N$107,13,FALSE),0)</f>
        <v>1</v>
      </c>
      <c r="N60" s="47">
        <f ca="1">IFERROR(VLOOKUP(A60,'Centre DW1'!$A$7:$N$106,14,FALSE),0)+
IFERROR(VLOOKUP(A60,'Centre WP1'!$A$7:$N$106,14,FALSE),0)+
IFERROR(VLOOKUP(A60,'Centre WR1'!$A$7:$N$106,14,FALSE),0)+
IFERROR(VLOOKUP(A60,'Centre WV1'!$A$7:$N$107,14,FALSE),0)</f>
        <v>1</v>
      </c>
    </row>
    <row r="61" spans="1:14" hidden="1" outlineLevel="1" x14ac:dyDescent="0.2">
      <c r="A61" s="9" t="s">
        <v>125</v>
      </c>
      <c r="B61" s="1" t="s">
        <v>126</v>
      </c>
      <c r="C61" s="10">
        <f>IFERROR(VLOOKUP(A61,'Centre DW1'!$A$7:$N$106,3,FALSE),0)+
IFERROR(VLOOKUP(A61,'Centre WP1'!$A$7:$N$106,3,FALSE),0)+
IFERROR(VLOOKUP(A61,'Centre WR1'!$A$7:$N$106,3,FALSE),0)+
IFERROR(VLOOKUP(A61,'Centre WV1'!$A$7:$N$107,3,FALSE),0)</f>
        <v>0</v>
      </c>
      <c r="D61" s="10">
        <f>IFERROR(VLOOKUP(A61,'Centre DW1'!$A$7:$N$106,4,FALSE),0)+
IFERROR(VLOOKUP(A61,'Centre WP1'!$A$7:$N$106,4,FALSE),0)+
IFERROR(VLOOKUP(A61,'Centre WR1'!$A$7:$N$106,4,FALSE),0)+
IFERROR(VLOOKUP(A61,'Centre WV1'!$A$7:$N$107,4,FALSE),0)</f>
        <v>0</v>
      </c>
      <c r="E61" s="10">
        <f>IFERROR(VLOOKUP(A61,'Centre DW1'!$A$7:$N$106,5,FALSE),0)+
IFERROR(VLOOKUP(A61,'Centre WP1'!$A$7:$N$106,5,FALSE),0)+
IFERROR(VLOOKUP(A61,'Centre WR1'!$A$7:$N$106,5,FALSE),0)+
IFERROR(VLOOKUP(A61,'Centre WV1'!$A$7:$N$107,5,FALSE),0)</f>
        <v>0</v>
      </c>
      <c r="F61" s="10">
        <f>IFERROR(VLOOKUP(A61,'Centre DW1'!$A$7:$N$106,6,FALSE),0)+
IFERROR(VLOOKUP(A61,'Centre WP1'!$A$7:$N$106,6,FALSE),0)+
IFERROR(VLOOKUP(A61,'Centre WR1'!$A$7:$N$106,6,FALSE),0)+
IFERROR(VLOOKUP(A61,'Centre WV1'!$A$7:$N$107,6,FALSE),0)</f>
        <v>0</v>
      </c>
      <c r="G61" s="10">
        <f>IFERROR(VLOOKUP(A61,'Centre DW1'!$A$7:$N$106,7,FALSE),0)+
IFERROR(VLOOKUP(A61,'Centre WP1'!$A$7:$N$106,7,FALSE),0)+
IFERROR(VLOOKUP(A61,'Centre WR1'!$A$7:$N$106,7,FALSE),0)+
IFERROR(VLOOKUP(A61,'Centre WV1'!$A$7:$N$107,7,FALSE),0)</f>
        <v>0</v>
      </c>
      <c r="H61" s="10">
        <f>IFERROR(VLOOKUP(A61,'Centre DW1'!$A$7:$N$106,8,FALSE),0)+
IFERROR(VLOOKUP(A61,'Centre WP1'!$A$7:$N$106,8,FALSE),0)+
IFERROR(VLOOKUP(A61,'Centre WR1'!$A$7:$N$106,8,FALSE),0)+
IFERROR(VLOOKUP(A61,'Centre WV1'!$A$7:$N$107,8,FALSE),0)</f>
        <v>0</v>
      </c>
      <c r="I61" s="10">
        <f>IFERROR(VLOOKUP(A61,'Centre DW1'!$A$7:$N$106,9,FALSE),0)+
IFERROR(VLOOKUP(A61,'Centre WP1'!$A$7:$N$106,9,FALSE),0)+
IFERROR(VLOOKUP(A61,'Centre WR1'!$A$7:$N$106,9,FALSE),0)+
IFERROR(VLOOKUP(A61,'Centre WV1'!$A$7:$N$107,9,FALSE),0)</f>
        <v>0</v>
      </c>
      <c r="J61" s="47">
        <f>IFERROR(VLOOKUP(A61,'Centre DW1'!$A$7:$N$106,10,FALSE),0)+
IFERROR(VLOOKUP(A61,'Centre WP1'!$A$7:$N$106,10,FALSE),0)+
IFERROR(VLOOKUP(A61,'Centre WR1'!$A$7:$N$106,10,FALSE),0)+
IFERROR(VLOOKUP(A61,'Centre WV1'!$A$7:$N$107,10,FALSE),0)</f>
        <v>0</v>
      </c>
      <c r="K61" s="47">
        <f>IFERROR(VLOOKUP(A61,'Centre DW1'!$A$7:$N$106,11,FALSE),0)+
IFERROR(VLOOKUP(A61,'Centre WP1'!$A$7:$N$106,11,FALSE),0)+
IFERROR(VLOOKUP(A61,'Centre WR1'!$A$7:$N$106,11,FALSE),0)+
IFERROR(VLOOKUP(A61,'Centre WV1'!$A$7:$N$107,11,FALSE),0)</f>
        <v>0</v>
      </c>
      <c r="L61" s="47">
        <f>IFERROR(VLOOKUP(A61,'Centre DW1'!$A$7:$N$106,12,FALSE),0)+
IFERROR(VLOOKUP(A61,'Centre WP1'!$A$7:$N$106,12,FALSE),0)+
IFERROR(VLOOKUP(A61,'Centre WR1'!$A$7:$N$106,12,FALSE),0)+
IFERROR(VLOOKUP(A61,'Centre WV1'!$A$7:$N$107,12,FALSE),0)</f>
        <v>0</v>
      </c>
      <c r="M61" s="47">
        <f>IFERROR(VLOOKUP(A61,'Centre DW1'!$A$7:$N$106,13,FALSE),0)+
IFERROR(VLOOKUP(A61,'Centre WP1'!$A$7:$N$106,13,FALSE),0)+
IFERROR(VLOOKUP(A61,'Centre WR1'!$A$7:$N$106,13,FALSE),0)+
IFERROR(VLOOKUP(A61,'Centre WV1'!$A$7:$N$107,13,FALSE),0)</f>
        <v>0</v>
      </c>
      <c r="N61" s="47">
        <f>IFERROR(VLOOKUP(A61,'Centre DW1'!$A$7:$N$106,14,FALSE),0)+
IFERROR(VLOOKUP(A61,'Centre WP1'!$A$7:$N$106,14,FALSE),0)+
IFERROR(VLOOKUP(A61,'Centre WR1'!$A$7:$N$106,14,FALSE),0)+
IFERROR(VLOOKUP(A61,'Centre WV1'!$A$7:$N$107,14,FALSE),0)</f>
        <v>0</v>
      </c>
    </row>
    <row r="62" spans="1:14" collapsed="1" x14ac:dyDescent="0.2">
      <c r="A62" s="33" t="s">
        <v>127</v>
      </c>
      <c r="B62" s="34" t="s">
        <v>128</v>
      </c>
      <c r="C62" s="46">
        <f t="shared" ref="C62:I62" si="18">SUM(C63:C64)</f>
        <v>0</v>
      </c>
      <c r="D62" s="46">
        <f t="shared" si="18"/>
        <v>0</v>
      </c>
      <c r="E62" s="46">
        <f t="shared" si="18"/>
        <v>0</v>
      </c>
      <c r="F62" s="46">
        <f t="shared" si="18"/>
        <v>0</v>
      </c>
      <c r="G62" s="46">
        <f t="shared" si="18"/>
        <v>0</v>
      </c>
      <c r="H62" s="46">
        <f t="shared" si="18"/>
        <v>0</v>
      </c>
      <c r="I62" s="46">
        <f t="shared" si="18"/>
        <v>0</v>
      </c>
      <c r="J62" s="46">
        <f>SUM(J63:J64)</f>
        <v>0</v>
      </c>
      <c r="K62" s="46">
        <f t="shared" ref="K62:N62" si="19">SUM(K63:K64)</f>
        <v>0</v>
      </c>
      <c r="L62" s="46">
        <f t="shared" si="19"/>
        <v>0</v>
      </c>
      <c r="M62" s="46">
        <f t="shared" si="19"/>
        <v>0</v>
      </c>
      <c r="N62" s="46">
        <f t="shared" si="19"/>
        <v>0</v>
      </c>
    </row>
    <row r="63" spans="1:14" hidden="1" outlineLevel="1" x14ac:dyDescent="0.2">
      <c r="A63" s="9" t="s">
        <v>129</v>
      </c>
      <c r="B63" s="1" t="s">
        <v>130</v>
      </c>
      <c r="C63" s="10">
        <f>IFERROR(VLOOKUP(A63,'Centre DW1'!$A$7:$N$106,3,FALSE),0)+
IFERROR(VLOOKUP(A63,'Centre WP1'!$A$7:$N$106,3,FALSE),0)+
IFERROR(VLOOKUP(A63,'Centre WR1'!$A$7:$N$106,3,FALSE),0)+
IFERROR(VLOOKUP(A63,'Centre WV1'!$A$7:$N$107,3,FALSE),0)</f>
        <v>0</v>
      </c>
      <c r="D63" s="10">
        <f>IFERROR(VLOOKUP(A63,'Centre DW1'!$A$7:$N$106,4,FALSE),0)+
IFERROR(VLOOKUP(A63,'Centre WP1'!$A$7:$N$106,4,FALSE),0)+
IFERROR(VLOOKUP(A63,'Centre WR1'!$A$7:$N$106,4,FALSE),0)+
IFERROR(VLOOKUP(A63,'Centre WV1'!$A$7:$N$107,4,FALSE),0)</f>
        <v>0</v>
      </c>
      <c r="E63" s="10">
        <f>IFERROR(VLOOKUP(A63,'Centre DW1'!$A$7:$N$106,5,FALSE),0)+
IFERROR(VLOOKUP(A63,'Centre WP1'!$A$7:$N$106,5,FALSE),0)+
IFERROR(VLOOKUP(A63,'Centre WR1'!$A$7:$N$106,5,FALSE),0)+
IFERROR(VLOOKUP(A63,'Centre WV1'!$A$7:$N$107,5,FALSE),0)</f>
        <v>0</v>
      </c>
      <c r="F63" s="10">
        <f>IFERROR(VLOOKUP(A63,'Centre DW1'!$A$7:$N$106,6,FALSE),0)+
IFERROR(VLOOKUP(A63,'Centre WP1'!$A$7:$N$106,6,FALSE),0)+
IFERROR(VLOOKUP(A63,'Centre WR1'!$A$7:$N$106,6,FALSE),0)+
IFERROR(VLOOKUP(A63,'Centre WV1'!$A$7:$N$107,6,FALSE),0)</f>
        <v>0</v>
      </c>
      <c r="G63" s="10">
        <f>IFERROR(VLOOKUP(A63,'Centre DW1'!$A$7:$N$106,7,FALSE),0)+
IFERROR(VLOOKUP(A63,'Centre WP1'!$A$7:$N$106,7,FALSE),0)+
IFERROR(VLOOKUP(A63,'Centre WR1'!$A$7:$N$106,7,FALSE),0)+
IFERROR(VLOOKUP(A63,'Centre WV1'!$A$7:$N$107,7,FALSE),0)</f>
        <v>0</v>
      </c>
      <c r="H63" s="10">
        <f>IFERROR(VLOOKUP(A63,'Centre DW1'!$A$7:$N$106,8,FALSE),0)+
IFERROR(VLOOKUP(A63,'Centre WP1'!$A$7:$N$106,8,FALSE),0)+
IFERROR(VLOOKUP(A63,'Centre WR1'!$A$7:$N$106,8,FALSE),0)+
IFERROR(VLOOKUP(A63,'Centre WV1'!$A$7:$N$107,8,FALSE),0)</f>
        <v>0</v>
      </c>
      <c r="I63" s="10">
        <f>IFERROR(VLOOKUP(A63,'Centre DW1'!$A$7:$N$106,9,FALSE),0)+
IFERROR(VLOOKUP(A63,'Centre WP1'!$A$7:$N$106,9,FALSE),0)+
IFERROR(VLOOKUP(A63,'Centre WR1'!$A$7:$N$106,9,FALSE),0)+
IFERROR(VLOOKUP(A63,'Centre WV1'!$A$7:$N$107,9,FALSE),0)</f>
        <v>0</v>
      </c>
      <c r="J63" s="47">
        <f>IFERROR(VLOOKUP(A63,'Centre DW1'!$A$7:$N$106,10,FALSE),0)+
IFERROR(VLOOKUP(A63,'Centre WP1'!$A$7:$N$106,10,FALSE),0)+
IFERROR(VLOOKUP(A63,'Centre WR1'!$A$7:$N$106,10,FALSE),0)+
IFERROR(VLOOKUP(A63,'Centre WV1'!$A$7:$N$107,10,FALSE),0)</f>
        <v>0</v>
      </c>
      <c r="K63" s="47">
        <f>IFERROR(VLOOKUP(A63,'Centre DW1'!$A$7:$N$106,11,FALSE),0)+
IFERROR(VLOOKUP(A63,'Centre WP1'!$A$7:$N$106,11,FALSE),0)+
IFERROR(VLOOKUP(A63,'Centre WR1'!$A$7:$N$106,11,FALSE),0)+
IFERROR(VLOOKUP(A63,'Centre WV1'!$A$7:$N$107,11,FALSE),0)</f>
        <v>0</v>
      </c>
      <c r="L63" s="47">
        <f>IFERROR(VLOOKUP(A63,'Centre DW1'!$A$7:$N$106,12,FALSE),0)+
IFERROR(VLOOKUP(A63,'Centre WP1'!$A$7:$N$106,12,FALSE),0)+
IFERROR(VLOOKUP(A63,'Centre WR1'!$A$7:$N$106,12,FALSE),0)+
IFERROR(VLOOKUP(A63,'Centre WV1'!$A$7:$N$107,12,FALSE),0)</f>
        <v>0</v>
      </c>
      <c r="M63" s="47">
        <f>IFERROR(VLOOKUP(A63,'Centre DW1'!$A$7:$N$106,13,FALSE),0)+
IFERROR(VLOOKUP(A63,'Centre WP1'!$A$7:$N$106,13,FALSE),0)+
IFERROR(VLOOKUP(A63,'Centre WR1'!$A$7:$N$106,13,FALSE),0)+
IFERROR(VLOOKUP(A63,'Centre WV1'!$A$7:$N$107,13,FALSE),0)</f>
        <v>0</v>
      </c>
      <c r="N63" s="47">
        <f>IFERROR(VLOOKUP(A63,'Centre DW1'!$A$7:$N$106,14,FALSE),0)+
IFERROR(VLOOKUP(A63,'Centre WP1'!$A$7:$N$106,14,FALSE),0)+
IFERROR(VLOOKUP(A63,'Centre WR1'!$A$7:$N$106,14,FALSE),0)+
IFERROR(VLOOKUP(A63,'Centre WV1'!$A$7:$N$107,14,FALSE),0)</f>
        <v>0</v>
      </c>
    </row>
    <row r="64" spans="1:14" hidden="1" outlineLevel="1" x14ac:dyDescent="0.2">
      <c r="A64" s="9" t="s">
        <v>131</v>
      </c>
      <c r="B64" s="1" t="s">
        <v>132</v>
      </c>
      <c r="C64" s="10">
        <f>IFERROR(VLOOKUP(A64,'Centre DW1'!$A$7:$N$106,3,FALSE),0)+
IFERROR(VLOOKUP(A64,'Centre WP1'!$A$7:$N$106,3,FALSE),0)+
IFERROR(VLOOKUP(A64,'Centre WR1'!$A$7:$N$106,3,FALSE),0)+
IFERROR(VLOOKUP(A64,'Centre WV1'!$A$7:$N$107,3,FALSE),0)</f>
        <v>0</v>
      </c>
      <c r="D64" s="10">
        <f>IFERROR(VLOOKUP(A64,'Centre DW1'!$A$7:$N$106,4,FALSE),0)+
IFERROR(VLOOKUP(A64,'Centre WP1'!$A$7:$N$106,4,FALSE),0)+
IFERROR(VLOOKUP(A64,'Centre WR1'!$A$7:$N$106,4,FALSE),0)+
IFERROR(VLOOKUP(A64,'Centre WV1'!$A$7:$N$107,4,FALSE),0)</f>
        <v>0</v>
      </c>
      <c r="E64" s="10">
        <f>IFERROR(VLOOKUP(A64,'Centre DW1'!$A$7:$N$106,5,FALSE),0)+
IFERROR(VLOOKUP(A64,'Centre WP1'!$A$7:$N$106,5,FALSE),0)+
IFERROR(VLOOKUP(A64,'Centre WR1'!$A$7:$N$106,5,FALSE),0)+
IFERROR(VLOOKUP(A64,'Centre WV1'!$A$7:$N$107,5,FALSE),0)</f>
        <v>0</v>
      </c>
      <c r="F64" s="10">
        <f>IFERROR(VLOOKUP(A64,'Centre DW1'!$A$7:$N$106,6,FALSE),0)+
IFERROR(VLOOKUP(A64,'Centre WP1'!$A$7:$N$106,6,FALSE),0)+
IFERROR(VLOOKUP(A64,'Centre WR1'!$A$7:$N$106,6,FALSE),0)+
IFERROR(VLOOKUP(A64,'Centre WV1'!$A$7:$N$107,6,FALSE),0)</f>
        <v>0</v>
      </c>
      <c r="G64" s="10">
        <f>IFERROR(VLOOKUP(A64,'Centre DW1'!$A$7:$N$106,7,FALSE),0)+
IFERROR(VLOOKUP(A64,'Centre WP1'!$A$7:$N$106,7,FALSE),0)+
IFERROR(VLOOKUP(A64,'Centre WR1'!$A$7:$N$106,7,FALSE),0)+
IFERROR(VLOOKUP(A64,'Centre WV1'!$A$7:$N$107,7,FALSE),0)</f>
        <v>0</v>
      </c>
      <c r="H64" s="10">
        <f>IFERROR(VLOOKUP(A64,'Centre DW1'!$A$7:$N$106,8,FALSE),0)+
IFERROR(VLOOKUP(A64,'Centre WP1'!$A$7:$N$106,8,FALSE),0)+
IFERROR(VLOOKUP(A64,'Centre WR1'!$A$7:$N$106,8,FALSE),0)+
IFERROR(VLOOKUP(A64,'Centre WV1'!$A$7:$N$107,8,FALSE),0)</f>
        <v>0</v>
      </c>
      <c r="I64" s="10">
        <f>IFERROR(VLOOKUP(A64,'Centre DW1'!$A$7:$N$106,9,FALSE),0)+
IFERROR(VLOOKUP(A64,'Centre WP1'!$A$7:$N$106,9,FALSE),0)+
IFERROR(VLOOKUP(A64,'Centre WR1'!$A$7:$N$106,9,FALSE),0)+
IFERROR(VLOOKUP(A64,'Centre WV1'!$A$7:$N$107,9,FALSE),0)</f>
        <v>0</v>
      </c>
      <c r="J64" s="47">
        <f>IFERROR(VLOOKUP(A64,'Centre DW1'!$A$7:$N$106,10,FALSE),0)+
IFERROR(VLOOKUP(A64,'Centre WP1'!$A$7:$N$106,10,FALSE),0)+
IFERROR(VLOOKUP(A64,'Centre WR1'!$A$7:$N$106,10,FALSE),0)+
IFERROR(VLOOKUP(A64,'Centre WV1'!$A$7:$N$107,10,FALSE),0)</f>
        <v>0</v>
      </c>
      <c r="K64" s="47">
        <f>IFERROR(VLOOKUP(A64,'Centre DW1'!$A$7:$N$106,11,FALSE),0)+
IFERROR(VLOOKUP(A64,'Centre WP1'!$A$7:$N$106,11,FALSE),0)+
IFERROR(VLOOKUP(A64,'Centre WR1'!$A$7:$N$106,11,FALSE),0)+
IFERROR(VLOOKUP(A64,'Centre WV1'!$A$7:$N$107,11,FALSE),0)</f>
        <v>0</v>
      </c>
      <c r="L64" s="47">
        <f>IFERROR(VLOOKUP(A64,'Centre DW1'!$A$7:$N$106,12,FALSE),0)+
IFERROR(VLOOKUP(A64,'Centre WP1'!$A$7:$N$106,12,FALSE),0)+
IFERROR(VLOOKUP(A64,'Centre WR1'!$A$7:$N$106,12,FALSE),0)+
IFERROR(VLOOKUP(A64,'Centre WV1'!$A$7:$N$107,12,FALSE),0)</f>
        <v>0</v>
      </c>
      <c r="M64" s="47">
        <f>IFERROR(VLOOKUP(A64,'Centre DW1'!$A$7:$N$106,13,FALSE),0)+
IFERROR(VLOOKUP(A64,'Centre WP1'!$A$7:$N$106,13,FALSE),0)+
IFERROR(VLOOKUP(A64,'Centre WR1'!$A$7:$N$106,13,FALSE),0)+
IFERROR(VLOOKUP(A64,'Centre WV1'!$A$7:$N$107,13,FALSE),0)</f>
        <v>0</v>
      </c>
      <c r="N64" s="47">
        <f>IFERROR(VLOOKUP(A64,'Centre DW1'!$A$7:$N$106,14,FALSE),0)+
IFERROR(VLOOKUP(A64,'Centre WP1'!$A$7:$N$106,14,FALSE),0)+
IFERROR(VLOOKUP(A64,'Centre WR1'!$A$7:$N$106,14,FALSE),0)+
IFERROR(VLOOKUP(A64,'Centre WV1'!$A$7:$N$107,14,FALSE),0)</f>
        <v>0</v>
      </c>
    </row>
    <row r="65" spans="1:14" collapsed="1" x14ac:dyDescent="0.2">
      <c r="A65" s="33" t="s">
        <v>133</v>
      </c>
      <c r="B65" s="34" t="s">
        <v>134</v>
      </c>
      <c r="C65" s="46">
        <f t="shared" ref="C65:I65" si="20">+C66</f>
        <v>0</v>
      </c>
      <c r="D65" s="46">
        <f t="shared" si="20"/>
        <v>0</v>
      </c>
      <c r="E65" s="46">
        <f t="shared" si="20"/>
        <v>0</v>
      </c>
      <c r="F65" s="46">
        <f t="shared" si="20"/>
        <v>0</v>
      </c>
      <c r="G65" s="46">
        <f t="shared" si="20"/>
        <v>0</v>
      </c>
      <c r="H65" s="46">
        <f t="shared" si="20"/>
        <v>0</v>
      </c>
      <c r="I65" s="46">
        <f t="shared" si="20"/>
        <v>0</v>
      </c>
      <c r="J65" s="46">
        <f>+J66</f>
        <v>0</v>
      </c>
      <c r="K65" s="46">
        <f t="shared" ref="K65:N65" si="21">+K66</f>
        <v>0</v>
      </c>
      <c r="L65" s="46">
        <f t="shared" si="21"/>
        <v>0</v>
      </c>
      <c r="M65" s="46">
        <f t="shared" si="21"/>
        <v>0</v>
      </c>
      <c r="N65" s="46">
        <f t="shared" si="21"/>
        <v>0</v>
      </c>
    </row>
    <row r="66" spans="1:14" hidden="1" outlineLevel="1" x14ac:dyDescent="0.2">
      <c r="A66" s="9" t="s">
        <v>135</v>
      </c>
      <c r="B66" s="1" t="s">
        <v>136</v>
      </c>
      <c r="C66" s="10">
        <f>IFERROR(VLOOKUP(A66,'Centre DW1'!$A$7:$N$106,3,FALSE),0)+
IFERROR(VLOOKUP(A66,'Centre WP1'!$A$7:$N$106,3,FALSE),0)+
IFERROR(VLOOKUP(A66,'Centre WR1'!$A$7:$N$106,3,FALSE),0)+
IFERROR(VLOOKUP(A66,'Centre WV1'!$A$7:$N$107,3,FALSE),0)</f>
        <v>0</v>
      </c>
      <c r="D66" s="10">
        <f>IFERROR(VLOOKUP(A66,'Centre DW1'!$A$7:$N$106,4,FALSE),0)+
IFERROR(VLOOKUP(A66,'Centre WP1'!$A$7:$N$106,4,FALSE),0)+
IFERROR(VLOOKUP(A66,'Centre WR1'!$A$7:$N$106,4,FALSE),0)+
IFERROR(VLOOKUP(A66,'Centre WV1'!$A$7:$N$107,4,FALSE),0)</f>
        <v>0</v>
      </c>
      <c r="E66" s="10">
        <f>IFERROR(VLOOKUP(A66,'Centre DW1'!$A$7:$N$106,5,FALSE),0)+
IFERROR(VLOOKUP(A66,'Centre WP1'!$A$7:$N$106,5,FALSE),0)+
IFERROR(VLOOKUP(A66,'Centre WR1'!$A$7:$N$106,5,FALSE),0)+
IFERROR(VLOOKUP(A66,'Centre WV1'!$A$7:$N$107,5,FALSE),0)</f>
        <v>0</v>
      </c>
      <c r="F66" s="10">
        <f>IFERROR(VLOOKUP(A66,'Centre DW1'!$A$7:$N$106,6,FALSE),0)+
IFERROR(VLOOKUP(A66,'Centre WP1'!$A$7:$N$106,6,FALSE),0)+
IFERROR(VLOOKUP(A66,'Centre WR1'!$A$7:$N$106,6,FALSE),0)+
IFERROR(VLOOKUP(A66,'Centre WV1'!$A$7:$N$107,6,FALSE),0)</f>
        <v>0</v>
      </c>
      <c r="G66" s="10">
        <f>IFERROR(VLOOKUP(A66,'Centre DW1'!$A$7:$N$106,7,FALSE),0)+
IFERROR(VLOOKUP(A66,'Centre WP1'!$A$7:$N$106,7,FALSE),0)+
IFERROR(VLOOKUP(A66,'Centre WR1'!$A$7:$N$106,7,FALSE),0)+
IFERROR(VLOOKUP(A66,'Centre WV1'!$A$7:$N$107,7,FALSE),0)</f>
        <v>0</v>
      </c>
      <c r="H66" s="10">
        <f>IFERROR(VLOOKUP(A66,'Centre DW1'!$A$7:$N$106,8,FALSE),0)+
IFERROR(VLOOKUP(A66,'Centre WP1'!$A$7:$N$106,8,FALSE),0)+
IFERROR(VLOOKUP(A66,'Centre WR1'!$A$7:$N$106,8,FALSE),0)+
IFERROR(VLOOKUP(A66,'Centre WV1'!$A$7:$N$107,8,FALSE),0)</f>
        <v>0</v>
      </c>
      <c r="I66" s="10">
        <f>IFERROR(VLOOKUP(A66,'Centre DW1'!$A$7:$N$106,9,FALSE),0)+
IFERROR(VLOOKUP(A66,'Centre WP1'!$A$7:$N$106,9,FALSE),0)+
IFERROR(VLOOKUP(A66,'Centre WR1'!$A$7:$N$106,9,FALSE),0)+
IFERROR(VLOOKUP(A66,'Centre WV1'!$A$7:$N$107,9,FALSE),0)</f>
        <v>0</v>
      </c>
      <c r="J66" s="47">
        <f>IFERROR(VLOOKUP(A66,'Centre DW1'!$A$7:$N$106,10,FALSE),0)+
IFERROR(VLOOKUP(A66,'Centre WP1'!$A$7:$N$106,10,FALSE),0)+
IFERROR(VLOOKUP(A66,'Centre WR1'!$A$7:$N$106,10,FALSE),0)+
IFERROR(VLOOKUP(A66,'Centre WV1'!$A$7:$N$107,10,FALSE),0)</f>
        <v>0</v>
      </c>
      <c r="K66" s="47">
        <f>IFERROR(VLOOKUP(A66,'Centre DW1'!$A$7:$N$106,11,FALSE),0)+
IFERROR(VLOOKUP(A66,'Centre WP1'!$A$7:$N$106,11,FALSE),0)+
IFERROR(VLOOKUP(A66,'Centre WR1'!$A$7:$N$106,11,FALSE),0)+
IFERROR(VLOOKUP(A66,'Centre WV1'!$A$7:$N$107,11,FALSE),0)</f>
        <v>0</v>
      </c>
      <c r="L66" s="47">
        <f>IFERROR(VLOOKUP(A66,'Centre DW1'!$A$7:$N$106,12,FALSE),0)+
IFERROR(VLOOKUP(A66,'Centre WP1'!$A$7:$N$106,12,FALSE),0)+
IFERROR(VLOOKUP(A66,'Centre WR1'!$A$7:$N$106,12,FALSE),0)+
IFERROR(VLOOKUP(A66,'Centre WV1'!$A$7:$N$107,12,FALSE),0)</f>
        <v>0</v>
      </c>
      <c r="M66" s="47">
        <f>IFERROR(VLOOKUP(A66,'Centre DW1'!$A$7:$N$106,13,FALSE),0)+
IFERROR(VLOOKUP(A66,'Centre WP1'!$A$7:$N$106,13,FALSE),0)+
IFERROR(VLOOKUP(A66,'Centre WR1'!$A$7:$N$106,13,FALSE),0)+
IFERROR(VLOOKUP(A66,'Centre WV1'!$A$7:$N$107,13,FALSE),0)</f>
        <v>0</v>
      </c>
      <c r="N66" s="47">
        <f>IFERROR(VLOOKUP(A66,'Centre DW1'!$A$7:$N$106,14,FALSE),0)+
IFERROR(VLOOKUP(A66,'Centre WP1'!$A$7:$N$106,14,FALSE),0)+
IFERROR(VLOOKUP(A66,'Centre WR1'!$A$7:$N$106,14,FALSE),0)+
IFERROR(VLOOKUP(A66,'Centre WV1'!$A$7:$N$107,14,FALSE),0)</f>
        <v>0</v>
      </c>
    </row>
    <row r="67" spans="1:14" collapsed="1" x14ac:dyDescent="0.2">
      <c r="A67" s="33" t="s">
        <v>137</v>
      </c>
      <c r="B67" s="34" t="s">
        <v>138</v>
      </c>
      <c r="C67" s="44">
        <f>IFERROR(VLOOKUP(A67,'Centre DW1'!$A$7:$N$106,3,FALSE),0)+
IFERROR(VLOOKUP(A67,'Centre WP1'!$A$7:$N$106,3,FALSE),0)+
IFERROR(VLOOKUP(A67,'Centre WR1'!$A$7:$N$106,3,FALSE),0)+
IFERROR(VLOOKUP(A67,'Centre WV1'!$A$7:$N$107,3,FALSE),0)</f>
        <v>0</v>
      </c>
      <c r="D67" s="44">
        <f>IFERROR(VLOOKUP(A67,'Centre DW1'!$A$7:$N$106,4,FALSE),0)+
IFERROR(VLOOKUP(A67,'Centre WP1'!$A$7:$N$106,4,FALSE),0)+
IFERROR(VLOOKUP(A67,'Centre WR1'!$A$7:$N$106,4,FALSE),0)+
IFERROR(VLOOKUP(A67,'Centre WV1'!$A$7:$N$107,4,FALSE),0)</f>
        <v>0</v>
      </c>
      <c r="E67" s="44">
        <f>IFERROR(VLOOKUP(A67,'Centre DW1'!$A$7:$N$106,5,FALSE),0)+
IFERROR(VLOOKUP(A67,'Centre WP1'!$A$7:$N$106,5,FALSE),0)+
IFERROR(VLOOKUP(A67,'Centre WR1'!$A$7:$N$106,5,FALSE),0)+
IFERROR(VLOOKUP(A67,'Centre WV1'!$A$7:$N$107,5,FALSE),0)</f>
        <v>0</v>
      </c>
      <c r="F67" s="44">
        <f>IFERROR(VLOOKUP(A67,'Centre DW1'!$A$7:$N$106,6,FALSE),0)+
IFERROR(VLOOKUP(A67,'Centre WP1'!$A$7:$N$106,6,FALSE),0)+
IFERROR(VLOOKUP(A67,'Centre WR1'!$A$7:$N$106,6,FALSE),0)+
IFERROR(VLOOKUP(A67,'Centre WV1'!$A$7:$N$107,6,FALSE),0)</f>
        <v>0</v>
      </c>
      <c r="G67" s="44">
        <f>IFERROR(VLOOKUP(A67,'Centre DW1'!$A$7:$N$106,7,FALSE),0)+
IFERROR(VLOOKUP(A67,'Centre WP1'!$A$7:$N$106,7,FALSE),0)+
IFERROR(VLOOKUP(A67,'Centre WR1'!$A$7:$N$106,7,FALSE),0)+
IFERROR(VLOOKUP(A67,'Centre WV1'!$A$7:$N$107,7,FALSE),0)</f>
        <v>0</v>
      </c>
      <c r="H67" s="44">
        <f>IFERROR(VLOOKUP(A67,'Centre DW1'!$A$7:$N$106,8,FALSE),0)+
IFERROR(VLOOKUP(A67,'Centre WP1'!$A$7:$N$106,8,FALSE),0)+
IFERROR(VLOOKUP(A67,'Centre WR1'!$A$7:$N$106,8,FALSE),0)+
IFERROR(VLOOKUP(A67,'Centre WV1'!$A$7:$N$107,8,FALSE),0)</f>
        <v>0</v>
      </c>
      <c r="I67" s="44">
        <f>IFERROR(VLOOKUP(A67,'Centre DW1'!$A$7:$N$106,9,FALSE),0)+
IFERROR(VLOOKUP(A67,'Centre WP1'!$A$7:$N$106,9,FALSE),0)+
IFERROR(VLOOKUP(A67,'Centre WR1'!$A$7:$N$106,9,FALSE),0)+
IFERROR(VLOOKUP(A67,'Centre WV1'!$A$7:$N$107,9,FALSE),0)</f>
        <v>0</v>
      </c>
      <c r="J67" s="46">
        <f>IFERROR(VLOOKUP(A67,'Centre DW1'!$A$7:$N$106,10,FALSE),0)+
IFERROR(VLOOKUP(A67,'Centre WP1'!$A$7:$N$106,10,FALSE),0)+
IFERROR(VLOOKUP(A67,'Centre WR1'!$A$7:$N$106,10,FALSE),0)+
IFERROR(VLOOKUP(A67,'Centre WV1'!$A$7:$N$107,10,FALSE),0)</f>
        <v>0</v>
      </c>
      <c r="K67" s="46">
        <f>IFERROR(VLOOKUP(A67,'Centre DW1'!$A$7:$N$106,11,FALSE),0)+
IFERROR(VLOOKUP(A67,'Centre WP1'!$A$7:$N$106,11,FALSE),0)+
IFERROR(VLOOKUP(A67,'Centre WR1'!$A$7:$N$106,11,FALSE),0)+
IFERROR(VLOOKUP(A67,'Centre WV1'!$A$7:$N$107,11,FALSE),0)</f>
        <v>0</v>
      </c>
      <c r="L67" s="46">
        <f>IFERROR(VLOOKUP(A67,'Centre DW1'!$A$7:$N$106,12,FALSE),0)+
IFERROR(VLOOKUP(A67,'Centre WP1'!$A$7:$N$106,12,FALSE),0)+
IFERROR(VLOOKUP(A67,'Centre WR1'!$A$7:$N$106,12,FALSE),0)+
IFERROR(VLOOKUP(A67,'Centre WV1'!$A$7:$N$107,12,FALSE),0)</f>
        <v>0</v>
      </c>
      <c r="M67" s="46">
        <f>IFERROR(VLOOKUP(A67,'Centre DW1'!$A$7:$N$106,13,FALSE),0)+
IFERROR(VLOOKUP(A67,'Centre WP1'!$A$7:$N$106,13,FALSE),0)+
IFERROR(VLOOKUP(A67,'Centre WR1'!$A$7:$N$106,13,FALSE),0)+
IFERROR(VLOOKUP(A67,'Centre WV1'!$A$7:$N$107,13,FALSE),0)</f>
        <v>0</v>
      </c>
      <c r="N67" s="46">
        <f>IFERROR(VLOOKUP(A67,'Centre DW1'!$A$7:$N$106,14,FALSE),0)+
IFERROR(VLOOKUP(A67,'Centre WP1'!$A$7:$N$106,14,FALSE),0)+
IFERROR(VLOOKUP(A67,'Centre WR1'!$A$7:$N$106,14,FALSE),0)+
IFERROR(VLOOKUP(A67,'Centre WV1'!$A$7:$N$107,14,FALSE),0)</f>
        <v>0</v>
      </c>
    </row>
    <row r="68" spans="1:14" x14ac:dyDescent="0.2">
      <c r="A68" s="33" t="s">
        <v>139</v>
      </c>
      <c r="B68" s="34" t="s">
        <v>140</v>
      </c>
      <c r="C68" s="44">
        <f>IFERROR(VLOOKUP(A68,'Centre DW1'!$A$7:$N$106,3,FALSE),0)+
IFERROR(VLOOKUP(A68,'Centre WP1'!$A$7:$N$106,3,FALSE),0)+
IFERROR(VLOOKUP(A68,'Centre WR1'!$A$7:$N$106,3,FALSE),0)+
IFERROR(VLOOKUP(A68,'Centre WV1'!$A$7:$N$107,3,FALSE),0)</f>
        <v>0</v>
      </c>
      <c r="D68" s="44">
        <f>IFERROR(VLOOKUP(A68,'Centre DW1'!$A$7:$N$106,4,FALSE),0)+
IFERROR(VLOOKUP(A68,'Centre WP1'!$A$7:$N$106,4,FALSE),0)+
IFERROR(VLOOKUP(A68,'Centre WR1'!$A$7:$N$106,4,FALSE),0)+
IFERROR(VLOOKUP(A68,'Centre WV1'!$A$7:$N$107,4,FALSE),0)</f>
        <v>0</v>
      </c>
      <c r="E68" s="44">
        <f>IFERROR(VLOOKUP(A68,'Centre DW1'!$A$7:$N$106,5,FALSE),0)+
IFERROR(VLOOKUP(A68,'Centre WP1'!$A$7:$N$106,5,FALSE),0)+
IFERROR(VLOOKUP(A68,'Centre WR1'!$A$7:$N$106,5,FALSE),0)+
IFERROR(VLOOKUP(A68,'Centre WV1'!$A$7:$N$107,5,FALSE),0)</f>
        <v>0</v>
      </c>
      <c r="F68" s="44">
        <f>IFERROR(VLOOKUP(A68,'Centre DW1'!$A$7:$N$106,6,FALSE),0)+
IFERROR(VLOOKUP(A68,'Centre WP1'!$A$7:$N$106,6,FALSE),0)+
IFERROR(VLOOKUP(A68,'Centre WR1'!$A$7:$N$106,6,FALSE),0)+
IFERROR(VLOOKUP(A68,'Centre WV1'!$A$7:$N$107,6,FALSE),0)</f>
        <v>0</v>
      </c>
      <c r="G68" s="44">
        <f>IFERROR(VLOOKUP(A68,'Centre DW1'!$A$7:$N$106,7,FALSE),0)+
IFERROR(VLOOKUP(A68,'Centre WP1'!$A$7:$N$106,7,FALSE),0)+
IFERROR(VLOOKUP(A68,'Centre WR1'!$A$7:$N$106,7,FALSE),0)+
IFERROR(VLOOKUP(A68,'Centre WV1'!$A$7:$N$107,7,FALSE),0)</f>
        <v>0</v>
      </c>
      <c r="H68" s="44">
        <f>IFERROR(VLOOKUP(A68,'Centre DW1'!$A$7:$N$106,8,FALSE),0)+
IFERROR(VLOOKUP(A68,'Centre WP1'!$A$7:$N$106,8,FALSE),0)+
IFERROR(VLOOKUP(A68,'Centre WR1'!$A$7:$N$106,8,FALSE),0)+
IFERROR(VLOOKUP(A68,'Centre WV1'!$A$7:$N$107,8,FALSE),0)</f>
        <v>0</v>
      </c>
      <c r="I68" s="44">
        <f>IFERROR(VLOOKUP(A68,'Centre DW1'!$A$7:$N$106,9,FALSE),0)+
IFERROR(VLOOKUP(A68,'Centre WP1'!$A$7:$N$106,9,FALSE),0)+
IFERROR(VLOOKUP(A68,'Centre WR1'!$A$7:$N$106,9,FALSE),0)+
IFERROR(VLOOKUP(A68,'Centre WV1'!$A$7:$N$107,9,FALSE),0)</f>
        <v>0</v>
      </c>
      <c r="J68" s="46">
        <f>IFERROR(VLOOKUP(A68,'Centre DW1'!$A$7:$N$106,10,FALSE),0)+
IFERROR(VLOOKUP(A68,'Centre WP1'!$A$7:$N$106,10,FALSE),0)+
IFERROR(VLOOKUP(A68,'Centre WR1'!$A$7:$N$106,10,FALSE),0)+
IFERROR(VLOOKUP(A68,'Centre WV1'!$A$7:$N$107,10,FALSE),0)</f>
        <v>0</v>
      </c>
      <c r="K68" s="46">
        <f>IFERROR(VLOOKUP(A68,'Centre DW1'!$A$7:$N$106,11,FALSE),0)+
IFERROR(VLOOKUP(A68,'Centre WP1'!$A$7:$N$106,11,FALSE),0)+
IFERROR(VLOOKUP(A68,'Centre WR1'!$A$7:$N$106,11,FALSE),0)+
IFERROR(VLOOKUP(A68,'Centre WV1'!$A$7:$N$107,11,FALSE),0)</f>
        <v>0</v>
      </c>
      <c r="L68" s="46">
        <f>IFERROR(VLOOKUP(A68,'Centre DW1'!$A$7:$N$106,12,FALSE),0)+
IFERROR(VLOOKUP(A68,'Centre WP1'!$A$7:$N$106,12,FALSE),0)+
IFERROR(VLOOKUP(A68,'Centre WR1'!$A$7:$N$106,12,FALSE),0)+
IFERROR(VLOOKUP(A68,'Centre WV1'!$A$7:$N$107,12,FALSE),0)</f>
        <v>0</v>
      </c>
      <c r="M68" s="46">
        <f>IFERROR(VLOOKUP(A68,'Centre DW1'!$A$7:$N$106,13,FALSE),0)+
IFERROR(VLOOKUP(A68,'Centre WP1'!$A$7:$N$106,13,FALSE),0)+
IFERROR(VLOOKUP(A68,'Centre WR1'!$A$7:$N$106,13,FALSE),0)+
IFERROR(VLOOKUP(A68,'Centre WV1'!$A$7:$N$107,13,FALSE),0)</f>
        <v>0</v>
      </c>
      <c r="N68" s="46">
        <f>IFERROR(VLOOKUP(A68,'Centre DW1'!$A$7:$N$106,14,FALSE),0)+
IFERROR(VLOOKUP(A68,'Centre WP1'!$A$7:$N$106,14,FALSE),0)+
IFERROR(VLOOKUP(A68,'Centre WR1'!$A$7:$N$106,14,FALSE),0)+
IFERROR(VLOOKUP(A68,'Centre WV1'!$A$7:$N$107,14,FALSE),0)</f>
        <v>0</v>
      </c>
    </row>
    <row r="69" spans="1:14" x14ac:dyDescent="0.2">
      <c r="A69" s="33" t="s">
        <v>141</v>
      </c>
      <c r="B69" s="34" t="s">
        <v>142</v>
      </c>
      <c r="C69" s="44">
        <f>IFERROR(VLOOKUP(A69,'Centre DW1'!$A$7:$N$106,3,FALSE),0)+
IFERROR(VLOOKUP(A69,'Centre WP1'!$A$7:$N$106,3,FALSE),0)+
IFERROR(VLOOKUP(A69,'Centre WR1'!$A$7:$N$106,3,FALSE),0)+
IFERROR(VLOOKUP(A69,'Centre WV1'!$A$7:$N$107,3,FALSE),0)</f>
        <v>0</v>
      </c>
      <c r="D69" s="44">
        <f>IFERROR(VLOOKUP(A69,'Centre DW1'!$A$7:$N$106,4,FALSE),0)+
IFERROR(VLOOKUP(A69,'Centre WP1'!$A$7:$N$106,4,FALSE),0)+
IFERROR(VLOOKUP(A69,'Centre WR1'!$A$7:$N$106,4,FALSE),0)+
IFERROR(VLOOKUP(A69,'Centre WV1'!$A$7:$N$107,4,FALSE),0)</f>
        <v>0</v>
      </c>
      <c r="E69" s="44">
        <f>IFERROR(VLOOKUP(A69,'Centre DW1'!$A$7:$N$106,5,FALSE),0)+
IFERROR(VLOOKUP(A69,'Centre WP1'!$A$7:$N$106,5,FALSE),0)+
IFERROR(VLOOKUP(A69,'Centre WR1'!$A$7:$N$106,5,FALSE),0)+
IFERROR(VLOOKUP(A69,'Centre WV1'!$A$7:$N$107,5,FALSE),0)</f>
        <v>0</v>
      </c>
      <c r="F69" s="44">
        <f>IFERROR(VLOOKUP(A69,'Centre DW1'!$A$7:$N$106,6,FALSE),0)+
IFERROR(VLOOKUP(A69,'Centre WP1'!$A$7:$N$106,6,FALSE),0)+
IFERROR(VLOOKUP(A69,'Centre WR1'!$A$7:$N$106,6,FALSE),0)+
IFERROR(VLOOKUP(A69,'Centre WV1'!$A$7:$N$107,6,FALSE),0)</f>
        <v>0</v>
      </c>
      <c r="G69" s="44">
        <f>IFERROR(VLOOKUP(A69,'Centre DW1'!$A$7:$N$106,7,FALSE),0)+
IFERROR(VLOOKUP(A69,'Centre WP1'!$A$7:$N$106,7,FALSE),0)+
IFERROR(VLOOKUP(A69,'Centre WR1'!$A$7:$N$106,7,FALSE),0)+
IFERROR(VLOOKUP(A69,'Centre WV1'!$A$7:$N$107,7,FALSE),0)</f>
        <v>0</v>
      </c>
      <c r="H69" s="44">
        <f>IFERROR(VLOOKUP(A69,'Centre DW1'!$A$7:$N$106,8,FALSE),0)+
IFERROR(VLOOKUP(A69,'Centre WP1'!$A$7:$N$106,8,FALSE),0)+
IFERROR(VLOOKUP(A69,'Centre WR1'!$A$7:$N$106,8,FALSE),0)+
IFERROR(VLOOKUP(A69,'Centre WV1'!$A$7:$N$107,8,FALSE),0)</f>
        <v>0</v>
      </c>
      <c r="I69" s="44">
        <f>IFERROR(VLOOKUP(A69,'Centre DW1'!$A$7:$N$106,9,FALSE),0)+
IFERROR(VLOOKUP(A69,'Centre WP1'!$A$7:$N$106,9,FALSE),0)+
IFERROR(VLOOKUP(A69,'Centre WR1'!$A$7:$N$106,9,FALSE),0)+
IFERROR(VLOOKUP(A69,'Centre WV1'!$A$7:$N$107,9,FALSE),0)</f>
        <v>0</v>
      </c>
      <c r="J69" s="46">
        <f>IFERROR(VLOOKUP(A69,'Centre DW1'!$A$7:$N$106,10,FALSE),0)+
IFERROR(VLOOKUP(A69,'Centre WP1'!$A$7:$N$106,10,FALSE),0)+
IFERROR(VLOOKUP(A69,'Centre WR1'!$A$7:$N$106,10,FALSE),0)+
IFERROR(VLOOKUP(A69,'Centre WV1'!$A$7:$N$107,10,FALSE),0)</f>
        <v>0</v>
      </c>
      <c r="K69" s="46">
        <f>IFERROR(VLOOKUP(A69,'Centre DW1'!$A$7:$N$106,11,FALSE),0)+
IFERROR(VLOOKUP(A69,'Centre WP1'!$A$7:$N$106,11,FALSE),0)+
IFERROR(VLOOKUP(A69,'Centre WR1'!$A$7:$N$106,11,FALSE),0)+
IFERROR(VLOOKUP(A69,'Centre WV1'!$A$7:$N$107,11,FALSE),0)</f>
        <v>0</v>
      </c>
      <c r="L69" s="46">
        <f>IFERROR(VLOOKUP(A69,'Centre DW1'!$A$7:$N$106,12,FALSE),0)+
IFERROR(VLOOKUP(A69,'Centre WP1'!$A$7:$N$106,12,FALSE),0)+
IFERROR(VLOOKUP(A69,'Centre WR1'!$A$7:$N$106,12,FALSE),0)+
IFERROR(VLOOKUP(A69,'Centre WV1'!$A$7:$N$107,12,FALSE),0)</f>
        <v>0</v>
      </c>
      <c r="M69" s="46">
        <f>IFERROR(VLOOKUP(A69,'Centre DW1'!$A$7:$N$106,13,FALSE),0)+
IFERROR(VLOOKUP(A69,'Centre WP1'!$A$7:$N$106,13,FALSE),0)+
IFERROR(VLOOKUP(A69,'Centre WR1'!$A$7:$N$106,13,FALSE),0)+
IFERROR(VLOOKUP(A69,'Centre WV1'!$A$7:$N$107,13,FALSE),0)</f>
        <v>0</v>
      </c>
      <c r="N69" s="46">
        <f>IFERROR(VLOOKUP(A69,'Centre DW1'!$A$7:$N$106,14,FALSE),0)+
IFERROR(VLOOKUP(A69,'Centre WP1'!$A$7:$N$106,14,FALSE),0)+
IFERROR(VLOOKUP(A69,'Centre WR1'!$A$7:$N$106,14,FALSE),0)+
IFERROR(VLOOKUP(A69,'Centre WV1'!$A$7:$N$107,14,FALSE),0)</f>
        <v>0</v>
      </c>
    </row>
    <row r="70" spans="1:14" x14ac:dyDescent="0.2">
      <c r="A70" s="33" t="s">
        <v>143</v>
      </c>
      <c r="B70" s="34" t="s">
        <v>144</v>
      </c>
      <c r="C70" s="46">
        <f t="shared" ref="C70:I70" si="22">SUM(C71:C76)</f>
        <v>1.7</v>
      </c>
      <c r="D70" s="46">
        <f t="shared" si="22"/>
        <v>1</v>
      </c>
      <c r="E70" s="46">
        <f t="shared" si="22"/>
        <v>4.3</v>
      </c>
      <c r="F70" s="46">
        <f t="shared" si="22"/>
        <v>1</v>
      </c>
      <c r="G70" s="46">
        <f t="shared" si="22"/>
        <v>1.8</v>
      </c>
      <c r="H70" s="46">
        <f t="shared" si="22"/>
        <v>0.8</v>
      </c>
      <c r="I70" s="46">
        <f t="shared" si="22"/>
        <v>0.6</v>
      </c>
      <c r="J70" s="46">
        <f ca="1">SUM(J71:J76)</f>
        <v>1</v>
      </c>
      <c r="K70" s="46">
        <f t="shared" ref="K70:N70" ca="1" si="23">SUM(K71:K76)</f>
        <v>4.3</v>
      </c>
      <c r="L70" s="46">
        <f t="shared" ca="1" si="23"/>
        <v>3.2</v>
      </c>
      <c r="M70" s="46">
        <f t="shared" ca="1" si="23"/>
        <v>4.4000000000000004</v>
      </c>
      <c r="N70" s="46">
        <f t="shared" ca="1" si="23"/>
        <v>1</v>
      </c>
    </row>
    <row r="71" spans="1:14" hidden="1" outlineLevel="1" x14ac:dyDescent="0.2">
      <c r="A71" s="9" t="s">
        <v>145</v>
      </c>
      <c r="B71" s="1" t="s">
        <v>146</v>
      </c>
      <c r="C71" s="10">
        <f>IFERROR(VLOOKUP(A71,'Centre DW1'!$A$7:$N$106,3,FALSE),0)+
IFERROR(VLOOKUP(A71,'Centre WP1'!$A$7:$N$106,3,FALSE),0)+
IFERROR(VLOOKUP(A71,'Centre WR1'!$A$7:$N$106,3,FALSE),0)+
IFERROR(VLOOKUP(A71,'Centre WV1'!$A$7:$N$107,3,FALSE),0)</f>
        <v>1</v>
      </c>
      <c r="D71" s="10">
        <f>IFERROR(VLOOKUP(A71,'Centre DW1'!$A$7:$N$106,4,FALSE),0)+
IFERROR(VLOOKUP(A71,'Centre WP1'!$A$7:$N$106,4,FALSE),0)+
IFERROR(VLOOKUP(A71,'Centre WR1'!$A$7:$N$106,4,FALSE),0)+
IFERROR(VLOOKUP(A71,'Centre WV1'!$A$7:$N$107,4,FALSE),0)</f>
        <v>1</v>
      </c>
      <c r="E71" s="10">
        <f>IFERROR(VLOOKUP(A71,'Centre DW1'!$A$7:$N$106,5,FALSE),0)+
IFERROR(VLOOKUP(A71,'Centre WP1'!$A$7:$N$106,5,FALSE),0)+
IFERROR(VLOOKUP(A71,'Centre WR1'!$A$7:$N$106,5,FALSE),0)+
IFERROR(VLOOKUP(A71,'Centre WV1'!$A$7:$N$107,5,FALSE),0)</f>
        <v>1</v>
      </c>
      <c r="F71" s="10">
        <f>IFERROR(VLOOKUP(A71,'Centre DW1'!$A$7:$N$106,6,FALSE),0)+
IFERROR(VLOOKUP(A71,'Centre WP1'!$A$7:$N$106,6,FALSE),0)+
IFERROR(VLOOKUP(A71,'Centre WR1'!$A$7:$N$106,6,FALSE),0)+
IFERROR(VLOOKUP(A71,'Centre WV1'!$A$7:$N$107,6,FALSE),0)</f>
        <v>1</v>
      </c>
      <c r="G71" s="10">
        <f>IFERROR(VLOOKUP(A71,'Centre DW1'!$A$7:$N$106,7,FALSE),0)+
IFERROR(VLOOKUP(A71,'Centre WP1'!$A$7:$N$106,7,FALSE),0)+
IFERROR(VLOOKUP(A71,'Centre WR1'!$A$7:$N$106,7,FALSE),0)+
IFERROR(VLOOKUP(A71,'Centre WV1'!$A$7:$N$107,7,FALSE),0)</f>
        <v>1.8</v>
      </c>
      <c r="H71" s="10">
        <f>IFERROR(VLOOKUP(A71,'Centre DW1'!$A$7:$N$106,8,FALSE),0)+
IFERROR(VLOOKUP(A71,'Centre WP1'!$A$7:$N$106,8,FALSE),0)+
IFERROR(VLOOKUP(A71,'Centre WR1'!$A$7:$N$106,8,FALSE),0)+
IFERROR(VLOOKUP(A71,'Centre WV1'!$A$7:$N$107,8,FALSE),0)</f>
        <v>0.8</v>
      </c>
      <c r="I71" s="10">
        <f>IFERROR(VLOOKUP(A71,'Centre DW1'!$A$7:$N$106,9,FALSE),0)+
IFERROR(VLOOKUP(A71,'Centre WP1'!$A$7:$N$106,9,FALSE),0)+
IFERROR(VLOOKUP(A71,'Centre WR1'!$A$7:$N$106,9,FALSE),0)+
IFERROR(VLOOKUP(A71,'Centre WV1'!$A$7:$N$107,9,FALSE),0)</f>
        <v>0.6</v>
      </c>
      <c r="J71" s="47">
        <f ca="1">IFERROR(VLOOKUP(A71,'Centre DW1'!$A$7:$N$106,10,FALSE),0)+
IFERROR(VLOOKUP(A71,'Centre WP1'!$A$7:$N$106,10,FALSE),0)+
IFERROR(VLOOKUP(A71,'Centre WR1'!$A$7:$N$106,10,FALSE),0)+
IFERROR(VLOOKUP(A71,'Centre WV1'!$A$7:$N$107,10,FALSE),0)</f>
        <v>1</v>
      </c>
      <c r="K71" s="47">
        <f ca="1">IFERROR(VLOOKUP(A71,'Centre DW1'!$A$7:$N$106,11,FALSE),0)+
IFERROR(VLOOKUP(A71,'Centre WP1'!$A$7:$N$106,11,FALSE),0)+
IFERROR(VLOOKUP(A71,'Centre WR1'!$A$7:$N$106,11,FALSE),0)+
IFERROR(VLOOKUP(A71,'Centre WV1'!$A$7:$N$107,11,FALSE),0)</f>
        <v>1</v>
      </c>
      <c r="L71" s="47">
        <f ca="1">IFERROR(VLOOKUP(A71,'Centre DW1'!$A$7:$N$106,12,FALSE),0)+
IFERROR(VLOOKUP(A71,'Centre WP1'!$A$7:$N$106,12,FALSE),0)+
IFERROR(VLOOKUP(A71,'Centre WR1'!$A$7:$N$106,12,FALSE),0)+
IFERROR(VLOOKUP(A71,'Centre WV1'!$A$7:$N$107,12,FALSE),0)</f>
        <v>1</v>
      </c>
      <c r="M71" s="47">
        <f ca="1">IFERROR(VLOOKUP(A71,'Centre DW1'!$A$7:$N$106,13,FALSE),0)+
IFERROR(VLOOKUP(A71,'Centre WP1'!$A$7:$N$106,13,FALSE),0)+
IFERROR(VLOOKUP(A71,'Centre WR1'!$A$7:$N$106,13,FALSE),0)+
IFERROR(VLOOKUP(A71,'Centre WV1'!$A$7:$N$107,13,FALSE),0)</f>
        <v>1</v>
      </c>
      <c r="N71" s="47">
        <f ca="1">IFERROR(VLOOKUP(A71,'Centre DW1'!$A$7:$N$106,14,FALSE),0)+
IFERROR(VLOOKUP(A71,'Centre WP1'!$A$7:$N$106,14,FALSE),0)+
IFERROR(VLOOKUP(A71,'Centre WR1'!$A$7:$N$106,14,FALSE),0)+
IFERROR(VLOOKUP(A71,'Centre WV1'!$A$7:$N$107,14,FALSE),0)</f>
        <v>1</v>
      </c>
    </row>
    <row r="72" spans="1:14" hidden="1" outlineLevel="1" x14ac:dyDescent="0.2">
      <c r="A72" s="9" t="s">
        <v>147</v>
      </c>
      <c r="B72" s="1" t="s">
        <v>148</v>
      </c>
      <c r="C72" s="10">
        <f>IFERROR(VLOOKUP(A72,'Centre DW1'!$A$7:$N$106,3,FALSE),0)+
IFERROR(VLOOKUP(A72,'Centre WP1'!$A$7:$N$106,3,FALSE),0)+
IFERROR(VLOOKUP(A72,'Centre WR1'!$A$7:$N$106,3,FALSE),0)+
IFERROR(VLOOKUP(A72,'Centre WV1'!$A$7:$N$107,3,FALSE),0)</f>
        <v>0</v>
      </c>
      <c r="D72" s="10">
        <f>IFERROR(VLOOKUP(A72,'Centre DW1'!$A$7:$N$106,4,FALSE),0)+
IFERROR(VLOOKUP(A72,'Centre WP1'!$A$7:$N$106,4,FALSE),0)+
IFERROR(VLOOKUP(A72,'Centre WR1'!$A$7:$N$106,4,FALSE),0)+
IFERROR(VLOOKUP(A72,'Centre WV1'!$A$7:$N$107,4,FALSE),0)</f>
        <v>0</v>
      </c>
      <c r="E72" s="10">
        <f>IFERROR(VLOOKUP(A72,'Centre DW1'!$A$7:$N$106,5,FALSE),0)+
IFERROR(VLOOKUP(A72,'Centre WP1'!$A$7:$N$106,5,FALSE),0)+
IFERROR(VLOOKUP(A72,'Centre WR1'!$A$7:$N$106,5,FALSE),0)+
IFERROR(VLOOKUP(A72,'Centre WV1'!$A$7:$N$107,5,FALSE),0)</f>
        <v>0</v>
      </c>
      <c r="F72" s="10">
        <f>IFERROR(VLOOKUP(A72,'Centre DW1'!$A$7:$N$106,6,FALSE),0)+
IFERROR(VLOOKUP(A72,'Centre WP1'!$A$7:$N$106,6,FALSE),0)+
IFERROR(VLOOKUP(A72,'Centre WR1'!$A$7:$N$106,6,FALSE),0)+
IFERROR(VLOOKUP(A72,'Centre WV1'!$A$7:$N$107,6,FALSE),0)</f>
        <v>0</v>
      </c>
      <c r="G72" s="10">
        <f>IFERROR(VLOOKUP(A72,'Centre DW1'!$A$7:$N$106,7,FALSE),0)+
IFERROR(VLOOKUP(A72,'Centre WP1'!$A$7:$N$106,7,FALSE),0)+
IFERROR(VLOOKUP(A72,'Centre WR1'!$A$7:$N$106,7,FALSE),0)+
IFERROR(VLOOKUP(A72,'Centre WV1'!$A$7:$N$107,7,FALSE),0)</f>
        <v>0</v>
      </c>
      <c r="H72" s="10">
        <f>IFERROR(VLOOKUP(A72,'Centre DW1'!$A$7:$N$106,8,FALSE),0)+
IFERROR(VLOOKUP(A72,'Centre WP1'!$A$7:$N$106,8,FALSE),0)+
IFERROR(VLOOKUP(A72,'Centre WR1'!$A$7:$N$106,8,FALSE),0)+
IFERROR(VLOOKUP(A72,'Centre WV1'!$A$7:$N$107,8,FALSE),0)</f>
        <v>0</v>
      </c>
      <c r="I72" s="10">
        <f>IFERROR(VLOOKUP(A72,'Centre DW1'!$A$7:$N$106,9,FALSE),0)+
IFERROR(VLOOKUP(A72,'Centre WP1'!$A$7:$N$106,9,FALSE),0)+
IFERROR(VLOOKUP(A72,'Centre WR1'!$A$7:$N$106,9,FALSE),0)+
IFERROR(VLOOKUP(A72,'Centre WV1'!$A$7:$N$107,9,FALSE),0)</f>
        <v>0</v>
      </c>
      <c r="J72" s="47">
        <f>IFERROR(VLOOKUP(A72,'Centre DW1'!$A$7:$N$106,10,FALSE),0)+
IFERROR(VLOOKUP(A72,'Centre WP1'!$A$7:$N$106,10,FALSE),0)+
IFERROR(VLOOKUP(A72,'Centre WR1'!$A$7:$N$106,10,FALSE),0)+
IFERROR(VLOOKUP(A72,'Centre WV1'!$A$7:$N$107,10,FALSE),0)</f>
        <v>0</v>
      </c>
      <c r="K72" s="47">
        <f>IFERROR(VLOOKUP(A72,'Centre DW1'!$A$7:$N$106,11,FALSE),0)+
IFERROR(VLOOKUP(A72,'Centre WP1'!$A$7:$N$106,11,FALSE),0)+
IFERROR(VLOOKUP(A72,'Centre WR1'!$A$7:$N$106,11,FALSE),0)+
IFERROR(VLOOKUP(A72,'Centre WV1'!$A$7:$N$107,11,FALSE),0)</f>
        <v>0</v>
      </c>
      <c r="L72" s="47">
        <f>IFERROR(VLOOKUP(A72,'Centre DW1'!$A$7:$N$106,12,FALSE),0)+
IFERROR(VLOOKUP(A72,'Centre WP1'!$A$7:$N$106,12,FALSE),0)+
IFERROR(VLOOKUP(A72,'Centre WR1'!$A$7:$N$106,12,FALSE),0)+
IFERROR(VLOOKUP(A72,'Centre WV1'!$A$7:$N$107,12,FALSE),0)</f>
        <v>0</v>
      </c>
      <c r="M72" s="47">
        <f>IFERROR(VLOOKUP(A72,'Centre DW1'!$A$7:$N$106,13,FALSE),0)+
IFERROR(VLOOKUP(A72,'Centre WP1'!$A$7:$N$106,13,FALSE),0)+
IFERROR(VLOOKUP(A72,'Centre WR1'!$A$7:$N$106,13,FALSE),0)+
IFERROR(VLOOKUP(A72,'Centre WV1'!$A$7:$N$107,13,FALSE),0)</f>
        <v>0</v>
      </c>
      <c r="N72" s="47">
        <f>IFERROR(VLOOKUP(A72,'Centre DW1'!$A$7:$N$106,14,FALSE),0)+
IFERROR(VLOOKUP(A72,'Centre WP1'!$A$7:$N$106,14,FALSE),0)+
IFERROR(VLOOKUP(A72,'Centre WR1'!$A$7:$N$106,14,FALSE),0)+
IFERROR(VLOOKUP(A72,'Centre WV1'!$A$7:$N$107,14,FALSE),0)</f>
        <v>0</v>
      </c>
    </row>
    <row r="73" spans="1:14" hidden="1" outlineLevel="1" x14ac:dyDescent="0.2">
      <c r="A73" s="9" t="s">
        <v>149</v>
      </c>
      <c r="B73" s="1" t="s">
        <v>150</v>
      </c>
      <c r="C73" s="10">
        <f>IFERROR(VLOOKUP(A73,'Centre DW1'!$A$7:$N$106,3,FALSE),0)+
IFERROR(VLOOKUP(A73,'Centre WP1'!$A$7:$N$106,3,FALSE),0)+
IFERROR(VLOOKUP(A73,'Centre WR1'!$A$7:$N$106,3,FALSE),0)+
IFERROR(VLOOKUP(A73,'Centre WV1'!$A$7:$N$107,3,FALSE),0)</f>
        <v>0</v>
      </c>
      <c r="D73" s="10">
        <f>IFERROR(VLOOKUP(A73,'Centre DW1'!$A$7:$N$106,4,FALSE),0)+
IFERROR(VLOOKUP(A73,'Centre WP1'!$A$7:$N$106,4,FALSE),0)+
IFERROR(VLOOKUP(A73,'Centre WR1'!$A$7:$N$106,4,FALSE),0)+
IFERROR(VLOOKUP(A73,'Centre WV1'!$A$7:$N$107,4,FALSE),0)</f>
        <v>0</v>
      </c>
      <c r="E73" s="10">
        <f>IFERROR(VLOOKUP(A73,'Centre DW1'!$A$7:$N$106,5,FALSE),0)+
IFERROR(VLOOKUP(A73,'Centre WP1'!$A$7:$N$106,5,FALSE),0)+
IFERROR(VLOOKUP(A73,'Centre WR1'!$A$7:$N$106,5,FALSE),0)+
IFERROR(VLOOKUP(A73,'Centre WV1'!$A$7:$N$107,5,FALSE),0)</f>
        <v>3.3</v>
      </c>
      <c r="F73" s="10">
        <f>IFERROR(VLOOKUP(A73,'Centre DW1'!$A$7:$N$106,6,FALSE),0)+
IFERROR(VLOOKUP(A73,'Centre WP1'!$A$7:$N$106,6,FALSE),0)+
IFERROR(VLOOKUP(A73,'Centre WR1'!$A$7:$N$106,6,FALSE),0)+
IFERROR(VLOOKUP(A73,'Centre WV1'!$A$7:$N$107,6,FALSE),0)</f>
        <v>0</v>
      </c>
      <c r="G73" s="10">
        <f>IFERROR(VLOOKUP(A73,'Centre DW1'!$A$7:$N$106,7,FALSE),0)+
IFERROR(VLOOKUP(A73,'Centre WP1'!$A$7:$N$106,7,FALSE),0)+
IFERROR(VLOOKUP(A73,'Centre WR1'!$A$7:$N$106,7,FALSE),0)+
IFERROR(VLOOKUP(A73,'Centre WV1'!$A$7:$N$107,7,FALSE),0)</f>
        <v>0</v>
      </c>
      <c r="H73" s="10">
        <f>IFERROR(VLOOKUP(A73,'Centre DW1'!$A$7:$N$106,8,FALSE),0)+
IFERROR(VLOOKUP(A73,'Centre WP1'!$A$7:$N$106,8,FALSE),0)+
IFERROR(VLOOKUP(A73,'Centre WR1'!$A$7:$N$106,8,FALSE),0)+
IFERROR(VLOOKUP(A73,'Centre WV1'!$A$7:$N$107,8,FALSE),0)</f>
        <v>0</v>
      </c>
      <c r="I73" s="10">
        <f>IFERROR(VLOOKUP(A73,'Centre DW1'!$A$7:$N$106,9,FALSE),0)+
IFERROR(VLOOKUP(A73,'Centre WP1'!$A$7:$N$106,9,FALSE),0)+
IFERROR(VLOOKUP(A73,'Centre WR1'!$A$7:$N$106,9,FALSE),0)+
IFERROR(VLOOKUP(A73,'Centre WV1'!$A$7:$N$107,9,FALSE),0)</f>
        <v>0</v>
      </c>
      <c r="J73" s="47">
        <f>IFERROR(VLOOKUP(A73,'Centre DW1'!$A$7:$N$106,10,FALSE),0)+
IFERROR(VLOOKUP(A73,'Centre WP1'!$A$7:$N$106,10,FALSE),0)+
IFERROR(VLOOKUP(A73,'Centre WR1'!$A$7:$N$106,10,FALSE),0)+
IFERROR(VLOOKUP(A73,'Centre WV1'!$A$7:$N$107,10,FALSE),0)</f>
        <v>0</v>
      </c>
      <c r="K73" s="47">
        <f>IFERROR(VLOOKUP(A73,'Centre DW1'!$A$7:$N$106,11,FALSE),0)+
IFERROR(VLOOKUP(A73,'Centre WP1'!$A$7:$N$106,11,FALSE),0)+
IFERROR(VLOOKUP(A73,'Centre WR1'!$A$7:$N$106,11,FALSE),0)+
IFERROR(VLOOKUP(A73,'Centre WV1'!$A$7:$N$107,11,FALSE),0)</f>
        <v>3.3</v>
      </c>
      <c r="L73" s="47">
        <f>IFERROR(VLOOKUP(A73,'Centre DW1'!$A$7:$N$106,12,FALSE),0)+
IFERROR(VLOOKUP(A73,'Centre WP1'!$A$7:$N$106,12,FALSE),0)+
IFERROR(VLOOKUP(A73,'Centre WR1'!$A$7:$N$106,12,FALSE),0)+
IFERROR(VLOOKUP(A73,'Centre WV1'!$A$7:$N$107,12,FALSE),0)</f>
        <v>2.2000000000000002</v>
      </c>
      <c r="M73" s="47">
        <f>IFERROR(VLOOKUP(A73,'Centre DW1'!$A$7:$N$106,13,FALSE),0)+
IFERROR(VLOOKUP(A73,'Centre WP1'!$A$7:$N$106,13,FALSE),0)+
IFERROR(VLOOKUP(A73,'Centre WR1'!$A$7:$N$106,13,FALSE),0)+
IFERROR(VLOOKUP(A73,'Centre WV1'!$A$7:$N$107,13,FALSE),0)</f>
        <v>3.4</v>
      </c>
      <c r="N73" s="47">
        <f>IFERROR(VLOOKUP(A73,'Centre DW1'!$A$7:$N$106,14,FALSE),0)+
IFERROR(VLOOKUP(A73,'Centre WP1'!$A$7:$N$106,14,FALSE),0)+
IFERROR(VLOOKUP(A73,'Centre WR1'!$A$7:$N$106,14,FALSE),0)+
IFERROR(VLOOKUP(A73,'Centre WV1'!$A$7:$N$107,14,FALSE),0)</f>
        <v>0</v>
      </c>
    </row>
    <row r="74" spans="1:14" hidden="1" outlineLevel="1" x14ac:dyDescent="0.2">
      <c r="A74" s="9" t="s">
        <v>151</v>
      </c>
      <c r="B74" s="1" t="s">
        <v>152</v>
      </c>
      <c r="C74" s="10">
        <f>IFERROR(VLOOKUP(A74,'Centre DW1'!$A$7:$N$106,3,FALSE),0)+
IFERROR(VLOOKUP(A74,'Centre WP1'!$A$7:$N$106,3,FALSE),0)+
IFERROR(VLOOKUP(A74,'Centre WR1'!$A$7:$N$106,3,FALSE),0)+
IFERROR(VLOOKUP(A74,'Centre WV1'!$A$7:$N$107,3,FALSE),0)</f>
        <v>0</v>
      </c>
      <c r="D74" s="10">
        <f>IFERROR(VLOOKUP(A74,'Centre DW1'!$A$7:$N$106,4,FALSE),0)+
IFERROR(VLOOKUP(A74,'Centre WP1'!$A$7:$N$106,4,FALSE),0)+
IFERROR(VLOOKUP(A74,'Centre WR1'!$A$7:$N$106,4,FALSE),0)+
IFERROR(VLOOKUP(A74,'Centre WV1'!$A$7:$N$107,4,FALSE),0)</f>
        <v>0</v>
      </c>
      <c r="E74" s="10">
        <f>IFERROR(VLOOKUP(A74,'Centre DW1'!$A$7:$N$106,5,FALSE),0)+
IFERROR(VLOOKUP(A74,'Centre WP1'!$A$7:$N$106,5,FALSE),0)+
IFERROR(VLOOKUP(A74,'Centre WR1'!$A$7:$N$106,5,FALSE),0)+
IFERROR(VLOOKUP(A74,'Centre WV1'!$A$7:$N$107,5,FALSE),0)</f>
        <v>0</v>
      </c>
      <c r="F74" s="10">
        <f>IFERROR(VLOOKUP(A74,'Centre DW1'!$A$7:$N$106,6,FALSE),0)+
IFERROR(VLOOKUP(A74,'Centre WP1'!$A$7:$N$106,6,FALSE),0)+
IFERROR(VLOOKUP(A74,'Centre WR1'!$A$7:$N$106,6,FALSE),0)+
IFERROR(VLOOKUP(A74,'Centre WV1'!$A$7:$N$107,6,FALSE),0)</f>
        <v>0</v>
      </c>
      <c r="G74" s="10">
        <f>IFERROR(VLOOKUP(A74,'Centre DW1'!$A$7:$N$106,7,FALSE),0)+
IFERROR(VLOOKUP(A74,'Centre WP1'!$A$7:$N$106,7,FALSE),0)+
IFERROR(VLOOKUP(A74,'Centre WR1'!$A$7:$N$106,7,FALSE),0)+
IFERROR(VLOOKUP(A74,'Centre WV1'!$A$7:$N$107,7,FALSE),0)</f>
        <v>0</v>
      </c>
      <c r="H74" s="10">
        <f>IFERROR(VLOOKUP(A74,'Centre DW1'!$A$7:$N$106,8,FALSE),0)+
IFERROR(VLOOKUP(A74,'Centre WP1'!$A$7:$N$106,8,FALSE),0)+
IFERROR(VLOOKUP(A74,'Centre WR1'!$A$7:$N$106,8,FALSE),0)+
IFERROR(VLOOKUP(A74,'Centre WV1'!$A$7:$N$107,8,FALSE),0)</f>
        <v>0</v>
      </c>
      <c r="I74" s="10">
        <f>IFERROR(VLOOKUP(A74,'Centre DW1'!$A$7:$N$106,9,FALSE),0)+
IFERROR(VLOOKUP(A74,'Centre WP1'!$A$7:$N$106,9,FALSE),0)+
IFERROR(VLOOKUP(A74,'Centre WR1'!$A$7:$N$106,9,FALSE),0)+
IFERROR(VLOOKUP(A74,'Centre WV1'!$A$7:$N$107,9,FALSE),0)</f>
        <v>0</v>
      </c>
      <c r="J74" s="47">
        <f>IFERROR(VLOOKUP(A74,'Centre DW1'!$A$7:$N$106,10,FALSE),0)+
IFERROR(VLOOKUP(A74,'Centre WP1'!$A$7:$N$106,10,FALSE),0)+
IFERROR(VLOOKUP(A74,'Centre WR1'!$A$7:$N$106,10,FALSE),0)+
IFERROR(VLOOKUP(A74,'Centre WV1'!$A$7:$N$107,10,FALSE),0)</f>
        <v>0</v>
      </c>
      <c r="K74" s="47">
        <f>IFERROR(VLOOKUP(A74,'Centre DW1'!$A$7:$N$106,11,FALSE),0)+
IFERROR(VLOOKUP(A74,'Centre WP1'!$A$7:$N$106,11,FALSE),0)+
IFERROR(VLOOKUP(A74,'Centre WR1'!$A$7:$N$106,11,FALSE),0)+
IFERROR(VLOOKUP(A74,'Centre WV1'!$A$7:$N$107,11,FALSE),0)</f>
        <v>0</v>
      </c>
      <c r="L74" s="47">
        <f>IFERROR(VLOOKUP(A74,'Centre DW1'!$A$7:$N$106,12,FALSE),0)+
IFERROR(VLOOKUP(A74,'Centre WP1'!$A$7:$N$106,12,FALSE),0)+
IFERROR(VLOOKUP(A74,'Centre WR1'!$A$7:$N$106,12,FALSE),0)+
IFERROR(VLOOKUP(A74,'Centre WV1'!$A$7:$N$107,12,FALSE),0)</f>
        <v>0</v>
      </c>
      <c r="M74" s="47">
        <f>IFERROR(VLOOKUP(A74,'Centre DW1'!$A$7:$N$106,13,FALSE),0)+
IFERROR(VLOOKUP(A74,'Centre WP1'!$A$7:$N$106,13,FALSE),0)+
IFERROR(VLOOKUP(A74,'Centre WR1'!$A$7:$N$106,13,FALSE),0)+
IFERROR(VLOOKUP(A74,'Centre WV1'!$A$7:$N$107,13,FALSE),0)</f>
        <v>0</v>
      </c>
      <c r="N74" s="47">
        <f>IFERROR(VLOOKUP(A74,'Centre DW1'!$A$7:$N$106,14,FALSE),0)+
IFERROR(VLOOKUP(A74,'Centre WP1'!$A$7:$N$106,14,FALSE),0)+
IFERROR(VLOOKUP(A74,'Centre WR1'!$A$7:$N$106,14,FALSE),0)+
IFERROR(VLOOKUP(A74,'Centre WV1'!$A$7:$N$107,14,FALSE),0)</f>
        <v>0</v>
      </c>
    </row>
    <row r="75" spans="1:14" hidden="1" outlineLevel="1" x14ac:dyDescent="0.2">
      <c r="A75" s="9" t="s">
        <v>153</v>
      </c>
      <c r="B75" s="1" t="s">
        <v>154</v>
      </c>
      <c r="C75" s="10">
        <f>IFERROR(VLOOKUP(A75,'Centre DW1'!$A$7:$N$106,3,FALSE),0)+
IFERROR(VLOOKUP(A75,'Centre WP1'!$A$7:$N$106,3,FALSE),0)+
IFERROR(VLOOKUP(A75,'Centre WR1'!$A$7:$N$106,3,FALSE),0)+
IFERROR(VLOOKUP(A75,'Centre WV1'!$A$7:$N$107,3,FALSE),0)</f>
        <v>0</v>
      </c>
      <c r="D75" s="10">
        <f>IFERROR(VLOOKUP(A75,'Centre DW1'!$A$7:$N$106,4,FALSE),0)+
IFERROR(VLOOKUP(A75,'Centre WP1'!$A$7:$N$106,4,FALSE),0)+
IFERROR(VLOOKUP(A75,'Centre WR1'!$A$7:$N$106,4,FALSE),0)+
IFERROR(VLOOKUP(A75,'Centre WV1'!$A$7:$N$107,4,FALSE),0)</f>
        <v>0</v>
      </c>
      <c r="E75" s="10">
        <f>IFERROR(VLOOKUP(A75,'Centre DW1'!$A$7:$N$106,5,FALSE),0)+
IFERROR(VLOOKUP(A75,'Centre WP1'!$A$7:$N$106,5,FALSE),0)+
IFERROR(VLOOKUP(A75,'Centre WR1'!$A$7:$N$106,5,FALSE),0)+
IFERROR(VLOOKUP(A75,'Centre WV1'!$A$7:$N$107,5,FALSE),0)</f>
        <v>0</v>
      </c>
      <c r="F75" s="10">
        <f>IFERROR(VLOOKUP(A75,'Centre DW1'!$A$7:$N$106,6,FALSE),0)+
IFERROR(VLOOKUP(A75,'Centre WP1'!$A$7:$N$106,6,FALSE),0)+
IFERROR(VLOOKUP(A75,'Centre WR1'!$A$7:$N$106,6,FALSE),0)+
IFERROR(VLOOKUP(A75,'Centre WV1'!$A$7:$N$107,6,FALSE),0)</f>
        <v>0</v>
      </c>
      <c r="G75" s="10">
        <f>IFERROR(VLOOKUP(A75,'Centre DW1'!$A$7:$N$106,7,FALSE),0)+
IFERROR(VLOOKUP(A75,'Centre WP1'!$A$7:$N$106,7,FALSE),0)+
IFERROR(VLOOKUP(A75,'Centre WR1'!$A$7:$N$106,7,FALSE),0)+
IFERROR(VLOOKUP(A75,'Centre WV1'!$A$7:$N$107,7,FALSE),0)</f>
        <v>0</v>
      </c>
      <c r="H75" s="10">
        <f>IFERROR(VLOOKUP(A75,'Centre DW1'!$A$7:$N$106,8,FALSE),0)+
IFERROR(VLOOKUP(A75,'Centre WP1'!$A$7:$N$106,8,FALSE),0)+
IFERROR(VLOOKUP(A75,'Centre WR1'!$A$7:$N$106,8,FALSE),0)+
IFERROR(VLOOKUP(A75,'Centre WV1'!$A$7:$N$107,8,FALSE),0)</f>
        <v>0</v>
      </c>
      <c r="I75" s="10">
        <f>IFERROR(VLOOKUP(A75,'Centre DW1'!$A$7:$N$106,9,FALSE),0)+
IFERROR(VLOOKUP(A75,'Centre WP1'!$A$7:$N$106,9,FALSE),0)+
IFERROR(VLOOKUP(A75,'Centre WR1'!$A$7:$N$106,9,FALSE),0)+
IFERROR(VLOOKUP(A75,'Centre WV1'!$A$7:$N$107,9,FALSE),0)</f>
        <v>0</v>
      </c>
      <c r="J75" s="47">
        <f>IFERROR(VLOOKUP(A75,'Centre DW1'!$A$7:$N$106,10,FALSE),0)+
IFERROR(VLOOKUP(A75,'Centre WP1'!$A$7:$N$106,10,FALSE),0)+
IFERROR(VLOOKUP(A75,'Centre WR1'!$A$7:$N$106,10,FALSE),0)+
IFERROR(VLOOKUP(A75,'Centre WV1'!$A$7:$N$107,10,FALSE),0)</f>
        <v>0</v>
      </c>
      <c r="K75" s="47">
        <f>IFERROR(VLOOKUP(A75,'Centre DW1'!$A$7:$N$106,11,FALSE),0)+
IFERROR(VLOOKUP(A75,'Centre WP1'!$A$7:$N$106,11,FALSE),0)+
IFERROR(VLOOKUP(A75,'Centre WR1'!$A$7:$N$106,11,FALSE),0)+
IFERROR(VLOOKUP(A75,'Centre WV1'!$A$7:$N$107,11,FALSE),0)</f>
        <v>0</v>
      </c>
      <c r="L75" s="47">
        <f>IFERROR(VLOOKUP(A75,'Centre DW1'!$A$7:$N$106,12,FALSE),0)+
IFERROR(VLOOKUP(A75,'Centre WP1'!$A$7:$N$106,12,FALSE),0)+
IFERROR(VLOOKUP(A75,'Centre WR1'!$A$7:$N$106,12,FALSE),0)+
IFERROR(VLOOKUP(A75,'Centre WV1'!$A$7:$N$107,12,FALSE),0)</f>
        <v>0</v>
      </c>
      <c r="M75" s="47">
        <f>IFERROR(VLOOKUP(A75,'Centre DW1'!$A$7:$N$106,13,FALSE),0)+
IFERROR(VLOOKUP(A75,'Centre WP1'!$A$7:$N$106,13,FALSE),0)+
IFERROR(VLOOKUP(A75,'Centre WR1'!$A$7:$N$106,13,FALSE),0)+
IFERROR(VLOOKUP(A75,'Centre WV1'!$A$7:$N$107,13,FALSE),0)</f>
        <v>0</v>
      </c>
      <c r="N75" s="47">
        <f>IFERROR(VLOOKUP(A75,'Centre DW1'!$A$7:$N$106,14,FALSE),0)+
IFERROR(VLOOKUP(A75,'Centre WP1'!$A$7:$N$106,14,FALSE),0)+
IFERROR(VLOOKUP(A75,'Centre WR1'!$A$7:$N$106,14,FALSE),0)+
IFERROR(VLOOKUP(A75,'Centre WV1'!$A$7:$N$107,14,FALSE),0)</f>
        <v>0</v>
      </c>
    </row>
    <row r="76" spans="1:14" hidden="1" outlineLevel="1" x14ac:dyDescent="0.2">
      <c r="A76" s="9" t="s">
        <v>155</v>
      </c>
      <c r="B76" s="1" t="s">
        <v>156</v>
      </c>
      <c r="C76" s="10">
        <f>IFERROR(VLOOKUP(A76,'Centre DW1'!$A$7:$N$106,3,FALSE),0)+
IFERROR(VLOOKUP(A76,'Centre WP1'!$A$7:$N$106,3,FALSE),0)+
IFERROR(VLOOKUP(A76,'Centre WR1'!$A$7:$N$106,3,FALSE),0)+
IFERROR(VLOOKUP(A76,'Centre WV1'!$A$7:$N$107,3,FALSE),0)</f>
        <v>0.7</v>
      </c>
      <c r="D76" s="10">
        <f>IFERROR(VLOOKUP(A76,'Centre DW1'!$A$7:$N$106,4,FALSE),0)+
IFERROR(VLOOKUP(A76,'Centre WP1'!$A$7:$N$106,4,FALSE),0)+
IFERROR(VLOOKUP(A76,'Centre WR1'!$A$7:$N$106,4,FALSE),0)+
IFERROR(VLOOKUP(A76,'Centre WV1'!$A$7:$N$107,4,FALSE),0)</f>
        <v>0</v>
      </c>
      <c r="E76" s="10">
        <f>IFERROR(VLOOKUP(A76,'Centre DW1'!$A$7:$N$106,5,FALSE),0)+
IFERROR(VLOOKUP(A76,'Centre WP1'!$A$7:$N$106,5,FALSE),0)+
IFERROR(VLOOKUP(A76,'Centre WR1'!$A$7:$N$106,5,FALSE),0)+
IFERROR(VLOOKUP(A76,'Centre WV1'!$A$7:$N$107,5,FALSE),0)</f>
        <v>0</v>
      </c>
      <c r="F76" s="10">
        <f>IFERROR(VLOOKUP(A76,'Centre DW1'!$A$7:$N$106,6,FALSE),0)+
IFERROR(VLOOKUP(A76,'Centre WP1'!$A$7:$N$106,6,FALSE),0)+
IFERROR(VLOOKUP(A76,'Centre WR1'!$A$7:$N$106,6,FALSE),0)+
IFERROR(VLOOKUP(A76,'Centre WV1'!$A$7:$N$107,6,FALSE),0)</f>
        <v>0</v>
      </c>
      <c r="G76" s="10">
        <f>IFERROR(VLOOKUP(A76,'Centre DW1'!$A$7:$N$106,7,FALSE),0)+
IFERROR(VLOOKUP(A76,'Centre WP1'!$A$7:$N$106,7,FALSE),0)+
IFERROR(VLOOKUP(A76,'Centre WR1'!$A$7:$N$106,7,FALSE),0)+
IFERROR(VLOOKUP(A76,'Centre WV1'!$A$7:$N$107,7,FALSE),0)</f>
        <v>0</v>
      </c>
      <c r="H76" s="10">
        <f>IFERROR(VLOOKUP(A76,'Centre DW1'!$A$7:$N$106,8,FALSE),0)+
IFERROR(VLOOKUP(A76,'Centre WP1'!$A$7:$N$106,8,FALSE),0)+
IFERROR(VLOOKUP(A76,'Centre WR1'!$A$7:$N$106,8,FALSE),0)+
IFERROR(VLOOKUP(A76,'Centre WV1'!$A$7:$N$107,8,FALSE),0)</f>
        <v>0</v>
      </c>
      <c r="I76" s="10">
        <f>IFERROR(VLOOKUP(A76,'Centre DW1'!$A$7:$N$106,9,FALSE),0)+
IFERROR(VLOOKUP(A76,'Centre WP1'!$A$7:$N$106,9,FALSE),0)+
IFERROR(VLOOKUP(A76,'Centre WR1'!$A$7:$N$106,9,FALSE),0)+
IFERROR(VLOOKUP(A76,'Centre WV1'!$A$7:$N$107,9,FALSE),0)</f>
        <v>0</v>
      </c>
      <c r="J76" s="47">
        <f>IFERROR(VLOOKUP(A76,'Centre DW1'!$A$7:$N$106,10,FALSE),0)+
IFERROR(VLOOKUP(A76,'Centre WP1'!$A$7:$N$106,10,FALSE),0)+
IFERROR(VLOOKUP(A76,'Centre WR1'!$A$7:$N$106,10,FALSE),0)+
IFERROR(VLOOKUP(A76,'Centre WV1'!$A$7:$N$107,10,FALSE),0)</f>
        <v>0</v>
      </c>
      <c r="K76" s="47">
        <f>IFERROR(VLOOKUP(A76,'Centre DW1'!$A$7:$N$106,11,FALSE),0)+
IFERROR(VLOOKUP(A76,'Centre WP1'!$A$7:$N$106,11,FALSE),0)+
IFERROR(VLOOKUP(A76,'Centre WR1'!$A$7:$N$106,11,FALSE),0)+
IFERROR(VLOOKUP(A76,'Centre WV1'!$A$7:$N$107,11,FALSE),0)</f>
        <v>0</v>
      </c>
      <c r="L76" s="47">
        <f>IFERROR(VLOOKUP(A76,'Centre DW1'!$A$7:$N$106,12,FALSE),0)+
IFERROR(VLOOKUP(A76,'Centre WP1'!$A$7:$N$106,12,FALSE),0)+
IFERROR(VLOOKUP(A76,'Centre WR1'!$A$7:$N$106,12,FALSE),0)+
IFERROR(VLOOKUP(A76,'Centre WV1'!$A$7:$N$107,12,FALSE),0)</f>
        <v>0</v>
      </c>
      <c r="M76" s="47">
        <f>IFERROR(VLOOKUP(A76,'Centre DW1'!$A$7:$N$106,13,FALSE),0)+
IFERROR(VLOOKUP(A76,'Centre WP1'!$A$7:$N$106,13,FALSE),0)+
IFERROR(VLOOKUP(A76,'Centre WR1'!$A$7:$N$106,13,FALSE),0)+
IFERROR(VLOOKUP(A76,'Centre WV1'!$A$7:$N$107,13,FALSE),0)</f>
        <v>0</v>
      </c>
      <c r="N76" s="47">
        <f>IFERROR(VLOOKUP(A76,'Centre DW1'!$A$7:$N$106,14,FALSE),0)+
IFERROR(VLOOKUP(A76,'Centre WP1'!$A$7:$N$106,14,FALSE),0)+
IFERROR(VLOOKUP(A76,'Centre WR1'!$A$7:$N$106,14,FALSE),0)+
IFERROR(VLOOKUP(A76,'Centre WV1'!$A$7:$N$107,14,FALSE),0)</f>
        <v>0</v>
      </c>
    </row>
    <row r="77" spans="1:14" collapsed="1" x14ac:dyDescent="0.2">
      <c r="A77" s="33" t="s">
        <v>157</v>
      </c>
      <c r="B77" s="34" t="s">
        <v>158</v>
      </c>
      <c r="C77" s="46">
        <f t="shared" ref="C77:I77" si="24">SUM(C78:C80)</f>
        <v>2.5</v>
      </c>
      <c r="D77" s="46">
        <f t="shared" si="24"/>
        <v>-0.6</v>
      </c>
      <c r="E77" s="46">
        <f t="shared" si="24"/>
        <v>5.7</v>
      </c>
      <c r="F77" s="46">
        <f t="shared" si="24"/>
        <v>-7.5</v>
      </c>
      <c r="G77" s="46">
        <f t="shared" si="24"/>
        <v>-0.5</v>
      </c>
      <c r="H77" s="46">
        <f t="shared" si="24"/>
        <v>1.0999999999999999</v>
      </c>
      <c r="I77" s="46">
        <f t="shared" si="24"/>
        <v>-0.8</v>
      </c>
      <c r="J77" s="46">
        <f>SUM(J78:J80)</f>
        <v>-0.1</v>
      </c>
      <c r="K77" s="46">
        <f t="shared" ref="K77:N77" si="25">SUM(K78:K80)</f>
        <v>-1.8</v>
      </c>
      <c r="L77" s="46">
        <f t="shared" si="25"/>
        <v>-1.1000000000000001</v>
      </c>
      <c r="M77" s="46">
        <f t="shared" si="25"/>
        <v>-5.0999999999999996</v>
      </c>
      <c r="N77" s="46">
        <f t="shared" si="25"/>
        <v>-2.1</v>
      </c>
    </row>
    <row r="78" spans="1:14" hidden="1" outlineLevel="1" x14ac:dyDescent="0.2">
      <c r="A78" s="9" t="s">
        <v>159</v>
      </c>
      <c r="B78" s="1" t="s">
        <v>160</v>
      </c>
      <c r="C78" s="10">
        <f>IFERROR(VLOOKUP(A78,'Centre DW1'!$A$7:$N$106,3,FALSE),0)+
IFERROR(VLOOKUP(A78,'Centre WP1'!$A$7:$N$106,3,FALSE),0)+
IFERROR(VLOOKUP(A78,'Centre WR1'!$A$7:$N$106,3,FALSE),0)+
IFERROR(VLOOKUP(A78,'Centre WV1'!$A$7:$N$107,3,FALSE),0)</f>
        <v>2.5</v>
      </c>
      <c r="D78" s="10">
        <f>IFERROR(VLOOKUP(A78,'Centre DW1'!$A$7:$N$106,4,FALSE),0)+
IFERROR(VLOOKUP(A78,'Centre WP1'!$A$7:$N$106,4,FALSE),0)+
IFERROR(VLOOKUP(A78,'Centre WR1'!$A$7:$N$106,4,FALSE),0)+
IFERROR(VLOOKUP(A78,'Centre WV1'!$A$7:$N$107,4,FALSE),0)</f>
        <v>-0.6</v>
      </c>
      <c r="E78" s="10">
        <f>IFERROR(VLOOKUP(A78,'Centre DW1'!$A$7:$N$106,5,FALSE),0)+
IFERROR(VLOOKUP(A78,'Centre WP1'!$A$7:$N$106,5,FALSE),0)+
IFERROR(VLOOKUP(A78,'Centre WR1'!$A$7:$N$106,5,FALSE),0)+
IFERROR(VLOOKUP(A78,'Centre WV1'!$A$7:$N$107,5,FALSE),0)</f>
        <v>5.7</v>
      </c>
      <c r="F78" s="10">
        <f>IFERROR(VLOOKUP(A78,'Centre DW1'!$A$7:$N$106,6,FALSE),0)+
IFERROR(VLOOKUP(A78,'Centre WP1'!$A$7:$N$106,6,FALSE),0)+
IFERROR(VLOOKUP(A78,'Centre WR1'!$A$7:$N$106,6,FALSE),0)+
IFERROR(VLOOKUP(A78,'Centre WV1'!$A$7:$N$107,6,FALSE),0)</f>
        <v>-7.5</v>
      </c>
      <c r="G78" s="10">
        <f>IFERROR(VLOOKUP(A78,'Centre DW1'!$A$7:$N$106,7,FALSE),0)+
IFERROR(VLOOKUP(A78,'Centre WP1'!$A$7:$N$106,7,FALSE),0)+
IFERROR(VLOOKUP(A78,'Centre WR1'!$A$7:$N$106,7,FALSE),0)+
IFERROR(VLOOKUP(A78,'Centre WV1'!$A$7:$N$107,7,FALSE),0)</f>
        <v>-0.5</v>
      </c>
      <c r="H78" s="10">
        <f>IFERROR(VLOOKUP(A78,'Centre DW1'!$A$7:$N$106,8,FALSE),0)+
IFERROR(VLOOKUP(A78,'Centre WP1'!$A$7:$N$106,8,FALSE),0)+
IFERROR(VLOOKUP(A78,'Centre WR1'!$A$7:$N$106,8,FALSE),0)+
IFERROR(VLOOKUP(A78,'Centre WV1'!$A$7:$N$107,8,FALSE),0)</f>
        <v>1.0999999999999999</v>
      </c>
      <c r="I78" s="10">
        <f>IFERROR(VLOOKUP(A78,'Centre DW1'!$A$7:$N$106,9,FALSE),0)+
IFERROR(VLOOKUP(A78,'Centre WP1'!$A$7:$N$106,9,FALSE),0)+
IFERROR(VLOOKUP(A78,'Centre WR1'!$A$7:$N$106,9,FALSE),0)+
IFERROR(VLOOKUP(A78,'Centre WV1'!$A$7:$N$107,9,FALSE),0)</f>
        <v>-0.8</v>
      </c>
      <c r="J78" s="47">
        <f>IFERROR(VLOOKUP(A78,'Centre DW1'!$A$7:$N$106,10,FALSE),0)+
IFERROR(VLOOKUP(A78,'Centre WP1'!$A$7:$N$106,10,FALSE),0)+
IFERROR(VLOOKUP(A78,'Centre WR1'!$A$7:$N$106,10,FALSE),0)+
IFERROR(VLOOKUP(A78,'Centre WV1'!$A$7:$N$107,10,FALSE),0)</f>
        <v>-0.1</v>
      </c>
      <c r="K78" s="47">
        <f>IFERROR(VLOOKUP(A78,'Centre DW1'!$A$7:$N$106,11,FALSE),0)+
IFERROR(VLOOKUP(A78,'Centre WP1'!$A$7:$N$106,11,FALSE),0)+
IFERROR(VLOOKUP(A78,'Centre WR1'!$A$7:$N$106,11,FALSE),0)+
IFERROR(VLOOKUP(A78,'Centre WV1'!$A$7:$N$107,11,FALSE),0)</f>
        <v>-1.8</v>
      </c>
      <c r="L78" s="47">
        <f>IFERROR(VLOOKUP(A78,'Centre DW1'!$A$7:$N$106,12,FALSE),0)+
IFERROR(VLOOKUP(A78,'Centre WP1'!$A$7:$N$106,12,FALSE),0)+
IFERROR(VLOOKUP(A78,'Centre WR1'!$A$7:$N$106,12,FALSE),0)+
IFERROR(VLOOKUP(A78,'Centre WV1'!$A$7:$N$107,12,FALSE),0)</f>
        <v>-1.1000000000000001</v>
      </c>
      <c r="M78" s="47">
        <f>IFERROR(VLOOKUP(A78,'Centre DW1'!$A$7:$N$106,13,FALSE),0)+
IFERROR(VLOOKUP(A78,'Centre WP1'!$A$7:$N$106,13,FALSE),0)+
IFERROR(VLOOKUP(A78,'Centre WR1'!$A$7:$N$106,13,FALSE),0)+
IFERROR(VLOOKUP(A78,'Centre WV1'!$A$7:$N$107,13,FALSE),0)</f>
        <v>-5.0999999999999996</v>
      </c>
      <c r="N78" s="47">
        <f>IFERROR(VLOOKUP(A78,'Centre DW1'!$A$7:$N$106,14,FALSE),0)+
IFERROR(VLOOKUP(A78,'Centre WP1'!$A$7:$N$106,14,FALSE),0)+
IFERROR(VLOOKUP(A78,'Centre WR1'!$A$7:$N$106,14,FALSE),0)+
IFERROR(VLOOKUP(A78,'Centre WV1'!$A$7:$N$107,14,FALSE),0)</f>
        <v>-2.1</v>
      </c>
    </row>
    <row r="79" spans="1:14" hidden="1" outlineLevel="1" x14ac:dyDescent="0.2">
      <c r="A79" s="9" t="s">
        <v>161</v>
      </c>
      <c r="B79" s="1" t="s">
        <v>162</v>
      </c>
      <c r="C79" s="10">
        <f>IFERROR(VLOOKUP(A79,'Centre DW1'!$A$7:$N$106,3,FALSE),0)+
IFERROR(VLOOKUP(A79,'Centre WP1'!$A$7:$N$106,3,FALSE),0)+
IFERROR(VLOOKUP(A79,'Centre WR1'!$A$7:$N$106,3,FALSE),0)+
IFERROR(VLOOKUP(A79,'Centre WV1'!$A$7:$N$107,3,FALSE),0)</f>
        <v>0</v>
      </c>
      <c r="D79" s="10">
        <f>IFERROR(VLOOKUP(A79,'Centre DW1'!$A$7:$N$106,4,FALSE),0)+
IFERROR(VLOOKUP(A79,'Centre WP1'!$A$7:$N$106,4,FALSE),0)+
IFERROR(VLOOKUP(A79,'Centre WR1'!$A$7:$N$106,4,FALSE),0)+
IFERROR(VLOOKUP(A79,'Centre WV1'!$A$7:$N$107,4,FALSE),0)</f>
        <v>0</v>
      </c>
      <c r="E79" s="10">
        <f>IFERROR(VLOOKUP(A79,'Centre DW1'!$A$7:$N$106,5,FALSE),0)+
IFERROR(VLOOKUP(A79,'Centre WP1'!$A$7:$N$106,5,FALSE),0)+
IFERROR(VLOOKUP(A79,'Centre WR1'!$A$7:$N$106,5,FALSE),0)+
IFERROR(VLOOKUP(A79,'Centre WV1'!$A$7:$N$107,5,FALSE),0)</f>
        <v>0</v>
      </c>
      <c r="F79" s="10">
        <f>IFERROR(VLOOKUP(A79,'Centre DW1'!$A$7:$N$106,6,FALSE),0)+
IFERROR(VLOOKUP(A79,'Centre WP1'!$A$7:$N$106,6,FALSE),0)+
IFERROR(VLOOKUP(A79,'Centre WR1'!$A$7:$N$106,6,FALSE),0)+
IFERROR(VLOOKUP(A79,'Centre WV1'!$A$7:$N$107,6,FALSE),0)</f>
        <v>0</v>
      </c>
      <c r="G79" s="10">
        <f>IFERROR(VLOOKUP(A79,'Centre DW1'!$A$7:$N$106,7,FALSE),0)+
IFERROR(VLOOKUP(A79,'Centre WP1'!$A$7:$N$106,7,FALSE),0)+
IFERROR(VLOOKUP(A79,'Centre WR1'!$A$7:$N$106,7,FALSE),0)+
IFERROR(VLOOKUP(A79,'Centre WV1'!$A$7:$N$107,7,FALSE),0)</f>
        <v>0</v>
      </c>
      <c r="H79" s="10">
        <f>IFERROR(VLOOKUP(A79,'Centre DW1'!$A$7:$N$106,8,FALSE),0)+
IFERROR(VLOOKUP(A79,'Centre WP1'!$A$7:$N$106,8,FALSE),0)+
IFERROR(VLOOKUP(A79,'Centre WR1'!$A$7:$N$106,8,FALSE),0)+
IFERROR(VLOOKUP(A79,'Centre WV1'!$A$7:$N$107,8,FALSE),0)</f>
        <v>0</v>
      </c>
      <c r="I79" s="10">
        <f>IFERROR(VLOOKUP(A79,'Centre DW1'!$A$7:$N$106,9,FALSE),0)+
IFERROR(VLOOKUP(A79,'Centre WP1'!$A$7:$N$106,9,FALSE),0)+
IFERROR(VLOOKUP(A79,'Centre WR1'!$A$7:$N$106,9,FALSE),0)+
IFERROR(VLOOKUP(A79,'Centre WV1'!$A$7:$N$107,9,FALSE),0)</f>
        <v>0</v>
      </c>
      <c r="J79" s="47">
        <f>IFERROR(VLOOKUP(A79,'Centre DW1'!$A$7:$N$106,10,FALSE),0)+
IFERROR(VLOOKUP(A79,'Centre WP1'!$A$7:$N$106,10,FALSE),0)+
IFERROR(VLOOKUP(A79,'Centre WR1'!$A$7:$N$106,10,FALSE),0)+
IFERROR(VLOOKUP(A79,'Centre WV1'!$A$7:$N$107,10,FALSE),0)</f>
        <v>0</v>
      </c>
      <c r="K79" s="47">
        <f>IFERROR(VLOOKUP(A79,'Centre DW1'!$A$7:$N$106,11,FALSE),0)+
IFERROR(VLOOKUP(A79,'Centre WP1'!$A$7:$N$106,11,FALSE),0)+
IFERROR(VLOOKUP(A79,'Centre WR1'!$A$7:$N$106,11,FALSE),0)+
IFERROR(VLOOKUP(A79,'Centre WV1'!$A$7:$N$107,11,FALSE),0)</f>
        <v>0</v>
      </c>
      <c r="L79" s="47">
        <f>IFERROR(VLOOKUP(A79,'Centre DW1'!$A$7:$N$106,12,FALSE),0)+
IFERROR(VLOOKUP(A79,'Centre WP1'!$A$7:$N$106,12,FALSE),0)+
IFERROR(VLOOKUP(A79,'Centre WR1'!$A$7:$N$106,12,FALSE),0)+
IFERROR(VLOOKUP(A79,'Centre WV1'!$A$7:$N$107,12,FALSE),0)</f>
        <v>0</v>
      </c>
      <c r="M79" s="47">
        <f>IFERROR(VLOOKUP(A79,'Centre DW1'!$A$7:$N$106,13,FALSE),0)+
IFERROR(VLOOKUP(A79,'Centre WP1'!$A$7:$N$106,13,FALSE),0)+
IFERROR(VLOOKUP(A79,'Centre WR1'!$A$7:$N$106,13,FALSE),0)+
IFERROR(VLOOKUP(A79,'Centre WV1'!$A$7:$N$107,13,FALSE),0)</f>
        <v>0</v>
      </c>
      <c r="N79" s="47">
        <f>IFERROR(VLOOKUP(A79,'Centre DW1'!$A$7:$N$106,14,FALSE),0)+
IFERROR(VLOOKUP(A79,'Centre WP1'!$A$7:$N$106,14,FALSE),0)+
IFERROR(VLOOKUP(A79,'Centre WR1'!$A$7:$N$106,14,FALSE),0)+
IFERROR(VLOOKUP(A79,'Centre WV1'!$A$7:$N$107,14,FALSE),0)</f>
        <v>0</v>
      </c>
    </row>
    <row r="80" spans="1:14" hidden="1" outlineLevel="1" x14ac:dyDescent="0.2">
      <c r="A80" s="9" t="s">
        <v>163</v>
      </c>
      <c r="B80" s="1" t="s">
        <v>164</v>
      </c>
      <c r="C80" s="10">
        <f>IFERROR(VLOOKUP(A80,'Centre DW1'!$A$7:$N$106,3,FALSE),0)+
IFERROR(VLOOKUP(A80,'Centre WP1'!$A$7:$N$106,3,FALSE),0)+
IFERROR(VLOOKUP(A80,'Centre WR1'!$A$7:$N$106,3,FALSE),0)+
IFERROR(VLOOKUP(A80,'Centre WV1'!$A$7:$N$107,3,FALSE),0)</f>
        <v>0</v>
      </c>
      <c r="D80" s="10">
        <f>IFERROR(VLOOKUP(A80,'Centre DW1'!$A$7:$N$106,4,FALSE),0)+
IFERROR(VLOOKUP(A80,'Centre WP1'!$A$7:$N$106,4,FALSE),0)+
IFERROR(VLOOKUP(A80,'Centre WR1'!$A$7:$N$106,4,FALSE),0)+
IFERROR(VLOOKUP(A80,'Centre WV1'!$A$7:$N$107,4,FALSE),0)</f>
        <v>0</v>
      </c>
      <c r="E80" s="10">
        <f>IFERROR(VLOOKUP(A80,'Centre DW1'!$A$7:$N$106,5,FALSE),0)+
IFERROR(VLOOKUP(A80,'Centre WP1'!$A$7:$N$106,5,FALSE),0)+
IFERROR(VLOOKUP(A80,'Centre WR1'!$A$7:$N$106,5,FALSE),0)+
IFERROR(VLOOKUP(A80,'Centre WV1'!$A$7:$N$107,5,FALSE),0)</f>
        <v>0</v>
      </c>
      <c r="F80" s="10">
        <f>IFERROR(VLOOKUP(A80,'Centre DW1'!$A$7:$N$106,6,FALSE),0)+
IFERROR(VLOOKUP(A80,'Centre WP1'!$A$7:$N$106,6,FALSE),0)+
IFERROR(VLOOKUP(A80,'Centre WR1'!$A$7:$N$106,6,FALSE),0)+
IFERROR(VLOOKUP(A80,'Centre WV1'!$A$7:$N$107,6,FALSE),0)</f>
        <v>0</v>
      </c>
      <c r="G80" s="10">
        <f>IFERROR(VLOOKUP(A80,'Centre DW1'!$A$7:$N$106,7,FALSE),0)+
IFERROR(VLOOKUP(A80,'Centre WP1'!$A$7:$N$106,7,FALSE),0)+
IFERROR(VLOOKUP(A80,'Centre WR1'!$A$7:$N$106,7,FALSE),0)+
IFERROR(VLOOKUP(A80,'Centre WV1'!$A$7:$N$107,7,FALSE),0)</f>
        <v>0</v>
      </c>
      <c r="H80" s="10">
        <f>IFERROR(VLOOKUP(A80,'Centre DW1'!$A$7:$N$106,8,FALSE),0)+
IFERROR(VLOOKUP(A80,'Centre WP1'!$A$7:$N$106,8,FALSE),0)+
IFERROR(VLOOKUP(A80,'Centre WR1'!$A$7:$N$106,8,FALSE),0)+
IFERROR(VLOOKUP(A80,'Centre WV1'!$A$7:$N$107,8,FALSE),0)</f>
        <v>0</v>
      </c>
      <c r="I80" s="10">
        <f>IFERROR(VLOOKUP(A80,'Centre DW1'!$A$7:$N$106,9,FALSE),0)+
IFERROR(VLOOKUP(A80,'Centre WP1'!$A$7:$N$106,9,FALSE),0)+
IFERROR(VLOOKUP(A80,'Centre WR1'!$A$7:$N$106,9,FALSE),0)+
IFERROR(VLOOKUP(A80,'Centre WV1'!$A$7:$N$107,9,FALSE),0)</f>
        <v>0</v>
      </c>
      <c r="J80" s="47">
        <f>IFERROR(VLOOKUP(A80,'Centre DW1'!$A$7:$N$106,10,FALSE),0)+
IFERROR(VLOOKUP(A80,'Centre WP1'!$A$7:$N$106,10,FALSE),0)+
IFERROR(VLOOKUP(A80,'Centre WR1'!$A$7:$N$106,10,FALSE),0)+
IFERROR(VLOOKUP(A80,'Centre WV1'!$A$7:$N$107,10,FALSE),0)</f>
        <v>0</v>
      </c>
      <c r="K80" s="47">
        <f>IFERROR(VLOOKUP(A80,'Centre DW1'!$A$7:$N$106,11,FALSE),0)+
IFERROR(VLOOKUP(A80,'Centre WP1'!$A$7:$N$106,11,FALSE),0)+
IFERROR(VLOOKUP(A80,'Centre WR1'!$A$7:$N$106,11,FALSE),0)+
IFERROR(VLOOKUP(A80,'Centre WV1'!$A$7:$N$107,11,FALSE),0)</f>
        <v>0</v>
      </c>
      <c r="L80" s="47">
        <f>IFERROR(VLOOKUP(A80,'Centre DW1'!$A$7:$N$106,12,FALSE),0)+
IFERROR(VLOOKUP(A80,'Centre WP1'!$A$7:$N$106,12,FALSE),0)+
IFERROR(VLOOKUP(A80,'Centre WR1'!$A$7:$N$106,12,FALSE),0)+
IFERROR(VLOOKUP(A80,'Centre WV1'!$A$7:$N$107,12,FALSE),0)</f>
        <v>0</v>
      </c>
      <c r="M80" s="47">
        <f>IFERROR(VLOOKUP(A80,'Centre DW1'!$A$7:$N$106,13,FALSE),0)+
IFERROR(VLOOKUP(A80,'Centre WP1'!$A$7:$N$106,13,FALSE),0)+
IFERROR(VLOOKUP(A80,'Centre WR1'!$A$7:$N$106,13,FALSE),0)+
IFERROR(VLOOKUP(A80,'Centre WV1'!$A$7:$N$107,13,FALSE),0)</f>
        <v>0</v>
      </c>
      <c r="N80" s="47">
        <f>IFERROR(VLOOKUP(A80,'Centre DW1'!$A$7:$N$106,14,FALSE),0)+
IFERROR(VLOOKUP(A80,'Centre WP1'!$A$7:$N$106,14,FALSE),0)+
IFERROR(VLOOKUP(A80,'Centre WR1'!$A$7:$N$106,14,FALSE),0)+
IFERROR(VLOOKUP(A80,'Centre WV1'!$A$7:$N$107,14,FALSE),0)</f>
        <v>0</v>
      </c>
    </row>
    <row r="81" spans="1:15" collapsed="1" x14ac:dyDescent="0.2">
      <c r="A81" s="36"/>
      <c r="B81" s="36" t="s">
        <v>165</v>
      </c>
      <c r="C81" s="45">
        <f>+C36+C54+C58+C62+C65+C67+C68+C69+C70+C77</f>
        <v>9.6000000000000014</v>
      </c>
      <c r="D81" s="45">
        <f t="shared" ref="D81:N81" si="26">+D36+D54+D58+D62+D65+D67+D68+D69+D70+D77</f>
        <v>6.3000000000000007</v>
      </c>
      <c r="E81" s="45">
        <f t="shared" si="26"/>
        <v>14.899999999999999</v>
      </c>
      <c r="F81" s="45">
        <f t="shared" si="26"/>
        <v>13.900000000000002</v>
      </c>
      <c r="G81" s="45">
        <f t="shared" si="26"/>
        <v>6.8999999999999995</v>
      </c>
      <c r="H81" s="45">
        <f t="shared" si="26"/>
        <v>5.8</v>
      </c>
      <c r="I81" s="45">
        <f t="shared" si="26"/>
        <v>9.2999999999999989</v>
      </c>
      <c r="J81" s="45">
        <f t="shared" ca="1" si="26"/>
        <v>8.9</v>
      </c>
      <c r="K81" s="45">
        <f t="shared" ca="1" si="26"/>
        <v>24.900000000000002</v>
      </c>
      <c r="L81" s="45">
        <f t="shared" ca="1" si="26"/>
        <v>8.9</v>
      </c>
      <c r="M81" s="45">
        <f t="shared" ca="1" si="26"/>
        <v>5.5</v>
      </c>
      <c r="N81" s="45">
        <f t="shared" ca="1" si="26"/>
        <v>4.2999999999999989</v>
      </c>
      <c r="O81" s="50">
        <f ca="1">SUM(C81:N81)</f>
        <v>119.20000000000002</v>
      </c>
    </row>
    <row r="82" spans="1:15" x14ac:dyDescent="0.2">
      <c r="A82" s="35"/>
      <c r="B82" s="35" t="s">
        <v>166</v>
      </c>
      <c r="C82" s="21">
        <f>+C34-C81</f>
        <v>60.099999999999987</v>
      </c>
      <c r="D82" s="21">
        <f t="shared" ref="D82:N82" si="27">+D34-D81</f>
        <v>46.400000000000006</v>
      </c>
      <c r="E82" s="21">
        <f t="shared" si="27"/>
        <v>27.900000000000006</v>
      </c>
      <c r="F82" s="21">
        <f t="shared" si="27"/>
        <v>29.500000000000004</v>
      </c>
      <c r="G82" s="21">
        <f t="shared" si="27"/>
        <v>26.6</v>
      </c>
      <c r="H82" s="21">
        <f>+H34-H81</f>
        <v>41</v>
      </c>
      <c r="I82" s="21">
        <f t="shared" si="27"/>
        <v>37.6</v>
      </c>
      <c r="J82" s="21">
        <f t="shared" ca="1" si="27"/>
        <v>26.200000000000003</v>
      </c>
      <c r="K82" s="21">
        <f t="shared" ca="1" si="27"/>
        <v>11.899999999999995</v>
      </c>
      <c r="L82" s="21">
        <f t="shared" ca="1" si="27"/>
        <v>30.300000000000004</v>
      </c>
      <c r="M82" s="21">
        <f t="shared" ca="1" si="27"/>
        <v>52</v>
      </c>
      <c r="N82" s="21">
        <f t="shared" ca="1" si="27"/>
        <v>49.2</v>
      </c>
      <c r="O82" s="50">
        <f ca="1">SUM(C82:N82)</f>
        <v>438.7</v>
      </c>
    </row>
    <row r="83" spans="1:15" x14ac:dyDescent="0.2">
      <c r="A83" s="33" t="s">
        <v>167</v>
      </c>
      <c r="B83" s="34" t="s">
        <v>168</v>
      </c>
      <c r="C83" s="46">
        <f t="shared" ref="C83:I83" si="28">SUM(C84:C99)</f>
        <v>18.600000000000001</v>
      </c>
      <c r="D83" s="46">
        <f t="shared" si="28"/>
        <v>14.4</v>
      </c>
      <c r="E83" s="46">
        <f t="shared" si="28"/>
        <v>15.900000000000002</v>
      </c>
      <c r="F83" s="46">
        <f t="shared" si="28"/>
        <v>24.4</v>
      </c>
      <c r="G83" s="46">
        <f t="shared" si="28"/>
        <v>7.1</v>
      </c>
      <c r="H83" s="46">
        <f t="shared" si="28"/>
        <v>5.9</v>
      </c>
      <c r="I83" s="46">
        <f t="shared" si="28"/>
        <v>14.4</v>
      </c>
      <c r="J83" s="46">
        <f>SUM(J84:J99)</f>
        <v>17.3</v>
      </c>
      <c r="K83" s="46">
        <f t="shared" ref="K83:N83" si="29">SUM(K84:K99)</f>
        <v>23.599999999999998</v>
      </c>
      <c r="L83" s="46">
        <f t="shared" si="29"/>
        <v>14.1</v>
      </c>
      <c r="M83" s="46">
        <f t="shared" si="29"/>
        <v>12.5</v>
      </c>
      <c r="N83" s="46">
        <f t="shared" si="29"/>
        <v>13.9</v>
      </c>
    </row>
    <row r="84" spans="1:15" hidden="1" outlineLevel="1" x14ac:dyDescent="0.2">
      <c r="A84" s="9" t="s">
        <v>169</v>
      </c>
      <c r="B84" s="1" t="s">
        <v>170</v>
      </c>
      <c r="C84" s="10">
        <f>IFERROR(VLOOKUP(A84,'Centre DW1'!$A$7:$N$106,3,FALSE),0)+
IFERROR(VLOOKUP(A84,'Centre WP1'!$A$7:$N$106,3,FALSE),0)+
IFERROR(VLOOKUP(A84,'Centre WR1'!$A$7:$N$106,3,FALSE),0)+
IFERROR(VLOOKUP(A84,'Centre WV1'!$A$7:$N$107,3,FALSE),0)</f>
        <v>0</v>
      </c>
      <c r="D84" s="10">
        <f>IFERROR(VLOOKUP(A84,'Centre DW1'!$A$7:$N$106,4,FALSE),0)+
IFERROR(VLOOKUP(A84,'Centre WP1'!$A$7:$N$106,4,FALSE),0)+
IFERROR(VLOOKUP(A84,'Centre WR1'!$A$7:$N$106,4,FALSE),0)+
IFERROR(VLOOKUP(A84,'Centre WV1'!$A$7:$N$107,4,FALSE),0)</f>
        <v>0</v>
      </c>
      <c r="E84" s="10">
        <f>IFERROR(VLOOKUP(A84,'Centre DW1'!$A$7:$N$106,5,FALSE),0)+
IFERROR(VLOOKUP(A84,'Centre WP1'!$A$7:$N$106,5,FALSE),0)+
IFERROR(VLOOKUP(A84,'Centre WR1'!$A$7:$N$106,5,FALSE),0)+
IFERROR(VLOOKUP(A84,'Centre WV1'!$A$7:$N$107,5,FALSE),0)</f>
        <v>0</v>
      </c>
      <c r="F84" s="10">
        <f>IFERROR(VLOOKUP(A84,'Centre DW1'!$A$7:$N$106,6,FALSE),0)+
IFERROR(VLOOKUP(A84,'Centre WP1'!$A$7:$N$106,6,FALSE),0)+
IFERROR(VLOOKUP(A84,'Centre WR1'!$A$7:$N$106,6,FALSE),0)+
IFERROR(VLOOKUP(A84,'Centre WV1'!$A$7:$N$107,6,FALSE),0)</f>
        <v>0</v>
      </c>
      <c r="G84" s="10">
        <f>IFERROR(VLOOKUP(A84,'Centre DW1'!$A$7:$N$106,7,FALSE),0)+
IFERROR(VLOOKUP(A84,'Centre WP1'!$A$7:$N$106,7,FALSE),0)+
IFERROR(VLOOKUP(A84,'Centre WR1'!$A$7:$N$106,7,FALSE),0)+
IFERROR(VLOOKUP(A84,'Centre WV1'!$A$7:$N$107,7,FALSE),0)</f>
        <v>0</v>
      </c>
      <c r="H84" s="10">
        <f>IFERROR(VLOOKUP(A84,'Centre DW1'!$A$7:$N$106,8,FALSE),0)+
IFERROR(VLOOKUP(A84,'Centre WP1'!$A$7:$N$106,8,FALSE),0)+
IFERROR(VLOOKUP(A84,'Centre WR1'!$A$7:$N$106,8,FALSE),0)+
IFERROR(VLOOKUP(A84,'Centre WV1'!$A$7:$N$107,8,FALSE),0)</f>
        <v>0</v>
      </c>
      <c r="I84" s="10">
        <f>IFERROR(VLOOKUP(A84,'Centre DW1'!$A$7:$N$106,9,FALSE),0)+
IFERROR(VLOOKUP(A84,'Centre WP1'!$A$7:$N$106,9,FALSE),0)+
IFERROR(VLOOKUP(A84,'Centre WR1'!$A$7:$N$106,9,FALSE),0)+
IFERROR(VLOOKUP(A84,'Centre WV1'!$A$7:$N$107,9,FALSE),0)</f>
        <v>0</v>
      </c>
      <c r="J84" s="47">
        <f>IFERROR(VLOOKUP(A84,'Centre DW1'!$A$7:$N$106,10,FALSE),0)+
IFERROR(VLOOKUP(A84,'Centre WP1'!$A$7:$N$106,10,FALSE),0)+
IFERROR(VLOOKUP(A84,'Centre WR1'!$A$7:$N$106,10,FALSE),0)+
IFERROR(VLOOKUP(A84,'Centre WV1'!$A$7:$N$107,10,FALSE),0)</f>
        <v>0</v>
      </c>
      <c r="K84" s="47">
        <f>IFERROR(VLOOKUP(A84,'Centre DW1'!$A$7:$N$106,11,FALSE),0)+
IFERROR(VLOOKUP(A84,'Centre WP1'!$A$7:$N$106,11,FALSE),0)+
IFERROR(VLOOKUP(A84,'Centre WR1'!$A$7:$N$106,11,FALSE),0)+
IFERROR(VLOOKUP(A84,'Centre WV1'!$A$7:$N$107,11,FALSE),0)</f>
        <v>0</v>
      </c>
      <c r="L84" s="47">
        <f>IFERROR(VLOOKUP(A84,'Centre DW1'!$A$7:$N$106,12,FALSE),0)+
IFERROR(VLOOKUP(A84,'Centre WP1'!$A$7:$N$106,12,FALSE),0)+
IFERROR(VLOOKUP(A84,'Centre WR1'!$A$7:$N$106,12,FALSE),0)+
IFERROR(VLOOKUP(A84,'Centre WV1'!$A$7:$N$107,12,FALSE),0)</f>
        <v>0</v>
      </c>
      <c r="M84" s="47">
        <f>IFERROR(VLOOKUP(A84,'Centre DW1'!$A$7:$N$106,13,FALSE),0)+
IFERROR(VLOOKUP(A84,'Centre WP1'!$A$7:$N$106,13,FALSE),0)+
IFERROR(VLOOKUP(A84,'Centre WR1'!$A$7:$N$106,13,FALSE),0)+
IFERROR(VLOOKUP(A84,'Centre WV1'!$A$7:$N$107,13,FALSE),0)</f>
        <v>0</v>
      </c>
      <c r="N84" s="47">
        <f>IFERROR(VLOOKUP(A84,'Centre DW1'!$A$7:$N$106,14,FALSE),0)+
IFERROR(VLOOKUP(A84,'Centre WP1'!$A$7:$N$106,14,FALSE),0)+
IFERROR(VLOOKUP(A84,'Centre WR1'!$A$7:$N$106,14,FALSE),0)+
IFERROR(VLOOKUP(A84,'Centre WV1'!$A$7:$N$107,14,FALSE),0)</f>
        <v>0</v>
      </c>
    </row>
    <row r="85" spans="1:15" hidden="1" outlineLevel="1" x14ac:dyDescent="0.2">
      <c r="A85" s="9" t="s">
        <v>171</v>
      </c>
      <c r="B85" s="1" t="s">
        <v>172</v>
      </c>
      <c r="C85" s="10">
        <f>IFERROR(VLOOKUP(A85,'Centre DW1'!$A$7:$N$106,3,FALSE),0)+
IFERROR(VLOOKUP(A85,'Centre WP1'!$A$7:$N$106,3,FALSE),0)+
IFERROR(VLOOKUP(A85,'Centre WR1'!$A$7:$N$106,3,FALSE),0)+
IFERROR(VLOOKUP(A85,'Centre WV1'!$A$7:$N$107,3,FALSE),0)</f>
        <v>3.9</v>
      </c>
      <c r="D85" s="10">
        <f>IFERROR(VLOOKUP(A85,'Centre DW1'!$A$7:$N$106,4,FALSE),0)+
IFERROR(VLOOKUP(A85,'Centre WP1'!$A$7:$N$106,4,FALSE),0)+
IFERROR(VLOOKUP(A85,'Centre WR1'!$A$7:$N$106,4,FALSE),0)+
IFERROR(VLOOKUP(A85,'Centre WV1'!$A$7:$N$107,4,FALSE),0)</f>
        <v>3</v>
      </c>
      <c r="E85" s="10">
        <f>IFERROR(VLOOKUP(A85,'Centre DW1'!$A$7:$N$106,5,FALSE),0)+
IFERROR(VLOOKUP(A85,'Centre WP1'!$A$7:$N$106,5,FALSE),0)+
IFERROR(VLOOKUP(A85,'Centre WR1'!$A$7:$N$106,5,FALSE),0)+
IFERROR(VLOOKUP(A85,'Centre WV1'!$A$7:$N$107,5,FALSE),0)</f>
        <v>3.6</v>
      </c>
      <c r="F85" s="10">
        <f>IFERROR(VLOOKUP(A85,'Centre DW1'!$A$7:$N$106,6,FALSE),0)+
IFERROR(VLOOKUP(A85,'Centre WP1'!$A$7:$N$106,6,FALSE),0)+
IFERROR(VLOOKUP(A85,'Centre WR1'!$A$7:$N$106,6,FALSE),0)+
IFERROR(VLOOKUP(A85,'Centre WV1'!$A$7:$N$107,6,FALSE),0)</f>
        <v>7.8</v>
      </c>
      <c r="G85" s="10">
        <f>IFERROR(VLOOKUP(A85,'Centre DW1'!$A$7:$N$106,7,FALSE),0)+
IFERROR(VLOOKUP(A85,'Centre WP1'!$A$7:$N$106,7,FALSE),0)+
IFERROR(VLOOKUP(A85,'Centre WR1'!$A$7:$N$106,7,FALSE),0)+
IFERROR(VLOOKUP(A85,'Centre WV1'!$A$7:$N$107,7,FALSE),0)</f>
        <v>2</v>
      </c>
      <c r="H85" s="10">
        <f>IFERROR(VLOOKUP(A85,'Centre DW1'!$A$7:$N$106,8,FALSE),0)+
IFERROR(VLOOKUP(A85,'Centre WP1'!$A$7:$N$106,8,FALSE),0)+
IFERROR(VLOOKUP(A85,'Centre WR1'!$A$7:$N$106,8,FALSE),0)+
IFERROR(VLOOKUP(A85,'Centre WV1'!$A$7:$N$107,8,FALSE),0)</f>
        <v>1</v>
      </c>
      <c r="I85" s="10">
        <f>IFERROR(VLOOKUP(A85,'Centre DW1'!$A$7:$N$106,9,FALSE),0)+
IFERROR(VLOOKUP(A85,'Centre WP1'!$A$7:$N$106,9,FALSE),0)+
IFERROR(VLOOKUP(A85,'Centre WR1'!$A$7:$N$106,9,FALSE),0)+
IFERROR(VLOOKUP(A85,'Centre WV1'!$A$7:$N$107,9,FALSE),0)</f>
        <v>3</v>
      </c>
      <c r="J85" s="47">
        <f>IFERROR(VLOOKUP(A85,'Centre DW1'!$A$7:$N$106,10,FALSE),0)+
IFERROR(VLOOKUP(A85,'Centre WP1'!$A$7:$N$106,10,FALSE),0)+
IFERROR(VLOOKUP(A85,'Centre WR1'!$A$7:$N$106,10,FALSE),0)+
IFERROR(VLOOKUP(A85,'Centre WV1'!$A$7:$N$107,10,FALSE),0)</f>
        <v>2.6</v>
      </c>
      <c r="K85" s="47">
        <f>IFERROR(VLOOKUP(A85,'Centre DW1'!$A$7:$N$106,11,FALSE),0)+
IFERROR(VLOOKUP(A85,'Centre WP1'!$A$7:$N$106,11,FALSE),0)+
IFERROR(VLOOKUP(A85,'Centre WR1'!$A$7:$N$106,11,FALSE),0)+
IFERROR(VLOOKUP(A85,'Centre WV1'!$A$7:$N$107,11,FALSE),0)</f>
        <v>6.8</v>
      </c>
      <c r="L85" s="47">
        <f>IFERROR(VLOOKUP(A85,'Centre DW1'!$A$7:$N$106,12,FALSE),0)+
IFERROR(VLOOKUP(A85,'Centre WP1'!$A$7:$N$106,12,FALSE),0)+
IFERROR(VLOOKUP(A85,'Centre WR1'!$A$7:$N$106,12,FALSE),0)+
IFERROR(VLOOKUP(A85,'Centre WV1'!$A$7:$N$107,12,FALSE),0)</f>
        <v>1</v>
      </c>
      <c r="M85" s="47">
        <f>IFERROR(VLOOKUP(A85,'Centre DW1'!$A$7:$N$106,13,FALSE),0)+
IFERROR(VLOOKUP(A85,'Centre WP1'!$A$7:$N$106,13,FALSE),0)+
IFERROR(VLOOKUP(A85,'Centre WR1'!$A$7:$N$106,13,FALSE),0)+
IFERROR(VLOOKUP(A85,'Centre WV1'!$A$7:$N$107,13,FALSE),0)</f>
        <v>2</v>
      </c>
      <c r="N85" s="47">
        <f>IFERROR(VLOOKUP(A85,'Centre DW1'!$A$7:$N$106,14,FALSE),0)+
IFERROR(VLOOKUP(A85,'Centre WP1'!$A$7:$N$106,14,FALSE),0)+
IFERROR(VLOOKUP(A85,'Centre WR1'!$A$7:$N$106,14,FALSE),0)+
IFERROR(VLOOKUP(A85,'Centre WV1'!$A$7:$N$107,14,FALSE),0)</f>
        <v>1</v>
      </c>
    </row>
    <row r="86" spans="1:15" hidden="1" outlineLevel="1" x14ac:dyDescent="0.2">
      <c r="A86" s="9" t="s">
        <v>173</v>
      </c>
      <c r="B86" s="1" t="s">
        <v>174</v>
      </c>
      <c r="C86" s="10">
        <f>IFERROR(VLOOKUP(A86,'Centre DW1'!$A$7:$N$106,3,FALSE),0)+
IFERROR(VLOOKUP(A86,'Centre WP1'!$A$7:$N$106,3,FALSE),0)+
IFERROR(VLOOKUP(A86,'Centre WR1'!$A$7:$N$106,3,FALSE),0)+
IFERROR(VLOOKUP(A86,'Centre WV1'!$A$7:$N$107,3,FALSE),0)</f>
        <v>5.9</v>
      </c>
      <c r="D86" s="10">
        <f>IFERROR(VLOOKUP(A86,'Centre DW1'!$A$7:$N$106,4,FALSE),0)+
IFERROR(VLOOKUP(A86,'Centre WP1'!$A$7:$N$106,4,FALSE),0)+
IFERROR(VLOOKUP(A86,'Centre WR1'!$A$7:$N$106,4,FALSE),0)+
IFERROR(VLOOKUP(A86,'Centre WV1'!$A$7:$N$107,4,FALSE),0)</f>
        <v>0.2</v>
      </c>
      <c r="E86" s="10">
        <f>IFERROR(VLOOKUP(A86,'Centre DW1'!$A$7:$N$106,5,FALSE),0)+
IFERROR(VLOOKUP(A86,'Centre WP1'!$A$7:$N$106,5,FALSE),0)+
IFERROR(VLOOKUP(A86,'Centre WR1'!$A$7:$N$106,5,FALSE),0)+
IFERROR(VLOOKUP(A86,'Centre WV1'!$A$7:$N$107,5,FALSE),0)</f>
        <v>1.8</v>
      </c>
      <c r="F86" s="10">
        <f>IFERROR(VLOOKUP(A86,'Centre DW1'!$A$7:$N$106,6,FALSE),0)+
IFERROR(VLOOKUP(A86,'Centre WP1'!$A$7:$N$106,6,FALSE),0)+
IFERROR(VLOOKUP(A86,'Centre WR1'!$A$7:$N$106,6,FALSE),0)+
IFERROR(VLOOKUP(A86,'Centre WV1'!$A$7:$N$107,6,FALSE),0)</f>
        <v>3.4</v>
      </c>
      <c r="G86" s="10">
        <f>IFERROR(VLOOKUP(A86,'Centre DW1'!$A$7:$N$106,7,FALSE),0)+
IFERROR(VLOOKUP(A86,'Centre WP1'!$A$7:$N$106,7,FALSE),0)+
IFERROR(VLOOKUP(A86,'Centre WR1'!$A$7:$N$106,7,FALSE),0)+
IFERROR(VLOOKUP(A86,'Centre WV1'!$A$7:$N$107,7,FALSE),0)</f>
        <v>0</v>
      </c>
      <c r="H86" s="10">
        <f>IFERROR(VLOOKUP(A86,'Centre DW1'!$A$7:$N$106,8,FALSE),0)+
IFERROR(VLOOKUP(A86,'Centre WP1'!$A$7:$N$106,8,FALSE),0)+
IFERROR(VLOOKUP(A86,'Centre WR1'!$A$7:$N$106,8,FALSE),0)+
IFERROR(VLOOKUP(A86,'Centre WV1'!$A$7:$N$107,8,FALSE),0)</f>
        <v>0</v>
      </c>
      <c r="I86" s="10">
        <f>IFERROR(VLOOKUP(A86,'Centre DW1'!$A$7:$N$106,9,FALSE),0)+
IFERROR(VLOOKUP(A86,'Centre WP1'!$A$7:$N$106,9,FALSE),0)+
IFERROR(VLOOKUP(A86,'Centre WR1'!$A$7:$N$106,9,FALSE),0)+
IFERROR(VLOOKUP(A86,'Centre WV1'!$A$7:$N$107,9,FALSE),0)</f>
        <v>0.2</v>
      </c>
      <c r="J86" s="47">
        <f>IFERROR(VLOOKUP(A86,'Centre DW1'!$A$7:$N$106,10,FALSE),0)+
IFERROR(VLOOKUP(A86,'Centre WP1'!$A$7:$N$106,10,FALSE),0)+
IFERROR(VLOOKUP(A86,'Centre WR1'!$A$7:$N$106,10,FALSE),0)+
IFERROR(VLOOKUP(A86,'Centre WV1'!$A$7:$N$107,10,FALSE),0)</f>
        <v>1.8</v>
      </c>
      <c r="K86" s="47">
        <f>IFERROR(VLOOKUP(A86,'Centre DW1'!$A$7:$N$106,11,FALSE),0)+
IFERROR(VLOOKUP(A86,'Centre WP1'!$A$7:$N$106,11,FALSE),0)+
IFERROR(VLOOKUP(A86,'Centre WR1'!$A$7:$N$106,11,FALSE),0)+
IFERROR(VLOOKUP(A86,'Centre WV1'!$A$7:$N$107,11,FALSE),0)</f>
        <v>3.4</v>
      </c>
      <c r="L86" s="47">
        <f>IFERROR(VLOOKUP(A86,'Centre DW1'!$A$7:$N$106,12,FALSE),0)+
IFERROR(VLOOKUP(A86,'Centre WP1'!$A$7:$N$106,12,FALSE),0)+
IFERROR(VLOOKUP(A86,'Centre WR1'!$A$7:$N$106,12,FALSE),0)+
IFERROR(VLOOKUP(A86,'Centre WV1'!$A$7:$N$107,12,FALSE),0)</f>
        <v>0</v>
      </c>
      <c r="M86" s="47">
        <f>IFERROR(VLOOKUP(A86,'Centre DW1'!$A$7:$N$106,13,FALSE),0)+
IFERROR(VLOOKUP(A86,'Centre WP1'!$A$7:$N$106,13,FALSE),0)+
IFERROR(VLOOKUP(A86,'Centre WR1'!$A$7:$N$106,13,FALSE),0)+
IFERROR(VLOOKUP(A86,'Centre WV1'!$A$7:$N$107,13,FALSE),0)</f>
        <v>0</v>
      </c>
      <c r="N86" s="47">
        <f>IFERROR(VLOOKUP(A86,'Centre DW1'!$A$7:$N$106,14,FALSE),0)+
IFERROR(VLOOKUP(A86,'Centre WP1'!$A$7:$N$106,14,FALSE),0)+
IFERROR(VLOOKUP(A86,'Centre WR1'!$A$7:$N$106,14,FALSE),0)+
IFERROR(VLOOKUP(A86,'Centre WV1'!$A$7:$N$107,14,FALSE),0)</f>
        <v>0</v>
      </c>
    </row>
    <row r="87" spans="1:15" hidden="1" outlineLevel="1" x14ac:dyDescent="0.2">
      <c r="A87" s="9" t="s">
        <v>175</v>
      </c>
      <c r="B87" s="1" t="s">
        <v>176</v>
      </c>
      <c r="C87" s="10">
        <f>IFERROR(VLOOKUP(A87,'Centre DW1'!$A$7:$N$106,3,FALSE),0)+
IFERROR(VLOOKUP(A87,'Centre WP1'!$A$7:$N$106,3,FALSE),0)+
IFERROR(VLOOKUP(A87,'Centre WR1'!$A$7:$N$106,3,FALSE),0)+
IFERROR(VLOOKUP(A87,'Centre WV1'!$A$7:$N$107,3,FALSE),0)</f>
        <v>4.0999999999999996</v>
      </c>
      <c r="D87" s="10">
        <f>IFERROR(VLOOKUP(A87,'Centre DW1'!$A$7:$N$106,4,FALSE),0)+
IFERROR(VLOOKUP(A87,'Centre WP1'!$A$7:$N$106,4,FALSE),0)+
IFERROR(VLOOKUP(A87,'Centre WR1'!$A$7:$N$106,4,FALSE),0)+
IFERROR(VLOOKUP(A87,'Centre WV1'!$A$7:$N$107,4,FALSE),0)</f>
        <v>5.2</v>
      </c>
      <c r="E87" s="10">
        <f>IFERROR(VLOOKUP(A87,'Centre DW1'!$A$7:$N$106,5,FALSE),0)+
IFERROR(VLOOKUP(A87,'Centre WP1'!$A$7:$N$106,5,FALSE),0)+
IFERROR(VLOOKUP(A87,'Centre WR1'!$A$7:$N$106,5,FALSE),0)+
IFERROR(VLOOKUP(A87,'Centre WV1'!$A$7:$N$107,5,FALSE),0)</f>
        <v>5.6</v>
      </c>
      <c r="F87" s="10">
        <f>IFERROR(VLOOKUP(A87,'Centre DW1'!$A$7:$N$106,6,FALSE),0)+
IFERROR(VLOOKUP(A87,'Centre WP1'!$A$7:$N$106,6,FALSE),0)+
IFERROR(VLOOKUP(A87,'Centre WR1'!$A$7:$N$106,6,FALSE),0)+
IFERROR(VLOOKUP(A87,'Centre WV1'!$A$7:$N$107,6,FALSE),0)</f>
        <v>7.8</v>
      </c>
      <c r="G87" s="10">
        <f>IFERROR(VLOOKUP(A87,'Centre DW1'!$A$7:$N$106,7,FALSE),0)+
IFERROR(VLOOKUP(A87,'Centre WP1'!$A$7:$N$106,7,FALSE),0)+
IFERROR(VLOOKUP(A87,'Centre WR1'!$A$7:$N$106,7,FALSE),0)+
IFERROR(VLOOKUP(A87,'Centre WV1'!$A$7:$N$107,7,FALSE),0)</f>
        <v>0</v>
      </c>
      <c r="H87" s="10">
        <f>IFERROR(VLOOKUP(A87,'Centre DW1'!$A$7:$N$106,8,FALSE),0)+
IFERROR(VLOOKUP(A87,'Centre WP1'!$A$7:$N$106,8,FALSE),0)+
IFERROR(VLOOKUP(A87,'Centre WR1'!$A$7:$N$106,8,FALSE),0)+
IFERROR(VLOOKUP(A87,'Centre WV1'!$A$7:$N$107,8,FALSE),0)</f>
        <v>0</v>
      </c>
      <c r="I87" s="10">
        <f>IFERROR(VLOOKUP(A87,'Centre DW1'!$A$7:$N$106,9,FALSE),0)+
IFERROR(VLOOKUP(A87,'Centre WP1'!$A$7:$N$106,9,FALSE),0)+
IFERROR(VLOOKUP(A87,'Centre WR1'!$A$7:$N$106,9,FALSE),0)+
IFERROR(VLOOKUP(A87,'Centre WV1'!$A$7:$N$107,9,FALSE),0)</f>
        <v>5.2</v>
      </c>
      <c r="J87" s="47">
        <f>IFERROR(VLOOKUP(A87,'Centre DW1'!$A$7:$N$106,10,FALSE),0)+
IFERROR(VLOOKUP(A87,'Centre WP1'!$A$7:$N$106,10,FALSE),0)+
IFERROR(VLOOKUP(A87,'Centre WR1'!$A$7:$N$106,10,FALSE),0)+
IFERROR(VLOOKUP(A87,'Centre WV1'!$A$7:$N$107,10,FALSE),0)</f>
        <v>8</v>
      </c>
      <c r="K87" s="47">
        <f>IFERROR(VLOOKUP(A87,'Centre DW1'!$A$7:$N$106,11,FALSE),0)+
IFERROR(VLOOKUP(A87,'Centre WP1'!$A$7:$N$106,11,FALSE),0)+
IFERROR(VLOOKUP(A87,'Centre WR1'!$A$7:$N$106,11,FALSE),0)+
IFERROR(VLOOKUP(A87,'Centre WV1'!$A$7:$N$107,11,FALSE),0)</f>
        <v>8</v>
      </c>
      <c r="L87" s="47">
        <f>IFERROR(VLOOKUP(A87,'Centre DW1'!$A$7:$N$106,12,FALSE),0)+
IFERROR(VLOOKUP(A87,'Centre WP1'!$A$7:$N$106,12,FALSE),0)+
IFERROR(VLOOKUP(A87,'Centre WR1'!$A$7:$N$106,12,FALSE),0)+
IFERROR(VLOOKUP(A87,'Centre WV1'!$A$7:$N$107,12,FALSE),0)</f>
        <v>8</v>
      </c>
      <c r="M87" s="47">
        <f>IFERROR(VLOOKUP(A87,'Centre DW1'!$A$7:$N$106,13,FALSE),0)+
IFERROR(VLOOKUP(A87,'Centre WP1'!$A$7:$N$106,13,FALSE),0)+
IFERROR(VLOOKUP(A87,'Centre WR1'!$A$7:$N$106,13,FALSE),0)+
IFERROR(VLOOKUP(A87,'Centre WV1'!$A$7:$N$107,13,FALSE),0)</f>
        <v>5</v>
      </c>
      <c r="N87" s="47">
        <f>IFERROR(VLOOKUP(A87,'Centre DW1'!$A$7:$N$106,14,FALSE),0)+
IFERROR(VLOOKUP(A87,'Centre WP1'!$A$7:$N$106,14,FALSE),0)+
IFERROR(VLOOKUP(A87,'Centre WR1'!$A$7:$N$106,14,FALSE),0)+
IFERROR(VLOOKUP(A87,'Centre WV1'!$A$7:$N$107,14,FALSE),0)</f>
        <v>8</v>
      </c>
    </row>
    <row r="88" spans="1:15" hidden="1" outlineLevel="1" x14ac:dyDescent="0.2">
      <c r="A88" s="9" t="s">
        <v>177</v>
      </c>
      <c r="B88" s="1" t="s">
        <v>178</v>
      </c>
      <c r="C88" s="10">
        <f>IFERROR(VLOOKUP(A88,'Centre DW1'!$A$7:$N$106,3,FALSE),0)+
IFERROR(VLOOKUP(A88,'Centre WP1'!$A$7:$N$106,3,FALSE),0)+
IFERROR(VLOOKUP(A88,'Centre WR1'!$A$7:$N$106,3,FALSE),0)+
IFERROR(VLOOKUP(A88,'Centre WV1'!$A$7:$N$107,3,FALSE),0)</f>
        <v>0.5</v>
      </c>
      <c r="D88" s="10">
        <f>IFERROR(VLOOKUP(A88,'Centre DW1'!$A$7:$N$106,4,FALSE),0)+
IFERROR(VLOOKUP(A88,'Centre WP1'!$A$7:$N$106,4,FALSE),0)+
IFERROR(VLOOKUP(A88,'Centre WR1'!$A$7:$N$106,4,FALSE),0)+
IFERROR(VLOOKUP(A88,'Centre WV1'!$A$7:$N$107,4,FALSE),0)</f>
        <v>0.5</v>
      </c>
      <c r="E88" s="10">
        <f>IFERROR(VLOOKUP(A88,'Centre DW1'!$A$7:$N$106,5,FALSE),0)+
IFERROR(VLOOKUP(A88,'Centre WP1'!$A$7:$N$106,5,FALSE),0)+
IFERROR(VLOOKUP(A88,'Centre WR1'!$A$7:$N$106,5,FALSE),0)+
IFERROR(VLOOKUP(A88,'Centre WV1'!$A$7:$N$107,5,FALSE),0)</f>
        <v>0.5</v>
      </c>
      <c r="F88" s="10">
        <f>IFERROR(VLOOKUP(A88,'Centre DW1'!$A$7:$N$106,6,FALSE),0)+
IFERROR(VLOOKUP(A88,'Centre WP1'!$A$7:$N$106,6,FALSE),0)+
IFERROR(VLOOKUP(A88,'Centre WR1'!$A$7:$N$106,6,FALSE),0)+
IFERROR(VLOOKUP(A88,'Centre WV1'!$A$7:$N$107,6,FALSE),0)</f>
        <v>0.6</v>
      </c>
      <c r="G88" s="10">
        <f>IFERROR(VLOOKUP(A88,'Centre DW1'!$A$7:$N$106,7,FALSE),0)+
IFERROR(VLOOKUP(A88,'Centre WP1'!$A$7:$N$106,7,FALSE),0)+
IFERROR(VLOOKUP(A88,'Centre WR1'!$A$7:$N$106,7,FALSE),0)+
IFERROR(VLOOKUP(A88,'Centre WV1'!$A$7:$N$107,7,FALSE),0)</f>
        <v>0</v>
      </c>
      <c r="H88" s="10">
        <f>IFERROR(VLOOKUP(A88,'Centre DW1'!$A$7:$N$106,8,FALSE),0)+
IFERROR(VLOOKUP(A88,'Centre WP1'!$A$7:$N$106,8,FALSE),0)+
IFERROR(VLOOKUP(A88,'Centre WR1'!$A$7:$N$106,8,FALSE),0)+
IFERROR(VLOOKUP(A88,'Centre WV1'!$A$7:$N$107,8,FALSE),0)</f>
        <v>0</v>
      </c>
      <c r="I88" s="10">
        <f>IFERROR(VLOOKUP(A88,'Centre DW1'!$A$7:$N$106,9,FALSE),0)+
IFERROR(VLOOKUP(A88,'Centre WP1'!$A$7:$N$106,9,FALSE),0)+
IFERROR(VLOOKUP(A88,'Centre WR1'!$A$7:$N$106,9,FALSE),0)+
IFERROR(VLOOKUP(A88,'Centre WV1'!$A$7:$N$107,9,FALSE),0)</f>
        <v>0.5</v>
      </c>
      <c r="J88" s="47">
        <f>IFERROR(VLOOKUP(A88,'Centre DW1'!$A$7:$N$106,10,FALSE),0)+
IFERROR(VLOOKUP(A88,'Centre WP1'!$A$7:$N$106,10,FALSE),0)+
IFERROR(VLOOKUP(A88,'Centre WR1'!$A$7:$N$106,10,FALSE),0)+
IFERROR(VLOOKUP(A88,'Centre WV1'!$A$7:$N$107,10,FALSE),0)</f>
        <v>0.5</v>
      </c>
      <c r="K88" s="47">
        <f>IFERROR(VLOOKUP(A88,'Centre DW1'!$A$7:$N$106,11,FALSE),0)+
IFERROR(VLOOKUP(A88,'Centre WP1'!$A$7:$N$106,11,FALSE),0)+
IFERROR(VLOOKUP(A88,'Centre WR1'!$A$7:$N$106,11,FALSE),0)+
IFERROR(VLOOKUP(A88,'Centre WV1'!$A$7:$N$107,11,FALSE),0)</f>
        <v>0.6</v>
      </c>
      <c r="L88" s="47">
        <f>IFERROR(VLOOKUP(A88,'Centre DW1'!$A$7:$N$106,12,FALSE),0)+
IFERROR(VLOOKUP(A88,'Centre WP1'!$A$7:$N$106,12,FALSE),0)+
IFERROR(VLOOKUP(A88,'Centre WR1'!$A$7:$N$106,12,FALSE),0)+
IFERROR(VLOOKUP(A88,'Centre WV1'!$A$7:$N$107,12,FALSE),0)</f>
        <v>0</v>
      </c>
      <c r="M88" s="47">
        <f>IFERROR(VLOOKUP(A88,'Centre DW1'!$A$7:$N$106,13,FALSE),0)+
IFERROR(VLOOKUP(A88,'Centre WP1'!$A$7:$N$106,13,FALSE),0)+
IFERROR(VLOOKUP(A88,'Centre WR1'!$A$7:$N$106,13,FALSE),0)+
IFERROR(VLOOKUP(A88,'Centre WV1'!$A$7:$N$107,13,FALSE),0)</f>
        <v>0.6</v>
      </c>
      <c r="N88" s="47">
        <f>IFERROR(VLOOKUP(A88,'Centre DW1'!$A$7:$N$106,14,FALSE),0)+
IFERROR(VLOOKUP(A88,'Centre WP1'!$A$7:$N$106,14,FALSE),0)+
IFERROR(VLOOKUP(A88,'Centre WR1'!$A$7:$N$106,14,FALSE),0)+
IFERROR(VLOOKUP(A88,'Centre WV1'!$A$7:$N$107,14,FALSE),0)</f>
        <v>0</v>
      </c>
    </row>
    <row r="89" spans="1:15" hidden="1" outlineLevel="1" x14ac:dyDescent="0.2">
      <c r="A89" s="9" t="s">
        <v>179</v>
      </c>
      <c r="B89" s="1" t="s">
        <v>180</v>
      </c>
      <c r="C89" s="10">
        <f>IFERROR(VLOOKUP(A89,'Centre DW1'!$A$7:$N$106,3,FALSE),0)+
IFERROR(VLOOKUP(A89,'Centre WP1'!$A$7:$N$106,3,FALSE),0)+
IFERROR(VLOOKUP(A89,'Centre WR1'!$A$7:$N$106,3,FALSE),0)+
IFERROR(VLOOKUP(A89,'Centre WV1'!$A$7:$N$107,3,FALSE),0)</f>
        <v>0</v>
      </c>
      <c r="D89" s="10">
        <f>IFERROR(VLOOKUP(A89,'Centre DW1'!$A$7:$N$106,4,FALSE),0)+
IFERROR(VLOOKUP(A89,'Centre WP1'!$A$7:$N$106,4,FALSE),0)+
IFERROR(VLOOKUP(A89,'Centre WR1'!$A$7:$N$106,4,FALSE),0)+
IFERROR(VLOOKUP(A89,'Centre WV1'!$A$7:$N$107,4,FALSE),0)</f>
        <v>0</v>
      </c>
      <c r="E89" s="10">
        <f>IFERROR(VLOOKUP(A89,'Centre DW1'!$A$7:$N$106,5,FALSE),0)+
IFERROR(VLOOKUP(A89,'Centre WP1'!$A$7:$N$106,5,FALSE),0)+
IFERROR(VLOOKUP(A89,'Centre WR1'!$A$7:$N$106,5,FALSE),0)+
IFERROR(VLOOKUP(A89,'Centre WV1'!$A$7:$N$107,5,FALSE),0)</f>
        <v>0</v>
      </c>
      <c r="F89" s="10">
        <f>IFERROR(VLOOKUP(A89,'Centre DW1'!$A$7:$N$106,6,FALSE),0)+
IFERROR(VLOOKUP(A89,'Centre WP1'!$A$7:$N$106,6,FALSE),0)+
IFERROR(VLOOKUP(A89,'Centre WR1'!$A$7:$N$106,6,FALSE),0)+
IFERROR(VLOOKUP(A89,'Centre WV1'!$A$7:$N$107,6,FALSE),0)</f>
        <v>0</v>
      </c>
      <c r="G89" s="10">
        <f>IFERROR(VLOOKUP(A89,'Centre DW1'!$A$7:$N$106,7,FALSE),0)+
IFERROR(VLOOKUP(A89,'Centre WP1'!$A$7:$N$106,7,FALSE),0)+
IFERROR(VLOOKUP(A89,'Centre WR1'!$A$7:$N$106,7,FALSE),0)+
IFERROR(VLOOKUP(A89,'Centre WV1'!$A$7:$N$107,7,FALSE),0)</f>
        <v>0</v>
      </c>
      <c r="H89" s="10">
        <f>IFERROR(VLOOKUP(A89,'Centre DW1'!$A$7:$N$106,8,FALSE),0)+
IFERROR(VLOOKUP(A89,'Centre WP1'!$A$7:$N$106,8,FALSE),0)+
IFERROR(VLOOKUP(A89,'Centre WR1'!$A$7:$N$106,8,FALSE),0)+
IFERROR(VLOOKUP(A89,'Centre WV1'!$A$7:$N$107,8,FALSE),0)</f>
        <v>0</v>
      </c>
      <c r="I89" s="10">
        <f>IFERROR(VLOOKUP(A89,'Centre DW1'!$A$7:$N$106,9,FALSE),0)+
IFERROR(VLOOKUP(A89,'Centre WP1'!$A$7:$N$106,9,FALSE),0)+
IFERROR(VLOOKUP(A89,'Centre WR1'!$A$7:$N$106,9,FALSE),0)+
IFERROR(VLOOKUP(A89,'Centre WV1'!$A$7:$N$107,9,FALSE),0)</f>
        <v>0</v>
      </c>
      <c r="J89" s="47">
        <f>IFERROR(VLOOKUP(A89,'Centre DW1'!$A$7:$N$106,10,FALSE),0)+
IFERROR(VLOOKUP(A89,'Centre WP1'!$A$7:$N$106,10,FALSE),0)+
IFERROR(VLOOKUP(A89,'Centre WR1'!$A$7:$N$106,10,FALSE),0)+
IFERROR(VLOOKUP(A89,'Centre WV1'!$A$7:$N$107,10,FALSE),0)</f>
        <v>0</v>
      </c>
      <c r="K89" s="47">
        <f>IFERROR(VLOOKUP(A89,'Centre DW1'!$A$7:$N$106,11,FALSE),0)+
IFERROR(VLOOKUP(A89,'Centre WP1'!$A$7:$N$106,11,FALSE),0)+
IFERROR(VLOOKUP(A89,'Centre WR1'!$A$7:$N$106,11,FALSE),0)+
IFERROR(VLOOKUP(A89,'Centre WV1'!$A$7:$N$107,11,FALSE),0)</f>
        <v>0</v>
      </c>
      <c r="L89" s="47">
        <f>IFERROR(VLOOKUP(A89,'Centre DW1'!$A$7:$N$106,12,FALSE),0)+
IFERROR(VLOOKUP(A89,'Centre WP1'!$A$7:$N$106,12,FALSE),0)+
IFERROR(VLOOKUP(A89,'Centre WR1'!$A$7:$N$106,12,FALSE),0)+
IFERROR(VLOOKUP(A89,'Centre WV1'!$A$7:$N$107,12,FALSE),0)</f>
        <v>0</v>
      </c>
      <c r="M89" s="47">
        <f>IFERROR(VLOOKUP(A89,'Centre DW1'!$A$7:$N$106,13,FALSE),0)+
IFERROR(VLOOKUP(A89,'Centre WP1'!$A$7:$N$106,13,FALSE),0)+
IFERROR(VLOOKUP(A89,'Centre WR1'!$A$7:$N$106,13,FALSE),0)+
IFERROR(VLOOKUP(A89,'Centre WV1'!$A$7:$N$107,13,FALSE),0)</f>
        <v>0</v>
      </c>
      <c r="N89" s="47">
        <f>IFERROR(VLOOKUP(A89,'Centre DW1'!$A$7:$N$106,14,FALSE),0)+
IFERROR(VLOOKUP(A89,'Centre WP1'!$A$7:$N$106,14,FALSE),0)+
IFERROR(VLOOKUP(A89,'Centre WR1'!$A$7:$N$106,14,FALSE),0)+
IFERROR(VLOOKUP(A89,'Centre WV1'!$A$7:$N$107,14,FALSE),0)</f>
        <v>0</v>
      </c>
    </row>
    <row r="90" spans="1:15" hidden="1" outlineLevel="1" x14ac:dyDescent="0.2">
      <c r="A90" s="9" t="s">
        <v>181</v>
      </c>
      <c r="B90" s="1" t="s">
        <v>182</v>
      </c>
      <c r="C90" s="10">
        <f>IFERROR(VLOOKUP(A90,'Centre DW1'!$A$7:$N$106,3,FALSE),0)+
IFERROR(VLOOKUP(A90,'Centre WP1'!$A$7:$N$106,3,FALSE),0)+
IFERROR(VLOOKUP(A90,'Centre WR1'!$A$7:$N$106,3,FALSE),0)+
IFERROR(VLOOKUP(A90,'Centre WV1'!$A$7:$N$107,3,FALSE),0)</f>
        <v>2.4</v>
      </c>
      <c r="D90" s="10">
        <f>IFERROR(VLOOKUP(A90,'Centre DW1'!$A$7:$N$106,4,FALSE),0)+
IFERROR(VLOOKUP(A90,'Centre WP1'!$A$7:$N$106,4,FALSE),0)+
IFERROR(VLOOKUP(A90,'Centre WR1'!$A$7:$N$106,4,FALSE),0)+
IFERROR(VLOOKUP(A90,'Centre WV1'!$A$7:$N$107,4,FALSE),0)</f>
        <v>2.9</v>
      </c>
      <c r="E90" s="10">
        <f>IFERROR(VLOOKUP(A90,'Centre DW1'!$A$7:$N$106,5,FALSE),0)+
IFERROR(VLOOKUP(A90,'Centre WP1'!$A$7:$N$106,5,FALSE),0)+
IFERROR(VLOOKUP(A90,'Centre WR1'!$A$7:$N$106,5,FALSE),0)+
IFERROR(VLOOKUP(A90,'Centre WV1'!$A$7:$N$107,5,FALSE),0)</f>
        <v>1.8</v>
      </c>
      <c r="F90" s="10">
        <f>IFERROR(VLOOKUP(A90,'Centre DW1'!$A$7:$N$106,6,FALSE),0)+
IFERROR(VLOOKUP(A90,'Centre WP1'!$A$7:$N$106,6,FALSE),0)+
IFERROR(VLOOKUP(A90,'Centre WR1'!$A$7:$N$106,6,FALSE),0)+
IFERROR(VLOOKUP(A90,'Centre WV1'!$A$7:$N$107,6,FALSE),0)</f>
        <v>1.4</v>
      </c>
      <c r="G90" s="10">
        <f>IFERROR(VLOOKUP(A90,'Centre DW1'!$A$7:$N$106,7,FALSE),0)+
IFERROR(VLOOKUP(A90,'Centre WP1'!$A$7:$N$106,7,FALSE),0)+
IFERROR(VLOOKUP(A90,'Centre WR1'!$A$7:$N$106,7,FALSE),0)+
IFERROR(VLOOKUP(A90,'Centre WV1'!$A$7:$N$107,7,FALSE),0)</f>
        <v>1.7</v>
      </c>
      <c r="H90" s="10">
        <f>IFERROR(VLOOKUP(A90,'Centre DW1'!$A$7:$N$106,8,FALSE),0)+
IFERROR(VLOOKUP(A90,'Centre WP1'!$A$7:$N$106,8,FALSE),0)+
IFERROR(VLOOKUP(A90,'Centre WR1'!$A$7:$N$106,8,FALSE),0)+
IFERROR(VLOOKUP(A90,'Centre WV1'!$A$7:$N$107,8,FALSE),0)</f>
        <v>1.6</v>
      </c>
      <c r="I90" s="10">
        <f>IFERROR(VLOOKUP(A90,'Centre DW1'!$A$7:$N$106,9,FALSE),0)+
IFERROR(VLOOKUP(A90,'Centre WP1'!$A$7:$N$106,9,FALSE),0)+
IFERROR(VLOOKUP(A90,'Centre WR1'!$A$7:$N$106,9,FALSE),0)+
IFERROR(VLOOKUP(A90,'Centre WV1'!$A$7:$N$107,9,FALSE),0)</f>
        <v>2.9</v>
      </c>
      <c r="J90" s="47">
        <f>IFERROR(VLOOKUP(A90,'Centre DW1'!$A$7:$N$106,10,FALSE),0)+
IFERROR(VLOOKUP(A90,'Centre WP1'!$A$7:$N$106,10,FALSE),0)+
IFERROR(VLOOKUP(A90,'Centre WR1'!$A$7:$N$106,10,FALSE),0)+
IFERROR(VLOOKUP(A90,'Centre WV1'!$A$7:$N$107,10,FALSE),0)</f>
        <v>1.8</v>
      </c>
      <c r="K90" s="47">
        <f>IFERROR(VLOOKUP(A90,'Centre DW1'!$A$7:$N$106,11,FALSE),0)+
IFERROR(VLOOKUP(A90,'Centre WP1'!$A$7:$N$106,11,FALSE),0)+
IFERROR(VLOOKUP(A90,'Centre WR1'!$A$7:$N$106,11,FALSE),0)+
IFERROR(VLOOKUP(A90,'Centre WV1'!$A$7:$N$107,11,FALSE),0)</f>
        <v>1.4</v>
      </c>
      <c r="L90" s="47">
        <f>IFERROR(VLOOKUP(A90,'Centre DW1'!$A$7:$N$106,12,FALSE),0)+
IFERROR(VLOOKUP(A90,'Centre WP1'!$A$7:$N$106,12,FALSE),0)+
IFERROR(VLOOKUP(A90,'Centre WR1'!$A$7:$N$106,12,FALSE),0)+
IFERROR(VLOOKUP(A90,'Centre WV1'!$A$7:$N$107,12,FALSE),0)</f>
        <v>1.7</v>
      </c>
      <c r="M90" s="47">
        <f>IFERROR(VLOOKUP(A90,'Centre DW1'!$A$7:$N$106,13,FALSE),0)+
IFERROR(VLOOKUP(A90,'Centre WP1'!$A$7:$N$106,13,FALSE),0)+
IFERROR(VLOOKUP(A90,'Centre WR1'!$A$7:$N$106,13,FALSE),0)+
IFERROR(VLOOKUP(A90,'Centre WV1'!$A$7:$N$107,13,FALSE),0)</f>
        <v>1.6</v>
      </c>
      <c r="N90" s="47">
        <f>IFERROR(VLOOKUP(A90,'Centre DW1'!$A$7:$N$106,14,FALSE),0)+
IFERROR(VLOOKUP(A90,'Centre WP1'!$A$7:$N$106,14,FALSE),0)+
IFERROR(VLOOKUP(A90,'Centre WR1'!$A$7:$N$106,14,FALSE),0)+
IFERROR(VLOOKUP(A90,'Centre WV1'!$A$7:$N$107,14,FALSE),0)</f>
        <v>1.6</v>
      </c>
    </row>
    <row r="91" spans="1:15" hidden="1" outlineLevel="1" x14ac:dyDescent="0.2">
      <c r="A91" s="9" t="s">
        <v>183</v>
      </c>
      <c r="B91" s="1" t="s">
        <v>184</v>
      </c>
      <c r="C91" s="10">
        <f>IFERROR(VLOOKUP(A91,'Centre DW1'!$A$7:$N$106,3,FALSE),0)+
IFERROR(VLOOKUP(A91,'Centre WP1'!$A$7:$N$106,3,FALSE),0)+
IFERROR(VLOOKUP(A91,'Centre WR1'!$A$7:$N$106,3,FALSE),0)+
IFERROR(VLOOKUP(A91,'Centre WV1'!$A$7:$N$107,3,FALSE),0)</f>
        <v>0</v>
      </c>
      <c r="D91" s="10">
        <f>IFERROR(VLOOKUP(A91,'Centre DW1'!$A$7:$N$106,4,FALSE),0)+
IFERROR(VLOOKUP(A91,'Centre WP1'!$A$7:$N$106,4,FALSE),0)+
IFERROR(VLOOKUP(A91,'Centre WR1'!$A$7:$N$106,4,FALSE),0)+
IFERROR(VLOOKUP(A91,'Centre WV1'!$A$7:$N$107,4,FALSE),0)</f>
        <v>0.1</v>
      </c>
      <c r="E91" s="10">
        <f>IFERROR(VLOOKUP(A91,'Centre DW1'!$A$7:$N$106,5,FALSE),0)+
IFERROR(VLOOKUP(A91,'Centre WP1'!$A$7:$N$106,5,FALSE),0)+
IFERROR(VLOOKUP(A91,'Centre WR1'!$A$7:$N$106,5,FALSE),0)+
IFERROR(VLOOKUP(A91,'Centre WV1'!$A$7:$N$107,5,FALSE),0)</f>
        <v>0.6</v>
      </c>
      <c r="F91" s="10">
        <f>IFERROR(VLOOKUP(A91,'Centre DW1'!$A$7:$N$106,6,FALSE),0)+
IFERROR(VLOOKUP(A91,'Centre WP1'!$A$7:$N$106,6,FALSE),0)+
IFERROR(VLOOKUP(A91,'Centre WR1'!$A$7:$N$106,6,FALSE),0)+
IFERROR(VLOOKUP(A91,'Centre WV1'!$A$7:$N$107,6,FALSE),0)</f>
        <v>1.2</v>
      </c>
      <c r="G91" s="10">
        <f>IFERROR(VLOOKUP(A91,'Centre DW1'!$A$7:$N$106,7,FALSE),0)+
IFERROR(VLOOKUP(A91,'Centre WP1'!$A$7:$N$106,7,FALSE),0)+
IFERROR(VLOOKUP(A91,'Centre WR1'!$A$7:$N$106,7,FALSE),0)+
IFERROR(VLOOKUP(A91,'Centre WV1'!$A$7:$N$107,7,FALSE),0)</f>
        <v>1.5</v>
      </c>
      <c r="H91" s="10">
        <f>IFERROR(VLOOKUP(A91,'Centre DW1'!$A$7:$N$106,8,FALSE),0)+
IFERROR(VLOOKUP(A91,'Centre WP1'!$A$7:$N$106,8,FALSE),0)+
IFERROR(VLOOKUP(A91,'Centre WR1'!$A$7:$N$106,8,FALSE),0)+
IFERROR(VLOOKUP(A91,'Centre WV1'!$A$7:$N$107,8,FALSE),0)</f>
        <v>0.8</v>
      </c>
      <c r="I91" s="10">
        <f>IFERROR(VLOOKUP(A91,'Centre DW1'!$A$7:$N$106,9,FALSE),0)+
IFERROR(VLOOKUP(A91,'Centre WP1'!$A$7:$N$106,9,FALSE),0)+
IFERROR(VLOOKUP(A91,'Centre WR1'!$A$7:$N$106,9,FALSE),0)+
IFERROR(VLOOKUP(A91,'Centre WV1'!$A$7:$N$107,9,FALSE),0)</f>
        <v>0.1</v>
      </c>
      <c r="J91" s="47">
        <f>IFERROR(VLOOKUP(A91,'Centre DW1'!$A$7:$N$106,10,FALSE),0)+
IFERROR(VLOOKUP(A91,'Centre WP1'!$A$7:$N$106,10,FALSE),0)+
IFERROR(VLOOKUP(A91,'Centre WR1'!$A$7:$N$106,10,FALSE),0)+
IFERROR(VLOOKUP(A91,'Centre WV1'!$A$7:$N$107,10,FALSE),0)</f>
        <v>0.6</v>
      </c>
      <c r="K91" s="47">
        <f>IFERROR(VLOOKUP(A91,'Centre DW1'!$A$7:$N$106,11,FALSE),0)+
IFERROR(VLOOKUP(A91,'Centre WP1'!$A$7:$N$106,11,FALSE),0)+
IFERROR(VLOOKUP(A91,'Centre WR1'!$A$7:$N$106,11,FALSE),0)+
IFERROR(VLOOKUP(A91,'Centre WV1'!$A$7:$N$107,11,FALSE),0)</f>
        <v>1.2</v>
      </c>
      <c r="L91" s="47">
        <f>IFERROR(VLOOKUP(A91,'Centre DW1'!$A$7:$N$106,12,FALSE),0)+
IFERROR(VLOOKUP(A91,'Centre WP1'!$A$7:$N$106,12,FALSE),0)+
IFERROR(VLOOKUP(A91,'Centre WR1'!$A$7:$N$106,12,FALSE),0)+
IFERROR(VLOOKUP(A91,'Centre WV1'!$A$7:$N$107,12,FALSE),0)</f>
        <v>1.5</v>
      </c>
      <c r="M91" s="47">
        <f>IFERROR(VLOOKUP(A91,'Centre DW1'!$A$7:$N$106,13,FALSE),0)+
IFERROR(VLOOKUP(A91,'Centre WP1'!$A$7:$N$106,13,FALSE),0)+
IFERROR(VLOOKUP(A91,'Centre WR1'!$A$7:$N$106,13,FALSE),0)+
IFERROR(VLOOKUP(A91,'Centre WV1'!$A$7:$N$107,13,FALSE),0)</f>
        <v>0.8</v>
      </c>
      <c r="N91" s="47">
        <f>IFERROR(VLOOKUP(A91,'Centre DW1'!$A$7:$N$106,14,FALSE),0)+
IFERROR(VLOOKUP(A91,'Centre WP1'!$A$7:$N$106,14,FALSE),0)+
IFERROR(VLOOKUP(A91,'Centre WR1'!$A$7:$N$106,14,FALSE),0)+
IFERROR(VLOOKUP(A91,'Centre WV1'!$A$7:$N$107,14,FALSE),0)</f>
        <v>0.8</v>
      </c>
    </row>
    <row r="92" spans="1:15" hidden="1" outlineLevel="1" x14ac:dyDescent="0.2">
      <c r="A92" s="9" t="s">
        <v>185</v>
      </c>
      <c r="B92" s="1" t="s">
        <v>186</v>
      </c>
      <c r="C92" s="10">
        <f>IFERROR(VLOOKUP(A92,'Centre DW1'!$A$7:$N$106,3,FALSE),0)+
IFERROR(VLOOKUP(A92,'Centre WP1'!$A$7:$N$106,3,FALSE),0)+
IFERROR(VLOOKUP(A92,'Centre WR1'!$A$7:$N$106,3,FALSE),0)+
IFERROR(VLOOKUP(A92,'Centre WV1'!$A$7:$N$107,3,FALSE),0)</f>
        <v>0.3</v>
      </c>
      <c r="D92" s="10">
        <f>IFERROR(VLOOKUP(A92,'Centre DW1'!$A$7:$N$106,4,FALSE),0)+
IFERROR(VLOOKUP(A92,'Centre WP1'!$A$7:$N$106,4,FALSE),0)+
IFERROR(VLOOKUP(A92,'Centre WR1'!$A$7:$N$106,4,FALSE),0)+
IFERROR(VLOOKUP(A92,'Centre WV1'!$A$7:$N$107,4,FALSE),0)</f>
        <v>0.3</v>
      </c>
      <c r="E92" s="10">
        <f>IFERROR(VLOOKUP(A92,'Centre DW1'!$A$7:$N$106,5,FALSE),0)+
IFERROR(VLOOKUP(A92,'Centre WP1'!$A$7:$N$106,5,FALSE),0)+
IFERROR(VLOOKUP(A92,'Centre WR1'!$A$7:$N$106,5,FALSE),0)+
IFERROR(VLOOKUP(A92,'Centre WV1'!$A$7:$N$107,5,FALSE),0)</f>
        <v>0.4</v>
      </c>
      <c r="F92" s="10">
        <f>IFERROR(VLOOKUP(A92,'Centre DW1'!$A$7:$N$106,6,FALSE),0)+
IFERROR(VLOOKUP(A92,'Centre WP1'!$A$7:$N$106,6,FALSE),0)+
IFERROR(VLOOKUP(A92,'Centre WR1'!$A$7:$N$106,6,FALSE),0)+
IFERROR(VLOOKUP(A92,'Centre WV1'!$A$7:$N$107,6,FALSE),0)</f>
        <v>0.4</v>
      </c>
      <c r="G92" s="10">
        <f>IFERROR(VLOOKUP(A92,'Centre DW1'!$A$7:$N$106,7,FALSE),0)+
IFERROR(VLOOKUP(A92,'Centre WP1'!$A$7:$N$106,7,FALSE),0)+
IFERROR(VLOOKUP(A92,'Centre WR1'!$A$7:$N$106,7,FALSE),0)+
IFERROR(VLOOKUP(A92,'Centre WV1'!$A$7:$N$107,7,FALSE),0)</f>
        <v>0.5</v>
      </c>
      <c r="H92" s="10">
        <f>IFERROR(VLOOKUP(A92,'Centre DW1'!$A$7:$N$106,8,FALSE),0)+
IFERROR(VLOOKUP(A92,'Centre WP1'!$A$7:$N$106,8,FALSE),0)+
IFERROR(VLOOKUP(A92,'Centre WR1'!$A$7:$N$106,8,FALSE),0)+
IFERROR(VLOOKUP(A92,'Centre WV1'!$A$7:$N$107,8,FALSE),0)</f>
        <v>0.4</v>
      </c>
      <c r="I92" s="10">
        <f>IFERROR(VLOOKUP(A92,'Centre DW1'!$A$7:$N$106,9,FALSE),0)+
IFERROR(VLOOKUP(A92,'Centre WP1'!$A$7:$N$106,9,FALSE),0)+
IFERROR(VLOOKUP(A92,'Centre WR1'!$A$7:$N$106,9,FALSE),0)+
IFERROR(VLOOKUP(A92,'Centre WV1'!$A$7:$N$107,9,FALSE),0)</f>
        <v>0.3</v>
      </c>
      <c r="J92" s="47">
        <f>IFERROR(VLOOKUP(A92,'Centre DW1'!$A$7:$N$106,10,FALSE),0)+
IFERROR(VLOOKUP(A92,'Centre WP1'!$A$7:$N$106,10,FALSE),0)+
IFERROR(VLOOKUP(A92,'Centre WR1'!$A$7:$N$106,10,FALSE),0)+
IFERROR(VLOOKUP(A92,'Centre WV1'!$A$7:$N$107,10,FALSE),0)</f>
        <v>0.4</v>
      </c>
      <c r="K92" s="47">
        <f>IFERROR(VLOOKUP(A92,'Centre DW1'!$A$7:$N$106,11,FALSE),0)+
IFERROR(VLOOKUP(A92,'Centre WP1'!$A$7:$N$106,11,FALSE),0)+
IFERROR(VLOOKUP(A92,'Centre WR1'!$A$7:$N$106,11,FALSE),0)+
IFERROR(VLOOKUP(A92,'Centre WV1'!$A$7:$N$107,11,FALSE),0)</f>
        <v>0.4</v>
      </c>
      <c r="L92" s="47">
        <f>IFERROR(VLOOKUP(A92,'Centre DW1'!$A$7:$N$106,12,FALSE),0)+
IFERROR(VLOOKUP(A92,'Centre WP1'!$A$7:$N$106,12,FALSE),0)+
IFERROR(VLOOKUP(A92,'Centre WR1'!$A$7:$N$106,12,FALSE),0)+
IFERROR(VLOOKUP(A92,'Centre WV1'!$A$7:$N$107,12,FALSE),0)</f>
        <v>0.5</v>
      </c>
      <c r="M92" s="47">
        <f>IFERROR(VLOOKUP(A92,'Centre DW1'!$A$7:$N$106,13,FALSE),0)+
IFERROR(VLOOKUP(A92,'Centre WP1'!$A$7:$N$106,13,FALSE),0)+
IFERROR(VLOOKUP(A92,'Centre WR1'!$A$7:$N$106,13,FALSE),0)+
IFERROR(VLOOKUP(A92,'Centre WV1'!$A$7:$N$107,13,FALSE),0)</f>
        <v>0.4</v>
      </c>
      <c r="N92" s="47">
        <f>IFERROR(VLOOKUP(A92,'Centre DW1'!$A$7:$N$106,14,FALSE),0)+
IFERROR(VLOOKUP(A92,'Centre WP1'!$A$7:$N$106,14,FALSE),0)+
IFERROR(VLOOKUP(A92,'Centre WR1'!$A$7:$N$106,14,FALSE),0)+
IFERROR(VLOOKUP(A92,'Centre WV1'!$A$7:$N$107,14,FALSE),0)</f>
        <v>0.4</v>
      </c>
    </row>
    <row r="93" spans="1:15" hidden="1" outlineLevel="1" x14ac:dyDescent="0.2">
      <c r="A93" s="9" t="s">
        <v>187</v>
      </c>
      <c r="B93" s="1" t="s">
        <v>184</v>
      </c>
      <c r="C93" s="10">
        <f>IFERROR(VLOOKUP(A93,'Centre DW1'!$A$7:$N$106,3,FALSE),0)+
IFERROR(VLOOKUP(A93,'Centre WP1'!$A$7:$N$106,3,FALSE),0)+
IFERROR(VLOOKUP(A93,'Centre WR1'!$A$7:$N$106,3,FALSE),0)+
IFERROR(VLOOKUP(A93,'Centre WV1'!$A$7:$N$107,3,FALSE),0)</f>
        <v>0.1</v>
      </c>
      <c r="D93" s="10">
        <f>IFERROR(VLOOKUP(A93,'Centre DW1'!$A$7:$N$106,4,FALSE),0)+
IFERROR(VLOOKUP(A93,'Centre WP1'!$A$7:$N$106,4,FALSE),0)+
IFERROR(VLOOKUP(A93,'Centre WR1'!$A$7:$N$106,4,FALSE),0)+
IFERROR(VLOOKUP(A93,'Centre WV1'!$A$7:$N$107,4,FALSE),0)</f>
        <v>0.1</v>
      </c>
      <c r="E93" s="10">
        <f>IFERROR(VLOOKUP(A93,'Centre DW1'!$A$7:$N$106,5,FALSE),0)+
IFERROR(VLOOKUP(A93,'Centre WP1'!$A$7:$N$106,5,FALSE),0)+
IFERROR(VLOOKUP(A93,'Centre WR1'!$A$7:$N$106,5,FALSE),0)+
IFERROR(VLOOKUP(A93,'Centre WV1'!$A$7:$N$107,5,FALSE),0)</f>
        <v>0</v>
      </c>
      <c r="F93" s="10">
        <f>IFERROR(VLOOKUP(A93,'Centre DW1'!$A$7:$N$106,6,FALSE),0)+
IFERROR(VLOOKUP(A93,'Centre WP1'!$A$7:$N$106,6,FALSE),0)+
IFERROR(VLOOKUP(A93,'Centre WR1'!$A$7:$N$106,6,FALSE),0)+
IFERROR(VLOOKUP(A93,'Centre WV1'!$A$7:$N$107,6,FALSE),0)</f>
        <v>0.1</v>
      </c>
      <c r="G93" s="10">
        <f>IFERROR(VLOOKUP(A93,'Centre DW1'!$A$7:$N$106,7,FALSE),0)+
IFERROR(VLOOKUP(A93,'Centre WP1'!$A$7:$N$106,7,FALSE),0)+
IFERROR(VLOOKUP(A93,'Centre WR1'!$A$7:$N$106,7,FALSE),0)+
IFERROR(VLOOKUP(A93,'Centre WV1'!$A$7:$N$107,7,FALSE),0)</f>
        <v>0.1</v>
      </c>
      <c r="H93" s="10">
        <f>IFERROR(VLOOKUP(A93,'Centre DW1'!$A$7:$N$106,8,FALSE),0)+
IFERROR(VLOOKUP(A93,'Centre WP1'!$A$7:$N$106,8,FALSE),0)+
IFERROR(VLOOKUP(A93,'Centre WR1'!$A$7:$N$106,8,FALSE),0)+
IFERROR(VLOOKUP(A93,'Centre WV1'!$A$7:$N$107,8,FALSE),0)</f>
        <v>0.1</v>
      </c>
      <c r="I93" s="10">
        <f>IFERROR(VLOOKUP(A93,'Centre DW1'!$A$7:$N$106,9,FALSE),0)+
IFERROR(VLOOKUP(A93,'Centre WP1'!$A$7:$N$106,9,FALSE),0)+
IFERROR(VLOOKUP(A93,'Centre WR1'!$A$7:$N$106,9,FALSE),0)+
IFERROR(VLOOKUP(A93,'Centre WV1'!$A$7:$N$107,9,FALSE),0)</f>
        <v>0.1</v>
      </c>
      <c r="J93" s="47">
        <f>IFERROR(VLOOKUP(A93,'Centre DW1'!$A$7:$N$106,10,FALSE),0)+
IFERROR(VLOOKUP(A93,'Centre WP1'!$A$7:$N$106,10,FALSE),0)+
IFERROR(VLOOKUP(A93,'Centre WR1'!$A$7:$N$106,10,FALSE),0)+
IFERROR(VLOOKUP(A93,'Centre WV1'!$A$7:$N$107,10,FALSE),0)</f>
        <v>0</v>
      </c>
      <c r="K93" s="47">
        <f>IFERROR(VLOOKUP(A93,'Centre DW1'!$A$7:$N$106,11,FALSE),0)+
IFERROR(VLOOKUP(A93,'Centre WP1'!$A$7:$N$106,11,FALSE),0)+
IFERROR(VLOOKUP(A93,'Centre WR1'!$A$7:$N$106,11,FALSE),0)+
IFERROR(VLOOKUP(A93,'Centre WV1'!$A$7:$N$107,11,FALSE),0)</f>
        <v>0.1</v>
      </c>
      <c r="L93" s="47">
        <f>IFERROR(VLOOKUP(A93,'Centre DW1'!$A$7:$N$106,12,FALSE),0)+
IFERROR(VLOOKUP(A93,'Centre WP1'!$A$7:$N$106,12,FALSE),0)+
IFERROR(VLOOKUP(A93,'Centre WR1'!$A$7:$N$106,12,FALSE),0)+
IFERROR(VLOOKUP(A93,'Centre WV1'!$A$7:$N$107,12,FALSE),0)</f>
        <v>0.1</v>
      </c>
      <c r="M93" s="47">
        <f>IFERROR(VLOOKUP(A93,'Centre DW1'!$A$7:$N$106,13,FALSE),0)+
IFERROR(VLOOKUP(A93,'Centre WP1'!$A$7:$N$106,13,FALSE),0)+
IFERROR(VLOOKUP(A93,'Centre WR1'!$A$7:$N$106,13,FALSE),0)+
IFERROR(VLOOKUP(A93,'Centre WV1'!$A$7:$N$107,13,FALSE),0)</f>
        <v>0.1</v>
      </c>
      <c r="N93" s="47">
        <f>IFERROR(VLOOKUP(A93,'Centre DW1'!$A$7:$N$106,14,FALSE),0)+
IFERROR(VLOOKUP(A93,'Centre WP1'!$A$7:$N$106,14,FALSE),0)+
IFERROR(VLOOKUP(A93,'Centre WR1'!$A$7:$N$106,14,FALSE),0)+
IFERROR(VLOOKUP(A93,'Centre WV1'!$A$7:$N$107,14,FALSE),0)</f>
        <v>0.1</v>
      </c>
    </row>
    <row r="94" spans="1:15" hidden="1" outlineLevel="1" x14ac:dyDescent="0.2">
      <c r="A94" s="9" t="s">
        <v>188</v>
      </c>
      <c r="B94" s="1" t="s">
        <v>189</v>
      </c>
      <c r="C94" s="10">
        <f>IFERROR(VLOOKUP(A94,'Centre DW1'!$A$7:$N$106,3,FALSE),0)+
IFERROR(VLOOKUP(A94,'Centre WP1'!$A$7:$N$106,3,FALSE),0)+
IFERROR(VLOOKUP(A94,'Centre WR1'!$A$7:$N$106,3,FALSE),0)+
IFERROR(VLOOKUP(A94,'Centre WV1'!$A$7:$N$107,3,FALSE),0)</f>
        <v>0.4</v>
      </c>
      <c r="D94" s="10">
        <f>IFERROR(VLOOKUP(A94,'Centre DW1'!$A$7:$N$106,4,FALSE),0)+
IFERROR(VLOOKUP(A94,'Centre WP1'!$A$7:$N$106,4,FALSE),0)+
IFERROR(VLOOKUP(A94,'Centre WR1'!$A$7:$N$106,4,FALSE),0)+
IFERROR(VLOOKUP(A94,'Centre WV1'!$A$7:$N$107,4,FALSE),0)</f>
        <v>0.5</v>
      </c>
      <c r="E94" s="10">
        <f>IFERROR(VLOOKUP(A94,'Centre DW1'!$A$7:$N$106,5,FALSE),0)+
IFERROR(VLOOKUP(A94,'Centre WP1'!$A$7:$N$106,5,FALSE),0)+
IFERROR(VLOOKUP(A94,'Centre WR1'!$A$7:$N$106,5,FALSE),0)+
IFERROR(VLOOKUP(A94,'Centre WV1'!$A$7:$N$107,5,FALSE),0)</f>
        <v>0.6</v>
      </c>
      <c r="F94" s="10">
        <f>IFERROR(VLOOKUP(A94,'Centre DW1'!$A$7:$N$106,6,FALSE),0)+
IFERROR(VLOOKUP(A94,'Centre WP1'!$A$7:$N$106,6,FALSE),0)+
IFERROR(VLOOKUP(A94,'Centre WR1'!$A$7:$N$106,6,FALSE),0)+
IFERROR(VLOOKUP(A94,'Centre WV1'!$A$7:$N$107,6,FALSE),0)</f>
        <v>0.6</v>
      </c>
      <c r="G94" s="10">
        <f>IFERROR(VLOOKUP(A94,'Centre DW1'!$A$7:$N$106,7,FALSE),0)+
IFERROR(VLOOKUP(A94,'Centre WP1'!$A$7:$N$106,7,FALSE),0)+
IFERROR(VLOOKUP(A94,'Centre WR1'!$A$7:$N$106,7,FALSE),0)+
IFERROR(VLOOKUP(A94,'Centre WV1'!$A$7:$N$107,7,FALSE),0)</f>
        <v>0.3</v>
      </c>
      <c r="H94" s="10">
        <f>IFERROR(VLOOKUP(A94,'Centre DW1'!$A$7:$N$106,8,FALSE),0)+
IFERROR(VLOOKUP(A94,'Centre WP1'!$A$7:$N$106,8,FALSE),0)+
IFERROR(VLOOKUP(A94,'Centre WR1'!$A$7:$N$106,8,FALSE),0)+
IFERROR(VLOOKUP(A94,'Centre WV1'!$A$7:$N$107,8,FALSE),0)</f>
        <v>0.7</v>
      </c>
      <c r="I94" s="10">
        <f>IFERROR(VLOOKUP(A94,'Centre DW1'!$A$7:$N$106,9,FALSE),0)+
IFERROR(VLOOKUP(A94,'Centre WP1'!$A$7:$N$106,9,FALSE),0)+
IFERROR(VLOOKUP(A94,'Centre WR1'!$A$7:$N$106,9,FALSE),0)+
IFERROR(VLOOKUP(A94,'Centre WV1'!$A$7:$N$107,9,FALSE),0)</f>
        <v>0.5</v>
      </c>
      <c r="J94" s="47">
        <f>IFERROR(VLOOKUP(A94,'Centre DW1'!$A$7:$N$106,10,FALSE),0)+
IFERROR(VLOOKUP(A94,'Centre WP1'!$A$7:$N$106,10,FALSE),0)+
IFERROR(VLOOKUP(A94,'Centre WR1'!$A$7:$N$106,10,FALSE),0)+
IFERROR(VLOOKUP(A94,'Centre WV1'!$A$7:$N$107,10,FALSE),0)</f>
        <v>0.6</v>
      </c>
      <c r="K94" s="47">
        <f>IFERROR(VLOOKUP(A94,'Centre DW1'!$A$7:$N$106,11,FALSE),0)+
IFERROR(VLOOKUP(A94,'Centre WP1'!$A$7:$N$106,11,FALSE),0)+
IFERROR(VLOOKUP(A94,'Centre WR1'!$A$7:$N$106,11,FALSE),0)+
IFERROR(VLOOKUP(A94,'Centre WV1'!$A$7:$N$107,11,FALSE),0)</f>
        <v>0.6</v>
      </c>
      <c r="L94" s="47">
        <f>IFERROR(VLOOKUP(A94,'Centre DW1'!$A$7:$N$106,12,FALSE),0)+
IFERROR(VLOOKUP(A94,'Centre WP1'!$A$7:$N$106,12,FALSE),0)+
IFERROR(VLOOKUP(A94,'Centre WR1'!$A$7:$N$106,12,FALSE),0)+
IFERROR(VLOOKUP(A94,'Centre WV1'!$A$7:$N$107,12,FALSE),0)</f>
        <v>0.3</v>
      </c>
      <c r="M94" s="47">
        <f>IFERROR(VLOOKUP(A94,'Centre DW1'!$A$7:$N$106,13,FALSE),0)+
IFERROR(VLOOKUP(A94,'Centre WP1'!$A$7:$N$106,13,FALSE),0)+
IFERROR(VLOOKUP(A94,'Centre WR1'!$A$7:$N$106,13,FALSE),0)+
IFERROR(VLOOKUP(A94,'Centre WV1'!$A$7:$N$107,13,FALSE),0)</f>
        <v>0.7</v>
      </c>
      <c r="N94" s="47">
        <f>IFERROR(VLOOKUP(A94,'Centre DW1'!$A$7:$N$106,14,FALSE),0)+
IFERROR(VLOOKUP(A94,'Centre WP1'!$A$7:$N$106,14,FALSE),0)+
IFERROR(VLOOKUP(A94,'Centre WR1'!$A$7:$N$106,14,FALSE),0)+
IFERROR(VLOOKUP(A94,'Centre WV1'!$A$7:$N$107,14,FALSE),0)</f>
        <v>0.7</v>
      </c>
    </row>
    <row r="95" spans="1:15" hidden="1" outlineLevel="1" x14ac:dyDescent="0.2">
      <c r="A95" s="9" t="s">
        <v>190</v>
      </c>
      <c r="B95" s="1" t="s">
        <v>191</v>
      </c>
      <c r="C95" s="10">
        <f>IFERROR(VLOOKUP(A95,'Centre DW1'!$A$7:$N$106,3,FALSE),0)+
IFERROR(VLOOKUP(A95,'Centre WP1'!$A$7:$N$106,3,FALSE),0)+
IFERROR(VLOOKUP(A95,'Centre WR1'!$A$7:$N$106,3,FALSE),0)+
IFERROR(VLOOKUP(A95,'Centre WV1'!$A$7:$N$107,3,FALSE),0)</f>
        <v>0.2</v>
      </c>
      <c r="D95" s="10">
        <f>IFERROR(VLOOKUP(A95,'Centre DW1'!$A$7:$N$106,4,FALSE),0)+
IFERROR(VLOOKUP(A95,'Centre WP1'!$A$7:$N$106,4,FALSE),0)+
IFERROR(VLOOKUP(A95,'Centre WR1'!$A$7:$N$106,4,FALSE),0)+
IFERROR(VLOOKUP(A95,'Centre WV1'!$A$7:$N$107,4,FALSE),0)</f>
        <v>0.2</v>
      </c>
      <c r="E95" s="10">
        <f>IFERROR(VLOOKUP(A95,'Centre DW1'!$A$7:$N$106,5,FALSE),0)+
IFERROR(VLOOKUP(A95,'Centre WP1'!$A$7:$N$106,5,FALSE),0)+
IFERROR(VLOOKUP(A95,'Centre WR1'!$A$7:$N$106,5,FALSE),0)+
IFERROR(VLOOKUP(A95,'Centre WV1'!$A$7:$N$107,5,FALSE),0)</f>
        <v>0.3</v>
      </c>
      <c r="F95" s="10">
        <f>IFERROR(VLOOKUP(A95,'Centre DW1'!$A$7:$N$106,6,FALSE),0)+
IFERROR(VLOOKUP(A95,'Centre WP1'!$A$7:$N$106,6,FALSE),0)+
IFERROR(VLOOKUP(A95,'Centre WR1'!$A$7:$N$106,6,FALSE),0)+
IFERROR(VLOOKUP(A95,'Centre WV1'!$A$7:$N$107,6,FALSE),0)</f>
        <v>0.3</v>
      </c>
      <c r="G95" s="10">
        <f>IFERROR(VLOOKUP(A95,'Centre DW1'!$A$7:$N$106,7,FALSE),0)+
IFERROR(VLOOKUP(A95,'Centre WP1'!$A$7:$N$106,7,FALSE),0)+
IFERROR(VLOOKUP(A95,'Centre WR1'!$A$7:$N$106,7,FALSE),0)+
IFERROR(VLOOKUP(A95,'Centre WV1'!$A$7:$N$107,7,FALSE),0)</f>
        <v>0.1</v>
      </c>
      <c r="H95" s="10">
        <f>IFERROR(VLOOKUP(A95,'Centre DW1'!$A$7:$N$106,8,FALSE),0)+
IFERROR(VLOOKUP(A95,'Centre WP1'!$A$7:$N$106,8,FALSE),0)+
IFERROR(VLOOKUP(A95,'Centre WR1'!$A$7:$N$106,8,FALSE),0)+
IFERROR(VLOOKUP(A95,'Centre WV1'!$A$7:$N$107,8,FALSE),0)</f>
        <v>0.5</v>
      </c>
      <c r="I95" s="10">
        <f>IFERROR(VLOOKUP(A95,'Centre DW1'!$A$7:$N$106,9,FALSE),0)+
IFERROR(VLOOKUP(A95,'Centre WP1'!$A$7:$N$106,9,FALSE),0)+
IFERROR(VLOOKUP(A95,'Centre WR1'!$A$7:$N$106,9,FALSE),0)+
IFERROR(VLOOKUP(A95,'Centre WV1'!$A$7:$N$107,9,FALSE),0)</f>
        <v>0.2</v>
      </c>
      <c r="J95" s="47">
        <f>IFERROR(VLOOKUP(A95,'Centre DW1'!$A$7:$N$106,10,FALSE),0)+
IFERROR(VLOOKUP(A95,'Centre WP1'!$A$7:$N$106,10,FALSE),0)+
IFERROR(VLOOKUP(A95,'Centre WR1'!$A$7:$N$106,10,FALSE),0)+
IFERROR(VLOOKUP(A95,'Centre WV1'!$A$7:$N$107,10,FALSE),0)</f>
        <v>0.3</v>
      </c>
      <c r="K95" s="47">
        <f>IFERROR(VLOOKUP(A95,'Centre DW1'!$A$7:$N$106,11,FALSE),0)+
IFERROR(VLOOKUP(A95,'Centre WP1'!$A$7:$N$106,11,FALSE),0)+
IFERROR(VLOOKUP(A95,'Centre WR1'!$A$7:$N$106,11,FALSE),0)+
IFERROR(VLOOKUP(A95,'Centre WV1'!$A$7:$N$107,11,FALSE),0)</f>
        <v>0.3</v>
      </c>
      <c r="L95" s="47">
        <f>IFERROR(VLOOKUP(A95,'Centre DW1'!$A$7:$N$106,12,FALSE),0)+
IFERROR(VLOOKUP(A95,'Centre WP1'!$A$7:$N$106,12,FALSE),0)+
IFERROR(VLOOKUP(A95,'Centre WR1'!$A$7:$N$106,12,FALSE),0)+
IFERROR(VLOOKUP(A95,'Centre WV1'!$A$7:$N$107,12,FALSE),0)</f>
        <v>0.1</v>
      </c>
      <c r="M95" s="47">
        <f>IFERROR(VLOOKUP(A95,'Centre DW1'!$A$7:$N$106,13,FALSE),0)+
IFERROR(VLOOKUP(A95,'Centre WP1'!$A$7:$N$106,13,FALSE),0)+
IFERROR(VLOOKUP(A95,'Centre WR1'!$A$7:$N$106,13,FALSE),0)+
IFERROR(VLOOKUP(A95,'Centre WV1'!$A$7:$N$107,13,FALSE),0)</f>
        <v>0.5</v>
      </c>
      <c r="N95" s="47">
        <f>IFERROR(VLOOKUP(A95,'Centre DW1'!$A$7:$N$106,14,FALSE),0)+
IFERROR(VLOOKUP(A95,'Centre WP1'!$A$7:$N$106,14,FALSE),0)+
IFERROR(VLOOKUP(A95,'Centre WR1'!$A$7:$N$106,14,FALSE),0)+
IFERROR(VLOOKUP(A95,'Centre WV1'!$A$7:$N$107,14,FALSE),0)</f>
        <v>0.5</v>
      </c>
    </row>
    <row r="96" spans="1:15" hidden="1" outlineLevel="1" x14ac:dyDescent="0.2">
      <c r="A96" s="9" t="s">
        <v>192</v>
      </c>
      <c r="B96" s="1" t="s">
        <v>193</v>
      </c>
      <c r="C96" s="10">
        <f>IFERROR(VLOOKUP(A96,'Centre DW1'!$A$7:$N$106,3,FALSE),0)+
IFERROR(VLOOKUP(A96,'Centre WP1'!$A$7:$N$106,3,FALSE),0)+
IFERROR(VLOOKUP(A96,'Centre WR1'!$A$7:$N$106,3,FALSE),0)+
IFERROR(VLOOKUP(A96,'Centre WV1'!$A$7:$N$107,3,FALSE),0)</f>
        <v>0</v>
      </c>
      <c r="D96" s="10">
        <f>IFERROR(VLOOKUP(A96,'Centre DW1'!$A$7:$N$106,4,FALSE),0)+
IFERROR(VLOOKUP(A96,'Centre WP1'!$A$7:$N$106,4,FALSE),0)+
IFERROR(VLOOKUP(A96,'Centre WR1'!$A$7:$N$106,4,FALSE),0)+
IFERROR(VLOOKUP(A96,'Centre WV1'!$A$7:$N$107,4,FALSE),0)</f>
        <v>0</v>
      </c>
      <c r="E96" s="10">
        <f>IFERROR(VLOOKUP(A96,'Centre DW1'!$A$7:$N$106,5,FALSE),0)+
IFERROR(VLOOKUP(A96,'Centre WP1'!$A$7:$N$106,5,FALSE),0)+
IFERROR(VLOOKUP(A96,'Centre WR1'!$A$7:$N$106,5,FALSE),0)+
IFERROR(VLOOKUP(A96,'Centre WV1'!$A$7:$N$107,5,FALSE),0)</f>
        <v>0</v>
      </c>
      <c r="F96" s="10">
        <f>IFERROR(VLOOKUP(A96,'Centre DW1'!$A$7:$N$106,6,FALSE),0)+
IFERROR(VLOOKUP(A96,'Centre WP1'!$A$7:$N$106,6,FALSE),0)+
IFERROR(VLOOKUP(A96,'Centre WR1'!$A$7:$N$106,6,FALSE),0)+
IFERROR(VLOOKUP(A96,'Centre WV1'!$A$7:$N$107,6,FALSE),0)</f>
        <v>0</v>
      </c>
      <c r="G96" s="10">
        <f>IFERROR(VLOOKUP(A96,'Centre DW1'!$A$7:$N$106,7,FALSE),0)+
IFERROR(VLOOKUP(A96,'Centre WP1'!$A$7:$N$106,7,FALSE),0)+
IFERROR(VLOOKUP(A96,'Centre WR1'!$A$7:$N$106,7,FALSE),0)+
IFERROR(VLOOKUP(A96,'Centre WV1'!$A$7:$N$107,7,FALSE),0)</f>
        <v>0</v>
      </c>
      <c r="H96" s="10">
        <f>IFERROR(VLOOKUP(A96,'Centre DW1'!$A$7:$N$106,8,FALSE),0)+
IFERROR(VLOOKUP(A96,'Centre WP1'!$A$7:$N$106,8,FALSE),0)+
IFERROR(VLOOKUP(A96,'Centre WR1'!$A$7:$N$106,8,FALSE),0)+
IFERROR(VLOOKUP(A96,'Centre WV1'!$A$7:$N$107,8,FALSE),0)</f>
        <v>0</v>
      </c>
      <c r="I96" s="10">
        <f>IFERROR(VLOOKUP(A96,'Centre DW1'!$A$7:$N$106,9,FALSE),0)+
IFERROR(VLOOKUP(A96,'Centre WP1'!$A$7:$N$106,9,FALSE),0)+
IFERROR(VLOOKUP(A96,'Centre WR1'!$A$7:$N$106,9,FALSE),0)+
IFERROR(VLOOKUP(A96,'Centre WV1'!$A$7:$N$107,9,FALSE),0)</f>
        <v>0</v>
      </c>
      <c r="J96" s="47">
        <f>IFERROR(VLOOKUP(A96,'Centre DW1'!$A$7:$N$106,10,FALSE),0)+
IFERROR(VLOOKUP(A96,'Centre WP1'!$A$7:$N$106,10,FALSE),0)+
IFERROR(VLOOKUP(A96,'Centre WR1'!$A$7:$N$106,10,FALSE),0)+
IFERROR(VLOOKUP(A96,'Centre WV1'!$A$7:$N$107,10,FALSE),0)</f>
        <v>0</v>
      </c>
      <c r="K96" s="47">
        <f>IFERROR(VLOOKUP(A96,'Centre DW1'!$A$7:$N$106,11,FALSE),0)+
IFERROR(VLOOKUP(A96,'Centre WP1'!$A$7:$N$106,11,FALSE),0)+
IFERROR(VLOOKUP(A96,'Centre WR1'!$A$7:$N$106,11,FALSE),0)+
IFERROR(VLOOKUP(A96,'Centre WV1'!$A$7:$N$107,11,FALSE),0)</f>
        <v>0</v>
      </c>
      <c r="L96" s="47">
        <f>IFERROR(VLOOKUP(A96,'Centre DW1'!$A$7:$N$106,12,FALSE),0)+
IFERROR(VLOOKUP(A96,'Centre WP1'!$A$7:$N$106,12,FALSE),0)+
IFERROR(VLOOKUP(A96,'Centre WR1'!$A$7:$N$106,12,FALSE),0)+
IFERROR(VLOOKUP(A96,'Centre WV1'!$A$7:$N$107,12,FALSE),0)</f>
        <v>0</v>
      </c>
      <c r="M96" s="47">
        <f>IFERROR(VLOOKUP(A96,'Centre DW1'!$A$7:$N$106,13,FALSE),0)+
IFERROR(VLOOKUP(A96,'Centre WP1'!$A$7:$N$106,13,FALSE),0)+
IFERROR(VLOOKUP(A96,'Centre WR1'!$A$7:$N$106,13,FALSE),0)+
IFERROR(VLOOKUP(A96,'Centre WV1'!$A$7:$N$107,13,FALSE),0)</f>
        <v>0</v>
      </c>
      <c r="N96" s="47">
        <f>IFERROR(VLOOKUP(A96,'Centre DW1'!$A$7:$N$106,14,FALSE),0)+
IFERROR(VLOOKUP(A96,'Centre WP1'!$A$7:$N$106,14,FALSE),0)+
IFERROR(VLOOKUP(A96,'Centre WR1'!$A$7:$N$106,14,FALSE),0)+
IFERROR(VLOOKUP(A96,'Centre WV1'!$A$7:$N$107,14,FALSE),0)</f>
        <v>0</v>
      </c>
    </row>
    <row r="97" spans="1:14" hidden="1" outlineLevel="1" x14ac:dyDescent="0.2">
      <c r="A97" s="9" t="s">
        <v>194</v>
      </c>
      <c r="B97" s="1" t="s">
        <v>195</v>
      </c>
      <c r="C97" s="10">
        <f>IFERROR(VLOOKUP(A97,'Centre DW1'!$A$7:$N$106,3,FALSE),0)+
IFERROR(VLOOKUP(A97,'Centre WP1'!$A$7:$N$106,3,FALSE),0)+
IFERROR(VLOOKUP(A97,'Centre WR1'!$A$7:$N$106,3,FALSE),0)+
IFERROR(VLOOKUP(A97,'Centre WV1'!$A$7:$N$107,3,FALSE),0)</f>
        <v>0.5</v>
      </c>
      <c r="D97" s="10">
        <f>IFERROR(VLOOKUP(A97,'Centre DW1'!$A$7:$N$106,4,FALSE),0)+
IFERROR(VLOOKUP(A97,'Centre WP1'!$A$7:$N$106,4,FALSE),0)+
IFERROR(VLOOKUP(A97,'Centre WR1'!$A$7:$N$106,4,FALSE),0)+
IFERROR(VLOOKUP(A97,'Centre WV1'!$A$7:$N$107,4,FALSE),0)</f>
        <v>1.1000000000000001</v>
      </c>
      <c r="E97" s="10">
        <f>IFERROR(VLOOKUP(A97,'Centre DW1'!$A$7:$N$106,5,FALSE),0)+
IFERROR(VLOOKUP(A97,'Centre WP1'!$A$7:$N$106,5,FALSE),0)+
IFERROR(VLOOKUP(A97,'Centre WR1'!$A$7:$N$106,5,FALSE),0)+
IFERROR(VLOOKUP(A97,'Centre WV1'!$A$7:$N$107,5,FALSE),0)</f>
        <v>0.4</v>
      </c>
      <c r="F97" s="10">
        <f>IFERROR(VLOOKUP(A97,'Centre DW1'!$A$7:$N$106,6,FALSE),0)+
IFERROR(VLOOKUP(A97,'Centre WP1'!$A$7:$N$106,6,FALSE),0)+
IFERROR(VLOOKUP(A97,'Centre WR1'!$A$7:$N$106,6,FALSE),0)+
IFERROR(VLOOKUP(A97,'Centre WV1'!$A$7:$N$107,6,FALSE),0)</f>
        <v>0.4</v>
      </c>
      <c r="G97" s="10">
        <f>IFERROR(VLOOKUP(A97,'Centre DW1'!$A$7:$N$106,7,FALSE),0)+
IFERROR(VLOOKUP(A97,'Centre WP1'!$A$7:$N$106,7,FALSE),0)+
IFERROR(VLOOKUP(A97,'Centre WR1'!$A$7:$N$106,7,FALSE),0)+
IFERROR(VLOOKUP(A97,'Centre WV1'!$A$7:$N$107,7,FALSE),0)</f>
        <v>0.5</v>
      </c>
      <c r="H97" s="10">
        <f>IFERROR(VLOOKUP(A97,'Centre DW1'!$A$7:$N$106,8,FALSE),0)+
IFERROR(VLOOKUP(A97,'Centre WP1'!$A$7:$N$106,8,FALSE),0)+
IFERROR(VLOOKUP(A97,'Centre WR1'!$A$7:$N$106,8,FALSE),0)+
IFERROR(VLOOKUP(A97,'Centre WV1'!$A$7:$N$107,8,FALSE),0)</f>
        <v>0.5</v>
      </c>
      <c r="I97" s="10">
        <f>IFERROR(VLOOKUP(A97,'Centre DW1'!$A$7:$N$106,9,FALSE),0)+
IFERROR(VLOOKUP(A97,'Centre WP1'!$A$7:$N$106,9,FALSE),0)+
IFERROR(VLOOKUP(A97,'Centre WR1'!$A$7:$N$106,9,FALSE),0)+
IFERROR(VLOOKUP(A97,'Centre WV1'!$A$7:$N$107,9,FALSE),0)</f>
        <v>1.1000000000000001</v>
      </c>
      <c r="J97" s="47">
        <f>IFERROR(VLOOKUP(A97,'Centre DW1'!$A$7:$N$106,10,FALSE),0)+
IFERROR(VLOOKUP(A97,'Centre WP1'!$A$7:$N$106,10,FALSE),0)+
IFERROR(VLOOKUP(A97,'Centre WR1'!$A$7:$N$106,10,FALSE),0)+
IFERROR(VLOOKUP(A97,'Centre WV1'!$A$7:$N$107,10,FALSE),0)</f>
        <v>0.4</v>
      </c>
      <c r="K97" s="47">
        <f>IFERROR(VLOOKUP(A97,'Centre DW1'!$A$7:$N$106,11,FALSE),0)+
IFERROR(VLOOKUP(A97,'Centre WP1'!$A$7:$N$106,11,FALSE),0)+
IFERROR(VLOOKUP(A97,'Centre WR1'!$A$7:$N$106,11,FALSE),0)+
IFERROR(VLOOKUP(A97,'Centre WV1'!$A$7:$N$107,11,FALSE),0)</f>
        <v>0.4</v>
      </c>
      <c r="L97" s="47">
        <f>IFERROR(VLOOKUP(A97,'Centre DW1'!$A$7:$N$106,12,FALSE),0)+
IFERROR(VLOOKUP(A97,'Centre WP1'!$A$7:$N$106,12,FALSE),0)+
IFERROR(VLOOKUP(A97,'Centre WR1'!$A$7:$N$106,12,FALSE),0)+
IFERROR(VLOOKUP(A97,'Centre WV1'!$A$7:$N$107,12,FALSE),0)</f>
        <v>0.5</v>
      </c>
      <c r="M97" s="47">
        <f>IFERROR(VLOOKUP(A97,'Centre DW1'!$A$7:$N$106,13,FALSE),0)+
IFERROR(VLOOKUP(A97,'Centre WP1'!$A$7:$N$106,13,FALSE),0)+
IFERROR(VLOOKUP(A97,'Centre WR1'!$A$7:$N$106,13,FALSE),0)+
IFERROR(VLOOKUP(A97,'Centre WV1'!$A$7:$N$107,13,FALSE),0)</f>
        <v>0.5</v>
      </c>
      <c r="N97" s="47">
        <f>IFERROR(VLOOKUP(A97,'Centre DW1'!$A$7:$N$106,14,FALSE),0)+
IFERROR(VLOOKUP(A97,'Centre WP1'!$A$7:$N$106,14,FALSE),0)+
IFERROR(VLOOKUP(A97,'Centre WR1'!$A$7:$N$106,14,FALSE),0)+
IFERROR(VLOOKUP(A97,'Centre WV1'!$A$7:$N$107,14,FALSE),0)</f>
        <v>0.5</v>
      </c>
    </row>
    <row r="98" spans="1:14" hidden="1" outlineLevel="1" x14ac:dyDescent="0.2">
      <c r="A98" s="9" t="s">
        <v>196</v>
      </c>
      <c r="B98" s="1" t="s">
        <v>197</v>
      </c>
      <c r="C98" s="10">
        <f>IFERROR(VLOOKUP(A98,'Centre DW1'!$A$7:$N$106,3,FALSE),0)+
IFERROR(VLOOKUP(A98,'Centre WP1'!$A$7:$N$106,3,FALSE),0)+
IFERROR(VLOOKUP(A98,'Centre WR1'!$A$7:$N$106,3,FALSE),0)+
IFERROR(VLOOKUP(A98,'Centre WV1'!$A$7:$N$107,3,FALSE),0)</f>
        <v>0</v>
      </c>
      <c r="D98" s="10">
        <f>IFERROR(VLOOKUP(A98,'Centre DW1'!$A$7:$N$106,4,FALSE),0)+
IFERROR(VLOOKUP(A98,'Centre WP1'!$A$7:$N$106,4,FALSE),0)+
IFERROR(VLOOKUP(A98,'Centre WR1'!$A$7:$N$106,4,FALSE),0)+
IFERROR(VLOOKUP(A98,'Centre WV1'!$A$7:$N$107,4,FALSE),0)</f>
        <v>0</v>
      </c>
      <c r="E98" s="10">
        <f>IFERROR(VLOOKUP(A98,'Centre DW1'!$A$7:$N$106,5,FALSE),0)+
IFERROR(VLOOKUP(A98,'Centre WP1'!$A$7:$N$106,5,FALSE),0)+
IFERROR(VLOOKUP(A98,'Centre WR1'!$A$7:$N$106,5,FALSE),0)+
IFERROR(VLOOKUP(A98,'Centre WV1'!$A$7:$N$107,5,FALSE),0)</f>
        <v>0</v>
      </c>
      <c r="F98" s="10">
        <f>IFERROR(VLOOKUP(A98,'Centre DW1'!$A$7:$N$106,6,FALSE),0)+
IFERROR(VLOOKUP(A98,'Centre WP1'!$A$7:$N$106,6,FALSE),0)+
IFERROR(VLOOKUP(A98,'Centre WR1'!$A$7:$N$106,6,FALSE),0)+
IFERROR(VLOOKUP(A98,'Centre WV1'!$A$7:$N$107,6,FALSE),0)</f>
        <v>0</v>
      </c>
      <c r="G98" s="10">
        <f>IFERROR(VLOOKUP(A98,'Centre DW1'!$A$7:$N$106,7,FALSE),0)+
IFERROR(VLOOKUP(A98,'Centre WP1'!$A$7:$N$106,7,FALSE),0)+
IFERROR(VLOOKUP(A98,'Centre WR1'!$A$7:$N$106,7,FALSE),0)+
IFERROR(VLOOKUP(A98,'Centre WV1'!$A$7:$N$107,7,FALSE),0)</f>
        <v>0</v>
      </c>
      <c r="H98" s="10">
        <f>IFERROR(VLOOKUP(A98,'Centre DW1'!$A$7:$N$106,8,FALSE),0)+
IFERROR(VLOOKUP(A98,'Centre WP1'!$A$7:$N$106,8,FALSE),0)+
IFERROR(VLOOKUP(A98,'Centre WR1'!$A$7:$N$106,8,FALSE),0)+
IFERROR(VLOOKUP(A98,'Centre WV1'!$A$7:$N$107,8,FALSE),0)</f>
        <v>0</v>
      </c>
      <c r="I98" s="10">
        <f>IFERROR(VLOOKUP(A98,'Centre DW1'!$A$7:$N$106,9,FALSE),0)+
IFERROR(VLOOKUP(A98,'Centre WP1'!$A$7:$N$106,9,FALSE),0)+
IFERROR(VLOOKUP(A98,'Centre WR1'!$A$7:$N$106,9,FALSE),0)+
IFERROR(VLOOKUP(A98,'Centre WV1'!$A$7:$N$107,9,FALSE),0)</f>
        <v>0</v>
      </c>
      <c r="J98" s="47">
        <f>IFERROR(VLOOKUP(A98,'Centre DW1'!$A$7:$N$106,10,FALSE),0)+
IFERROR(VLOOKUP(A98,'Centre WP1'!$A$7:$N$106,10,FALSE),0)+
IFERROR(VLOOKUP(A98,'Centre WR1'!$A$7:$N$106,10,FALSE),0)+
IFERROR(VLOOKUP(A98,'Centre WV1'!$A$7:$N$107,10,FALSE),0)</f>
        <v>0</v>
      </c>
      <c r="K98" s="47">
        <f>IFERROR(VLOOKUP(A98,'Centre DW1'!$A$7:$N$106,11,FALSE),0)+
IFERROR(VLOOKUP(A98,'Centre WP1'!$A$7:$N$106,11,FALSE),0)+
IFERROR(VLOOKUP(A98,'Centre WR1'!$A$7:$N$106,11,FALSE),0)+
IFERROR(VLOOKUP(A98,'Centre WV1'!$A$7:$N$107,11,FALSE),0)</f>
        <v>0</v>
      </c>
      <c r="L98" s="47">
        <f>IFERROR(VLOOKUP(A98,'Centre DW1'!$A$7:$N$106,12,FALSE),0)+
IFERROR(VLOOKUP(A98,'Centre WP1'!$A$7:$N$106,12,FALSE),0)+
IFERROR(VLOOKUP(A98,'Centre WR1'!$A$7:$N$106,12,FALSE),0)+
IFERROR(VLOOKUP(A98,'Centre WV1'!$A$7:$N$107,12,FALSE),0)</f>
        <v>0</v>
      </c>
      <c r="M98" s="47">
        <f>IFERROR(VLOOKUP(A98,'Centre DW1'!$A$7:$N$106,13,FALSE),0)+
IFERROR(VLOOKUP(A98,'Centre WP1'!$A$7:$N$106,13,FALSE),0)+
IFERROR(VLOOKUP(A98,'Centre WR1'!$A$7:$N$106,13,FALSE),0)+
IFERROR(VLOOKUP(A98,'Centre WV1'!$A$7:$N$107,13,FALSE),0)</f>
        <v>0</v>
      </c>
      <c r="N98" s="47">
        <f>IFERROR(VLOOKUP(A98,'Centre DW1'!$A$7:$N$106,14,FALSE),0)+
IFERROR(VLOOKUP(A98,'Centre WP1'!$A$7:$N$106,14,FALSE),0)+
IFERROR(VLOOKUP(A98,'Centre WR1'!$A$7:$N$106,14,FALSE),0)+
IFERROR(VLOOKUP(A98,'Centre WV1'!$A$7:$N$107,14,FALSE),0)</f>
        <v>0</v>
      </c>
    </row>
    <row r="99" spans="1:14" hidden="1" outlineLevel="1" x14ac:dyDescent="0.2">
      <c r="A99" s="9" t="s">
        <v>198</v>
      </c>
      <c r="B99" s="1" t="s">
        <v>199</v>
      </c>
      <c r="C99" s="10">
        <f>IFERROR(VLOOKUP(A99,'Centre DW1'!$A$7:$N$106,3,FALSE),0)+
IFERROR(VLOOKUP(A99,'Centre WP1'!$A$7:$N$106,3,FALSE),0)+
IFERROR(VLOOKUP(A99,'Centre WR1'!$A$7:$N$106,3,FALSE),0)+
IFERROR(VLOOKUP(A99,'Centre WV1'!$A$7:$N$107,3,FALSE),0)</f>
        <v>0.3</v>
      </c>
      <c r="D99" s="10">
        <f>IFERROR(VLOOKUP(A99,'Centre DW1'!$A$7:$N$106,4,FALSE),0)+
IFERROR(VLOOKUP(A99,'Centre WP1'!$A$7:$N$106,4,FALSE),0)+
IFERROR(VLOOKUP(A99,'Centre WR1'!$A$7:$N$106,4,FALSE),0)+
IFERROR(VLOOKUP(A99,'Centre WV1'!$A$7:$N$107,4,FALSE),0)</f>
        <v>0.3</v>
      </c>
      <c r="E99" s="10">
        <f>IFERROR(VLOOKUP(A99,'Centre DW1'!$A$7:$N$106,5,FALSE),0)+
IFERROR(VLOOKUP(A99,'Centre WP1'!$A$7:$N$106,5,FALSE),0)+
IFERROR(VLOOKUP(A99,'Centre WR1'!$A$7:$N$106,5,FALSE),0)+
IFERROR(VLOOKUP(A99,'Centre WV1'!$A$7:$N$107,5,FALSE),0)</f>
        <v>0.3</v>
      </c>
      <c r="F99" s="10">
        <f>IFERROR(VLOOKUP(A99,'Centre DW1'!$A$7:$N$106,6,FALSE),0)+
IFERROR(VLOOKUP(A99,'Centre WP1'!$A$7:$N$106,6,FALSE),0)+
IFERROR(VLOOKUP(A99,'Centre WR1'!$A$7:$N$106,6,FALSE),0)+
IFERROR(VLOOKUP(A99,'Centre WV1'!$A$7:$N$107,6,FALSE),0)</f>
        <v>0.4</v>
      </c>
      <c r="G99" s="10">
        <f>IFERROR(VLOOKUP(A99,'Centre DW1'!$A$7:$N$106,7,FALSE),0)+
IFERROR(VLOOKUP(A99,'Centre WP1'!$A$7:$N$106,7,FALSE),0)+
IFERROR(VLOOKUP(A99,'Centre WR1'!$A$7:$N$106,7,FALSE),0)+
IFERROR(VLOOKUP(A99,'Centre WV1'!$A$7:$N$107,7,FALSE),0)</f>
        <v>0.4</v>
      </c>
      <c r="H99" s="10">
        <f>IFERROR(VLOOKUP(A99,'Centre DW1'!$A$7:$N$106,8,FALSE),0)+
IFERROR(VLOOKUP(A99,'Centre WP1'!$A$7:$N$106,8,FALSE),0)+
IFERROR(VLOOKUP(A99,'Centre WR1'!$A$7:$N$106,8,FALSE),0)+
IFERROR(VLOOKUP(A99,'Centre WV1'!$A$7:$N$107,8,FALSE),0)</f>
        <v>0.3</v>
      </c>
      <c r="I99" s="10">
        <f>IFERROR(VLOOKUP(A99,'Centre DW1'!$A$7:$N$106,9,FALSE),0)+
IFERROR(VLOOKUP(A99,'Centre WP1'!$A$7:$N$106,9,FALSE),0)+
IFERROR(VLOOKUP(A99,'Centre WR1'!$A$7:$N$106,9,FALSE),0)+
IFERROR(VLOOKUP(A99,'Centre WV1'!$A$7:$N$107,9,FALSE),0)</f>
        <v>0.3</v>
      </c>
      <c r="J99" s="47">
        <f>IFERROR(VLOOKUP(A99,'Centre DW1'!$A$7:$N$106,10,FALSE),0)+
IFERROR(VLOOKUP(A99,'Centre WP1'!$A$7:$N$106,10,FALSE),0)+
IFERROR(VLOOKUP(A99,'Centre WR1'!$A$7:$N$106,10,FALSE),0)+
IFERROR(VLOOKUP(A99,'Centre WV1'!$A$7:$N$107,10,FALSE),0)</f>
        <v>0.3</v>
      </c>
      <c r="K99" s="47">
        <f>IFERROR(VLOOKUP(A99,'Centre DW1'!$A$7:$N$106,11,FALSE),0)+
IFERROR(VLOOKUP(A99,'Centre WP1'!$A$7:$N$106,11,FALSE),0)+
IFERROR(VLOOKUP(A99,'Centre WR1'!$A$7:$N$106,11,FALSE),0)+
IFERROR(VLOOKUP(A99,'Centre WV1'!$A$7:$N$107,11,FALSE),0)</f>
        <v>0.4</v>
      </c>
      <c r="L99" s="47">
        <f>IFERROR(VLOOKUP(A99,'Centre DW1'!$A$7:$N$106,12,FALSE),0)+
IFERROR(VLOOKUP(A99,'Centre WP1'!$A$7:$N$106,12,FALSE),0)+
IFERROR(VLOOKUP(A99,'Centre WR1'!$A$7:$N$106,12,FALSE),0)+
IFERROR(VLOOKUP(A99,'Centre WV1'!$A$7:$N$107,12,FALSE),0)</f>
        <v>0.4</v>
      </c>
      <c r="M99" s="47">
        <f>IFERROR(VLOOKUP(A99,'Centre DW1'!$A$7:$N$106,13,FALSE),0)+
IFERROR(VLOOKUP(A99,'Centre WP1'!$A$7:$N$106,13,FALSE),0)+
IFERROR(VLOOKUP(A99,'Centre WR1'!$A$7:$N$106,13,FALSE),0)+
IFERROR(VLOOKUP(A99,'Centre WV1'!$A$7:$N$107,13,FALSE),0)</f>
        <v>0.3</v>
      </c>
      <c r="N99" s="47">
        <f>IFERROR(VLOOKUP(A99,'Centre DW1'!$A$7:$N$106,14,FALSE),0)+
IFERROR(VLOOKUP(A99,'Centre WP1'!$A$7:$N$106,14,FALSE),0)+
IFERROR(VLOOKUP(A99,'Centre WR1'!$A$7:$N$106,14,FALSE),0)+
IFERROR(VLOOKUP(A99,'Centre WV1'!$A$7:$N$107,14,FALSE),0)</f>
        <v>0.3</v>
      </c>
    </row>
    <row r="100" spans="1:14" collapsed="1" x14ac:dyDescent="0.2">
      <c r="A100" s="33" t="s">
        <v>200</v>
      </c>
      <c r="B100" s="34" t="s">
        <v>201</v>
      </c>
      <c r="C100" s="46">
        <f t="shared" ref="C100:I100" si="30">SUM(C101:C112)</f>
        <v>1.3</v>
      </c>
      <c r="D100" s="46">
        <f t="shared" si="30"/>
        <v>1.2</v>
      </c>
      <c r="E100" s="46">
        <f t="shared" si="30"/>
        <v>1.6</v>
      </c>
      <c r="F100" s="46">
        <f t="shared" si="30"/>
        <v>1.6</v>
      </c>
      <c r="G100" s="46">
        <f t="shared" si="30"/>
        <v>0.5</v>
      </c>
      <c r="H100" s="46">
        <f t="shared" si="30"/>
        <v>3</v>
      </c>
      <c r="I100" s="46">
        <f t="shared" si="30"/>
        <v>6.1000000000000005</v>
      </c>
      <c r="J100" s="46">
        <f>SUM(J101:J112)</f>
        <v>1.6</v>
      </c>
      <c r="K100" s="46">
        <f t="shared" ref="K100:N100" si="31">SUM(K101:K112)</f>
        <v>1.6</v>
      </c>
      <c r="L100" s="46">
        <f t="shared" si="31"/>
        <v>1.7</v>
      </c>
      <c r="M100" s="46">
        <f t="shared" si="31"/>
        <v>0.8</v>
      </c>
      <c r="N100" s="46">
        <f t="shared" si="31"/>
        <v>3</v>
      </c>
    </row>
    <row r="101" spans="1:14" hidden="1" outlineLevel="1" x14ac:dyDescent="0.2">
      <c r="A101" s="9" t="s">
        <v>202</v>
      </c>
      <c r="B101" s="1" t="s">
        <v>203</v>
      </c>
      <c r="C101" s="10">
        <f>IFERROR(VLOOKUP(A101,'Centre DW1'!$A$7:$N$106,3,FALSE),0)+
IFERROR(VLOOKUP(A101,'Centre WP1'!$A$7:$N$106,3,FALSE),0)+
IFERROR(VLOOKUP(A101,'Centre WR1'!$A$7:$N$106,3,FALSE),0)+
IFERROR(VLOOKUP(A101,'Centre WV1'!$A$7:$N$107,3,FALSE),0)</f>
        <v>0</v>
      </c>
      <c r="D101" s="10">
        <f>IFERROR(VLOOKUP(A101,'Centre DW1'!$A$7:$N$106,4,FALSE),0)+
IFERROR(VLOOKUP(A101,'Centre WP1'!$A$7:$N$106,4,FALSE),0)+
IFERROR(VLOOKUP(A101,'Centre WR1'!$A$7:$N$106,4,FALSE),0)+
IFERROR(VLOOKUP(A101,'Centre WV1'!$A$7:$N$107,4,FALSE),0)</f>
        <v>0</v>
      </c>
      <c r="E101" s="10">
        <f>IFERROR(VLOOKUP(A101,'Centre DW1'!$A$7:$N$106,5,FALSE),0)+
IFERROR(VLOOKUP(A101,'Centre WP1'!$A$7:$N$106,5,FALSE),0)+
IFERROR(VLOOKUP(A101,'Centre WR1'!$A$7:$N$106,5,FALSE),0)+
IFERROR(VLOOKUP(A101,'Centre WV1'!$A$7:$N$107,5,FALSE),0)</f>
        <v>0</v>
      </c>
      <c r="F101" s="10">
        <f>IFERROR(VLOOKUP(A101,'Centre DW1'!$A$7:$N$106,6,FALSE),0)+
IFERROR(VLOOKUP(A101,'Centre WP1'!$A$7:$N$106,6,FALSE),0)+
IFERROR(VLOOKUP(A101,'Centre WR1'!$A$7:$N$106,6,FALSE),0)+
IFERROR(VLOOKUP(A101,'Centre WV1'!$A$7:$N$107,6,FALSE),0)</f>
        <v>0</v>
      </c>
      <c r="G101" s="10">
        <f>IFERROR(VLOOKUP(A101,'Centre DW1'!$A$7:$N$106,7,FALSE),0)+
IFERROR(VLOOKUP(A101,'Centre WP1'!$A$7:$N$106,7,FALSE),0)+
IFERROR(VLOOKUP(A101,'Centre WR1'!$A$7:$N$106,7,FALSE),0)+
IFERROR(VLOOKUP(A101,'Centre WV1'!$A$7:$N$107,7,FALSE),0)</f>
        <v>0</v>
      </c>
      <c r="H101" s="10">
        <f>IFERROR(VLOOKUP(A101,'Centre DW1'!$A$7:$N$106,8,FALSE),0)+
IFERROR(VLOOKUP(A101,'Centre WP1'!$A$7:$N$106,8,FALSE),0)+
IFERROR(VLOOKUP(A101,'Centre WR1'!$A$7:$N$106,8,FALSE),0)+
IFERROR(VLOOKUP(A101,'Centre WV1'!$A$7:$N$107,8,FALSE),0)</f>
        <v>0</v>
      </c>
      <c r="I101" s="10">
        <f>IFERROR(VLOOKUP(A101,'Centre DW1'!$A$7:$N$106,9,FALSE),0)+
IFERROR(VLOOKUP(A101,'Centre WP1'!$A$7:$N$106,9,FALSE),0)+
IFERROR(VLOOKUP(A101,'Centre WR1'!$A$7:$N$106,9,FALSE),0)+
IFERROR(VLOOKUP(A101,'Centre WV1'!$A$7:$N$107,9,FALSE),0)</f>
        <v>0</v>
      </c>
      <c r="J101" s="47">
        <f>IFERROR(VLOOKUP(A101,'Centre DW1'!$A$7:$N$106,10,FALSE),0)+
IFERROR(VLOOKUP(A101,'Centre WP1'!$A$7:$N$106,10,FALSE),0)+
IFERROR(VLOOKUP(A101,'Centre WR1'!$A$7:$N$106,10,FALSE),0)+
IFERROR(VLOOKUP(A101,'Centre WV1'!$A$7:$N$107,10,FALSE),0)</f>
        <v>0</v>
      </c>
      <c r="K101" s="47">
        <f>IFERROR(VLOOKUP(A101,'Centre DW1'!$A$7:$N$106,11,FALSE),0)+
IFERROR(VLOOKUP(A101,'Centre WP1'!$A$7:$N$106,11,FALSE),0)+
IFERROR(VLOOKUP(A101,'Centre WR1'!$A$7:$N$106,11,FALSE),0)+
IFERROR(VLOOKUP(A101,'Centre WV1'!$A$7:$N$107,11,FALSE),0)</f>
        <v>0</v>
      </c>
      <c r="L101" s="47">
        <f>IFERROR(VLOOKUP(A101,'Centre DW1'!$A$7:$N$106,12,FALSE),0)+
IFERROR(VLOOKUP(A101,'Centre WP1'!$A$7:$N$106,12,FALSE),0)+
IFERROR(VLOOKUP(A101,'Centre WR1'!$A$7:$N$106,12,FALSE),0)+
IFERROR(VLOOKUP(A101,'Centre WV1'!$A$7:$N$107,12,FALSE),0)</f>
        <v>0</v>
      </c>
      <c r="M101" s="47">
        <f>IFERROR(VLOOKUP(A101,'Centre DW1'!$A$7:$N$106,13,FALSE),0)+
IFERROR(VLOOKUP(A101,'Centre WP1'!$A$7:$N$106,13,FALSE),0)+
IFERROR(VLOOKUP(A101,'Centre WR1'!$A$7:$N$106,13,FALSE),0)+
IFERROR(VLOOKUP(A101,'Centre WV1'!$A$7:$N$107,13,FALSE),0)</f>
        <v>0</v>
      </c>
      <c r="N101" s="47">
        <f>IFERROR(VLOOKUP(A101,'Centre DW1'!$A$7:$N$106,14,FALSE),0)+
IFERROR(VLOOKUP(A101,'Centre WP1'!$A$7:$N$106,14,FALSE),0)+
IFERROR(VLOOKUP(A101,'Centre WR1'!$A$7:$N$106,14,FALSE),0)+
IFERROR(VLOOKUP(A101,'Centre WV1'!$A$7:$N$107,14,FALSE),0)</f>
        <v>0</v>
      </c>
    </row>
    <row r="102" spans="1:14" hidden="1" outlineLevel="1" x14ac:dyDescent="0.2">
      <c r="A102" s="9" t="s">
        <v>204</v>
      </c>
      <c r="B102" s="1" t="s">
        <v>205</v>
      </c>
      <c r="C102" s="10">
        <f>IFERROR(VLOOKUP(A102,'Centre DW1'!$A$7:$N$106,3,FALSE),0)+
IFERROR(VLOOKUP(A102,'Centre WP1'!$A$7:$N$106,3,FALSE),0)+
IFERROR(VLOOKUP(A102,'Centre WR1'!$A$7:$N$106,3,FALSE),0)+
IFERROR(VLOOKUP(A102,'Centre WV1'!$A$7:$N$107,3,FALSE),0)</f>
        <v>0</v>
      </c>
      <c r="D102" s="10">
        <f>IFERROR(VLOOKUP(A102,'Centre DW1'!$A$7:$N$106,4,FALSE),0)+
IFERROR(VLOOKUP(A102,'Centre WP1'!$A$7:$N$106,4,FALSE),0)+
IFERROR(VLOOKUP(A102,'Centre WR1'!$A$7:$N$106,4,FALSE),0)+
IFERROR(VLOOKUP(A102,'Centre WV1'!$A$7:$N$107,4,FALSE),0)</f>
        <v>0</v>
      </c>
      <c r="E102" s="10">
        <f>IFERROR(VLOOKUP(A102,'Centre DW1'!$A$7:$N$106,5,FALSE),0)+
IFERROR(VLOOKUP(A102,'Centre WP1'!$A$7:$N$106,5,FALSE),0)+
IFERROR(VLOOKUP(A102,'Centre WR1'!$A$7:$N$106,5,FALSE),0)+
IFERROR(VLOOKUP(A102,'Centre WV1'!$A$7:$N$107,5,FALSE),0)</f>
        <v>0</v>
      </c>
      <c r="F102" s="10">
        <f>IFERROR(VLOOKUP(A102,'Centre DW1'!$A$7:$N$106,6,FALSE),0)+
IFERROR(VLOOKUP(A102,'Centre WP1'!$A$7:$N$106,6,FALSE),0)+
IFERROR(VLOOKUP(A102,'Centre WR1'!$A$7:$N$106,6,FALSE),0)+
IFERROR(VLOOKUP(A102,'Centre WV1'!$A$7:$N$107,6,FALSE),0)</f>
        <v>0</v>
      </c>
      <c r="G102" s="10">
        <f>IFERROR(VLOOKUP(A102,'Centre DW1'!$A$7:$N$106,7,FALSE),0)+
IFERROR(VLOOKUP(A102,'Centre WP1'!$A$7:$N$106,7,FALSE),0)+
IFERROR(VLOOKUP(A102,'Centre WR1'!$A$7:$N$106,7,FALSE),0)+
IFERROR(VLOOKUP(A102,'Centre WV1'!$A$7:$N$107,7,FALSE),0)</f>
        <v>0</v>
      </c>
      <c r="H102" s="10">
        <f>IFERROR(VLOOKUP(A102,'Centre DW1'!$A$7:$N$106,8,FALSE),0)+
IFERROR(VLOOKUP(A102,'Centre WP1'!$A$7:$N$106,8,FALSE),0)+
IFERROR(VLOOKUP(A102,'Centre WR1'!$A$7:$N$106,8,FALSE),0)+
IFERROR(VLOOKUP(A102,'Centre WV1'!$A$7:$N$107,8,FALSE),0)</f>
        <v>0</v>
      </c>
      <c r="I102" s="10">
        <f>IFERROR(VLOOKUP(A102,'Centre DW1'!$A$7:$N$106,9,FALSE),0)+
IFERROR(VLOOKUP(A102,'Centre WP1'!$A$7:$N$106,9,FALSE),0)+
IFERROR(VLOOKUP(A102,'Centre WR1'!$A$7:$N$106,9,FALSE),0)+
IFERROR(VLOOKUP(A102,'Centre WV1'!$A$7:$N$107,9,FALSE),0)</f>
        <v>0</v>
      </c>
      <c r="J102" s="47">
        <f>IFERROR(VLOOKUP(A102,'Centre DW1'!$A$7:$N$106,10,FALSE),0)+
IFERROR(VLOOKUP(A102,'Centre WP1'!$A$7:$N$106,10,FALSE),0)+
IFERROR(VLOOKUP(A102,'Centre WR1'!$A$7:$N$106,10,FALSE),0)+
IFERROR(VLOOKUP(A102,'Centre WV1'!$A$7:$N$107,10,FALSE),0)</f>
        <v>0</v>
      </c>
      <c r="K102" s="47">
        <f>IFERROR(VLOOKUP(A102,'Centre DW1'!$A$7:$N$106,11,FALSE),0)+
IFERROR(VLOOKUP(A102,'Centre WP1'!$A$7:$N$106,11,FALSE),0)+
IFERROR(VLOOKUP(A102,'Centre WR1'!$A$7:$N$106,11,FALSE),0)+
IFERROR(VLOOKUP(A102,'Centre WV1'!$A$7:$N$107,11,FALSE),0)</f>
        <v>0</v>
      </c>
      <c r="L102" s="47">
        <f>IFERROR(VLOOKUP(A102,'Centre DW1'!$A$7:$N$106,12,FALSE),0)+
IFERROR(VLOOKUP(A102,'Centre WP1'!$A$7:$N$106,12,FALSE),0)+
IFERROR(VLOOKUP(A102,'Centre WR1'!$A$7:$N$106,12,FALSE),0)+
IFERROR(VLOOKUP(A102,'Centre WV1'!$A$7:$N$107,12,FALSE),0)</f>
        <v>0</v>
      </c>
      <c r="M102" s="47">
        <f>IFERROR(VLOOKUP(A102,'Centre DW1'!$A$7:$N$106,13,FALSE),0)+
IFERROR(VLOOKUP(A102,'Centre WP1'!$A$7:$N$106,13,FALSE),0)+
IFERROR(VLOOKUP(A102,'Centre WR1'!$A$7:$N$106,13,FALSE),0)+
IFERROR(VLOOKUP(A102,'Centre WV1'!$A$7:$N$107,13,FALSE),0)</f>
        <v>0</v>
      </c>
      <c r="N102" s="47">
        <f>IFERROR(VLOOKUP(A102,'Centre DW1'!$A$7:$N$106,14,FALSE),0)+
IFERROR(VLOOKUP(A102,'Centre WP1'!$A$7:$N$106,14,FALSE),0)+
IFERROR(VLOOKUP(A102,'Centre WR1'!$A$7:$N$106,14,FALSE),0)+
IFERROR(VLOOKUP(A102,'Centre WV1'!$A$7:$N$107,14,FALSE),0)</f>
        <v>0</v>
      </c>
    </row>
    <row r="103" spans="1:14" hidden="1" outlineLevel="1" x14ac:dyDescent="0.2">
      <c r="A103" s="9" t="s">
        <v>206</v>
      </c>
      <c r="B103" s="1" t="s">
        <v>207</v>
      </c>
      <c r="C103" s="10">
        <f>IFERROR(VLOOKUP(A103,'Centre DW1'!$A$7:$N$106,3,FALSE),0)+
IFERROR(VLOOKUP(A103,'Centre WP1'!$A$7:$N$106,3,FALSE),0)+
IFERROR(VLOOKUP(A103,'Centre WR1'!$A$7:$N$106,3,FALSE),0)+
IFERROR(VLOOKUP(A103,'Centre WV1'!$A$7:$N$107,3,FALSE),0)</f>
        <v>0</v>
      </c>
      <c r="D103" s="10">
        <f>IFERROR(VLOOKUP(A103,'Centre DW1'!$A$7:$N$106,4,FALSE),0)+
IFERROR(VLOOKUP(A103,'Centre WP1'!$A$7:$N$106,4,FALSE),0)+
IFERROR(VLOOKUP(A103,'Centre WR1'!$A$7:$N$106,4,FALSE),0)+
IFERROR(VLOOKUP(A103,'Centre WV1'!$A$7:$N$107,4,FALSE),0)</f>
        <v>0.1</v>
      </c>
      <c r="E103" s="10">
        <f>IFERROR(VLOOKUP(A103,'Centre DW1'!$A$7:$N$106,5,FALSE),0)+
IFERROR(VLOOKUP(A103,'Centre WP1'!$A$7:$N$106,5,FALSE),0)+
IFERROR(VLOOKUP(A103,'Centre WR1'!$A$7:$N$106,5,FALSE),0)+
IFERROR(VLOOKUP(A103,'Centre WV1'!$A$7:$N$107,5,FALSE),0)</f>
        <v>0.1</v>
      </c>
      <c r="F103" s="10">
        <f>IFERROR(VLOOKUP(A103,'Centre DW1'!$A$7:$N$106,6,FALSE),0)+
IFERROR(VLOOKUP(A103,'Centre WP1'!$A$7:$N$106,6,FALSE),0)+
IFERROR(VLOOKUP(A103,'Centre WR1'!$A$7:$N$106,6,FALSE),0)+
IFERROR(VLOOKUP(A103,'Centre WV1'!$A$7:$N$107,6,FALSE),0)</f>
        <v>0.1</v>
      </c>
      <c r="G103" s="10">
        <f>IFERROR(VLOOKUP(A103,'Centre DW1'!$A$7:$N$106,7,FALSE),0)+
IFERROR(VLOOKUP(A103,'Centre WP1'!$A$7:$N$106,7,FALSE),0)+
IFERROR(VLOOKUP(A103,'Centre WR1'!$A$7:$N$106,7,FALSE),0)+
IFERROR(VLOOKUP(A103,'Centre WV1'!$A$7:$N$107,7,FALSE),0)</f>
        <v>0</v>
      </c>
      <c r="H103" s="10">
        <f>IFERROR(VLOOKUP(A103,'Centre DW1'!$A$7:$N$106,8,FALSE),0)+
IFERROR(VLOOKUP(A103,'Centre WP1'!$A$7:$N$106,8,FALSE),0)+
IFERROR(VLOOKUP(A103,'Centre WR1'!$A$7:$N$106,8,FALSE),0)+
IFERROR(VLOOKUP(A103,'Centre WV1'!$A$7:$N$107,8,FALSE),0)</f>
        <v>0.1</v>
      </c>
      <c r="I103" s="10">
        <f>IFERROR(VLOOKUP(A103,'Centre DW1'!$A$7:$N$106,9,FALSE),0)+
IFERROR(VLOOKUP(A103,'Centre WP1'!$A$7:$N$106,9,FALSE),0)+
IFERROR(VLOOKUP(A103,'Centre WR1'!$A$7:$N$106,9,FALSE),0)+
IFERROR(VLOOKUP(A103,'Centre WV1'!$A$7:$N$107,9,FALSE),0)</f>
        <v>0.1</v>
      </c>
      <c r="J103" s="47">
        <f>IFERROR(VLOOKUP(A103,'Centre DW1'!$A$7:$N$106,10,FALSE),0)+
IFERROR(VLOOKUP(A103,'Centre WP1'!$A$7:$N$106,10,FALSE),0)+
IFERROR(VLOOKUP(A103,'Centre WR1'!$A$7:$N$106,10,FALSE),0)+
IFERROR(VLOOKUP(A103,'Centre WV1'!$A$7:$N$107,10,FALSE),0)</f>
        <v>0.1</v>
      </c>
      <c r="K103" s="47">
        <f>IFERROR(VLOOKUP(A103,'Centre DW1'!$A$7:$N$106,11,FALSE),0)+
IFERROR(VLOOKUP(A103,'Centre WP1'!$A$7:$N$106,11,FALSE),0)+
IFERROR(VLOOKUP(A103,'Centre WR1'!$A$7:$N$106,11,FALSE),0)+
IFERROR(VLOOKUP(A103,'Centre WV1'!$A$7:$N$107,11,FALSE),0)</f>
        <v>0.1</v>
      </c>
      <c r="L103" s="47">
        <f>IFERROR(VLOOKUP(A103,'Centre DW1'!$A$7:$N$106,12,FALSE),0)+
IFERROR(VLOOKUP(A103,'Centre WP1'!$A$7:$N$106,12,FALSE),0)+
IFERROR(VLOOKUP(A103,'Centre WR1'!$A$7:$N$106,12,FALSE),0)+
IFERROR(VLOOKUP(A103,'Centre WV1'!$A$7:$N$107,12,FALSE),0)</f>
        <v>0</v>
      </c>
      <c r="M103" s="47">
        <f>IFERROR(VLOOKUP(A103,'Centre DW1'!$A$7:$N$106,13,FALSE),0)+
IFERROR(VLOOKUP(A103,'Centre WP1'!$A$7:$N$106,13,FALSE),0)+
IFERROR(VLOOKUP(A103,'Centre WR1'!$A$7:$N$106,13,FALSE),0)+
IFERROR(VLOOKUP(A103,'Centre WV1'!$A$7:$N$107,13,FALSE),0)</f>
        <v>0.1</v>
      </c>
      <c r="N103" s="47">
        <f>IFERROR(VLOOKUP(A103,'Centre DW1'!$A$7:$N$106,14,FALSE),0)+
IFERROR(VLOOKUP(A103,'Centre WP1'!$A$7:$N$106,14,FALSE),0)+
IFERROR(VLOOKUP(A103,'Centre WR1'!$A$7:$N$106,14,FALSE),0)+
IFERROR(VLOOKUP(A103,'Centre WV1'!$A$7:$N$107,14,FALSE),0)</f>
        <v>0.1</v>
      </c>
    </row>
    <row r="104" spans="1:14" hidden="1" outlineLevel="1" x14ac:dyDescent="0.2">
      <c r="A104" s="9" t="s">
        <v>208</v>
      </c>
      <c r="B104" s="1" t="s">
        <v>209</v>
      </c>
      <c r="C104" s="10">
        <f>IFERROR(VLOOKUP(A104,'Centre DW1'!$A$7:$N$106,3,FALSE),0)+
IFERROR(VLOOKUP(A104,'Centre WP1'!$A$7:$N$106,3,FALSE),0)+
IFERROR(VLOOKUP(A104,'Centre WR1'!$A$7:$N$106,3,FALSE),0)+
IFERROR(VLOOKUP(A104,'Centre WV1'!$A$7:$N$107,3,FALSE),0)</f>
        <v>0</v>
      </c>
      <c r="D104" s="10">
        <f>IFERROR(VLOOKUP(A104,'Centre DW1'!$A$7:$N$106,4,FALSE),0)+
IFERROR(VLOOKUP(A104,'Centre WP1'!$A$7:$N$106,4,FALSE),0)+
IFERROR(VLOOKUP(A104,'Centre WR1'!$A$7:$N$106,4,FALSE),0)+
IFERROR(VLOOKUP(A104,'Centre WV1'!$A$7:$N$107,4,FALSE),0)</f>
        <v>0</v>
      </c>
      <c r="E104" s="10">
        <f>IFERROR(VLOOKUP(A104,'Centre DW1'!$A$7:$N$106,5,FALSE),0)+
IFERROR(VLOOKUP(A104,'Centre WP1'!$A$7:$N$106,5,FALSE),0)+
IFERROR(VLOOKUP(A104,'Centre WR1'!$A$7:$N$106,5,FALSE),0)+
IFERROR(VLOOKUP(A104,'Centre WV1'!$A$7:$N$107,5,FALSE),0)</f>
        <v>0</v>
      </c>
      <c r="F104" s="10">
        <f>IFERROR(VLOOKUP(A104,'Centre DW1'!$A$7:$N$106,6,FALSE),0)+
IFERROR(VLOOKUP(A104,'Centre WP1'!$A$7:$N$106,6,FALSE),0)+
IFERROR(VLOOKUP(A104,'Centre WR1'!$A$7:$N$106,6,FALSE),0)+
IFERROR(VLOOKUP(A104,'Centre WV1'!$A$7:$N$107,6,FALSE),0)</f>
        <v>0</v>
      </c>
      <c r="G104" s="10">
        <f>IFERROR(VLOOKUP(A104,'Centre DW1'!$A$7:$N$106,7,FALSE),0)+
IFERROR(VLOOKUP(A104,'Centre WP1'!$A$7:$N$106,7,FALSE),0)+
IFERROR(VLOOKUP(A104,'Centre WR1'!$A$7:$N$106,7,FALSE),0)+
IFERROR(VLOOKUP(A104,'Centre WV1'!$A$7:$N$107,7,FALSE),0)</f>
        <v>0</v>
      </c>
      <c r="H104" s="10">
        <f>IFERROR(VLOOKUP(A104,'Centre DW1'!$A$7:$N$106,8,FALSE),0)+
IFERROR(VLOOKUP(A104,'Centre WP1'!$A$7:$N$106,8,FALSE),0)+
IFERROR(VLOOKUP(A104,'Centre WR1'!$A$7:$N$106,8,FALSE),0)+
IFERROR(VLOOKUP(A104,'Centre WV1'!$A$7:$N$107,8,FALSE),0)</f>
        <v>0</v>
      </c>
      <c r="I104" s="10">
        <f>IFERROR(VLOOKUP(A104,'Centre DW1'!$A$7:$N$106,9,FALSE),0)+
IFERROR(VLOOKUP(A104,'Centre WP1'!$A$7:$N$106,9,FALSE),0)+
IFERROR(VLOOKUP(A104,'Centre WR1'!$A$7:$N$106,9,FALSE),0)+
IFERROR(VLOOKUP(A104,'Centre WV1'!$A$7:$N$107,9,FALSE),0)</f>
        <v>0</v>
      </c>
      <c r="J104" s="47">
        <f>IFERROR(VLOOKUP(A104,'Centre DW1'!$A$7:$N$106,10,FALSE),0)+
IFERROR(VLOOKUP(A104,'Centre WP1'!$A$7:$N$106,10,FALSE),0)+
IFERROR(VLOOKUP(A104,'Centre WR1'!$A$7:$N$106,10,FALSE),0)+
IFERROR(VLOOKUP(A104,'Centre WV1'!$A$7:$N$107,10,FALSE),0)</f>
        <v>0</v>
      </c>
      <c r="K104" s="47">
        <f>IFERROR(VLOOKUP(A104,'Centre DW1'!$A$7:$N$106,11,FALSE),0)+
IFERROR(VLOOKUP(A104,'Centre WP1'!$A$7:$N$106,11,FALSE),0)+
IFERROR(VLOOKUP(A104,'Centre WR1'!$A$7:$N$106,11,FALSE),0)+
IFERROR(VLOOKUP(A104,'Centre WV1'!$A$7:$N$107,11,FALSE),0)</f>
        <v>0</v>
      </c>
      <c r="L104" s="47">
        <f>IFERROR(VLOOKUP(A104,'Centre DW1'!$A$7:$N$106,12,FALSE),0)+
IFERROR(VLOOKUP(A104,'Centre WP1'!$A$7:$N$106,12,FALSE),0)+
IFERROR(VLOOKUP(A104,'Centre WR1'!$A$7:$N$106,12,FALSE),0)+
IFERROR(VLOOKUP(A104,'Centre WV1'!$A$7:$N$107,12,FALSE),0)</f>
        <v>0</v>
      </c>
      <c r="M104" s="47">
        <f>IFERROR(VLOOKUP(A104,'Centre DW1'!$A$7:$N$106,13,FALSE),0)+
IFERROR(VLOOKUP(A104,'Centre WP1'!$A$7:$N$106,13,FALSE),0)+
IFERROR(VLOOKUP(A104,'Centre WR1'!$A$7:$N$106,13,FALSE),0)+
IFERROR(VLOOKUP(A104,'Centre WV1'!$A$7:$N$107,13,FALSE),0)</f>
        <v>0</v>
      </c>
      <c r="N104" s="47">
        <f>IFERROR(VLOOKUP(A104,'Centre DW1'!$A$7:$N$106,14,FALSE),0)+
IFERROR(VLOOKUP(A104,'Centre WP1'!$A$7:$N$106,14,FALSE),0)+
IFERROR(VLOOKUP(A104,'Centre WR1'!$A$7:$N$106,14,FALSE),0)+
IFERROR(VLOOKUP(A104,'Centre WV1'!$A$7:$N$107,14,FALSE),0)</f>
        <v>0</v>
      </c>
    </row>
    <row r="105" spans="1:14" hidden="1" outlineLevel="1" x14ac:dyDescent="0.2">
      <c r="A105" s="9" t="s">
        <v>210</v>
      </c>
      <c r="B105" s="1" t="s">
        <v>211</v>
      </c>
      <c r="C105" s="10">
        <f>IFERROR(VLOOKUP(A105,'Centre DW1'!$A$7:$N$106,3,FALSE),0)+
IFERROR(VLOOKUP(A105,'Centre WP1'!$A$7:$N$106,3,FALSE),0)+
IFERROR(VLOOKUP(A105,'Centre WR1'!$A$7:$N$106,3,FALSE),0)+
IFERROR(VLOOKUP(A105,'Centre WV1'!$A$7:$N$107,3,FALSE),0)</f>
        <v>0.1</v>
      </c>
      <c r="D105" s="10">
        <f>IFERROR(VLOOKUP(A105,'Centre DW1'!$A$7:$N$106,4,FALSE),0)+
IFERROR(VLOOKUP(A105,'Centre WP1'!$A$7:$N$106,4,FALSE),0)+
IFERROR(VLOOKUP(A105,'Centre WR1'!$A$7:$N$106,4,FALSE),0)+
IFERROR(VLOOKUP(A105,'Centre WV1'!$A$7:$N$107,4,FALSE),0)</f>
        <v>0.2</v>
      </c>
      <c r="E105" s="10">
        <f>IFERROR(VLOOKUP(A105,'Centre DW1'!$A$7:$N$106,5,FALSE),0)+
IFERROR(VLOOKUP(A105,'Centre WP1'!$A$7:$N$106,5,FALSE),0)+
IFERROR(VLOOKUP(A105,'Centre WR1'!$A$7:$N$106,5,FALSE),0)+
IFERROR(VLOOKUP(A105,'Centre WV1'!$A$7:$N$107,5,FALSE),0)</f>
        <v>0.2</v>
      </c>
      <c r="F105" s="10">
        <f>IFERROR(VLOOKUP(A105,'Centre DW1'!$A$7:$N$106,6,FALSE),0)+
IFERROR(VLOOKUP(A105,'Centre WP1'!$A$7:$N$106,6,FALSE),0)+
IFERROR(VLOOKUP(A105,'Centre WR1'!$A$7:$N$106,6,FALSE),0)+
IFERROR(VLOOKUP(A105,'Centre WV1'!$A$7:$N$107,6,FALSE),0)</f>
        <v>0.1</v>
      </c>
      <c r="G105" s="10">
        <f>IFERROR(VLOOKUP(A105,'Centre DW1'!$A$7:$N$106,7,FALSE),0)+
IFERROR(VLOOKUP(A105,'Centre WP1'!$A$7:$N$106,7,FALSE),0)+
IFERROR(VLOOKUP(A105,'Centre WR1'!$A$7:$N$106,7,FALSE),0)+
IFERROR(VLOOKUP(A105,'Centre WV1'!$A$7:$N$107,7,FALSE),0)</f>
        <v>0.1</v>
      </c>
      <c r="H105" s="10">
        <f>IFERROR(VLOOKUP(A105,'Centre DW1'!$A$7:$N$106,8,FALSE),0)+
IFERROR(VLOOKUP(A105,'Centre WP1'!$A$7:$N$106,8,FALSE),0)+
IFERROR(VLOOKUP(A105,'Centre WR1'!$A$7:$N$106,8,FALSE),0)+
IFERROR(VLOOKUP(A105,'Centre WV1'!$A$7:$N$107,8,FALSE),0)</f>
        <v>0.1</v>
      </c>
      <c r="I105" s="10">
        <f>IFERROR(VLOOKUP(A105,'Centre DW1'!$A$7:$N$106,9,FALSE),0)+
IFERROR(VLOOKUP(A105,'Centre WP1'!$A$7:$N$106,9,FALSE),0)+
IFERROR(VLOOKUP(A105,'Centre WR1'!$A$7:$N$106,9,FALSE),0)+
IFERROR(VLOOKUP(A105,'Centre WV1'!$A$7:$N$107,9,FALSE),0)</f>
        <v>0.2</v>
      </c>
      <c r="J105" s="47">
        <f>IFERROR(VLOOKUP(A105,'Centre DW1'!$A$7:$N$106,10,FALSE),0)+
IFERROR(VLOOKUP(A105,'Centre WP1'!$A$7:$N$106,10,FALSE),0)+
IFERROR(VLOOKUP(A105,'Centre WR1'!$A$7:$N$106,10,FALSE),0)+
IFERROR(VLOOKUP(A105,'Centre WV1'!$A$7:$N$107,10,FALSE),0)</f>
        <v>0.2</v>
      </c>
      <c r="K105" s="47">
        <f>IFERROR(VLOOKUP(A105,'Centre DW1'!$A$7:$N$106,11,FALSE),0)+
IFERROR(VLOOKUP(A105,'Centre WP1'!$A$7:$N$106,11,FALSE),0)+
IFERROR(VLOOKUP(A105,'Centre WR1'!$A$7:$N$106,11,FALSE),0)+
IFERROR(VLOOKUP(A105,'Centre WV1'!$A$7:$N$107,11,FALSE),0)</f>
        <v>0.1</v>
      </c>
      <c r="L105" s="47">
        <f>IFERROR(VLOOKUP(A105,'Centre DW1'!$A$7:$N$106,12,FALSE),0)+
IFERROR(VLOOKUP(A105,'Centre WP1'!$A$7:$N$106,12,FALSE),0)+
IFERROR(VLOOKUP(A105,'Centre WR1'!$A$7:$N$106,12,FALSE),0)+
IFERROR(VLOOKUP(A105,'Centre WV1'!$A$7:$N$107,12,FALSE),0)</f>
        <v>0.1</v>
      </c>
      <c r="M105" s="47">
        <f>IFERROR(VLOOKUP(A105,'Centre DW1'!$A$7:$N$106,13,FALSE),0)+
IFERROR(VLOOKUP(A105,'Centre WP1'!$A$7:$N$106,13,FALSE),0)+
IFERROR(VLOOKUP(A105,'Centre WR1'!$A$7:$N$106,13,FALSE),0)+
IFERROR(VLOOKUP(A105,'Centre WV1'!$A$7:$N$107,13,FALSE),0)</f>
        <v>0.1</v>
      </c>
      <c r="N105" s="47">
        <f>IFERROR(VLOOKUP(A105,'Centre DW1'!$A$7:$N$106,14,FALSE),0)+
IFERROR(VLOOKUP(A105,'Centre WP1'!$A$7:$N$106,14,FALSE),0)+
IFERROR(VLOOKUP(A105,'Centre WR1'!$A$7:$N$106,14,FALSE),0)+
IFERROR(VLOOKUP(A105,'Centre WV1'!$A$7:$N$107,14,FALSE),0)</f>
        <v>0.1</v>
      </c>
    </row>
    <row r="106" spans="1:14" hidden="1" outlineLevel="1" x14ac:dyDescent="0.2">
      <c r="A106" s="9" t="s">
        <v>212</v>
      </c>
      <c r="B106" s="1" t="s">
        <v>213</v>
      </c>
      <c r="C106" s="10">
        <f>IFERROR(VLOOKUP(A106,'Centre DW1'!$A$7:$N$106,3,FALSE),0)+
IFERROR(VLOOKUP(A106,'Centre WP1'!$A$7:$N$106,3,FALSE),0)+
IFERROR(VLOOKUP(A106,'Centre WR1'!$A$7:$N$106,3,FALSE),0)+
IFERROR(VLOOKUP(A106,'Centre WV1'!$A$7:$N$107,3,FALSE),0)</f>
        <v>0</v>
      </c>
      <c r="D106" s="10">
        <f>IFERROR(VLOOKUP(A106,'Centre DW1'!$A$7:$N$106,4,FALSE),0)+
IFERROR(VLOOKUP(A106,'Centre WP1'!$A$7:$N$106,4,FALSE),0)+
IFERROR(VLOOKUP(A106,'Centre WR1'!$A$7:$N$106,4,FALSE),0)+
IFERROR(VLOOKUP(A106,'Centre WV1'!$A$7:$N$107,4,FALSE),0)</f>
        <v>0</v>
      </c>
      <c r="E106" s="10">
        <f>IFERROR(VLOOKUP(A106,'Centre DW1'!$A$7:$N$106,5,FALSE),0)+
IFERROR(VLOOKUP(A106,'Centre WP1'!$A$7:$N$106,5,FALSE),0)+
IFERROR(VLOOKUP(A106,'Centre WR1'!$A$7:$N$106,5,FALSE),0)+
IFERROR(VLOOKUP(A106,'Centre WV1'!$A$7:$N$107,5,FALSE),0)</f>
        <v>0</v>
      </c>
      <c r="F106" s="10">
        <f>IFERROR(VLOOKUP(A106,'Centre DW1'!$A$7:$N$106,6,FALSE),0)+
IFERROR(VLOOKUP(A106,'Centre WP1'!$A$7:$N$106,6,FALSE),0)+
IFERROR(VLOOKUP(A106,'Centre WR1'!$A$7:$N$106,6,FALSE),0)+
IFERROR(VLOOKUP(A106,'Centre WV1'!$A$7:$N$107,6,FALSE),0)</f>
        <v>0</v>
      </c>
      <c r="G106" s="10">
        <f>IFERROR(VLOOKUP(A106,'Centre DW1'!$A$7:$N$106,7,FALSE),0)+
IFERROR(VLOOKUP(A106,'Centre WP1'!$A$7:$N$106,7,FALSE),0)+
IFERROR(VLOOKUP(A106,'Centre WR1'!$A$7:$N$106,7,FALSE),0)+
IFERROR(VLOOKUP(A106,'Centre WV1'!$A$7:$N$107,7,FALSE),0)</f>
        <v>0</v>
      </c>
      <c r="H106" s="10">
        <f>IFERROR(VLOOKUP(A106,'Centre DW1'!$A$7:$N$106,8,FALSE),0)+
IFERROR(VLOOKUP(A106,'Centre WP1'!$A$7:$N$106,8,FALSE),0)+
IFERROR(VLOOKUP(A106,'Centre WR1'!$A$7:$N$106,8,FALSE),0)+
IFERROR(VLOOKUP(A106,'Centre WV1'!$A$7:$N$107,8,FALSE),0)</f>
        <v>0</v>
      </c>
      <c r="I106" s="10">
        <f>IFERROR(VLOOKUP(A106,'Centre DW1'!$A$7:$N$106,9,FALSE),0)+
IFERROR(VLOOKUP(A106,'Centre WP1'!$A$7:$N$106,9,FALSE),0)+
IFERROR(VLOOKUP(A106,'Centre WR1'!$A$7:$N$106,9,FALSE),0)+
IFERROR(VLOOKUP(A106,'Centre WV1'!$A$7:$N$107,9,FALSE),0)</f>
        <v>0</v>
      </c>
      <c r="J106" s="47">
        <f>IFERROR(VLOOKUP(A106,'Centre DW1'!$A$7:$N$106,10,FALSE),0)+
IFERROR(VLOOKUP(A106,'Centre WP1'!$A$7:$N$106,10,FALSE),0)+
IFERROR(VLOOKUP(A106,'Centre WR1'!$A$7:$N$106,10,FALSE),0)+
IFERROR(VLOOKUP(A106,'Centre WV1'!$A$7:$N$107,10,FALSE),0)</f>
        <v>0</v>
      </c>
      <c r="K106" s="47">
        <f>IFERROR(VLOOKUP(A106,'Centre DW1'!$A$7:$N$106,11,FALSE),0)+
IFERROR(VLOOKUP(A106,'Centre WP1'!$A$7:$N$106,11,FALSE),0)+
IFERROR(VLOOKUP(A106,'Centre WR1'!$A$7:$N$106,11,FALSE),0)+
IFERROR(VLOOKUP(A106,'Centre WV1'!$A$7:$N$107,11,FALSE),0)</f>
        <v>0</v>
      </c>
      <c r="L106" s="47">
        <f>IFERROR(VLOOKUP(A106,'Centre DW1'!$A$7:$N$106,12,FALSE),0)+
IFERROR(VLOOKUP(A106,'Centre WP1'!$A$7:$N$106,12,FALSE),0)+
IFERROR(VLOOKUP(A106,'Centre WR1'!$A$7:$N$106,12,FALSE),0)+
IFERROR(VLOOKUP(A106,'Centre WV1'!$A$7:$N$107,12,FALSE),0)</f>
        <v>0</v>
      </c>
      <c r="M106" s="47">
        <f>IFERROR(VLOOKUP(A106,'Centre DW1'!$A$7:$N$106,13,FALSE),0)+
IFERROR(VLOOKUP(A106,'Centre WP1'!$A$7:$N$106,13,FALSE),0)+
IFERROR(VLOOKUP(A106,'Centre WR1'!$A$7:$N$106,13,FALSE),0)+
IFERROR(VLOOKUP(A106,'Centre WV1'!$A$7:$N$107,13,FALSE),0)</f>
        <v>0</v>
      </c>
      <c r="N106" s="47">
        <f>IFERROR(VLOOKUP(A106,'Centre DW1'!$A$7:$N$106,14,FALSE),0)+
IFERROR(VLOOKUP(A106,'Centre WP1'!$A$7:$N$106,14,FALSE),0)+
IFERROR(VLOOKUP(A106,'Centre WR1'!$A$7:$N$106,14,FALSE),0)+
IFERROR(VLOOKUP(A106,'Centre WV1'!$A$7:$N$107,14,FALSE),0)</f>
        <v>0</v>
      </c>
    </row>
    <row r="107" spans="1:14" hidden="1" outlineLevel="1" x14ac:dyDescent="0.2">
      <c r="A107" s="9" t="s">
        <v>214</v>
      </c>
      <c r="B107" s="1" t="s">
        <v>215</v>
      </c>
      <c r="C107" s="10">
        <f>IFERROR(VLOOKUP(A107,'Centre DW1'!$A$7:$N$106,3,FALSE),0)+
IFERROR(VLOOKUP(A107,'Centre WP1'!$A$7:$N$106,3,FALSE),0)+
IFERROR(VLOOKUP(A107,'Centre WR1'!$A$7:$N$106,3,FALSE),0)+
IFERROR(VLOOKUP(A107,'Centre WV1'!$A$7:$N$107,3,FALSE),0)</f>
        <v>0</v>
      </c>
      <c r="D107" s="10">
        <f>IFERROR(VLOOKUP(A107,'Centre DW1'!$A$7:$N$106,4,FALSE),0)+
IFERROR(VLOOKUP(A107,'Centre WP1'!$A$7:$N$106,4,FALSE),0)+
IFERROR(VLOOKUP(A107,'Centre WR1'!$A$7:$N$106,4,FALSE),0)+
IFERROR(VLOOKUP(A107,'Centre WV1'!$A$7:$N$107,4,FALSE),0)</f>
        <v>0</v>
      </c>
      <c r="E107" s="10">
        <f>IFERROR(VLOOKUP(A107,'Centre DW1'!$A$7:$N$106,5,FALSE),0)+
IFERROR(VLOOKUP(A107,'Centre WP1'!$A$7:$N$106,5,FALSE),0)+
IFERROR(VLOOKUP(A107,'Centre WR1'!$A$7:$N$106,5,FALSE),0)+
IFERROR(VLOOKUP(A107,'Centre WV1'!$A$7:$N$107,5,FALSE),0)</f>
        <v>0</v>
      </c>
      <c r="F107" s="10">
        <f>IFERROR(VLOOKUP(A107,'Centre DW1'!$A$7:$N$106,6,FALSE),0)+
IFERROR(VLOOKUP(A107,'Centre WP1'!$A$7:$N$106,6,FALSE),0)+
IFERROR(VLOOKUP(A107,'Centre WR1'!$A$7:$N$106,6,FALSE),0)+
IFERROR(VLOOKUP(A107,'Centre WV1'!$A$7:$N$107,6,FALSE),0)</f>
        <v>0</v>
      </c>
      <c r="G107" s="10">
        <f>IFERROR(VLOOKUP(A107,'Centre DW1'!$A$7:$N$106,7,FALSE),0)+
IFERROR(VLOOKUP(A107,'Centre WP1'!$A$7:$N$106,7,FALSE),0)+
IFERROR(VLOOKUP(A107,'Centre WR1'!$A$7:$N$106,7,FALSE),0)+
IFERROR(VLOOKUP(A107,'Centre WV1'!$A$7:$N$107,7,FALSE),0)</f>
        <v>0</v>
      </c>
      <c r="H107" s="10">
        <f>IFERROR(VLOOKUP(A107,'Centre DW1'!$A$7:$N$106,8,FALSE),0)+
IFERROR(VLOOKUP(A107,'Centre WP1'!$A$7:$N$106,8,FALSE),0)+
IFERROR(VLOOKUP(A107,'Centre WR1'!$A$7:$N$106,8,FALSE),0)+
IFERROR(VLOOKUP(A107,'Centre WV1'!$A$7:$N$107,8,FALSE),0)</f>
        <v>0</v>
      </c>
      <c r="I107" s="10">
        <f>IFERROR(VLOOKUP(A107,'Centre DW1'!$A$7:$N$106,9,FALSE),0)+
IFERROR(VLOOKUP(A107,'Centre WP1'!$A$7:$N$106,9,FALSE),0)+
IFERROR(VLOOKUP(A107,'Centre WR1'!$A$7:$N$106,9,FALSE),0)+
IFERROR(VLOOKUP(A107,'Centre WV1'!$A$7:$N$107,9,FALSE),0)</f>
        <v>0</v>
      </c>
      <c r="J107" s="47">
        <f>IFERROR(VLOOKUP(A107,'Centre DW1'!$A$7:$N$106,10,FALSE),0)+
IFERROR(VLOOKUP(A107,'Centre WP1'!$A$7:$N$106,10,FALSE),0)+
IFERROR(VLOOKUP(A107,'Centre WR1'!$A$7:$N$106,10,FALSE),0)+
IFERROR(VLOOKUP(A107,'Centre WV1'!$A$7:$N$107,10,FALSE),0)</f>
        <v>0</v>
      </c>
      <c r="K107" s="47">
        <f>IFERROR(VLOOKUP(A107,'Centre DW1'!$A$7:$N$106,11,FALSE),0)+
IFERROR(VLOOKUP(A107,'Centre WP1'!$A$7:$N$106,11,FALSE),0)+
IFERROR(VLOOKUP(A107,'Centre WR1'!$A$7:$N$106,11,FALSE),0)+
IFERROR(VLOOKUP(A107,'Centre WV1'!$A$7:$N$107,11,FALSE),0)</f>
        <v>0</v>
      </c>
      <c r="L107" s="47">
        <f>IFERROR(VLOOKUP(A107,'Centre DW1'!$A$7:$N$106,12,FALSE),0)+
IFERROR(VLOOKUP(A107,'Centre WP1'!$A$7:$N$106,12,FALSE),0)+
IFERROR(VLOOKUP(A107,'Centre WR1'!$A$7:$N$106,12,FALSE),0)+
IFERROR(VLOOKUP(A107,'Centre WV1'!$A$7:$N$107,12,FALSE),0)</f>
        <v>0</v>
      </c>
      <c r="M107" s="47">
        <f>IFERROR(VLOOKUP(A107,'Centre DW1'!$A$7:$N$106,13,FALSE),0)+
IFERROR(VLOOKUP(A107,'Centre WP1'!$A$7:$N$106,13,FALSE),0)+
IFERROR(VLOOKUP(A107,'Centre WR1'!$A$7:$N$106,13,FALSE),0)+
IFERROR(VLOOKUP(A107,'Centre WV1'!$A$7:$N$107,13,FALSE),0)</f>
        <v>0</v>
      </c>
      <c r="N107" s="47">
        <f>IFERROR(VLOOKUP(A107,'Centre DW1'!$A$7:$N$106,14,FALSE),0)+
IFERROR(VLOOKUP(A107,'Centre WP1'!$A$7:$N$106,14,FALSE),0)+
IFERROR(VLOOKUP(A107,'Centre WR1'!$A$7:$N$106,14,FALSE),0)+
IFERROR(VLOOKUP(A107,'Centre WV1'!$A$7:$N$107,14,FALSE),0)</f>
        <v>0</v>
      </c>
    </row>
    <row r="108" spans="1:14" hidden="1" outlineLevel="1" x14ac:dyDescent="0.2">
      <c r="A108" s="9" t="s">
        <v>216</v>
      </c>
      <c r="B108" s="1" t="s">
        <v>217</v>
      </c>
      <c r="C108" s="10">
        <f>IFERROR(VLOOKUP(A108,'Centre DW1'!$A$7:$N$106,3,FALSE),0)+
IFERROR(VLOOKUP(A108,'Centre WP1'!$A$7:$N$106,3,FALSE),0)+
IFERROR(VLOOKUP(A108,'Centre WR1'!$A$7:$N$106,3,FALSE),0)+
IFERROR(VLOOKUP(A108,'Centre WV1'!$A$7:$N$107,3,FALSE),0)</f>
        <v>0.4</v>
      </c>
      <c r="D108" s="10">
        <f>IFERROR(VLOOKUP(A108,'Centre DW1'!$A$7:$N$106,4,FALSE),0)+
IFERROR(VLOOKUP(A108,'Centre WP1'!$A$7:$N$106,4,FALSE),0)+
IFERROR(VLOOKUP(A108,'Centre WR1'!$A$7:$N$106,4,FALSE),0)+
IFERROR(VLOOKUP(A108,'Centre WV1'!$A$7:$N$107,4,FALSE),0)</f>
        <v>0.2</v>
      </c>
      <c r="E108" s="10">
        <f>IFERROR(VLOOKUP(A108,'Centre DW1'!$A$7:$N$106,5,FALSE),0)+
IFERROR(VLOOKUP(A108,'Centre WP1'!$A$7:$N$106,5,FALSE),0)+
IFERROR(VLOOKUP(A108,'Centre WR1'!$A$7:$N$106,5,FALSE),0)+
IFERROR(VLOOKUP(A108,'Centre WV1'!$A$7:$N$107,5,FALSE),0)</f>
        <v>0.5</v>
      </c>
      <c r="F108" s="10">
        <f>IFERROR(VLOOKUP(A108,'Centre DW1'!$A$7:$N$106,6,FALSE),0)+
IFERROR(VLOOKUP(A108,'Centre WP1'!$A$7:$N$106,6,FALSE),0)+
IFERROR(VLOOKUP(A108,'Centre WR1'!$A$7:$N$106,6,FALSE),0)+
IFERROR(VLOOKUP(A108,'Centre WV1'!$A$7:$N$107,6,FALSE),0)</f>
        <v>0.5</v>
      </c>
      <c r="G108" s="10">
        <f>IFERROR(VLOOKUP(A108,'Centre DW1'!$A$7:$N$106,7,FALSE),0)+
IFERROR(VLOOKUP(A108,'Centre WP1'!$A$7:$N$106,7,FALSE),0)+
IFERROR(VLOOKUP(A108,'Centre WR1'!$A$7:$N$106,7,FALSE),0)+
IFERROR(VLOOKUP(A108,'Centre WV1'!$A$7:$N$107,7,FALSE),0)</f>
        <v>0.4</v>
      </c>
      <c r="H108" s="10">
        <f>IFERROR(VLOOKUP(A108,'Centre DW1'!$A$7:$N$106,8,FALSE),0)+
IFERROR(VLOOKUP(A108,'Centre WP1'!$A$7:$N$106,8,FALSE),0)+
IFERROR(VLOOKUP(A108,'Centre WR1'!$A$7:$N$106,8,FALSE),0)+
IFERROR(VLOOKUP(A108,'Centre WV1'!$A$7:$N$107,8,FALSE),0)</f>
        <v>0.3</v>
      </c>
      <c r="I108" s="10">
        <f>IFERROR(VLOOKUP(A108,'Centre DW1'!$A$7:$N$106,9,FALSE),0)+
IFERROR(VLOOKUP(A108,'Centre WP1'!$A$7:$N$106,9,FALSE),0)+
IFERROR(VLOOKUP(A108,'Centre WR1'!$A$7:$N$106,9,FALSE),0)+
IFERROR(VLOOKUP(A108,'Centre WV1'!$A$7:$N$107,9,FALSE),0)</f>
        <v>0.2</v>
      </c>
      <c r="J108" s="47">
        <f>IFERROR(VLOOKUP(A108,'Centre DW1'!$A$7:$N$106,10,FALSE),0)+
IFERROR(VLOOKUP(A108,'Centre WP1'!$A$7:$N$106,10,FALSE),0)+
IFERROR(VLOOKUP(A108,'Centre WR1'!$A$7:$N$106,10,FALSE),0)+
IFERROR(VLOOKUP(A108,'Centre WV1'!$A$7:$N$107,10,FALSE),0)</f>
        <v>0.5</v>
      </c>
      <c r="K108" s="47">
        <f>IFERROR(VLOOKUP(A108,'Centre DW1'!$A$7:$N$106,11,FALSE),0)+
IFERROR(VLOOKUP(A108,'Centre WP1'!$A$7:$N$106,11,FALSE),0)+
IFERROR(VLOOKUP(A108,'Centre WR1'!$A$7:$N$106,11,FALSE),0)+
IFERROR(VLOOKUP(A108,'Centre WV1'!$A$7:$N$107,11,FALSE),0)</f>
        <v>0.5</v>
      </c>
      <c r="L108" s="47">
        <f>IFERROR(VLOOKUP(A108,'Centre DW1'!$A$7:$N$106,12,FALSE),0)+
IFERROR(VLOOKUP(A108,'Centre WP1'!$A$7:$N$106,12,FALSE),0)+
IFERROR(VLOOKUP(A108,'Centre WR1'!$A$7:$N$106,12,FALSE),0)+
IFERROR(VLOOKUP(A108,'Centre WV1'!$A$7:$N$107,12,FALSE),0)</f>
        <v>0.4</v>
      </c>
      <c r="M108" s="47">
        <f>IFERROR(VLOOKUP(A108,'Centre DW1'!$A$7:$N$106,13,FALSE),0)+
IFERROR(VLOOKUP(A108,'Centre WP1'!$A$7:$N$106,13,FALSE),0)+
IFERROR(VLOOKUP(A108,'Centre WR1'!$A$7:$N$106,13,FALSE),0)+
IFERROR(VLOOKUP(A108,'Centre WV1'!$A$7:$N$107,13,FALSE),0)</f>
        <v>0.3</v>
      </c>
      <c r="N108" s="47">
        <f>IFERROR(VLOOKUP(A108,'Centre DW1'!$A$7:$N$106,14,FALSE),0)+
IFERROR(VLOOKUP(A108,'Centre WP1'!$A$7:$N$106,14,FALSE),0)+
IFERROR(VLOOKUP(A108,'Centre WR1'!$A$7:$N$106,14,FALSE),0)+
IFERROR(VLOOKUP(A108,'Centre WV1'!$A$7:$N$107,14,FALSE),0)</f>
        <v>0.3</v>
      </c>
    </row>
    <row r="109" spans="1:14" hidden="1" outlineLevel="1" x14ac:dyDescent="0.2">
      <c r="A109" s="9" t="s">
        <v>218</v>
      </c>
      <c r="B109" s="1" t="s">
        <v>219</v>
      </c>
      <c r="C109" s="10">
        <f>IFERROR(VLOOKUP(A109,'Centre DW1'!$A$7:$N$106,3,FALSE),0)+
IFERROR(VLOOKUP(A109,'Centre WP1'!$A$7:$N$106,3,FALSE),0)+
IFERROR(VLOOKUP(A109,'Centre WR1'!$A$7:$N$106,3,FALSE),0)+
IFERROR(VLOOKUP(A109,'Centre WV1'!$A$7:$N$107,3,FALSE),0)</f>
        <v>0.7</v>
      </c>
      <c r="D109" s="10">
        <f>IFERROR(VLOOKUP(A109,'Centre DW1'!$A$7:$N$106,4,FALSE),0)+
IFERROR(VLOOKUP(A109,'Centre WP1'!$A$7:$N$106,4,FALSE),0)+
IFERROR(VLOOKUP(A109,'Centre WR1'!$A$7:$N$106,4,FALSE),0)+
IFERROR(VLOOKUP(A109,'Centre WV1'!$A$7:$N$107,4,FALSE),0)</f>
        <v>0.7</v>
      </c>
      <c r="E109" s="10">
        <f>IFERROR(VLOOKUP(A109,'Centre DW1'!$A$7:$N$106,5,FALSE),0)+
IFERROR(VLOOKUP(A109,'Centre WP1'!$A$7:$N$106,5,FALSE),0)+
IFERROR(VLOOKUP(A109,'Centre WR1'!$A$7:$N$106,5,FALSE),0)+
IFERROR(VLOOKUP(A109,'Centre WV1'!$A$7:$N$107,5,FALSE),0)</f>
        <v>0.7</v>
      </c>
      <c r="F109" s="10">
        <f>IFERROR(VLOOKUP(A109,'Centre DW1'!$A$7:$N$106,6,FALSE),0)+
IFERROR(VLOOKUP(A109,'Centre WP1'!$A$7:$N$106,6,FALSE),0)+
IFERROR(VLOOKUP(A109,'Centre WR1'!$A$7:$N$106,6,FALSE),0)+
IFERROR(VLOOKUP(A109,'Centre WV1'!$A$7:$N$107,6,FALSE),0)</f>
        <v>0.8</v>
      </c>
      <c r="G109" s="10">
        <f>IFERROR(VLOOKUP(A109,'Centre DW1'!$A$7:$N$106,7,FALSE),0)+
IFERROR(VLOOKUP(A109,'Centre WP1'!$A$7:$N$106,7,FALSE),0)+
IFERROR(VLOOKUP(A109,'Centre WR1'!$A$7:$N$106,7,FALSE),0)+
IFERROR(VLOOKUP(A109,'Centre WV1'!$A$7:$N$107,7,FALSE),0)</f>
        <v>0</v>
      </c>
      <c r="H109" s="10">
        <f>IFERROR(VLOOKUP(A109,'Centre DW1'!$A$7:$N$106,8,FALSE),0)+
IFERROR(VLOOKUP(A109,'Centre WP1'!$A$7:$N$106,8,FALSE),0)+
IFERROR(VLOOKUP(A109,'Centre WR1'!$A$7:$N$106,8,FALSE),0)+
IFERROR(VLOOKUP(A109,'Centre WV1'!$A$7:$N$107,8,FALSE),0)</f>
        <v>0</v>
      </c>
      <c r="I109" s="10">
        <f>IFERROR(VLOOKUP(A109,'Centre DW1'!$A$7:$N$106,9,FALSE),0)+
IFERROR(VLOOKUP(A109,'Centre WP1'!$A$7:$N$106,9,FALSE),0)+
IFERROR(VLOOKUP(A109,'Centre WR1'!$A$7:$N$106,9,FALSE),0)+
IFERROR(VLOOKUP(A109,'Centre WV1'!$A$7:$N$107,9,FALSE),0)</f>
        <v>0.7</v>
      </c>
      <c r="J109" s="47">
        <f>IFERROR(VLOOKUP(A109,'Centre DW1'!$A$7:$N$106,10,FALSE),0)+
IFERROR(VLOOKUP(A109,'Centre WP1'!$A$7:$N$106,10,FALSE),0)+
IFERROR(VLOOKUP(A109,'Centre WR1'!$A$7:$N$106,10,FALSE),0)+
IFERROR(VLOOKUP(A109,'Centre WV1'!$A$7:$N$107,10,FALSE),0)</f>
        <v>0.7</v>
      </c>
      <c r="K109" s="47">
        <f>IFERROR(VLOOKUP(A109,'Centre DW1'!$A$7:$N$106,11,FALSE),0)+
IFERROR(VLOOKUP(A109,'Centre WP1'!$A$7:$N$106,11,FALSE),0)+
IFERROR(VLOOKUP(A109,'Centre WR1'!$A$7:$N$106,11,FALSE),0)+
IFERROR(VLOOKUP(A109,'Centre WV1'!$A$7:$N$107,11,FALSE),0)</f>
        <v>0.8</v>
      </c>
      <c r="L109" s="47">
        <f>IFERROR(VLOOKUP(A109,'Centre DW1'!$A$7:$N$106,12,FALSE),0)+
IFERROR(VLOOKUP(A109,'Centre WP1'!$A$7:$N$106,12,FALSE),0)+
IFERROR(VLOOKUP(A109,'Centre WR1'!$A$7:$N$106,12,FALSE),0)+
IFERROR(VLOOKUP(A109,'Centre WV1'!$A$7:$N$107,12,FALSE),0)</f>
        <v>0</v>
      </c>
      <c r="M109" s="47">
        <f>IFERROR(VLOOKUP(A109,'Centre DW1'!$A$7:$N$106,13,FALSE),0)+
IFERROR(VLOOKUP(A109,'Centre WP1'!$A$7:$N$106,13,FALSE),0)+
IFERROR(VLOOKUP(A109,'Centre WR1'!$A$7:$N$106,13,FALSE),0)+
IFERROR(VLOOKUP(A109,'Centre WV1'!$A$7:$N$107,13,FALSE),0)</f>
        <v>0</v>
      </c>
      <c r="N109" s="47">
        <f>IFERROR(VLOOKUP(A109,'Centre DW1'!$A$7:$N$106,14,FALSE),0)+
IFERROR(VLOOKUP(A109,'Centre WP1'!$A$7:$N$106,14,FALSE),0)+
IFERROR(VLOOKUP(A109,'Centre WR1'!$A$7:$N$106,14,FALSE),0)+
IFERROR(VLOOKUP(A109,'Centre WV1'!$A$7:$N$107,14,FALSE),0)</f>
        <v>0</v>
      </c>
    </row>
    <row r="110" spans="1:14" hidden="1" outlineLevel="1" x14ac:dyDescent="0.2">
      <c r="A110" s="9" t="s">
        <v>220</v>
      </c>
      <c r="B110" s="1" t="s">
        <v>221</v>
      </c>
      <c r="C110" s="10">
        <f>IFERROR(VLOOKUP(A110,'Centre DW1'!$A$7:$N$106,3,FALSE),0)+
IFERROR(VLOOKUP(A110,'Centre WP1'!$A$7:$N$106,3,FALSE),0)+
IFERROR(VLOOKUP(A110,'Centre WR1'!$A$7:$N$106,3,FALSE),0)+
IFERROR(VLOOKUP(A110,'Centre WV1'!$A$7:$N$107,3,FALSE),0)</f>
        <v>0</v>
      </c>
      <c r="D110" s="10">
        <f>IFERROR(VLOOKUP(A110,'Centre DW1'!$A$7:$N$106,4,FALSE),0)+
IFERROR(VLOOKUP(A110,'Centre WP1'!$A$7:$N$106,4,FALSE),0)+
IFERROR(VLOOKUP(A110,'Centre WR1'!$A$7:$N$106,4,FALSE),0)+
IFERROR(VLOOKUP(A110,'Centre WV1'!$A$7:$N$107,4,FALSE),0)</f>
        <v>0</v>
      </c>
      <c r="E110" s="10">
        <f>IFERROR(VLOOKUP(A110,'Centre DW1'!$A$7:$N$106,5,FALSE),0)+
IFERROR(VLOOKUP(A110,'Centre WP1'!$A$7:$N$106,5,FALSE),0)+
IFERROR(VLOOKUP(A110,'Centre WR1'!$A$7:$N$106,5,FALSE),0)+
IFERROR(VLOOKUP(A110,'Centre WV1'!$A$7:$N$107,5,FALSE),0)</f>
        <v>0</v>
      </c>
      <c r="F110" s="10">
        <f>IFERROR(VLOOKUP(A110,'Centre DW1'!$A$7:$N$106,6,FALSE),0)+
IFERROR(VLOOKUP(A110,'Centre WP1'!$A$7:$N$106,6,FALSE),0)+
IFERROR(VLOOKUP(A110,'Centre WR1'!$A$7:$N$106,6,FALSE),0)+
IFERROR(VLOOKUP(A110,'Centre WV1'!$A$7:$N$107,6,FALSE),0)</f>
        <v>0</v>
      </c>
      <c r="G110" s="10">
        <f>IFERROR(VLOOKUP(A110,'Centre DW1'!$A$7:$N$106,7,FALSE),0)+
IFERROR(VLOOKUP(A110,'Centre WP1'!$A$7:$N$106,7,FALSE),0)+
IFERROR(VLOOKUP(A110,'Centre WR1'!$A$7:$N$106,7,FALSE),0)+
IFERROR(VLOOKUP(A110,'Centre WV1'!$A$7:$N$107,7,FALSE),0)</f>
        <v>0</v>
      </c>
      <c r="H110" s="10">
        <f>IFERROR(VLOOKUP(A110,'Centre DW1'!$A$7:$N$106,8,FALSE),0)+
IFERROR(VLOOKUP(A110,'Centre WP1'!$A$7:$N$106,8,FALSE),0)+
IFERROR(VLOOKUP(A110,'Centre WR1'!$A$7:$N$106,8,FALSE),0)+
IFERROR(VLOOKUP(A110,'Centre WV1'!$A$7:$N$107,8,FALSE),0)</f>
        <v>0</v>
      </c>
      <c r="I110" s="10">
        <f>IFERROR(VLOOKUP(A110,'Centre DW1'!$A$7:$N$106,9,FALSE),0)+
IFERROR(VLOOKUP(A110,'Centre WP1'!$A$7:$N$106,9,FALSE),0)+
IFERROR(VLOOKUP(A110,'Centre WR1'!$A$7:$N$106,9,FALSE),0)+
IFERROR(VLOOKUP(A110,'Centre WV1'!$A$7:$N$107,9,FALSE),0)</f>
        <v>0</v>
      </c>
      <c r="J110" s="47">
        <f>IFERROR(VLOOKUP(A110,'Centre DW1'!$A$7:$N$106,10,FALSE),0)+
IFERROR(VLOOKUP(A110,'Centre WP1'!$A$7:$N$106,10,FALSE),0)+
IFERROR(VLOOKUP(A110,'Centre WR1'!$A$7:$N$106,10,FALSE),0)+
IFERROR(VLOOKUP(A110,'Centre WV1'!$A$7:$N$107,10,FALSE),0)</f>
        <v>0</v>
      </c>
      <c r="K110" s="47">
        <f>IFERROR(VLOOKUP(A110,'Centre DW1'!$A$7:$N$106,11,FALSE),0)+
IFERROR(VLOOKUP(A110,'Centre WP1'!$A$7:$N$106,11,FALSE),0)+
IFERROR(VLOOKUP(A110,'Centre WR1'!$A$7:$N$106,11,FALSE),0)+
IFERROR(VLOOKUP(A110,'Centre WV1'!$A$7:$N$107,11,FALSE),0)</f>
        <v>0</v>
      </c>
      <c r="L110" s="47">
        <f>IFERROR(VLOOKUP(A110,'Centre DW1'!$A$7:$N$106,12,FALSE),0)+
IFERROR(VLOOKUP(A110,'Centre WP1'!$A$7:$N$106,12,FALSE),0)+
IFERROR(VLOOKUP(A110,'Centre WR1'!$A$7:$N$106,12,FALSE),0)+
IFERROR(VLOOKUP(A110,'Centre WV1'!$A$7:$N$107,12,FALSE),0)</f>
        <v>0</v>
      </c>
      <c r="M110" s="47">
        <f>IFERROR(VLOOKUP(A110,'Centre DW1'!$A$7:$N$106,13,FALSE),0)+
IFERROR(VLOOKUP(A110,'Centre WP1'!$A$7:$N$106,13,FALSE),0)+
IFERROR(VLOOKUP(A110,'Centre WR1'!$A$7:$N$106,13,FALSE),0)+
IFERROR(VLOOKUP(A110,'Centre WV1'!$A$7:$N$107,13,FALSE),0)</f>
        <v>0</v>
      </c>
      <c r="N110" s="47">
        <f>IFERROR(VLOOKUP(A110,'Centre DW1'!$A$7:$N$106,14,FALSE),0)+
IFERROR(VLOOKUP(A110,'Centre WP1'!$A$7:$N$106,14,FALSE),0)+
IFERROR(VLOOKUP(A110,'Centre WR1'!$A$7:$N$106,14,FALSE),0)+
IFERROR(VLOOKUP(A110,'Centre WV1'!$A$7:$N$107,14,FALSE),0)</f>
        <v>0</v>
      </c>
    </row>
    <row r="111" spans="1:14" hidden="1" outlineLevel="1" x14ac:dyDescent="0.2">
      <c r="A111" s="9" t="s">
        <v>222</v>
      </c>
      <c r="B111" s="1" t="s">
        <v>223</v>
      </c>
      <c r="C111" s="10">
        <f>IFERROR(VLOOKUP(A111,'Centre DW1'!$A$7:$N$106,3,FALSE),0)+
IFERROR(VLOOKUP(A111,'Centre WP1'!$A$7:$N$106,3,FALSE),0)+
IFERROR(VLOOKUP(A111,'Centre WR1'!$A$7:$N$106,3,FALSE),0)+
IFERROR(VLOOKUP(A111,'Centre WV1'!$A$7:$N$107,3,FALSE),0)</f>
        <v>0</v>
      </c>
      <c r="D111" s="10">
        <f>IFERROR(VLOOKUP(A111,'Centre DW1'!$A$7:$N$106,4,FALSE),0)+
IFERROR(VLOOKUP(A111,'Centre WP1'!$A$7:$N$106,4,FALSE),0)+
IFERROR(VLOOKUP(A111,'Centre WR1'!$A$7:$N$106,4,FALSE),0)+
IFERROR(VLOOKUP(A111,'Centre WV1'!$A$7:$N$107,4,FALSE),0)</f>
        <v>0</v>
      </c>
      <c r="E111" s="10">
        <f>IFERROR(VLOOKUP(A111,'Centre DW1'!$A$7:$N$106,5,FALSE),0)+
IFERROR(VLOOKUP(A111,'Centre WP1'!$A$7:$N$106,5,FALSE),0)+
IFERROR(VLOOKUP(A111,'Centre WR1'!$A$7:$N$106,5,FALSE),0)+
IFERROR(VLOOKUP(A111,'Centre WV1'!$A$7:$N$107,5,FALSE),0)</f>
        <v>0</v>
      </c>
      <c r="F111" s="10">
        <f>IFERROR(VLOOKUP(A111,'Centre DW1'!$A$7:$N$106,6,FALSE),0)+
IFERROR(VLOOKUP(A111,'Centre WP1'!$A$7:$N$106,6,FALSE),0)+
IFERROR(VLOOKUP(A111,'Centre WR1'!$A$7:$N$106,6,FALSE),0)+
IFERROR(VLOOKUP(A111,'Centre WV1'!$A$7:$N$107,6,FALSE),0)</f>
        <v>0</v>
      </c>
      <c r="G111" s="10">
        <f>IFERROR(VLOOKUP(A111,'Centre DW1'!$A$7:$N$106,7,FALSE),0)+
IFERROR(VLOOKUP(A111,'Centre WP1'!$A$7:$N$106,7,FALSE),0)+
IFERROR(VLOOKUP(A111,'Centre WR1'!$A$7:$N$106,7,FALSE),0)+
IFERROR(VLOOKUP(A111,'Centre WV1'!$A$7:$N$107,7,FALSE),0)</f>
        <v>0</v>
      </c>
      <c r="H111" s="10">
        <f>IFERROR(VLOOKUP(A111,'Centre DW1'!$A$7:$N$106,8,FALSE),0)+
IFERROR(VLOOKUP(A111,'Centre WP1'!$A$7:$N$106,8,FALSE),0)+
IFERROR(VLOOKUP(A111,'Centre WR1'!$A$7:$N$106,8,FALSE),0)+
IFERROR(VLOOKUP(A111,'Centre WV1'!$A$7:$N$107,8,FALSE),0)</f>
        <v>2.2000000000000002</v>
      </c>
      <c r="I111" s="10">
        <f>IFERROR(VLOOKUP(A111,'Centre DW1'!$A$7:$N$106,9,FALSE),0)+
IFERROR(VLOOKUP(A111,'Centre WP1'!$A$7:$N$106,9,FALSE),0)+
IFERROR(VLOOKUP(A111,'Centre WR1'!$A$7:$N$106,9,FALSE),0)+
IFERROR(VLOOKUP(A111,'Centre WV1'!$A$7:$N$107,9,FALSE),0)</f>
        <v>4.9000000000000004</v>
      </c>
      <c r="J111" s="47">
        <f>IFERROR(VLOOKUP(A111,'Centre DW1'!$A$7:$N$106,10,FALSE),0)+
IFERROR(VLOOKUP(A111,'Centre WP1'!$A$7:$N$106,10,FALSE),0)+
IFERROR(VLOOKUP(A111,'Centre WR1'!$A$7:$N$106,10,FALSE),0)+
IFERROR(VLOOKUP(A111,'Centre WV1'!$A$7:$N$107,10,FALSE),0)</f>
        <v>0</v>
      </c>
      <c r="K111" s="47">
        <f>IFERROR(VLOOKUP(A111,'Centre DW1'!$A$7:$N$106,11,FALSE),0)+
IFERROR(VLOOKUP(A111,'Centre WP1'!$A$7:$N$106,11,FALSE),0)+
IFERROR(VLOOKUP(A111,'Centre WR1'!$A$7:$N$106,11,FALSE),0)+
IFERROR(VLOOKUP(A111,'Centre WV1'!$A$7:$N$107,11,FALSE),0)</f>
        <v>0</v>
      </c>
      <c r="L111" s="47">
        <f>IFERROR(VLOOKUP(A111,'Centre DW1'!$A$7:$N$106,12,FALSE),0)+
IFERROR(VLOOKUP(A111,'Centre WP1'!$A$7:$N$106,12,FALSE),0)+
IFERROR(VLOOKUP(A111,'Centre WR1'!$A$7:$N$106,12,FALSE),0)+
IFERROR(VLOOKUP(A111,'Centre WV1'!$A$7:$N$107,12,FALSE),0)</f>
        <v>1.2</v>
      </c>
      <c r="M111" s="47">
        <f>IFERROR(VLOOKUP(A111,'Centre DW1'!$A$7:$N$106,13,FALSE),0)+
IFERROR(VLOOKUP(A111,'Centre WP1'!$A$7:$N$106,13,FALSE),0)+
IFERROR(VLOOKUP(A111,'Centre WR1'!$A$7:$N$106,13,FALSE),0)+
IFERROR(VLOOKUP(A111,'Centre WV1'!$A$7:$N$107,13,FALSE),0)</f>
        <v>0</v>
      </c>
      <c r="N111" s="47">
        <f>IFERROR(VLOOKUP(A111,'Centre DW1'!$A$7:$N$106,14,FALSE),0)+
IFERROR(VLOOKUP(A111,'Centre WP1'!$A$7:$N$106,14,FALSE),0)+
IFERROR(VLOOKUP(A111,'Centre WR1'!$A$7:$N$106,14,FALSE),0)+
IFERROR(VLOOKUP(A111,'Centre WV1'!$A$7:$N$107,14,FALSE),0)</f>
        <v>2.2000000000000002</v>
      </c>
    </row>
    <row r="112" spans="1:14" hidden="1" outlineLevel="1" x14ac:dyDescent="0.2">
      <c r="A112" s="9" t="s">
        <v>224</v>
      </c>
      <c r="B112" s="1" t="s">
        <v>225</v>
      </c>
      <c r="C112" s="10">
        <f>IFERROR(VLOOKUP(A112,'Centre DW1'!$A$7:$N$106,3,FALSE),0)+
IFERROR(VLOOKUP(A112,'Centre WP1'!$A$7:$N$106,3,FALSE),0)+
IFERROR(VLOOKUP(A112,'Centre WR1'!$A$7:$N$106,3,FALSE),0)+
IFERROR(VLOOKUP(A112,'Centre WV1'!$A$7:$N$107,3,FALSE),0)</f>
        <v>0.1</v>
      </c>
      <c r="D112" s="10">
        <f>IFERROR(VLOOKUP(A112,'Centre DW1'!$A$7:$N$106,4,FALSE),0)+
IFERROR(VLOOKUP(A112,'Centre WP1'!$A$7:$N$106,4,FALSE),0)+
IFERROR(VLOOKUP(A112,'Centre WR1'!$A$7:$N$106,4,FALSE),0)+
IFERROR(VLOOKUP(A112,'Centre WV1'!$A$7:$N$107,4,FALSE),0)</f>
        <v>0</v>
      </c>
      <c r="E112" s="10">
        <f>IFERROR(VLOOKUP(A112,'Centre DW1'!$A$7:$N$106,5,FALSE),0)+
IFERROR(VLOOKUP(A112,'Centre WP1'!$A$7:$N$106,5,FALSE),0)+
IFERROR(VLOOKUP(A112,'Centre WR1'!$A$7:$N$106,5,FALSE),0)+
IFERROR(VLOOKUP(A112,'Centre WV1'!$A$7:$N$107,5,FALSE),0)</f>
        <v>0.1</v>
      </c>
      <c r="F112" s="10">
        <f>IFERROR(VLOOKUP(A112,'Centre DW1'!$A$7:$N$106,6,FALSE),0)+
IFERROR(VLOOKUP(A112,'Centre WP1'!$A$7:$N$106,6,FALSE),0)+
IFERROR(VLOOKUP(A112,'Centre WR1'!$A$7:$N$106,6,FALSE),0)+
IFERROR(VLOOKUP(A112,'Centre WV1'!$A$7:$N$107,6,FALSE),0)</f>
        <v>0.1</v>
      </c>
      <c r="G112" s="10">
        <f>IFERROR(VLOOKUP(A112,'Centre DW1'!$A$7:$N$106,7,FALSE),0)+
IFERROR(VLOOKUP(A112,'Centre WP1'!$A$7:$N$106,7,FALSE),0)+
IFERROR(VLOOKUP(A112,'Centre WR1'!$A$7:$N$106,7,FALSE),0)+
IFERROR(VLOOKUP(A112,'Centre WV1'!$A$7:$N$107,7,FALSE),0)</f>
        <v>0</v>
      </c>
      <c r="H112" s="10">
        <f>IFERROR(VLOOKUP(A112,'Centre DW1'!$A$7:$N$106,8,FALSE),0)+
IFERROR(VLOOKUP(A112,'Centre WP1'!$A$7:$N$106,8,FALSE),0)+
IFERROR(VLOOKUP(A112,'Centre WR1'!$A$7:$N$106,8,FALSE),0)+
IFERROR(VLOOKUP(A112,'Centre WV1'!$A$7:$N$107,8,FALSE),0)</f>
        <v>0.3</v>
      </c>
      <c r="I112" s="10">
        <f>IFERROR(VLOOKUP(A112,'Centre DW1'!$A$7:$N$106,9,FALSE),0)+
IFERROR(VLOOKUP(A112,'Centre WP1'!$A$7:$N$106,9,FALSE),0)+
IFERROR(VLOOKUP(A112,'Centre WR1'!$A$7:$N$106,9,FALSE),0)+
IFERROR(VLOOKUP(A112,'Centre WV1'!$A$7:$N$107,9,FALSE),0)</f>
        <v>0</v>
      </c>
      <c r="J112" s="47">
        <f>IFERROR(VLOOKUP(A112,'Centre DW1'!$A$7:$N$106,10,FALSE),0)+
IFERROR(VLOOKUP(A112,'Centre WP1'!$A$7:$N$106,10,FALSE),0)+
IFERROR(VLOOKUP(A112,'Centre WR1'!$A$7:$N$106,10,FALSE),0)+
IFERROR(VLOOKUP(A112,'Centre WV1'!$A$7:$N$107,10,FALSE),0)</f>
        <v>0.1</v>
      </c>
      <c r="K112" s="47">
        <f>IFERROR(VLOOKUP(A112,'Centre DW1'!$A$7:$N$106,11,FALSE),0)+
IFERROR(VLOOKUP(A112,'Centre WP1'!$A$7:$N$106,11,FALSE),0)+
IFERROR(VLOOKUP(A112,'Centre WR1'!$A$7:$N$106,11,FALSE),0)+
IFERROR(VLOOKUP(A112,'Centre WV1'!$A$7:$N$107,11,FALSE),0)</f>
        <v>0.1</v>
      </c>
      <c r="L112" s="47">
        <f>IFERROR(VLOOKUP(A112,'Centre DW1'!$A$7:$N$106,12,FALSE),0)+
IFERROR(VLOOKUP(A112,'Centre WP1'!$A$7:$N$106,12,FALSE),0)+
IFERROR(VLOOKUP(A112,'Centre WR1'!$A$7:$N$106,12,FALSE),0)+
IFERROR(VLOOKUP(A112,'Centre WV1'!$A$7:$N$107,12,FALSE),0)</f>
        <v>0</v>
      </c>
      <c r="M112" s="47">
        <f>IFERROR(VLOOKUP(A112,'Centre DW1'!$A$7:$N$106,13,FALSE),0)+
IFERROR(VLOOKUP(A112,'Centre WP1'!$A$7:$N$106,13,FALSE),0)+
IFERROR(VLOOKUP(A112,'Centre WR1'!$A$7:$N$106,13,FALSE),0)+
IFERROR(VLOOKUP(A112,'Centre WV1'!$A$7:$N$107,13,FALSE),0)</f>
        <v>0.3</v>
      </c>
      <c r="N112" s="47">
        <f>IFERROR(VLOOKUP(A112,'Centre DW1'!$A$7:$N$106,14,FALSE),0)+
IFERROR(VLOOKUP(A112,'Centre WP1'!$A$7:$N$106,14,FALSE),0)+
IFERROR(VLOOKUP(A112,'Centre WR1'!$A$7:$N$106,14,FALSE),0)+
IFERROR(VLOOKUP(A112,'Centre WV1'!$A$7:$N$107,14,FALSE),0)</f>
        <v>0.3</v>
      </c>
    </row>
    <row r="113" spans="1:15" collapsed="1" x14ac:dyDescent="0.2">
      <c r="A113" s="33" t="s">
        <v>226</v>
      </c>
      <c r="B113" s="34" t="s">
        <v>227</v>
      </c>
      <c r="C113" s="44">
        <f>IFERROR(VLOOKUP(A113,'Centre DW1'!$A$7:$N$106,3,FALSE),0)+
IFERROR(VLOOKUP(A113,'Centre WP1'!$A$7:$N$106,3,FALSE),0)+
IFERROR(VLOOKUP(A113,'Centre WR1'!$A$7:$N$106,3,FALSE),0)+
IFERROR(VLOOKUP(A113,'Centre WV1'!$A$7:$N$107,3,FALSE),0)</f>
        <v>0</v>
      </c>
      <c r="D113" s="44">
        <f>IFERROR(VLOOKUP(A113,'Centre DW1'!$A$7:$N$106,4,FALSE),0)+
IFERROR(VLOOKUP(A113,'Centre WP1'!$A$7:$N$106,4,FALSE),0)+
IFERROR(VLOOKUP(A113,'Centre WR1'!$A$7:$N$106,4,FALSE),0)+
IFERROR(VLOOKUP(A113,'Centre WV1'!$A$7:$N$107,4,FALSE),0)</f>
        <v>0</v>
      </c>
      <c r="E113" s="44">
        <f>IFERROR(VLOOKUP(A113,'Centre DW1'!$A$7:$N$106,5,FALSE),0)+
IFERROR(VLOOKUP(A113,'Centre WP1'!$A$7:$N$106,5,FALSE),0)+
IFERROR(VLOOKUP(A113,'Centre WR1'!$A$7:$N$106,5,FALSE),0)+
IFERROR(VLOOKUP(A113,'Centre WV1'!$A$7:$N$107,5,FALSE),0)</f>
        <v>0</v>
      </c>
      <c r="F113" s="44">
        <f>IFERROR(VLOOKUP(A113,'Centre DW1'!$A$7:$N$106,6,FALSE),0)+
IFERROR(VLOOKUP(A113,'Centre WP1'!$A$7:$N$106,6,FALSE),0)+
IFERROR(VLOOKUP(A113,'Centre WR1'!$A$7:$N$106,6,FALSE),0)+
IFERROR(VLOOKUP(A113,'Centre WV1'!$A$7:$N$107,6,FALSE),0)</f>
        <v>0</v>
      </c>
      <c r="G113" s="44">
        <f>IFERROR(VLOOKUP(A113,'Centre DW1'!$A$7:$N$106,7,FALSE),0)+
IFERROR(VLOOKUP(A113,'Centre WP1'!$A$7:$N$106,7,FALSE),0)+
IFERROR(VLOOKUP(A113,'Centre WR1'!$A$7:$N$106,7,FALSE),0)+
IFERROR(VLOOKUP(A113,'Centre WV1'!$A$7:$N$107,7,FALSE),0)</f>
        <v>0</v>
      </c>
      <c r="H113" s="44">
        <f>IFERROR(VLOOKUP(A113,'Centre DW1'!$A$7:$N$106,8,FALSE),0)+
IFERROR(VLOOKUP(A113,'Centre WP1'!$A$7:$N$106,8,FALSE),0)+
IFERROR(VLOOKUP(A113,'Centre WR1'!$A$7:$N$106,8,FALSE),0)+
IFERROR(VLOOKUP(A113,'Centre WV1'!$A$7:$N$107,8,FALSE),0)</f>
        <v>0</v>
      </c>
      <c r="I113" s="44">
        <f>IFERROR(VLOOKUP(A113,'Centre DW1'!$A$7:$N$106,9,FALSE),0)+
IFERROR(VLOOKUP(A113,'Centre WP1'!$A$7:$N$106,9,FALSE),0)+
IFERROR(VLOOKUP(A113,'Centre WR1'!$A$7:$N$106,9,FALSE),0)+
IFERROR(VLOOKUP(A113,'Centre WV1'!$A$7:$N$107,9,FALSE),0)</f>
        <v>0</v>
      </c>
      <c r="J113" s="46">
        <f>IFERROR(VLOOKUP(A113,'Centre DW1'!$A$7:$N$106,10,FALSE),0)+
IFERROR(VLOOKUP(A113,'Centre WP1'!$A$7:$N$106,10,FALSE),0)+
IFERROR(VLOOKUP(A113,'Centre WR1'!$A$7:$N$106,10,FALSE),0)+
IFERROR(VLOOKUP(A113,'Centre WV1'!$A$7:$N$107,10,FALSE),0)</f>
        <v>0</v>
      </c>
      <c r="K113" s="46">
        <f>IFERROR(VLOOKUP(A113,'Centre DW1'!$A$7:$N$106,11,FALSE),0)+
IFERROR(VLOOKUP(A113,'Centre WP1'!$A$7:$N$106,11,FALSE),0)+
IFERROR(VLOOKUP(A113,'Centre WR1'!$A$7:$N$106,11,FALSE),0)+
IFERROR(VLOOKUP(A113,'Centre WV1'!$A$7:$N$107,11,FALSE),0)</f>
        <v>0</v>
      </c>
      <c r="L113" s="46">
        <f>IFERROR(VLOOKUP(A113,'Centre DW1'!$A$7:$N$106,12,FALSE),0)+
IFERROR(VLOOKUP(A113,'Centre WP1'!$A$7:$N$106,12,FALSE),0)+
IFERROR(VLOOKUP(A113,'Centre WR1'!$A$7:$N$106,12,FALSE),0)+
IFERROR(VLOOKUP(A113,'Centre WV1'!$A$7:$N$107,12,FALSE),0)</f>
        <v>0</v>
      </c>
      <c r="M113" s="46">
        <f>IFERROR(VLOOKUP(A113,'Centre DW1'!$A$7:$N$106,13,FALSE),0)+
IFERROR(VLOOKUP(A113,'Centre WP1'!$A$7:$N$106,13,FALSE),0)+
IFERROR(VLOOKUP(A113,'Centre WR1'!$A$7:$N$106,13,FALSE),0)+
IFERROR(VLOOKUP(A113,'Centre WV1'!$A$7:$N$107,13,FALSE),0)</f>
        <v>0</v>
      </c>
      <c r="N113" s="46">
        <f>IFERROR(VLOOKUP(A113,'Centre DW1'!$A$7:$N$106,14,FALSE),0)+
IFERROR(VLOOKUP(A113,'Centre WP1'!$A$7:$N$106,14,FALSE),0)+
IFERROR(VLOOKUP(A113,'Centre WR1'!$A$7:$N$106,14,FALSE),0)+
IFERROR(VLOOKUP(A113,'Centre WV1'!$A$7:$N$107,14,FALSE),0)</f>
        <v>0</v>
      </c>
    </row>
    <row r="114" spans="1:15" x14ac:dyDescent="0.2">
      <c r="A114" s="33" t="s">
        <v>228</v>
      </c>
      <c r="B114" s="34" t="s">
        <v>229</v>
      </c>
      <c r="C114" s="44">
        <f>IFERROR(VLOOKUP(A114,'Centre DW1'!$A$7:$N$106,3,FALSE),0)+
IFERROR(VLOOKUP(A114,'Centre WP1'!$A$7:$N$106,3,FALSE),0)+
IFERROR(VLOOKUP(A114,'Centre WR1'!$A$7:$N$106,3,FALSE),0)+
IFERROR(VLOOKUP(A114,'Centre WV1'!$A$7:$N$107,3,FALSE),0)</f>
        <v>0</v>
      </c>
      <c r="D114" s="44">
        <f>IFERROR(VLOOKUP(A114,'Centre DW1'!$A$7:$N$106,4,FALSE),0)+
IFERROR(VLOOKUP(A114,'Centre WP1'!$A$7:$N$106,4,FALSE),0)+
IFERROR(VLOOKUP(A114,'Centre WR1'!$A$7:$N$106,4,FALSE),0)+
IFERROR(VLOOKUP(A114,'Centre WV1'!$A$7:$N$107,4,FALSE),0)</f>
        <v>0</v>
      </c>
      <c r="E114" s="44">
        <f>IFERROR(VLOOKUP(A114,'Centre DW1'!$A$7:$N$106,5,FALSE),0)+
IFERROR(VLOOKUP(A114,'Centre WP1'!$A$7:$N$106,5,FALSE),0)+
IFERROR(VLOOKUP(A114,'Centre WR1'!$A$7:$N$106,5,FALSE),0)+
IFERROR(VLOOKUP(A114,'Centre WV1'!$A$7:$N$107,5,FALSE),0)</f>
        <v>0</v>
      </c>
      <c r="F114" s="44">
        <f>IFERROR(VLOOKUP(A114,'Centre DW1'!$A$7:$N$106,6,FALSE),0)+
IFERROR(VLOOKUP(A114,'Centre WP1'!$A$7:$N$106,6,FALSE),0)+
IFERROR(VLOOKUP(A114,'Centre WR1'!$A$7:$N$106,6,FALSE),0)+
IFERROR(VLOOKUP(A114,'Centre WV1'!$A$7:$N$107,6,FALSE),0)</f>
        <v>0</v>
      </c>
      <c r="G114" s="44">
        <f>IFERROR(VLOOKUP(A114,'Centre DW1'!$A$7:$N$106,7,FALSE),0)+
IFERROR(VLOOKUP(A114,'Centre WP1'!$A$7:$N$106,7,FALSE),0)+
IFERROR(VLOOKUP(A114,'Centre WR1'!$A$7:$N$106,7,FALSE),0)+
IFERROR(VLOOKUP(A114,'Centre WV1'!$A$7:$N$107,7,FALSE),0)</f>
        <v>0</v>
      </c>
      <c r="H114" s="44">
        <f>IFERROR(VLOOKUP(A114,'Centre DW1'!$A$7:$N$106,8,FALSE),0)+
IFERROR(VLOOKUP(A114,'Centre WP1'!$A$7:$N$106,8,FALSE),0)+
IFERROR(VLOOKUP(A114,'Centre WR1'!$A$7:$N$106,8,FALSE),0)+
IFERROR(VLOOKUP(A114,'Centre WV1'!$A$7:$N$107,8,FALSE),0)</f>
        <v>0</v>
      </c>
      <c r="I114" s="44">
        <f>IFERROR(VLOOKUP(A114,'Centre DW1'!$A$7:$N$106,9,FALSE),0)+
IFERROR(VLOOKUP(A114,'Centre WP1'!$A$7:$N$106,9,FALSE),0)+
IFERROR(VLOOKUP(A114,'Centre WR1'!$A$7:$N$106,9,FALSE),0)+
IFERROR(VLOOKUP(A114,'Centre WV1'!$A$7:$N$107,9,FALSE),0)</f>
        <v>0</v>
      </c>
      <c r="J114" s="46">
        <f>IFERROR(VLOOKUP(A114,'Centre DW1'!$A$7:$N$106,10,FALSE),0)+
IFERROR(VLOOKUP(A114,'Centre WP1'!$A$7:$N$106,10,FALSE),0)+
IFERROR(VLOOKUP(A114,'Centre WR1'!$A$7:$N$106,10,FALSE),0)+
IFERROR(VLOOKUP(A114,'Centre WV1'!$A$7:$N$107,10,FALSE),0)</f>
        <v>0</v>
      </c>
      <c r="K114" s="46">
        <f>IFERROR(VLOOKUP(A114,'Centre DW1'!$A$7:$N$106,11,FALSE),0)+
IFERROR(VLOOKUP(A114,'Centre WP1'!$A$7:$N$106,11,FALSE),0)+
IFERROR(VLOOKUP(A114,'Centre WR1'!$A$7:$N$106,11,FALSE),0)+
IFERROR(VLOOKUP(A114,'Centre WV1'!$A$7:$N$107,11,FALSE),0)</f>
        <v>0</v>
      </c>
      <c r="L114" s="46">
        <f>IFERROR(VLOOKUP(A114,'Centre DW1'!$A$7:$N$106,12,FALSE),0)+
IFERROR(VLOOKUP(A114,'Centre WP1'!$A$7:$N$106,12,FALSE),0)+
IFERROR(VLOOKUP(A114,'Centre WR1'!$A$7:$N$106,12,FALSE),0)+
IFERROR(VLOOKUP(A114,'Centre WV1'!$A$7:$N$107,12,FALSE),0)</f>
        <v>0</v>
      </c>
      <c r="M114" s="46">
        <f>IFERROR(VLOOKUP(A114,'Centre DW1'!$A$7:$N$106,13,FALSE),0)+
IFERROR(VLOOKUP(A114,'Centre WP1'!$A$7:$N$106,13,FALSE),0)+
IFERROR(VLOOKUP(A114,'Centre WR1'!$A$7:$N$106,13,FALSE),0)+
IFERROR(VLOOKUP(A114,'Centre WV1'!$A$7:$N$107,13,FALSE),0)</f>
        <v>0</v>
      </c>
      <c r="N114" s="46">
        <f>IFERROR(VLOOKUP(A114,'Centre DW1'!$A$7:$N$106,14,FALSE),0)+
IFERROR(VLOOKUP(A114,'Centre WP1'!$A$7:$N$106,14,FALSE),0)+
IFERROR(VLOOKUP(A114,'Centre WR1'!$A$7:$N$106,14,FALSE),0)+
IFERROR(VLOOKUP(A114,'Centre WV1'!$A$7:$N$107,14,FALSE),0)</f>
        <v>0</v>
      </c>
    </row>
    <row r="115" spans="1:15" x14ac:dyDescent="0.2">
      <c r="A115" s="33" t="s">
        <v>230</v>
      </c>
      <c r="B115" s="34" t="s">
        <v>231</v>
      </c>
      <c r="C115" s="46">
        <f>SUM(C116:C117)</f>
        <v>3.5</v>
      </c>
      <c r="D115" s="46">
        <f t="shared" ref="D115:M115" si="32">SUM(D116:D117)</f>
        <v>3.5</v>
      </c>
      <c r="E115" s="46">
        <f t="shared" si="32"/>
        <v>1.2</v>
      </c>
      <c r="F115" s="46">
        <f t="shared" si="32"/>
        <v>3.9</v>
      </c>
      <c r="G115" s="46">
        <f t="shared" si="32"/>
        <v>0</v>
      </c>
      <c r="H115" s="46">
        <f t="shared" si="32"/>
        <v>0</v>
      </c>
      <c r="I115" s="46">
        <f t="shared" si="32"/>
        <v>3.5</v>
      </c>
      <c r="J115" s="46">
        <f t="shared" si="32"/>
        <v>3</v>
      </c>
      <c r="K115" s="46">
        <f t="shared" si="32"/>
        <v>2</v>
      </c>
      <c r="L115" s="46">
        <f t="shared" si="32"/>
        <v>2</v>
      </c>
      <c r="M115" s="46">
        <f t="shared" si="32"/>
        <v>3</v>
      </c>
      <c r="N115" s="46">
        <f>SUM(N116:N117)</f>
        <v>3</v>
      </c>
    </row>
    <row r="116" spans="1:15" hidden="1" outlineLevel="1" x14ac:dyDescent="0.2">
      <c r="A116" s="9" t="s">
        <v>232</v>
      </c>
      <c r="B116" s="1" t="s">
        <v>233</v>
      </c>
      <c r="C116" s="10">
        <f>IFERROR(VLOOKUP(A116,'Centre DW1'!$A$7:$N$106,3,FALSE),0)+
IFERROR(VLOOKUP(A116,'Centre WP1'!$A$7:$N$106,3,FALSE),0)+
IFERROR(VLOOKUP(A116,'Centre WR1'!$A$7:$N$106,3,FALSE),0)+
IFERROR(VLOOKUP(A116,'Centre WV1'!$A$7:$N$107,3,FALSE),0)</f>
        <v>3.5</v>
      </c>
      <c r="D116" s="10">
        <f>IFERROR(VLOOKUP(A116,'Centre DW1'!$A$7:$N$106,4,FALSE),0)+
IFERROR(VLOOKUP(A116,'Centre WP1'!$A$7:$N$106,4,FALSE),0)+
IFERROR(VLOOKUP(A116,'Centre WR1'!$A$7:$N$106,4,FALSE),0)+
IFERROR(VLOOKUP(A116,'Centre WV1'!$A$7:$N$107,4,FALSE),0)</f>
        <v>3.5</v>
      </c>
      <c r="E116" s="10">
        <f>IFERROR(VLOOKUP(A116,'Centre DW1'!$A$7:$N$106,5,FALSE),0)+
IFERROR(VLOOKUP(A116,'Centre WP1'!$A$7:$N$106,5,FALSE),0)+
IFERROR(VLOOKUP(A116,'Centre WR1'!$A$7:$N$106,5,FALSE),0)+
IFERROR(VLOOKUP(A116,'Centre WV1'!$A$7:$N$107,5,FALSE),0)</f>
        <v>1.2</v>
      </c>
      <c r="F116" s="10">
        <f>IFERROR(VLOOKUP(A116,'Centre DW1'!$A$7:$N$106,6,FALSE),0)+
IFERROR(VLOOKUP(A116,'Centre WP1'!$A$7:$N$106,6,FALSE),0)+
IFERROR(VLOOKUP(A116,'Centre WR1'!$A$7:$N$106,6,FALSE),0)+
IFERROR(VLOOKUP(A116,'Centre WV1'!$A$7:$N$107,6,FALSE),0)</f>
        <v>3.9</v>
      </c>
      <c r="G116" s="10">
        <f>IFERROR(VLOOKUP(A116,'Centre DW1'!$A$7:$N$106,7,FALSE),0)+
IFERROR(VLOOKUP(A116,'Centre WP1'!$A$7:$N$106,7,FALSE),0)+
IFERROR(VLOOKUP(A116,'Centre WR1'!$A$7:$N$106,7,FALSE),0)+
IFERROR(VLOOKUP(A116,'Centre WV1'!$A$7:$N$107,7,FALSE),0)</f>
        <v>0</v>
      </c>
      <c r="H116" s="10">
        <f>IFERROR(VLOOKUP(A116,'Centre DW1'!$A$7:$N$106,8,FALSE),0)+
IFERROR(VLOOKUP(A116,'Centre WP1'!$A$7:$N$106,8,FALSE),0)+
IFERROR(VLOOKUP(A116,'Centre WR1'!$A$7:$N$106,8,FALSE),0)+
IFERROR(VLOOKUP(A116,'Centre WV1'!$A$7:$N$107,8,FALSE),0)</f>
        <v>0</v>
      </c>
      <c r="I116" s="10">
        <f>IFERROR(VLOOKUP(A116,'Centre DW1'!$A$7:$N$106,9,FALSE),0)+
IFERROR(VLOOKUP(A116,'Centre WP1'!$A$7:$N$106,9,FALSE),0)+
IFERROR(VLOOKUP(A116,'Centre WR1'!$A$7:$N$106,9,FALSE),0)+
IFERROR(VLOOKUP(A116,'Centre WV1'!$A$7:$N$107,9,FALSE),0)</f>
        <v>3.5</v>
      </c>
      <c r="J116" s="47">
        <f>IFERROR(VLOOKUP(A116,'Centre DW1'!$A$7:$N$106,10,FALSE),0)+
IFERROR(VLOOKUP(A116,'Centre WP1'!$A$7:$N$106,10,FALSE),0)+
IFERROR(VLOOKUP(A116,'Centre WR1'!$A$7:$N$106,10,FALSE),0)+
IFERROR(VLOOKUP(A116,'Centre WV1'!$A$7:$N$107,10,FALSE),0)</f>
        <v>3</v>
      </c>
      <c r="K116" s="47">
        <f>IFERROR(VLOOKUP(A116,'Centre DW1'!$A$7:$N$106,11,FALSE),0)+
IFERROR(VLOOKUP(A116,'Centre WP1'!$A$7:$N$106,11,FALSE),0)+
IFERROR(VLOOKUP(A116,'Centre WR1'!$A$7:$N$106,11,FALSE),0)+
IFERROR(VLOOKUP(A116,'Centre WV1'!$A$7:$N$107,11,FALSE),0)</f>
        <v>2</v>
      </c>
      <c r="L116" s="47">
        <f>IFERROR(VLOOKUP(A116,'Centre DW1'!$A$7:$N$106,12,FALSE),0)+
IFERROR(VLOOKUP(A116,'Centre WP1'!$A$7:$N$106,12,FALSE),0)+
IFERROR(VLOOKUP(A116,'Centre WR1'!$A$7:$N$106,12,FALSE),0)+
IFERROR(VLOOKUP(A116,'Centre WV1'!$A$7:$N$107,12,FALSE),0)</f>
        <v>2</v>
      </c>
      <c r="M116" s="47">
        <f>IFERROR(VLOOKUP(A116,'Centre DW1'!$A$7:$N$106,13,FALSE),0)+
IFERROR(VLOOKUP(A116,'Centre WP1'!$A$7:$N$106,13,FALSE),0)+
IFERROR(VLOOKUP(A116,'Centre WR1'!$A$7:$N$106,13,FALSE),0)+
IFERROR(VLOOKUP(A116,'Centre WV1'!$A$7:$N$107,13,FALSE),0)</f>
        <v>3</v>
      </c>
      <c r="N116" s="47">
        <f>IFERROR(VLOOKUP(A116,'Centre DW1'!$A$7:$N$106,14,FALSE),0)+
IFERROR(VLOOKUP(A116,'Centre WP1'!$A$7:$N$106,14,FALSE),0)+
IFERROR(VLOOKUP(A116,'Centre WR1'!$A$7:$N$106,14,FALSE),0)+
IFERROR(VLOOKUP(A116,'Centre WV1'!$A$7:$N$107,14,FALSE),0)</f>
        <v>3</v>
      </c>
    </row>
    <row r="117" spans="1:15" hidden="1" outlineLevel="1" x14ac:dyDescent="0.2">
      <c r="A117" s="9" t="s">
        <v>234</v>
      </c>
      <c r="B117" s="1" t="s">
        <v>235</v>
      </c>
      <c r="C117" s="10">
        <f>IFERROR(VLOOKUP(A117,'Centre DW1'!$A$7:$N$106,3,FALSE),0)+
IFERROR(VLOOKUP(A117,'Centre WP1'!$A$7:$N$106,3,FALSE),0)+
IFERROR(VLOOKUP(A117,'Centre WR1'!$A$7:$N$106,3,FALSE),0)+
IFERROR(VLOOKUP(A117,'Centre WV1'!$A$7:$N$107,3,FALSE),0)</f>
        <v>0</v>
      </c>
      <c r="D117" s="10">
        <f>IFERROR(VLOOKUP(A117,'Centre DW1'!$A$7:$N$106,4,FALSE),0)+
IFERROR(VLOOKUP(A117,'Centre WP1'!$A$7:$N$106,4,FALSE),0)+
IFERROR(VLOOKUP(A117,'Centre WR1'!$A$7:$N$106,4,FALSE),0)+
IFERROR(VLOOKUP(A117,'Centre WV1'!$A$7:$N$107,4,FALSE),0)</f>
        <v>0</v>
      </c>
      <c r="E117" s="10">
        <f>IFERROR(VLOOKUP(A117,'Centre DW1'!$A$7:$N$106,5,FALSE),0)+
IFERROR(VLOOKUP(A117,'Centre WP1'!$A$7:$N$106,5,FALSE),0)+
IFERROR(VLOOKUP(A117,'Centre WR1'!$A$7:$N$106,5,FALSE),0)+
IFERROR(VLOOKUP(A117,'Centre WV1'!$A$7:$N$107,5,FALSE),0)</f>
        <v>0</v>
      </c>
      <c r="F117" s="10">
        <f>IFERROR(VLOOKUP(A117,'Centre DW1'!$A$7:$N$106,6,FALSE),0)+
IFERROR(VLOOKUP(A117,'Centre WP1'!$A$7:$N$106,6,FALSE),0)+
IFERROR(VLOOKUP(A117,'Centre WR1'!$A$7:$N$106,6,FALSE),0)+
IFERROR(VLOOKUP(A117,'Centre WV1'!$A$7:$N$107,6,FALSE),0)</f>
        <v>0</v>
      </c>
      <c r="G117" s="10">
        <f>IFERROR(VLOOKUP(A117,'Centre DW1'!$A$7:$N$106,7,FALSE),0)+
IFERROR(VLOOKUP(A117,'Centre WP1'!$A$7:$N$106,7,FALSE),0)+
IFERROR(VLOOKUP(A117,'Centre WR1'!$A$7:$N$106,7,FALSE),0)+
IFERROR(VLOOKUP(A117,'Centre WV1'!$A$7:$N$107,7,FALSE),0)</f>
        <v>0</v>
      </c>
      <c r="H117" s="10">
        <f>IFERROR(VLOOKUP(A117,'Centre DW1'!$A$7:$N$106,8,FALSE),0)+
IFERROR(VLOOKUP(A117,'Centre WP1'!$A$7:$N$106,8,FALSE),0)+
IFERROR(VLOOKUP(A117,'Centre WR1'!$A$7:$N$106,8,FALSE),0)+
IFERROR(VLOOKUP(A117,'Centre WV1'!$A$7:$N$107,8,FALSE),0)</f>
        <v>0</v>
      </c>
      <c r="I117" s="10">
        <f>IFERROR(VLOOKUP(A117,'Centre DW1'!$A$7:$N$106,9,FALSE),0)+
IFERROR(VLOOKUP(A117,'Centre WP1'!$A$7:$N$106,9,FALSE),0)+
IFERROR(VLOOKUP(A117,'Centre WR1'!$A$7:$N$106,9,FALSE),0)+
IFERROR(VLOOKUP(A117,'Centre WV1'!$A$7:$N$107,9,FALSE),0)</f>
        <v>0</v>
      </c>
      <c r="J117" s="47">
        <f>IFERROR(VLOOKUP(A117,'Centre DW1'!$A$7:$N$106,10,FALSE),0)+
IFERROR(VLOOKUP(A117,'Centre WP1'!$A$7:$N$106,10,FALSE),0)+
IFERROR(VLOOKUP(A117,'Centre WR1'!$A$7:$N$106,10,FALSE),0)+
IFERROR(VLOOKUP(A117,'Centre WV1'!$A$7:$N$107,10,FALSE),0)</f>
        <v>0</v>
      </c>
      <c r="K117" s="47">
        <f>IFERROR(VLOOKUP(A117,'Centre DW1'!$A$7:$N$106,11,FALSE),0)+
IFERROR(VLOOKUP(A117,'Centre WP1'!$A$7:$N$106,11,FALSE),0)+
IFERROR(VLOOKUP(A117,'Centre WR1'!$A$7:$N$106,11,FALSE),0)+
IFERROR(VLOOKUP(A117,'Centre WV1'!$A$7:$N$107,11,FALSE),0)</f>
        <v>0</v>
      </c>
      <c r="L117" s="47">
        <f>IFERROR(VLOOKUP(A117,'Centre DW1'!$A$7:$N$106,12,FALSE),0)+
IFERROR(VLOOKUP(A117,'Centre WP1'!$A$7:$N$106,12,FALSE),0)+
IFERROR(VLOOKUP(A117,'Centre WR1'!$A$7:$N$106,12,FALSE),0)+
IFERROR(VLOOKUP(A117,'Centre WV1'!$A$7:$N$107,12,FALSE),0)</f>
        <v>0</v>
      </c>
      <c r="M117" s="47">
        <f>IFERROR(VLOOKUP(A117,'Centre DW1'!$A$7:$N$106,13,FALSE),0)+
IFERROR(VLOOKUP(A117,'Centre WP1'!$A$7:$N$106,13,FALSE),0)+
IFERROR(VLOOKUP(A117,'Centre WR1'!$A$7:$N$106,13,FALSE),0)+
IFERROR(VLOOKUP(A117,'Centre WV1'!$A$7:$N$107,13,FALSE),0)</f>
        <v>0</v>
      </c>
      <c r="N117" s="47">
        <f>IFERROR(VLOOKUP(A117,'Centre DW1'!$A$7:$N$106,14,FALSE),0)+
IFERROR(VLOOKUP(A117,'Centre WP1'!$A$7:$N$106,14,FALSE),0)+
IFERROR(VLOOKUP(A117,'Centre WR1'!$A$7:$N$106,14,FALSE),0)+
IFERROR(VLOOKUP(A117,'Centre WV1'!$A$7:$N$107,14,FALSE),0)</f>
        <v>0</v>
      </c>
    </row>
    <row r="118" spans="1:15" collapsed="1" x14ac:dyDescent="0.2">
      <c r="A118" s="36"/>
      <c r="B118" s="36" t="s">
        <v>236</v>
      </c>
      <c r="C118" s="45">
        <f t="shared" ref="C118:I118" si="33">+C83+C100+C113+C114+C115</f>
        <v>23.400000000000002</v>
      </c>
      <c r="D118" s="45">
        <f t="shared" si="33"/>
        <v>19.100000000000001</v>
      </c>
      <c r="E118" s="45">
        <f t="shared" si="33"/>
        <v>18.700000000000003</v>
      </c>
      <c r="F118" s="45">
        <f t="shared" si="33"/>
        <v>29.9</v>
      </c>
      <c r="G118" s="45">
        <f t="shared" si="33"/>
        <v>7.6</v>
      </c>
      <c r="H118" s="45">
        <f t="shared" si="33"/>
        <v>8.9</v>
      </c>
      <c r="I118" s="45">
        <f t="shared" si="33"/>
        <v>24</v>
      </c>
      <c r="J118" s="48">
        <f>+J83+J100+J113+J114+J115</f>
        <v>21.900000000000002</v>
      </c>
      <c r="K118" s="48">
        <f t="shared" ref="K118:N118" si="34">+K83+K100+K113+K114+K115</f>
        <v>27.2</v>
      </c>
      <c r="L118" s="48">
        <f t="shared" si="34"/>
        <v>17.799999999999997</v>
      </c>
      <c r="M118" s="48">
        <f t="shared" si="34"/>
        <v>16.3</v>
      </c>
      <c r="N118" s="48">
        <f t="shared" si="34"/>
        <v>19.899999999999999</v>
      </c>
      <c r="O118" s="50">
        <f>SUM(C118:N118)</f>
        <v>234.70000000000002</v>
      </c>
    </row>
    <row r="119" spans="1:15" x14ac:dyDescent="0.2">
      <c r="A119" s="35"/>
      <c r="B119" s="35" t="s">
        <v>237</v>
      </c>
      <c r="C119" s="21">
        <f>+C82-C118</f>
        <v>36.699999999999989</v>
      </c>
      <c r="D119" s="21">
        <f t="shared" ref="D119:I119" si="35">+D82-D118</f>
        <v>27.300000000000004</v>
      </c>
      <c r="E119" s="21">
        <f t="shared" si="35"/>
        <v>9.2000000000000028</v>
      </c>
      <c r="F119" s="21">
        <f t="shared" si="35"/>
        <v>-0.39999999999999503</v>
      </c>
      <c r="G119" s="21">
        <f t="shared" si="35"/>
        <v>19</v>
      </c>
      <c r="H119" s="21">
        <f t="shared" si="35"/>
        <v>32.1</v>
      </c>
      <c r="I119" s="21">
        <f t="shared" si="35"/>
        <v>13.600000000000001</v>
      </c>
      <c r="J119" s="49">
        <f ca="1">+J82-J118</f>
        <v>4.3000000000000007</v>
      </c>
      <c r="K119" s="49">
        <f t="shared" ref="K119:N119" ca="1" si="36">+K82-K118</f>
        <v>-15.300000000000004</v>
      </c>
      <c r="L119" s="49">
        <f t="shared" ca="1" si="36"/>
        <v>12.500000000000007</v>
      </c>
      <c r="M119" s="49">
        <f t="shared" ca="1" si="36"/>
        <v>35.700000000000003</v>
      </c>
      <c r="N119" s="49">
        <f t="shared" ca="1" si="36"/>
        <v>29.300000000000004</v>
      </c>
      <c r="O119" s="50">
        <f ca="1">SUM(C119:N119)</f>
        <v>204</v>
      </c>
    </row>
    <row r="120" spans="1:15" x14ac:dyDescent="0.2">
      <c r="A120" s="33" t="s">
        <v>238</v>
      </c>
      <c r="B120" s="34" t="s">
        <v>239</v>
      </c>
      <c r="C120" s="46">
        <f t="shared" ref="C120:K120" si="37">+C121+C122</f>
        <v>1.3</v>
      </c>
      <c r="D120" s="46">
        <f t="shared" si="37"/>
        <v>1.3</v>
      </c>
      <c r="E120" s="46">
        <f t="shared" si="37"/>
        <v>1.5999999999999999</v>
      </c>
      <c r="F120" s="46">
        <f t="shared" si="37"/>
        <v>1.1000000000000001</v>
      </c>
      <c r="G120" s="46">
        <f t="shared" si="37"/>
        <v>0.79999999999999993</v>
      </c>
      <c r="H120" s="46">
        <f t="shared" si="37"/>
        <v>1.3</v>
      </c>
      <c r="I120" s="46">
        <f t="shared" si="37"/>
        <v>1.2000000000000002</v>
      </c>
      <c r="J120" s="46">
        <f t="shared" ca="1" si="37"/>
        <v>1.2</v>
      </c>
      <c r="K120" s="46">
        <f t="shared" ca="1" si="37"/>
        <v>1.2</v>
      </c>
      <c r="L120" s="46">
        <f t="shared" ref="L120:N120" ca="1" si="38">+L121+L122</f>
        <v>1.2</v>
      </c>
      <c r="M120" s="46">
        <f t="shared" ca="1" si="38"/>
        <v>1.1000000000000001</v>
      </c>
      <c r="N120" s="46">
        <f t="shared" ca="1" si="38"/>
        <v>1.2</v>
      </c>
      <c r="O120" s="50">
        <f ca="1">SUM(C120:N120)</f>
        <v>14.499999999999998</v>
      </c>
    </row>
    <row r="121" spans="1:15" hidden="1" outlineLevel="1" x14ac:dyDescent="0.2">
      <c r="A121" s="9" t="s">
        <v>240</v>
      </c>
      <c r="B121" s="1" t="s">
        <v>241</v>
      </c>
      <c r="C121" s="10">
        <f>IFERROR(VLOOKUP(A121,'Centre DW1'!$A$7:$N$106,3,FALSE),0)+
IFERROR(VLOOKUP(A121,'Centre WP1'!$A$7:$N$106,3,FALSE),0)+
IFERROR(VLOOKUP(A121,'Centre WR1'!$A$7:$N$106,3,FALSE),0)+
IFERROR(VLOOKUP(A121,'Centre WV1'!$A$7:$N$107,3,FALSE),0)</f>
        <v>1.3</v>
      </c>
      <c r="D121" s="10">
        <f>IFERROR(VLOOKUP(A121,'Centre DW1'!$A$7:$N$106,4,FALSE),0)+
IFERROR(VLOOKUP(A121,'Centre WP1'!$A$7:$N$106,4,FALSE),0)+
IFERROR(VLOOKUP(A121,'Centre WR1'!$A$7:$N$106,4,FALSE),0)+
IFERROR(VLOOKUP(A121,'Centre WV1'!$A$7:$N$107,4,FALSE),0)</f>
        <v>1.3</v>
      </c>
      <c r="E121" s="10">
        <f>IFERROR(VLOOKUP(A121,'Centre DW1'!$A$7:$N$106,5,FALSE),0)+
IFERROR(VLOOKUP(A121,'Centre WP1'!$A$7:$N$106,5,FALSE),0)+
IFERROR(VLOOKUP(A121,'Centre WR1'!$A$7:$N$106,5,FALSE),0)+
IFERROR(VLOOKUP(A121,'Centre WV1'!$A$7:$N$107,5,FALSE),0)</f>
        <v>1.5999999999999999</v>
      </c>
      <c r="F121" s="10">
        <f>IFERROR(VLOOKUP(A121,'Centre DW1'!$A$7:$N$106,6,FALSE),0)+
IFERROR(VLOOKUP(A121,'Centre WP1'!$A$7:$N$106,6,FALSE),0)+
IFERROR(VLOOKUP(A121,'Centre WR1'!$A$7:$N$106,6,FALSE),0)+
IFERROR(VLOOKUP(A121,'Centre WV1'!$A$7:$N$107,6,FALSE),0)</f>
        <v>1.1000000000000001</v>
      </c>
      <c r="G121" s="10">
        <f>IFERROR(VLOOKUP(A121,'Centre DW1'!$A$7:$N$106,7,FALSE),0)+
IFERROR(VLOOKUP(A121,'Centre WP1'!$A$7:$N$106,7,FALSE),0)+
IFERROR(VLOOKUP(A121,'Centre WR1'!$A$7:$N$106,7,FALSE),0)+
IFERROR(VLOOKUP(A121,'Centre WV1'!$A$7:$N$107,7,FALSE),0)</f>
        <v>0.79999999999999993</v>
      </c>
      <c r="H121" s="10">
        <f>IFERROR(VLOOKUP(A121,'Centre DW1'!$A$7:$N$106,8,FALSE),0)+
IFERROR(VLOOKUP(A121,'Centre WP1'!$A$7:$N$106,8,FALSE),0)+
IFERROR(VLOOKUP(A121,'Centre WR1'!$A$7:$N$106,8,FALSE),0)+
IFERROR(VLOOKUP(A121,'Centre WV1'!$A$7:$N$107,8,FALSE),0)</f>
        <v>1.3</v>
      </c>
      <c r="I121" s="10">
        <f>IFERROR(VLOOKUP(A121,'Centre DW1'!$A$7:$N$106,9,FALSE),0)+
IFERROR(VLOOKUP(A121,'Centre WP1'!$A$7:$N$106,9,FALSE),0)+
IFERROR(VLOOKUP(A121,'Centre WR1'!$A$7:$N$106,9,FALSE),0)+
IFERROR(VLOOKUP(A121,'Centre WV1'!$A$7:$N$107,9,FALSE),0)</f>
        <v>1.2000000000000002</v>
      </c>
      <c r="J121" s="47">
        <f ca="1">IFERROR(VLOOKUP(A121,'Centre DW1'!$A$7:$N$106,10,FALSE),0)+
IFERROR(VLOOKUP(A121,'Centre WP1'!$A$7:$N$106,10,FALSE),0)+
IFERROR(VLOOKUP(A121,'Centre WR1'!$A$7:$N$106,10,FALSE),0)+
IFERROR(VLOOKUP(A121,'Centre WV1'!$A$7:$N$107,10,FALSE),0)</f>
        <v>1.2</v>
      </c>
      <c r="K121" s="47">
        <f ca="1">IFERROR(VLOOKUP(A121,'Centre DW1'!$A$7:$N$106,11,FALSE),0)+
IFERROR(VLOOKUP(A121,'Centre WP1'!$A$7:$N$106,11,FALSE),0)+
IFERROR(VLOOKUP(A121,'Centre WR1'!$A$7:$N$106,11,FALSE),0)+
IFERROR(VLOOKUP(A121,'Centre WV1'!$A$7:$N$107,11,FALSE),0)</f>
        <v>1.2</v>
      </c>
      <c r="L121" s="47">
        <f ca="1">IFERROR(VLOOKUP(A121,'Centre DW1'!$A$7:$N$106,12,FALSE),0)+
IFERROR(VLOOKUP(A121,'Centre WP1'!$A$7:$N$106,12,FALSE),0)+
IFERROR(VLOOKUP(A121,'Centre WR1'!$A$7:$N$106,12,FALSE),0)+
IFERROR(VLOOKUP(A121,'Centre WV1'!$A$7:$N$107,12,FALSE),0)</f>
        <v>1.2</v>
      </c>
      <c r="M121" s="47">
        <f ca="1">IFERROR(VLOOKUP(A121,'Centre DW1'!$A$7:$N$106,13,FALSE),0)+
IFERROR(VLOOKUP(A121,'Centre WP1'!$A$7:$N$106,13,FALSE),0)+
IFERROR(VLOOKUP(A121,'Centre WR1'!$A$7:$N$106,13,FALSE),0)+
IFERROR(VLOOKUP(A121,'Centre WV1'!$A$7:$N$107,13,FALSE),0)</f>
        <v>1.1000000000000001</v>
      </c>
      <c r="N121" s="47">
        <f ca="1">IFERROR(VLOOKUP(A121,'Centre DW1'!$A$7:$N$106,14,FALSE),0)+
IFERROR(VLOOKUP(A121,'Centre WP1'!$A$7:$N$106,14,FALSE),0)+
IFERROR(VLOOKUP(A121,'Centre WR1'!$A$7:$N$106,14,FALSE),0)+
IFERROR(VLOOKUP(A121,'Centre WV1'!$A$7:$N$107,14,FALSE),0)</f>
        <v>1.2</v>
      </c>
    </row>
    <row r="122" spans="1:15" hidden="1" outlineLevel="1" x14ac:dyDescent="0.2">
      <c r="A122" s="9" t="s">
        <v>242</v>
      </c>
      <c r="B122" s="1" t="s">
        <v>243</v>
      </c>
      <c r="C122" s="10">
        <f>IFERROR(VLOOKUP(A122,'Centre DW1'!$A$7:$N$106,3,FALSE),0)+
IFERROR(VLOOKUP(A122,'Centre WP1'!$A$7:$N$106,3,FALSE),0)+
IFERROR(VLOOKUP(A122,'Centre WR1'!$A$7:$N$106,3,FALSE),0)+
IFERROR(VLOOKUP(A122,'Centre WV1'!$A$7:$N$107,3,FALSE),0)</f>
        <v>0</v>
      </c>
      <c r="D122" s="10">
        <f>IFERROR(VLOOKUP(A122,'Centre DW1'!$A$7:$N$106,4,FALSE),0)+
IFERROR(VLOOKUP(A122,'Centre WP1'!$A$7:$N$106,4,FALSE),0)+
IFERROR(VLOOKUP(A122,'Centre WR1'!$A$7:$N$106,4,FALSE),0)+
IFERROR(VLOOKUP(A122,'Centre WV1'!$A$7:$N$107,4,FALSE),0)</f>
        <v>0</v>
      </c>
      <c r="E122" s="10">
        <f>IFERROR(VLOOKUP(A122,'Centre DW1'!$A$7:$N$106,5,FALSE),0)+
IFERROR(VLOOKUP(A122,'Centre WP1'!$A$7:$N$106,5,FALSE),0)+
IFERROR(VLOOKUP(A122,'Centre WR1'!$A$7:$N$106,5,FALSE),0)+
IFERROR(VLOOKUP(A122,'Centre WV1'!$A$7:$N$107,5,FALSE),0)</f>
        <v>0</v>
      </c>
      <c r="F122" s="10">
        <f>IFERROR(VLOOKUP(A122,'Centre DW1'!$A$7:$N$106,6,FALSE),0)+
IFERROR(VLOOKUP(A122,'Centre WP1'!$A$7:$N$106,6,FALSE),0)+
IFERROR(VLOOKUP(A122,'Centre WR1'!$A$7:$N$106,6,FALSE),0)+
IFERROR(VLOOKUP(A122,'Centre WV1'!$A$7:$N$107,6,FALSE),0)</f>
        <v>0</v>
      </c>
      <c r="G122" s="10">
        <f>IFERROR(VLOOKUP(A122,'Centre DW1'!$A$7:$N$106,7,FALSE),0)+
IFERROR(VLOOKUP(A122,'Centre WP1'!$A$7:$N$106,7,FALSE),0)+
IFERROR(VLOOKUP(A122,'Centre WR1'!$A$7:$N$106,7,FALSE),0)+
IFERROR(VLOOKUP(A122,'Centre WV1'!$A$7:$N$107,7,FALSE),0)</f>
        <v>0</v>
      </c>
      <c r="H122" s="10">
        <f>IFERROR(VLOOKUP(A122,'Centre DW1'!$A$7:$N$106,8,FALSE),0)+
IFERROR(VLOOKUP(A122,'Centre WP1'!$A$7:$N$106,8,FALSE),0)+
IFERROR(VLOOKUP(A122,'Centre WR1'!$A$7:$N$106,8,FALSE),0)+
IFERROR(VLOOKUP(A122,'Centre WV1'!$A$7:$N$107,8,FALSE),0)</f>
        <v>0</v>
      </c>
      <c r="I122" s="10">
        <f>IFERROR(VLOOKUP(A122,'Centre DW1'!$A$7:$N$106,9,FALSE),0)+
IFERROR(VLOOKUP(A122,'Centre WP1'!$A$7:$N$106,9,FALSE),0)+
IFERROR(VLOOKUP(A122,'Centre WR1'!$A$7:$N$106,9,FALSE),0)+
IFERROR(VLOOKUP(A122,'Centre WV1'!$A$7:$N$107,9,FALSE),0)</f>
        <v>0</v>
      </c>
      <c r="J122" s="47">
        <f>IFERROR(VLOOKUP(A122,'Centre DW1'!$A$7:$N$106,10,FALSE),0)+
IFERROR(VLOOKUP(A122,'Centre WP1'!$A$7:$N$106,10,FALSE),0)+
IFERROR(VLOOKUP(A122,'Centre WR1'!$A$7:$N$106,10,FALSE),0)+
IFERROR(VLOOKUP(A122,'Centre WV1'!$A$7:$N$107,10,FALSE),0)</f>
        <v>0</v>
      </c>
      <c r="K122" s="47">
        <f>IFERROR(VLOOKUP(A122,'Centre DW1'!$A$7:$N$106,11,FALSE),0)+
IFERROR(VLOOKUP(A122,'Centre WP1'!$A$7:$N$106,11,FALSE),0)+
IFERROR(VLOOKUP(A122,'Centre WR1'!$A$7:$N$106,11,FALSE),0)+
IFERROR(VLOOKUP(A122,'Centre WV1'!$A$7:$N$107,11,FALSE),0)</f>
        <v>0</v>
      </c>
      <c r="L122" s="47">
        <f>IFERROR(VLOOKUP(A122,'Centre DW1'!$A$7:$N$106,12,FALSE),0)+
IFERROR(VLOOKUP(A122,'Centre WP1'!$A$7:$N$106,12,FALSE),0)+
IFERROR(VLOOKUP(A122,'Centre WR1'!$A$7:$N$106,12,FALSE),0)+
IFERROR(VLOOKUP(A122,'Centre WV1'!$A$7:$N$107,12,FALSE),0)</f>
        <v>0</v>
      </c>
      <c r="M122" s="47">
        <f>IFERROR(VLOOKUP(A122,'Centre DW1'!$A$7:$N$106,13,FALSE),0)+
IFERROR(VLOOKUP(A122,'Centre WP1'!$A$7:$N$106,13,FALSE),0)+
IFERROR(VLOOKUP(A122,'Centre WR1'!$A$7:$N$106,13,FALSE),0)+
IFERROR(VLOOKUP(A122,'Centre WV1'!$A$7:$N$107,13,FALSE),0)</f>
        <v>0</v>
      </c>
      <c r="N122" s="47">
        <f>IFERROR(VLOOKUP(A122,'Centre DW1'!$A$7:$N$106,14,FALSE),0)+
IFERROR(VLOOKUP(A122,'Centre WP1'!$A$7:$N$106,14,FALSE),0)+
IFERROR(VLOOKUP(A122,'Centre WR1'!$A$7:$N$106,14,FALSE),0)+
IFERROR(VLOOKUP(A122,'Centre WV1'!$A$7:$N$107,14,FALSE),0)</f>
        <v>0</v>
      </c>
    </row>
    <row r="123" spans="1:15" collapsed="1" x14ac:dyDescent="0.2">
      <c r="A123" s="33" t="s">
        <v>244</v>
      </c>
      <c r="B123" s="34" t="s">
        <v>245</v>
      </c>
      <c r="C123" s="44">
        <f>IFERROR(VLOOKUP(A123,'Centre DW1'!$A$7:$N$106,3,FALSE),0)+
IFERROR(VLOOKUP(A123,'Centre WP1'!$A$7:$N$106,3,FALSE),0)+
IFERROR(VLOOKUP(A123,'Centre WR1'!$A$7:$N$106,3,FALSE),0)+
IFERROR(VLOOKUP(A123,'Centre WV1'!$A$7:$N$107,3,FALSE),0)</f>
        <v>0</v>
      </c>
      <c r="D123" s="44">
        <f>IFERROR(VLOOKUP(A123,'Centre DW1'!$A$7:$N$106,4,FALSE),0)+
IFERROR(VLOOKUP(A123,'Centre WP1'!$A$7:$N$106,4,FALSE),0)+
IFERROR(VLOOKUP(A123,'Centre WR1'!$A$7:$N$106,4,FALSE),0)+
IFERROR(VLOOKUP(A123,'Centre WV1'!$A$7:$N$107,4,FALSE),0)</f>
        <v>0</v>
      </c>
      <c r="E123" s="44">
        <f>IFERROR(VLOOKUP(A123,'Centre DW1'!$A$7:$N$106,5,FALSE),0)+
IFERROR(VLOOKUP(A123,'Centre WP1'!$A$7:$N$106,5,FALSE),0)+
IFERROR(VLOOKUP(A123,'Centre WR1'!$A$7:$N$106,5,FALSE),0)+
IFERROR(VLOOKUP(A123,'Centre WV1'!$A$7:$N$107,5,FALSE),0)</f>
        <v>0</v>
      </c>
      <c r="F123" s="44">
        <f>IFERROR(VLOOKUP(A123,'Centre DW1'!$A$7:$N$106,6,FALSE),0)+
IFERROR(VLOOKUP(A123,'Centre WP1'!$A$7:$N$106,6,FALSE),0)+
IFERROR(VLOOKUP(A123,'Centre WR1'!$A$7:$N$106,6,FALSE),0)+
IFERROR(VLOOKUP(A123,'Centre WV1'!$A$7:$N$107,6,FALSE),0)</f>
        <v>0</v>
      </c>
      <c r="G123" s="44">
        <f>IFERROR(VLOOKUP(A123,'Centre DW1'!$A$7:$N$106,7,FALSE),0)+
IFERROR(VLOOKUP(A123,'Centre WP1'!$A$7:$N$106,7,FALSE),0)+
IFERROR(VLOOKUP(A123,'Centre WR1'!$A$7:$N$106,7,FALSE),0)+
IFERROR(VLOOKUP(A123,'Centre WV1'!$A$7:$N$107,7,FALSE),0)</f>
        <v>0</v>
      </c>
      <c r="H123" s="44">
        <f>IFERROR(VLOOKUP(A123,'Centre DW1'!$A$7:$N$106,8,FALSE),0)+
IFERROR(VLOOKUP(A123,'Centre WP1'!$A$7:$N$106,8,FALSE),0)+
IFERROR(VLOOKUP(A123,'Centre WR1'!$A$7:$N$106,8,FALSE),0)+
IFERROR(VLOOKUP(A123,'Centre WV1'!$A$7:$N$107,8,FALSE),0)</f>
        <v>0</v>
      </c>
      <c r="I123" s="44">
        <f>IFERROR(VLOOKUP(A123,'Centre DW1'!$A$7:$N$106,9,FALSE),0)+
IFERROR(VLOOKUP(A123,'Centre WP1'!$A$7:$N$106,9,FALSE),0)+
IFERROR(VLOOKUP(A123,'Centre WR1'!$A$7:$N$106,9,FALSE),0)+
IFERROR(VLOOKUP(A123,'Centre WV1'!$A$7:$N$107,9,FALSE),0)</f>
        <v>0</v>
      </c>
      <c r="J123" s="46">
        <f>IFERROR(VLOOKUP(A123,'Centre DW1'!$A$7:$N$106,10,FALSE),0)+
IFERROR(VLOOKUP(A123,'Centre WP1'!$A$7:$N$106,10,FALSE),0)+
IFERROR(VLOOKUP(A123,'Centre WR1'!$A$7:$N$106,10,FALSE),0)+
IFERROR(VLOOKUP(A123,'Centre WV1'!$A$7:$N$107,10,FALSE),0)</f>
        <v>0</v>
      </c>
      <c r="K123" s="46">
        <f>IFERROR(VLOOKUP(A123,'Centre DW1'!$A$7:$N$106,11,FALSE),0)+
IFERROR(VLOOKUP(A123,'Centre WP1'!$A$7:$N$106,11,FALSE),0)+
IFERROR(VLOOKUP(A123,'Centre WR1'!$A$7:$N$106,11,FALSE),0)+
IFERROR(VLOOKUP(A123,'Centre WV1'!$A$7:$N$107,11,FALSE),0)</f>
        <v>0</v>
      </c>
      <c r="L123" s="46">
        <f>IFERROR(VLOOKUP(A123,'Centre DW1'!$A$7:$N$106,12,FALSE),0)+
IFERROR(VLOOKUP(A123,'Centre WP1'!$A$7:$N$106,12,FALSE),0)+
IFERROR(VLOOKUP(A123,'Centre WR1'!$A$7:$N$106,12,FALSE),0)+
IFERROR(VLOOKUP(A123,'Centre WV1'!$A$7:$N$107,12,FALSE),0)</f>
        <v>0</v>
      </c>
      <c r="M123" s="46">
        <f>IFERROR(VLOOKUP(A123,'Centre DW1'!$A$7:$N$106,13,FALSE),0)+
IFERROR(VLOOKUP(A123,'Centre WP1'!$A$7:$N$106,13,FALSE),0)+
IFERROR(VLOOKUP(A123,'Centre WR1'!$A$7:$N$106,13,FALSE),0)+
IFERROR(VLOOKUP(A123,'Centre WV1'!$A$7:$N$107,13,FALSE),0)</f>
        <v>0</v>
      </c>
      <c r="N123" s="46">
        <f>IFERROR(VLOOKUP(A123,'Centre DW1'!$A$7:$N$106,14,FALSE),0)+
IFERROR(VLOOKUP(A123,'Centre WP1'!$A$7:$N$106,14,FALSE),0)+
IFERROR(VLOOKUP(A123,'Centre WR1'!$A$7:$N$106,14,FALSE),0)+
IFERROR(VLOOKUP(A123,'Centre WV1'!$A$7:$N$107,14,FALSE),0)</f>
        <v>0</v>
      </c>
    </row>
    <row r="124" spans="1:15" x14ac:dyDescent="0.2">
      <c r="A124" s="35"/>
      <c r="B124" s="35" t="s">
        <v>246</v>
      </c>
      <c r="C124" s="21">
        <f t="shared" ref="C124:N124" si="39">+C119-(C120+C123)</f>
        <v>35.399999999999991</v>
      </c>
      <c r="D124" s="21">
        <f t="shared" si="39"/>
        <v>26.000000000000004</v>
      </c>
      <c r="E124" s="21">
        <f t="shared" si="39"/>
        <v>7.6000000000000032</v>
      </c>
      <c r="F124" s="21">
        <f t="shared" si="39"/>
        <v>-1.4999999999999951</v>
      </c>
      <c r="G124" s="21">
        <f t="shared" si="39"/>
        <v>18.2</v>
      </c>
      <c r="H124" s="21">
        <f t="shared" si="39"/>
        <v>30.8</v>
      </c>
      <c r="I124" s="21">
        <f t="shared" si="39"/>
        <v>12.400000000000002</v>
      </c>
      <c r="J124" s="21">
        <f t="shared" ca="1" si="39"/>
        <v>3.1000000000000005</v>
      </c>
      <c r="K124" s="21">
        <f t="shared" ca="1" si="39"/>
        <v>-16.500000000000004</v>
      </c>
      <c r="L124" s="21">
        <f t="shared" ca="1" si="39"/>
        <v>11.300000000000008</v>
      </c>
      <c r="M124" s="21">
        <f t="shared" ca="1" si="39"/>
        <v>34.6</v>
      </c>
      <c r="N124" s="21">
        <f t="shared" ca="1" si="39"/>
        <v>28.100000000000005</v>
      </c>
      <c r="O124" s="50">
        <f ca="1">SUM(C124:N124)</f>
        <v>189.5</v>
      </c>
    </row>
    <row r="125" spans="1:15" x14ac:dyDescent="0.2">
      <c r="A125" s="9" t="s">
        <v>74</v>
      </c>
      <c r="B125" s="1" t="s">
        <v>74</v>
      </c>
      <c r="C125" s="15" t="s">
        <v>74</v>
      </c>
      <c r="D125" s="15" t="s">
        <v>74</v>
      </c>
      <c r="E125" s="15" t="s">
        <v>74</v>
      </c>
      <c r="F125" s="15" t="s">
        <v>74</v>
      </c>
      <c r="G125" s="15" t="s">
        <v>74</v>
      </c>
      <c r="H125" s="15" t="s">
        <v>74</v>
      </c>
      <c r="I125" s="15" t="s">
        <v>74</v>
      </c>
      <c r="J125" s="40" t="s">
        <v>74</v>
      </c>
      <c r="K125" s="40" t="s">
        <v>74</v>
      </c>
      <c r="L125" s="40" t="s">
        <v>74</v>
      </c>
      <c r="M125" s="40" t="s">
        <v>74</v>
      </c>
      <c r="N125" s="40" t="s">
        <v>74</v>
      </c>
    </row>
    <row r="126" spans="1:15" hidden="1" x14ac:dyDescent="0.2">
      <c r="A126" s="12"/>
      <c r="B126" s="12" t="s">
        <v>247</v>
      </c>
      <c r="C126" s="16"/>
      <c r="D126" s="16"/>
      <c r="E126" s="16"/>
      <c r="F126" s="16"/>
      <c r="G126" s="16"/>
      <c r="H126" s="16"/>
      <c r="I126" s="16"/>
      <c r="J126" s="42"/>
      <c r="K126" s="42"/>
      <c r="L126" s="42"/>
      <c r="M126" s="42"/>
      <c r="N126" s="42"/>
    </row>
    <row r="127" spans="1:15" hidden="1" x14ac:dyDescent="0.2">
      <c r="A127" s="9" t="s">
        <v>248</v>
      </c>
      <c r="B127" s="1" t="s">
        <v>249</v>
      </c>
      <c r="C127" s="15">
        <v>0</v>
      </c>
      <c r="D127" s="15">
        <v>0</v>
      </c>
      <c r="E127" s="15">
        <v>0</v>
      </c>
      <c r="F127" s="15">
        <v>1</v>
      </c>
      <c r="G127" s="15">
        <v>3</v>
      </c>
      <c r="H127" s="15">
        <v>3</v>
      </c>
      <c r="I127" s="15">
        <v>3</v>
      </c>
      <c r="J127" s="40">
        <v>3</v>
      </c>
      <c r="K127" s="40">
        <v>3</v>
      </c>
      <c r="L127" s="40">
        <v>3</v>
      </c>
      <c r="M127" s="40">
        <v>3</v>
      </c>
      <c r="N127" s="40">
        <v>3</v>
      </c>
    </row>
    <row r="128" spans="1:15" hidden="1" outlineLevel="1" x14ac:dyDescent="0.2">
      <c r="A128" s="9" t="s">
        <v>250</v>
      </c>
      <c r="B128" s="1" t="s">
        <v>251</v>
      </c>
      <c r="C128" s="15">
        <v>0</v>
      </c>
      <c r="D128" s="15">
        <v>0</v>
      </c>
      <c r="E128" s="15">
        <v>0</v>
      </c>
      <c r="F128" s="15">
        <v>1</v>
      </c>
      <c r="G128" s="15">
        <v>3</v>
      </c>
      <c r="H128" s="15">
        <v>3</v>
      </c>
      <c r="I128" s="15">
        <v>3</v>
      </c>
      <c r="J128" s="40">
        <v>3</v>
      </c>
      <c r="K128" s="40">
        <v>3</v>
      </c>
      <c r="L128" s="40">
        <v>3</v>
      </c>
      <c r="M128" s="40">
        <v>3</v>
      </c>
      <c r="N128" s="40">
        <v>3</v>
      </c>
    </row>
    <row r="129" spans="1:14" hidden="1" collapsed="1" x14ac:dyDescent="0.2">
      <c r="A129" s="9" t="s">
        <v>252</v>
      </c>
      <c r="B129" s="1" t="s">
        <v>253</v>
      </c>
      <c r="C129" s="15">
        <v>2.4</v>
      </c>
      <c r="D129" s="15">
        <v>0.8</v>
      </c>
      <c r="E129" s="15">
        <v>0.4</v>
      </c>
      <c r="F129" s="15">
        <v>1.4</v>
      </c>
      <c r="G129" s="15">
        <v>3</v>
      </c>
      <c r="H129" s="15">
        <v>3</v>
      </c>
      <c r="I129" s="15">
        <v>3</v>
      </c>
      <c r="J129" s="40">
        <v>3</v>
      </c>
      <c r="K129" s="40">
        <v>3</v>
      </c>
      <c r="L129" s="40">
        <v>3</v>
      </c>
      <c r="M129" s="40">
        <v>3</v>
      </c>
      <c r="N129" s="40">
        <v>3</v>
      </c>
    </row>
    <row r="130" spans="1:14" hidden="1" outlineLevel="1" x14ac:dyDescent="0.2">
      <c r="A130" s="9" t="s">
        <v>254</v>
      </c>
      <c r="B130" s="1" t="s">
        <v>255</v>
      </c>
      <c r="C130" s="15">
        <v>2.4</v>
      </c>
      <c r="D130" s="15">
        <v>0.8</v>
      </c>
      <c r="E130" s="15">
        <v>0.4</v>
      </c>
      <c r="F130" s="15">
        <v>1.4</v>
      </c>
      <c r="G130" s="15">
        <v>3</v>
      </c>
      <c r="H130" s="15">
        <v>3</v>
      </c>
      <c r="I130" s="15">
        <v>3</v>
      </c>
      <c r="J130" s="40">
        <v>3</v>
      </c>
      <c r="K130" s="40">
        <v>3</v>
      </c>
      <c r="L130" s="40">
        <v>3</v>
      </c>
      <c r="M130" s="40">
        <v>3</v>
      </c>
      <c r="N130" s="40">
        <v>3</v>
      </c>
    </row>
    <row r="131" spans="1:14" hidden="1" collapsed="1" x14ac:dyDescent="0.2">
      <c r="A131" s="9" t="s">
        <v>256</v>
      </c>
      <c r="B131" s="1" t="s">
        <v>257</v>
      </c>
      <c r="C131" s="15">
        <v>0.4</v>
      </c>
      <c r="D131" s="15">
        <v>0.4</v>
      </c>
      <c r="E131" s="15">
        <v>0.4</v>
      </c>
      <c r="F131" s="15">
        <v>0.4</v>
      </c>
      <c r="G131" s="15">
        <v>0</v>
      </c>
      <c r="H131" s="15">
        <v>0</v>
      </c>
      <c r="I131" s="15">
        <v>0</v>
      </c>
      <c r="J131" s="40">
        <v>0</v>
      </c>
      <c r="K131" s="40">
        <v>0</v>
      </c>
      <c r="L131" s="40">
        <v>0</v>
      </c>
      <c r="M131" s="40">
        <v>0</v>
      </c>
      <c r="N131" s="40">
        <v>0</v>
      </c>
    </row>
    <row r="132" spans="1:14" hidden="1" outlineLevel="1" x14ac:dyDescent="0.2">
      <c r="A132" s="9" t="s">
        <v>258</v>
      </c>
      <c r="B132" s="1" t="s">
        <v>259</v>
      </c>
      <c r="C132" s="15">
        <v>0.4</v>
      </c>
      <c r="D132" s="15">
        <v>0.4</v>
      </c>
      <c r="E132" s="15">
        <v>0.4</v>
      </c>
      <c r="F132" s="15">
        <v>0.4</v>
      </c>
      <c r="G132" s="15">
        <v>0</v>
      </c>
      <c r="H132" s="15">
        <v>0</v>
      </c>
      <c r="I132" s="15">
        <v>0</v>
      </c>
      <c r="J132" s="40">
        <v>0</v>
      </c>
      <c r="K132" s="40">
        <v>0</v>
      </c>
      <c r="L132" s="40">
        <v>0</v>
      </c>
      <c r="M132" s="40">
        <v>0</v>
      </c>
      <c r="N132" s="40">
        <v>0</v>
      </c>
    </row>
    <row r="133" spans="1:14" hidden="1" collapsed="1" x14ac:dyDescent="0.2">
      <c r="A133" s="9" t="s">
        <v>260</v>
      </c>
      <c r="B133" s="1" t="s">
        <v>261</v>
      </c>
      <c r="C133" s="15">
        <v>0.4</v>
      </c>
      <c r="D133" s="15">
        <v>0.4</v>
      </c>
      <c r="E133" s="15">
        <v>0</v>
      </c>
      <c r="F133" s="15">
        <v>1</v>
      </c>
      <c r="G133" s="15">
        <v>3</v>
      </c>
      <c r="H133" s="15">
        <v>3</v>
      </c>
      <c r="I133" s="15">
        <v>3</v>
      </c>
      <c r="J133" s="40">
        <v>3</v>
      </c>
      <c r="K133" s="40">
        <v>3</v>
      </c>
      <c r="L133" s="40">
        <v>3</v>
      </c>
      <c r="M133" s="40">
        <v>3</v>
      </c>
      <c r="N133" s="40">
        <v>3</v>
      </c>
    </row>
    <row r="134" spans="1:14" hidden="1" outlineLevel="1" x14ac:dyDescent="0.2">
      <c r="A134" s="9" t="s">
        <v>262</v>
      </c>
      <c r="B134" s="1" t="s">
        <v>263</v>
      </c>
      <c r="C134" s="15">
        <v>0.4</v>
      </c>
      <c r="D134" s="15">
        <v>0.4</v>
      </c>
      <c r="E134" s="15">
        <v>0</v>
      </c>
      <c r="F134" s="15">
        <v>1</v>
      </c>
      <c r="G134" s="15">
        <v>3</v>
      </c>
      <c r="H134" s="15">
        <v>3</v>
      </c>
      <c r="I134" s="15">
        <v>3</v>
      </c>
      <c r="J134" s="40">
        <v>3</v>
      </c>
      <c r="K134" s="40">
        <v>3</v>
      </c>
      <c r="L134" s="40">
        <v>3</v>
      </c>
      <c r="M134" s="40">
        <v>3</v>
      </c>
      <c r="N134" s="40">
        <v>3</v>
      </c>
    </row>
    <row r="135" spans="1:14" hidden="1" collapsed="1" x14ac:dyDescent="0.2">
      <c r="A135" s="9" t="s">
        <v>264</v>
      </c>
      <c r="B135" s="1" t="s">
        <v>265</v>
      </c>
      <c r="C135" s="15">
        <v>1.6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40">
        <v>0</v>
      </c>
      <c r="K135" s="40">
        <v>0</v>
      </c>
      <c r="L135" s="40">
        <v>0</v>
      </c>
      <c r="M135" s="40">
        <v>0</v>
      </c>
      <c r="N135" s="40">
        <v>0</v>
      </c>
    </row>
    <row r="136" spans="1:14" hidden="1" outlineLevel="1" x14ac:dyDescent="0.2">
      <c r="A136" s="9" t="s">
        <v>266</v>
      </c>
      <c r="B136" s="1" t="s">
        <v>267</v>
      </c>
      <c r="C136" s="15">
        <v>1.6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40">
        <v>0</v>
      </c>
      <c r="K136" s="40">
        <v>0</v>
      </c>
      <c r="L136" s="40">
        <v>0</v>
      </c>
      <c r="M136" s="40">
        <v>0</v>
      </c>
      <c r="N136" s="40">
        <v>0</v>
      </c>
    </row>
    <row r="137" spans="1:14" hidden="1" collapsed="1" x14ac:dyDescent="0.2">
      <c r="A137" s="9" t="s">
        <v>268</v>
      </c>
      <c r="B137" s="1" t="s">
        <v>269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40">
        <v>0</v>
      </c>
      <c r="K137" s="40">
        <v>0</v>
      </c>
      <c r="L137" s="40">
        <v>0</v>
      </c>
      <c r="M137" s="40">
        <v>0</v>
      </c>
      <c r="N137" s="40">
        <v>0</v>
      </c>
    </row>
    <row r="138" spans="1:14" hidden="1" x14ac:dyDescent="0.2">
      <c r="A138" s="9" t="s">
        <v>270</v>
      </c>
      <c r="B138" s="1" t="s">
        <v>271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40">
        <v>0</v>
      </c>
      <c r="K138" s="40">
        <v>0</v>
      </c>
      <c r="L138" s="40">
        <v>0</v>
      </c>
      <c r="M138" s="40">
        <v>0</v>
      </c>
      <c r="N138" s="40">
        <v>0</v>
      </c>
    </row>
    <row r="139" spans="1:14" hidden="1" x14ac:dyDescent="0.2">
      <c r="A139" s="9" t="s">
        <v>272</v>
      </c>
      <c r="B139" s="1" t="s">
        <v>273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40">
        <v>0</v>
      </c>
      <c r="K139" s="40">
        <v>0</v>
      </c>
      <c r="L139" s="40">
        <v>0</v>
      </c>
      <c r="M139" s="40">
        <v>0</v>
      </c>
      <c r="N139" s="40">
        <v>0</v>
      </c>
    </row>
    <row r="140" spans="1:14" hidden="1" x14ac:dyDescent="0.2">
      <c r="A140" s="9" t="s">
        <v>274</v>
      </c>
      <c r="B140" s="1" t="s">
        <v>275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40">
        <v>0</v>
      </c>
      <c r="K140" s="40">
        <v>0</v>
      </c>
      <c r="L140" s="40">
        <v>0</v>
      </c>
      <c r="M140" s="40">
        <v>0</v>
      </c>
      <c r="N140" s="40">
        <v>0</v>
      </c>
    </row>
    <row r="141" spans="1:14" hidden="1" x14ac:dyDescent="0.2">
      <c r="A141" s="9" t="s">
        <v>276</v>
      </c>
      <c r="B141" s="1" t="s">
        <v>277</v>
      </c>
      <c r="C141" s="15">
        <v>45</v>
      </c>
      <c r="D141" s="15">
        <v>45</v>
      </c>
      <c r="E141" s="15">
        <v>45</v>
      </c>
      <c r="F141" s="15">
        <v>45</v>
      </c>
      <c r="G141" s="15">
        <v>45</v>
      </c>
      <c r="H141" s="15">
        <v>45</v>
      </c>
      <c r="I141" s="15">
        <v>45</v>
      </c>
      <c r="J141" s="40">
        <v>45</v>
      </c>
      <c r="K141" s="40">
        <v>45</v>
      </c>
      <c r="L141" s="40">
        <v>45</v>
      </c>
      <c r="M141" s="40">
        <v>45</v>
      </c>
      <c r="N141" s="40">
        <v>45</v>
      </c>
    </row>
    <row r="142" spans="1:14" hidden="1" outlineLevel="1" x14ac:dyDescent="0.2">
      <c r="A142" s="9" t="s">
        <v>278</v>
      </c>
      <c r="B142" s="1" t="s">
        <v>279</v>
      </c>
      <c r="C142" s="15">
        <v>45</v>
      </c>
      <c r="D142" s="15">
        <v>45</v>
      </c>
      <c r="E142" s="15">
        <v>45</v>
      </c>
      <c r="F142" s="15">
        <v>45</v>
      </c>
      <c r="G142" s="15">
        <v>45</v>
      </c>
      <c r="H142" s="15">
        <v>45</v>
      </c>
      <c r="I142" s="15">
        <v>45</v>
      </c>
      <c r="J142" s="40">
        <v>45</v>
      </c>
      <c r="K142" s="40">
        <v>45</v>
      </c>
      <c r="L142" s="40">
        <v>45</v>
      </c>
      <c r="M142" s="40">
        <v>45</v>
      </c>
      <c r="N142" s="40">
        <v>45</v>
      </c>
    </row>
    <row r="143" spans="1:14" hidden="1" collapsed="1" x14ac:dyDescent="0.2">
      <c r="A143" s="9" t="s">
        <v>280</v>
      </c>
      <c r="B143" s="1" t="s">
        <v>281</v>
      </c>
      <c r="C143" s="15">
        <v>45</v>
      </c>
      <c r="D143" s="15">
        <v>45</v>
      </c>
      <c r="E143" s="15">
        <v>45</v>
      </c>
      <c r="F143" s="15">
        <v>45</v>
      </c>
      <c r="G143" s="15">
        <v>45</v>
      </c>
      <c r="H143" s="15">
        <v>45</v>
      </c>
      <c r="I143" s="15">
        <v>45</v>
      </c>
      <c r="J143" s="40">
        <v>45</v>
      </c>
      <c r="K143" s="40">
        <v>45</v>
      </c>
      <c r="L143" s="40">
        <v>45</v>
      </c>
      <c r="M143" s="40">
        <v>45</v>
      </c>
      <c r="N143" s="40">
        <v>45</v>
      </c>
    </row>
    <row r="144" spans="1:14" hidden="1" outlineLevel="1" x14ac:dyDescent="0.2">
      <c r="A144" s="9" t="s">
        <v>282</v>
      </c>
      <c r="B144" s="1" t="s">
        <v>283</v>
      </c>
      <c r="C144" s="15">
        <v>45</v>
      </c>
      <c r="D144" s="15">
        <v>45</v>
      </c>
      <c r="E144" s="15">
        <v>45</v>
      </c>
      <c r="F144" s="15">
        <v>45</v>
      </c>
      <c r="G144" s="15">
        <v>45</v>
      </c>
      <c r="H144" s="15">
        <v>45</v>
      </c>
      <c r="I144" s="15">
        <v>45</v>
      </c>
      <c r="J144" s="40">
        <v>45</v>
      </c>
      <c r="K144" s="40">
        <v>45</v>
      </c>
      <c r="L144" s="40">
        <v>45</v>
      </c>
      <c r="M144" s="40">
        <v>45</v>
      </c>
      <c r="N144" s="40">
        <v>45</v>
      </c>
    </row>
    <row r="145" spans="1:14" hidden="1" collapsed="1" x14ac:dyDescent="0.2">
      <c r="A145" s="9" t="s">
        <v>284</v>
      </c>
      <c r="B145" s="1" t="s">
        <v>285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40">
        <v>0</v>
      </c>
      <c r="K145" s="40">
        <v>0</v>
      </c>
      <c r="L145" s="40">
        <v>0</v>
      </c>
      <c r="M145" s="40">
        <v>0</v>
      </c>
      <c r="N145" s="40">
        <v>0</v>
      </c>
    </row>
    <row r="146" spans="1:14" hidden="1" outlineLevel="1" x14ac:dyDescent="0.2">
      <c r="A146" s="9" t="s">
        <v>286</v>
      </c>
      <c r="B146" s="1" t="s">
        <v>287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40">
        <v>0</v>
      </c>
      <c r="K146" s="40">
        <v>0</v>
      </c>
      <c r="L146" s="40">
        <v>0</v>
      </c>
      <c r="M146" s="40">
        <v>0</v>
      </c>
      <c r="N146" s="40">
        <v>0</v>
      </c>
    </row>
    <row r="147" spans="1:14" hidden="1" collapsed="1" x14ac:dyDescent="0.2">
      <c r="A147" s="9" t="s">
        <v>288</v>
      </c>
      <c r="B147" s="1" t="s">
        <v>289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40">
        <v>0</v>
      </c>
      <c r="K147" s="40">
        <v>0</v>
      </c>
      <c r="L147" s="40">
        <v>0</v>
      </c>
      <c r="M147" s="40">
        <v>0</v>
      </c>
      <c r="N147" s="40">
        <v>0</v>
      </c>
    </row>
    <row r="148" spans="1:14" hidden="1" x14ac:dyDescent="0.2">
      <c r="A148" s="3"/>
      <c r="B148" s="3" t="s">
        <v>290</v>
      </c>
      <c r="C148" s="17">
        <v>26.9</v>
      </c>
      <c r="D148" s="17">
        <v>59.5</v>
      </c>
      <c r="E148" s="17">
        <v>94.6</v>
      </c>
      <c r="F148" s="17">
        <v>27.4</v>
      </c>
      <c r="G148" s="17">
        <v>9.5</v>
      </c>
      <c r="H148" s="17">
        <v>14</v>
      </c>
      <c r="I148" s="17">
        <v>10.4</v>
      </c>
      <c r="J148" s="39">
        <v>10.4</v>
      </c>
      <c r="K148" s="39">
        <v>10.4</v>
      </c>
      <c r="L148" s="39">
        <v>10.4</v>
      </c>
      <c r="M148" s="39">
        <v>10.4</v>
      </c>
      <c r="N148" s="39">
        <v>10.4</v>
      </c>
    </row>
    <row r="149" spans="1:14" hidden="1" x14ac:dyDescent="0.2">
      <c r="A149" s="3"/>
      <c r="B149" s="3" t="s">
        <v>291</v>
      </c>
      <c r="C149" s="17" t="s">
        <v>292</v>
      </c>
      <c r="D149" s="17" t="s">
        <v>292</v>
      </c>
      <c r="E149" s="17" t="s">
        <v>292</v>
      </c>
      <c r="F149" s="17" t="s">
        <v>292</v>
      </c>
      <c r="G149" s="17" t="s">
        <v>292</v>
      </c>
      <c r="H149" s="17" t="s">
        <v>292</v>
      </c>
      <c r="I149" s="17" t="s">
        <v>292</v>
      </c>
      <c r="J149" s="39" t="s">
        <v>292</v>
      </c>
      <c r="K149" s="39" t="s">
        <v>292</v>
      </c>
      <c r="L149" s="39" t="s">
        <v>292</v>
      </c>
      <c r="M149" s="39" t="s">
        <v>292</v>
      </c>
      <c r="N149" s="39" t="s">
        <v>292</v>
      </c>
    </row>
    <row r="150" spans="1:14" hidden="1" x14ac:dyDescent="0.2">
      <c r="A150" s="3"/>
      <c r="B150" s="3" t="s">
        <v>293</v>
      </c>
      <c r="C150" s="17" t="s">
        <v>292</v>
      </c>
      <c r="D150" s="17" t="s">
        <v>292</v>
      </c>
      <c r="E150" s="17" t="s">
        <v>292</v>
      </c>
      <c r="F150" s="17" t="s">
        <v>292</v>
      </c>
      <c r="G150" s="17" t="s">
        <v>292</v>
      </c>
      <c r="H150" s="17" t="s">
        <v>292</v>
      </c>
      <c r="I150" s="17" t="s">
        <v>292</v>
      </c>
      <c r="J150" s="39" t="s">
        <v>292</v>
      </c>
      <c r="K150" s="39" t="s">
        <v>292</v>
      </c>
      <c r="L150" s="39" t="s">
        <v>292</v>
      </c>
      <c r="M150" s="39" t="s">
        <v>292</v>
      </c>
      <c r="N150" s="39" t="s">
        <v>292</v>
      </c>
    </row>
    <row r="151" spans="1:14" hidden="1" x14ac:dyDescent="0.2">
      <c r="A151" s="3"/>
      <c r="B151" s="3" t="s">
        <v>294</v>
      </c>
      <c r="C151" s="17">
        <v>0</v>
      </c>
      <c r="D151" s="17">
        <v>0</v>
      </c>
      <c r="E151" s="17">
        <v>0</v>
      </c>
      <c r="F151" s="17">
        <v>0</v>
      </c>
      <c r="G151" s="17">
        <v>0</v>
      </c>
      <c r="H151" s="17">
        <v>0</v>
      </c>
      <c r="I151" s="17">
        <v>0</v>
      </c>
      <c r="J151" s="39">
        <v>0</v>
      </c>
      <c r="K151" s="39">
        <v>0</v>
      </c>
      <c r="L151" s="39">
        <v>0</v>
      </c>
      <c r="M151" s="39">
        <v>0</v>
      </c>
      <c r="N151" s="39">
        <v>0</v>
      </c>
    </row>
    <row r="152" spans="1:14" hidden="1" x14ac:dyDescent="0.2">
      <c r="A152" s="12"/>
      <c r="B152" s="12" t="s">
        <v>295</v>
      </c>
      <c r="C152" s="16" t="s">
        <v>292</v>
      </c>
      <c r="D152" s="16" t="s">
        <v>292</v>
      </c>
      <c r="E152" s="16" t="s">
        <v>292</v>
      </c>
      <c r="F152" s="16" t="s">
        <v>292</v>
      </c>
      <c r="G152" s="16" t="s">
        <v>292</v>
      </c>
      <c r="H152" s="16" t="s">
        <v>292</v>
      </c>
      <c r="I152" s="16" t="s">
        <v>292</v>
      </c>
      <c r="J152" s="42" t="s">
        <v>292</v>
      </c>
      <c r="K152" s="42" t="s">
        <v>292</v>
      </c>
      <c r="L152" s="42" t="s">
        <v>292</v>
      </c>
      <c r="M152" s="42" t="s">
        <v>292</v>
      </c>
      <c r="N152" s="42" t="s">
        <v>292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20044-4638-4405-BF6E-3A2C287C6273}">
  <sheetPr codeName="Hoja35">
    <tabColor rgb="FFFFFF00"/>
  </sheetPr>
  <dimension ref="A1:N133"/>
  <sheetViews>
    <sheetView tabSelected="1" topLeftCell="C1" zoomScale="85" zoomScaleNormal="85" workbookViewId="0">
      <pane ySplit="6" topLeftCell="A7" activePane="bottomLeft" state="frozen"/>
      <selection activeCell="I54" sqref="I54"/>
      <selection pane="bottomLeft" activeCell="C19" sqref="C19:N19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2.2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296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f t="shared" ref="C7:I7" si="0">SUM(C8:C13)</f>
        <v>97.3</v>
      </c>
      <c r="D7" s="10">
        <f t="shared" si="0"/>
        <v>39.4</v>
      </c>
      <c r="E7" s="10">
        <f t="shared" si="0"/>
        <v>47</v>
      </c>
      <c r="F7" s="10">
        <f t="shared" si="0"/>
        <v>46.6</v>
      </c>
      <c r="G7" s="10">
        <f t="shared" si="0"/>
        <v>49.9</v>
      </c>
      <c r="H7" s="10">
        <f t="shared" si="0"/>
        <v>55.3</v>
      </c>
      <c r="I7" s="10">
        <f t="shared" si="0"/>
        <v>39.4</v>
      </c>
      <c r="J7" s="10">
        <f>SUM(J8:J13)</f>
        <v>52</v>
      </c>
      <c r="K7" s="10">
        <f t="shared" ref="K7:N7" si="1">SUM(K8:K13)</f>
        <v>56</v>
      </c>
      <c r="L7" s="10">
        <f t="shared" si="1"/>
        <v>48</v>
      </c>
      <c r="M7" s="10">
        <f t="shared" si="1"/>
        <v>65</v>
      </c>
      <c r="N7" s="10">
        <f t="shared" si="1"/>
        <v>63</v>
      </c>
    </row>
    <row r="8" spans="1:14" hidden="1" outlineLevel="1" x14ac:dyDescent="0.2">
      <c r="A8" s="9" t="s">
        <v>25</v>
      </c>
      <c r="B8" s="1" t="s">
        <v>26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27</v>
      </c>
      <c r="B9" s="1" t="s">
        <v>28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29</v>
      </c>
      <c r="B10" s="1" t="s">
        <v>30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hidden="1" outlineLevel="1" x14ac:dyDescent="0.2">
      <c r="A11" s="9" t="s">
        <v>31</v>
      </c>
      <c r="B11" s="1" t="s">
        <v>32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55.3</v>
      </c>
      <c r="I11" s="10">
        <v>0</v>
      </c>
      <c r="J11" s="10">
        <v>0</v>
      </c>
      <c r="K11" s="10">
        <v>0</v>
      </c>
      <c r="L11" s="10">
        <v>0</v>
      </c>
      <c r="M11" s="10">
        <v>65</v>
      </c>
      <c r="N11" s="10">
        <v>63</v>
      </c>
    </row>
    <row r="12" spans="1:14" hidden="1" outlineLevel="1" x14ac:dyDescent="0.2">
      <c r="A12" s="9" t="s">
        <v>33</v>
      </c>
      <c r="B12" s="1" t="s">
        <v>34</v>
      </c>
      <c r="C12" s="10">
        <v>97.3</v>
      </c>
      <c r="D12" s="10">
        <v>41.8</v>
      </c>
      <c r="E12" s="10">
        <v>47</v>
      </c>
      <c r="F12" s="10">
        <v>46.6</v>
      </c>
      <c r="G12" s="10">
        <v>49.9</v>
      </c>
      <c r="H12" s="10">
        <v>0</v>
      </c>
      <c r="I12" s="10">
        <v>41.8</v>
      </c>
      <c r="J12" s="10">
        <v>52</v>
      </c>
      <c r="K12" s="10">
        <v>56</v>
      </c>
      <c r="L12" s="10">
        <v>48</v>
      </c>
      <c r="M12" s="10">
        <v>0</v>
      </c>
      <c r="N12" s="10">
        <v>0</v>
      </c>
    </row>
    <row r="13" spans="1:14" hidden="1" outlineLevel="1" x14ac:dyDescent="0.2">
      <c r="A13" s="9" t="s">
        <v>35</v>
      </c>
      <c r="B13" s="1" t="s">
        <v>36</v>
      </c>
      <c r="C13" s="10">
        <v>0</v>
      </c>
      <c r="D13" s="10">
        <v>-2.4</v>
      </c>
      <c r="E13" s="10">
        <v>0</v>
      </c>
      <c r="F13" s="10">
        <v>0</v>
      </c>
      <c r="G13" s="10">
        <v>0</v>
      </c>
      <c r="H13" s="10">
        <v>0</v>
      </c>
      <c r="I13" s="10">
        <v>-2.4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</row>
    <row r="14" spans="1:14" collapsed="1" x14ac:dyDescent="0.2">
      <c r="A14" s="9" t="s">
        <v>37</v>
      </c>
      <c r="B14" s="1" t="s">
        <v>38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x14ac:dyDescent="0.2">
      <c r="A15" s="9" t="s">
        <v>39</v>
      </c>
      <c r="B15" s="1" t="s">
        <v>40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x14ac:dyDescent="0.2">
      <c r="A16" s="9" t="s">
        <v>41</v>
      </c>
      <c r="B16" s="1" t="s">
        <v>42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f>+J17</f>
        <v>0</v>
      </c>
      <c r="K16" s="10">
        <f t="shared" ref="K16:L16" si="2">+K17</f>
        <v>0</v>
      </c>
      <c r="L16" s="10">
        <f t="shared" si="2"/>
        <v>0</v>
      </c>
      <c r="M16" s="10">
        <f t="shared" ref="M16" si="3">+M17</f>
        <v>0</v>
      </c>
      <c r="N16" s="10">
        <f t="shared" ref="N16" si="4">+N17</f>
        <v>0</v>
      </c>
    </row>
    <row r="17" spans="1:14" hidden="1" outlineLevel="1" x14ac:dyDescent="0.2">
      <c r="A17" s="9" t="s">
        <v>43</v>
      </c>
      <c r="B17" s="1" t="s">
        <v>44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collapsed="1" x14ac:dyDescent="0.2">
      <c r="A18" s="9" t="s">
        <v>45</v>
      </c>
      <c r="B18" s="1" t="s">
        <v>46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x14ac:dyDescent="0.2">
      <c r="A19" s="12"/>
      <c r="B19" s="12" t="s">
        <v>47</v>
      </c>
      <c r="C19" s="21">
        <f t="shared" ref="C19:I19" si="5">C7+C14+C15+C16+C18</f>
        <v>97.3</v>
      </c>
      <c r="D19" s="21">
        <f t="shared" si="5"/>
        <v>39.4</v>
      </c>
      <c r="E19" s="21">
        <f t="shared" si="5"/>
        <v>47</v>
      </c>
      <c r="F19" s="21">
        <f t="shared" si="5"/>
        <v>46.6</v>
      </c>
      <c r="G19" s="21">
        <f t="shared" si="5"/>
        <v>49.9</v>
      </c>
      <c r="H19" s="21">
        <f t="shared" si="5"/>
        <v>55.3</v>
      </c>
      <c r="I19" s="21">
        <f t="shared" si="5"/>
        <v>39.4</v>
      </c>
      <c r="J19" s="21">
        <f>J7+J14+J15+J16+J18</f>
        <v>52</v>
      </c>
      <c r="K19" s="21">
        <f t="shared" ref="K19:N19" si="6">K7+K14+K15+K16+K18</f>
        <v>56</v>
      </c>
      <c r="L19" s="21">
        <f t="shared" si="6"/>
        <v>48</v>
      </c>
      <c r="M19" s="21">
        <f t="shared" si="6"/>
        <v>65</v>
      </c>
      <c r="N19" s="21">
        <f t="shared" si="6"/>
        <v>63</v>
      </c>
    </row>
    <row r="20" spans="1:14" x14ac:dyDescent="0.2">
      <c r="A20" s="9" t="s">
        <v>48</v>
      </c>
      <c r="B20" s="1" t="s">
        <v>49</v>
      </c>
      <c r="C20" s="20">
        <f t="shared" ref="C20:I20" si="7">SUM(C21:C26)</f>
        <v>33.700000000000003</v>
      </c>
      <c r="D20" s="20">
        <f t="shared" si="7"/>
        <v>25.7</v>
      </c>
      <c r="E20" s="20">
        <f t="shared" si="7"/>
        <v>25.3</v>
      </c>
      <c r="F20" s="20">
        <f t="shared" si="7"/>
        <v>14.799999999999999</v>
      </c>
      <c r="G20" s="20">
        <f t="shared" si="7"/>
        <v>36.300000000000004</v>
      </c>
      <c r="H20" s="20">
        <f t="shared" si="7"/>
        <v>17.5</v>
      </c>
      <c r="I20" s="20">
        <f t="shared" si="7"/>
        <v>25.7</v>
      </c>
      <c r="J20" s="20">
        <f>SUM(J21:J26)</f>
        <v>37.299999999999997</v>
      </c>
      <c r="K20" s="20">
        <f t="shared" ref="K20:N20" si="8">SUM(K21:K26)</f>
        <v>32.1</v>
      </c>
      <c r="L20" s="20">
        <f t="shared" si="8"/>
        <v>29.1</v>
      </c>
      <c r="M20" s="20">
        <f t="shared" si="8"/>
        <v>21.1</v>
      </c>
      <c r="N20" s="20">
        <f t="shared" si="8"/>
        <v>23.1</v>
      </c>
    </row>
    <row r="21" spans="1:14" hidden="1" outlineLevel="1" x14ac:dyDescent="0.2">
      <c r="A21" s="9" t="s">
        <v>50</v>
      </c>
      <c r="B21" s="1" t="s">
        <v>51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hidden="1" outlineLevel="1" x14ac:dyDescent="0.2">
      <c r="A22" s="9" t="s">
        <v>52</v>
      </c>
      <c r="B22" s="1" t="s">
        <v>53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hidden="1" outlineLevel="1" x14ac:dyDescent="0.2">
      <c r="A23" s="9" t="s">
        <v>54</v>
      </c>
      <c r="B23" s="1" t="s">
        <v>55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17.5</v>
      </c>
      <c r="I23" s="10">
        <v>0</v>
      </c>
      <c r="J23" s="10">
        <v>0</v>
      </c>
      <c r="K23" s="10">
        <v>0</v>
      </c>
      <c r="L23" s="10">
        <v>0</v>
      </c>
      <c r="M23" s="10">
        <v>21</v>
      </c>
      <c r="N23" s="10">
        <v>23</v>
      </c>
    </row>
    <row r="24" spans="1:14" hidden="1" outlineLevel="1" x14ac:dyDescent="0.2">
      <c r="A24" s="9" t="s">
        <v>56</v>
      </c>
      <c r="B24" s="1" t="s">
        <v>51</v>
      </c>
      <c r="C24" s="10">
        <v>33.200000000000003</v>
      </c>
      <c r="D24" s="10">
        <v>28.3</v>
      </c>
      <c r="E24" s="10">
        <v>25</v>
      </c>
      <c r="F24" s="10">
        <v>14.7</v>
      </c>
      <c r="G24" s="10">
        <v>36.200000000000003</v>
      </c>
      <c r="H24" s="10">
        <v>0</v>
      </c>
      <c r="I24" s="10">
        <v>28.3</v>
      </c>
      <c r="J24" s="10">
        <v>37</v>
      </c>
      <c r="K24" s="10">
        <v>32</v>
      </c>
      <c r="L24" s="10">
        <v>29</v>
      </c>
      <c r="M24" s="10">
        <v>0</v>
      </c>
      <c r="N24" s="10">
        <v>0</v>
      </c>
    </row>
    <row r="25" spans="1:14" hidden="1" outlineLevel="1" x14ac:dyDescent="0.2">
      <c r="A25" s="9" t="s">
        <v>57</v>
      </c>
      <c r="B25" s="1" t="s">
        <v>58</v>
      </c>
      <c r="C25" s="10">
        <v>0.5</v>
      </c>
      <c r="D25" s="10">
        <v>0</v>
      </c>
      <c r="E25" s="10">
        <v>0.3</v>
      </c>
      <c r="F25" s="10">
        <v>0.1</v>
      </c>
      <c r="G25" s="10">
        <v>0.1</v>
      </c>
      <c r="H25" s="10">
        <v>0</v>
      </c>
      <c r="I25" s="10">
        <v>0</v>
      </c>
      <c r="J25" s="10">
        <v>0.3</v>
      </c>
      <c r="K25" s="10">
        <v>0.1</v>
      </c>
      <c r="L25" s="10">
        <v>0.1</v>
      </c>
      <c r="M25" s="10">
        <v>0.1</v>
      </c>
      <c r="N25" s="10">
        <v>0.1</v>
      </c>
    </row>
    <row r="26" spans="1:14" hidden="1" outlineLevel="1" x14ac:dyDescent="0.2">
      <c r="A26" s="9" t="s">
        <v>59</v>
      </c>
      <c r="B26" s="1" t="s">
        <v>53</v>
      </c>
      <c r="C26" s="10">
        <v>0</v>
      </c>
      <c r="D26" s="10">
        <v>-2.6</v>
      </c>
      <c r="E26" s="10">
        <v>0</v>
      </c>
      <c r="F26" s="10">
        <v>0</v>
      </c>
      <c r="G26" s="10">
        <v>0</v>
      </c>
      <c r="H26" s="10">
        <v>0</v>
      </c>
      <c r="I26" s="10">
        <v>-2.6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</row>
    <row r="27" spans="1:14" collapsed="1" x14ac:dyDescent="0.2">
      <c r="A27" s="9" t="s">
        <v>60</v>
      </c>
      <c r="B27" s="1" t="s">
        <v>61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</row>
    <row r="28" spans="1:14" x14ac:dyDescent="0.2">
      <c r="A28" s="9" t="s">
        <v>62</v>
      </c>
      <c r="B28" s="1" t="s">
        <v>63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</row>
    <row r="29" spans="1:14" x14ac:dyDescent="0.2">
      <c r="A29" s="9" t="s">
        <v>64</v>
      </c>
      <c r="B29" s="1" t="s">
        <v>65</v>
      </c>
      <c r="C29" s="10">
        <v>6.4</v>
      </c>
      <c r="D29" s="10">
        <v>-26.3</v>
      </c>
      <c r="E29" s="10">
        <v>-8.4</v>
      </c>
      <c r="F29" s="10">
        <v>1.1000000000000001</v>
      </c>
      <c r="G29" s="10">
        <v>-6.3</v>
      </c>
      <c r="H29" s="10">
        <v>-0.6</v>
      </c>
      <c r="I29" s="10">
        <v>-26.3</v>
      </c>
      <c r="J29" s="20">
        <f>J30</f>
        <v>-8.4</v>
      </c>
      <c r="K29" s="20">
        <f t="shared" ref="K29:N29" si="9">K30</f>
        <v>1.1000000000000001</v>
      </c>
      <c r="L29" s="20">
        <f t="shared" si="9"/>
        <v>-6.3</v>
      </c>
      <c r="M29" s="20">
        <f t="shared" si="9"/>
        <v>-0.6</v>
      </c>
      <c r="N29" s="20">
        <f t="shared" si="9"/>
        <v>-0.6</v>
      </c>
    </row>
    <row r="30" spans="1:14" hidden="1" outlineLevel="1" x14ac:dyDescent="0.2">
      <c r="A30" s="9" t="s">
        <v>66</v>
      </c>
      <c r="B30" s="1" t="s">
        <v>67</v>
      </c>
      <c r="C30" s="10">
        <v>6.4</v>
      </c>
      <c r="D30" s="10">
        <v>-26.3</v>
      </c>
      <c r="E30" s="10">
        <v>-8.4</v>
      </c>
      <c r="F30" s="10">
        <v>1.1000000000000001</v>
      </c>
      <c r="G30" s="10">
        <v>-6.3</v>
      </c>
      <c r="H30" s="10">
        <v>-0.6</v>
      </c>
      <c r="I30" s="10">
        <v>-26.3</v>
      </c>
      <c r="J30" s="10">
        <v>-8.4</v>
      </c>
      <c r="K30" s="10">
        <v>1.1000000000000001</v>
      </c>
      <c r="L30" s="10">
        <v>-6.3</v>
      </c>
      <c r="M30" s="10">
        <v>-0.6</v>
      </c>
      <c r="N30" s="10">
        <v>-0.6</v>
      </c>
    </row>
    <row r="31" spans="1:14" collapsed="1" x14ac:dyDescent="0.2">
      <c r="A31" s="9" t="s">
        <v>68</v>
      </c>
      <c r="B31" s="1" t="s">
        <v>69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20">
        <f>J32</f>
        <v>0</v>
      </c>
      <c r="K31" s="20">
        <f t="shared" ref="K31:N31" si="10">K32</f>
        <v>0</v>
      </c>
      <c r="L31" s="20">
        <f t="shared" si="10"/>
        <v>0</v>
      </c>
      <c r="M31" s="20">
        <f t="shared" si="10"/>
        <v>0</v>
      </c>
      <c r="N31" s="20">
        <f t="shared" si="10"/>
        <v>0</v>
      </c>
    </row>
    <row r="32" spans="1:14" hidden="1" outlineLevel="1" x14ac:dyDescent="0.2">
      <c r="A32" s="9" t="s">
        <v>70</v>
      </c>
      <c r="B32" s="1" t="s">
        <v>71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</row>
    <row r="33" spans="1:14" collapsed="1" x14ac:dyDescent="0.2">
      <c r="A33" s="3"/>
      <c r="B33" s="3" t="s">
        <v>72</v>
      </c>
      <c r="C33" s="14">
        <f t="shared" ref="C33:I33" si="11">+C20+C27+C28+C29+C31</f>
        <v>40.1</v>
      </c>
      <c r="D33" s="14">
        <f t="shared" si="11"/>
        <v>-0.60000000000000142</v>
      </c>
      <c r="E33" s="14">
        <f t="shared" si="11"/>
        <v>16.899999999999999</v>
      </c>
      <c r="F33" s="14">
        <f t="shared" si="11"/>
        <v>15.899999999999999</v>
      </c>
      <c r="G33" s="14">
        <f t="shared" si="11"/>
        <v>30.000000000000004</v>
      </c>
      <c r="H33" s="14">
        <f t="shared" si="11"/>
        <v>16.899999999999999</v>
      </c>
      <c r="I33" s="14">
        <f t="shared" si="11"/>
        <v>-0.60000000000000142</v>
      </c>
      <c r="J33" s="14">
        <f>+J20+J27+J28+J29+J31</f>
        <v>28.9</v>
      </c>
      <c r="K33" s="14">
        <f t="shared" ref="K33:N33" si="12">+K20+K27+K28+K29+K31</f>
        <v>33.200000000000003</v>
      </c>
      <c r="L33" s="14">
        <f t="shared" si="12"/>
        <v>22.8</v>
      </c>
      <c r="M33" s="14">
        <f t="shared" si="12"/>
        <v>20.5</v>
      </c>
      <c r="N33" s="14">
        <f t="shared" si="12"/>
        <v>22.5</v>
      </c>
    </row>
    <row r="34" spans="1:14" x14ac:dyDescent="0.2">
      <c r="A34" s="12"/>
      <c r="B34" s="12" t="s">
        <v>73</v>
      </c>
      <c r="C34" s="13">
        <f t="shared" ref="C34:I34" si="13">+C19-C33</f>
        <v>57.199999999999996</v>
      </c>
      <c r="D34" s="13">
        <f t="shared" si="13"/>
        <v>40</v>
      </c>
      <c r="E34" s="13">
        <f t="shared" si="13"/>
        <v>30.1</v>
      </c>
      <c r="F34" s="13">
        <f t="shared" si="13"/>
        <v>30.700000000000003</v>
      </c>
      <c r="G34" s="13">
        <f t="shared" si="13"/>
        <v>19.899999999999995</v>
      </c>
      <c r="H34" s="13">
        <f t="shared" si="13"/>
        <v>38.4</v>
      </c>
      <c r="I34" s="13">
        <f t="shared" si="13"/>
        <v>40</v>
      </c>
      <c r="J34" s="13">
        <f>+J19-J33</f>
        <v>23.1</v>
      </c>
      <c r="K34" s="13">
        <f t="shared" ref="K34:N34" si="14">+K19-K33</f>
        <v>22.799999999999997</v>
      </c>
      <c r="L34" s="13">
        <f t="shared" si="14"/>
        <v>25.2</v>
      </c>
      <c r="M34" s="13">
        <f t="shared" si="14"/>
        <v>44.5</v>
      </c>
      <c r="N34" s="13">
        <f t="shared" si="14"/>
        <v>40.5</v>
      </c>
    </row>
    <row r="35" spans="1:14" x14ac:dyDescent="0.2">
      <c r="A35" s="9" t="s">
        <v>74</v>
      </c>
      <c r="B35" s="1" t="s">
        <v>74</v>
      </c>
      <c r="C35" s="10" t="s">
        <v>74</v>
      </c>
      <c r="D35" s="10" t="s">
        <v>74</v>
      </c>
      <c r="E35" s="10" t="s">
        <v>74</v>
      </c>
      <c r="F35" s="10" t="s">
        <v>74</v>
      </c>
      <c r="G35" s="10" t="s">
        <v>74</v>
      </c>
      <c r="H35" s="10" t="s">
        <v>74</v>
      </c>
      <c r="I35" s="10" t="s">
        <v>74</v>
      </c>
      <c r="J35" s="10" t="s">
        <v>74</v>
      </c>
      <c r="K35" s="10" t="s">
        <v>74</v>
      </c>
      <c r="L35" s="10" t="s">
        <v>74</v>
      </c>
      <c r="M35" s="10" t="s">
        <v>74</v>
      </c>
      <c r="N35" s="10" t="s">
        <v>74</v>
      </c>
    </row>
    <row r="36" spans="1:14" x14ac:dyDescent="0.2">
      <c r="A36" s="9" t="s">
        <v>75</v>
      </c>
      <c r="B36" s="1" t="s">
        <v>76</v>
      </c>
      <c r="C36" s="20">
        <f t="shared" ref="C36:M36" si="15">SUM(C37:C49)</f>
        <v>5.4000000000000012</v>
      </c>
      <c r="D36" s="20">
        <f t="shared" si="15"/>
        <v>5.9</v>
      </c>
      <c r="E36" s="20">
        <f t="shared" si="15"/>
        <v>4.8999999999999995</v>
      </c>
      <c r="F36" s="20">
        <f t="shared" si="15"/>
        <v>18.700000000000003</v>
      </c>
      <c r="G36" s="20">
        <f t="shared" si="15"/>
        <v>2.2000000000000002</v>
      </c>
      <c r="H36" s="20">
        <f t="shared" si="15"/>
        <v>0.40000000000000013</v>
      </c>
      <c r="I36" s="20">
        <f t="shared" si="15"/>
        <v>5.9</v>
      </c>
      <c r="J36" s="20">
        <f t="shared" si="15"/>
        <v>6</v>
      </c>
      <c r="K36" s="20">
        <f t="shared" si="15"/>
        <v>19.700000000000003</v>
      </c>
      <c r="L36" s="20">
        <f t="shared" si="15"/>
        <v>3.6</v>
      </c>
      <c r="M36" s="20">
        <f t="shared" si="15"/>
        <v>2.9000000000000004</v>
      </c>
      <c r="N36" s="20">
        <f>SUM(N37:N49)</f>
        <v>1.9000000000000004</v>
      </c>
    </row>
    <row r="37" spans="1:14" hidden="1" outlineLevel="1" x14ac:dyDescent="0.2">
      <c r="A37" s="9" t="s">
        <v>77</v>
      </c>
      <c r="B37" s="1" t="s">
        <v>78</v>
      </c>
      <c r="C37" s="10">
        <v>2.7</v>
      </c>
      <c r="D37" s="10">
        <v>3.3</v>
      </c>
      <c r="E37" s="10">
        <v>2.9</v>
      </c>
      <c r="F37" s="10">
        <v>2</v>
      </c>
      <c r="G37" s="10">
        <v>1.6</v>
      </c>
      <c r="H37" s="10">
        <v>1.5</v>
      </c>
      <c r="I37" s="10">
        <v>3.3</v>
      </c>
      <c r="J37" s="10">
        <v>4</v>
      </c>
      <c r="K37" s="10">
        <v>3</v>
      </c>
      <c r="L37" s="10">
        <v>3</v>
      </c>
      <c r="M37" s="10">
        <v>4</v>
      </c>
      <c r="N37" s="10">
        <v>3</v>
      </c>
    </row>
    <row r="38" spans="1:14" hidden="1" outlineLevel="1" x14ac:dyDescent="0.2">
      <c r="A38" s="9" t="s">
        <v>79</v>
      </c>
      <c r="B38" s="1" t="s">
        <v>80</v>
      </c>
      <c r="C38" s="10">
        <v>0.4</v>
      </c>
      <c r="D38" s="10">
        <v>0.4</v>
      </c>
      <c r="E38" s="10">
        <v>0.4</v>
      </c>
      <c r="F38" s="10">
        <v>0.2</v>
      </c>
      <c r="G38" s="10">
        <v>0</v>
      </c>
      <c r="H38" s="10">
        <v>0</v>
      </c>
      <c r="I38" s="10">
        <v>0.4</v>
      </c>
      <c r="J38" s="10">
        <v>0.4</v>
      </c>
      <c r="K38" s="10">
        <v>0.2</v>
      </c>
      <c r="L38" s="10">
        <v>0</v>
      </c>
      <c r="M38" s="10">
        <v>0</v>
      </c>
      <c r="N38" s="10">
        <v>0</v>
      </c>
    </row>
    <row r="39" spans="1:14" hidden="1" outlineLevel="1" x14ac:dyDescent="0.2">
      <c r="A39" s="9" t="s">
        <v>81</v>
      </c>
      <c r="B39" s="1" t="s">
        <v>82</v>
      </c>
      <c r="C39" s="10">
        <v>0.8</v>
      </c>
      <c r="D39" s="10">
        <v>0.8</v>
      </c>
      <c r="E39" s="10">
        <v>0.6</v>
      </c>
      <c r="F39" s="10">
        <v>1.8</v>
      </c>
      <c r="G39" s="10">
        <v>0.3</v>
      </c>
      <c r="H39" s="10">
        <v>-1.4</v>
      </c>
      <c r="I39" s="10">
        <v>0.8</v>
      </c>
      <c r="J39" s="10">
        <v>0.6</v>
      </c>
      <c r="K39" s="10">
        <v>1.8</v>
      </c>
      <c r="L39" s="10">
        <v>0.3</v>
      </c>
      <c r="M39" s="10">
        <v>-1.4</v>
      </c>
      <c r="N39" s="10">
        <v>-1.4</v>
      </c>
    </row>
    <row r="40" spans="1:14" hidden="1" outlineLevel="1" x14ac:dyDescent="0.2">
      <c r="A40" s="9" t="s">
        <v>83</v>
      </c>
      <c r="B40" s="1" t="s">
        <v>84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hidden="1" outlineLevel="1" x14ac:dyDescent="0.2">
      <c r="A41" s="9" t="s">
        <v>87</v>
      </c>
      <c r="B41" s="1" t="s">
        <v>88</v>
      </c>
      <c r="C41" s="10">
        <v>0.4</v>
      </c>
      <c r="D41" s="10">
        <v>0.3</v>
      </c>
      <c r="E41" s="10">
        <v>0.2</v>
      </c>
      <c r="F41" s="10">
        <v>0.2</v>
      </c>
      <c r="G41" s="10">
        <v>0.1</v>
      </c>
      <c r="H41" s="10">
        <v>0.1</v>
      </c>
      <c r="I41" s="10">
        <v>0.3</v>
      </c>
      <c r="J41" s="10">
        <v>0.2</v>
      </c>
      <c r="K41" s="10">
        <v>0.2</v>
      </c>
      <c r="L41" s="10">
        <v>0.1</v>
      </c>
      <c r="M41" s="10">
        <v>0.1</v>
      </c>
      <c r="N41" s="10">
        <v>0.1</v>
      </c>
    </row>
    <row r="42" spans="1:14" hidden="1" outlineLevel="1" x14ac:dyDescent="0.2">
      <c r="A42" s="9" t="s">
        <v>89</v>
      </c>
      <c r="B42" s="1" t="s">
        <v>90</v>
      </c>
      <c r="C42" s="10">
        <v>0.4</v>
      </c>
      <c r="D42" s="10">
        <v>0.4</v>
      </c>
      <c r="E42" s="10">
        <v>0.3</v>
      </c>
      <c r="F42" s="10">
        <v>0.7</v>
      </c>
      <c r="G42" s="10">
        <v>0.1</v>
      </c>
      <c r="H42" s="10">
        <v>0.1</v>
      </c>
      <c r="I42" s="10">
        <v>0.4</v>
      </c>
      <c r="J42" s="10">
        <v>0.3</v>
      </c>
      <c r="K42" s="10">
        <v>0.7</v>
      </c>
      <c r="L42" s="10">
        <v>0.1</v>
      </c>
      <c r="M42" s="10">
        <v>0.1</v>
      </c>
      <c r="N42" s="10">
        <v>0.1</v>
      </c>
    </row>
    <row r="43" spans="1:14" hidden="1" outlineLevel="1" x14ac:dyDescent="0.2">
      <c r="A43" s="9" t="s">
        <v>91</v>
      </c>
      <c r="B43" s="1" t="s">
        <v>92</v>
      </c>
      <c r="C43" s="10">
        <v>0</v>
      </c>
      <c r="D43" s="10">
        <v>0</v>
      </c>
      <c r="E43" s="10">
        <v>0</v>
      </c>
      <c r="F43" s="10">
        <v>11.7</v>
      </c>
      <c r="G43" s="10">
        <v>0</v>
      </c>
      <c r="H43" s="10">
        <v>0</v>
      </c>
      <c r="I43" s="10">
        <v>0</v>
      </c>
      <c r="J43" s="10">
        <v>0</v>
      </c>
      <c r="K43" s="10">
        <v>11.7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93</v>
      </c>
      <c r="B44" s="1" t="s">
        <v>94</v>
      </c>
      <c r="C44" s="10">
        <v>0.4</v>
      </c>
      <c r="D44" s="10">
        <v>0.4</v>
      </c>
      <c r="E44" s="10">
        <v>0.3</v>
      </c>
      <c r="F44" s="10">
        <v>2</v>
      </c>
      <c r="G44" s="10">
        <v>0.1</v>
      </c>
      <c r="H44" s="10">
        <v>0.1</v>
      </c>
      <c r="I44" s="10">
        <v>0.4</v>
      </c>
      <c r="J44" s="10">
        <v>0.3</v>
      </c>
      <c r="K44" s="10">
        <v>2</v>
      </c>
      <c r="L44" s="10">
        <v>0.1</v>
      </c>
      <c r="M44" s="10">
        <v>0.1</v>
      </c>
      <c r="N44" s="10">
        <v>0.1</v>
      </c>
    </row>
    <row r="45" spans="1:14" hidden="1" outlineLevel="1" x14ac:dyDescent="0.2">
      <c r="A45" s="9" t="s">
        <v>95</v>
      </c>
      <c r="B45" s="1" t="s">
        <v>96</v>
      </c>
      <c r="C45" s="10">
        <v>0.3</v>
      </c>
      <c r="D45" s="10">
        <v>0.3</v>
      </c>
      <c r="E45" s="10">
        <v>0.2</v>
      </c>
      <c r="F45" s="10">
        <v>0.1</v>
      </c>
      <c r="G45" s="10">
        <v>0</v>
      </c>
      <c r="H45" s="10">
        <v>0</v>
      </c>
      <c r="I45" s="10">
        <v>0.3</v>
      </c>
      <c r="J45" s="10">
        <v>0.2</v>
      </c>
      <c r="K45" s="10">
        <v>0.1</v>
      </c>
      <c r="L45" s="10">
        <v>0</v>
      </c>
      <c r="M45" s="10">
        <v>0</v>
      </c>
      <c r="N45" s="10">
        <v>0</v>
      </c>
    </row>
    <row r="46" spans="1:14" hidden="1" outlineLevel="1" x14ac:dyDescent="0.2">
      <c r="A46" s="9" t="s">
        <v>97</v>
      </c>
      <c r="B46" s="1" t="s">
        <v>98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hidden="1" outlineLevel="1" x14ac:dyDescent="0.2">
      <c r="A47" s="9" t="s">
        <v>99</v>
      </c>
      <c r="B47" s="1" t="s">
        <v>100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hidden="1" outlineLevel="1" x14ac:dyDescent="0.2">
      <c r="A48" s="9" t="s">
        <v>101</v>
      </c>
      <c r="B48" s="1" t="s">
        <v>102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hidden="1" outlineLevel="1" x14ac:dyDescent="0.2">
      <c r="A49" s="9" t="s">
        <v>103</v>
      </c>
      <c r="B49" s="1" t="s">
        <v>104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collapsed="1" x14ac:dyDescent="0.2">
      <c r="A50" s="9" t="s">
        <v>111</v>
      </c>
      <c r="B50" s="1" t="s">
        <v>112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</row>
    <row r="51" spans="1:14" x14ac:dyDescent="0.2">
      <c r="A51" s="9" t="s">
        <v>119</v>
      </c>
      <c r="B51" s="1" t="s">
        <v>120</v>
      </c>
      <c r="C51" s="20">
        <f t="shared" ref="C51" si="16">SUM(C52:C53)</f>
        <v>0</v>
      </c>
      <c r="D51" s="20">
        <f t="shared" ref="D51" si="17">SUM(D52:D53)</f>
        <v>0</v>
      </c>
      <c r="E51" s="20">
        <f t="shared" ref="E51" si="18">SUM(E52:E53)</f>
        <v>0</v>
      </c>
      <c r="F51" s="20">
        <f t="shared" ref="F51" si="19">SUM(F52:F53)</f>
        <v>0</v>
      </c>
      <c r="G51" s="20">
        <f t="shared" ref="G51" si="20">SUM(G52:G53)</f>
        <v>0</v>
      </c>
      <c r="H51" s="20">
        <f t="shared" ref="H51" si="21">SUM(H52:H53)</f>
        <v>0.1</v>
      </c>
      <c r="I51" s="20">
        <f t="shared" ref="I51" si="22">SUM(I52:I53)</f>
        <v>0</v>
      </c>
      <c r="J51" s="20">
        <f t="shared" ref="J51" ca="1" si="23">SUM(J52:J53)</f>
        <v>1</v>
      </c>
      <c r="K51" s="20">
        <f t="shared" ref="K51" ca="1" si="24">SUM(K52:K53)</f>
        <v>1</v>
      </c>
      <c r="L51" s="20">
        <f t="shared" ref="L51" ca="1" si="25">SUM(L52:L53)</f>
        <v>1</v>
      </c>
      <c r="M51" s="20">
        <f t="shared" ref="M51" ca="1" si="26">SUM(M52:M53)</f>
        <v>1</v>
      </c>
      <c r="N51" s="20">
        <f t="shared" ref="N51" ca="1" si="27">SUM(N52:N53)</f>
        <v>1</v>
      </c>
    </row>
    <row r="52" spans="1:14" hidden="1" outlineLevel="1" x14ac:dyDescent="0.2">
      <c r="A52" s="9" t="s">
        <v>121</v>
      </c>
      <c r="B52" s="1" t="s">
        <v>122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hidden="1" outlineLevel="1" x14ac:dyDescent="0.2">
      <c r="A53" s="9" t="s">
        <v>123</v>
      </c>
      <c r="B53" s="1" t="s">
        <v>124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0.1</v>
      </c>
      <c r="I53" s="10">
        <v>0</v>
      </c>
      <c r="J53" s="10">
        <f ca="1">RANDBETWEEN(0.55,0.807)</f>
        <v>1</v>
      </c>
      <c r="K53" s="10">
        <f t="shared" ref="K53:N53" ca="1" si="28">RANDBETWEEN(0.55,0.807)</f>
        <v>1</v>
      </c>
      <c r="L53" s="10">
        <f t="shared" ca="1" si="28"/>
        <v>1</v>
      </c>
      <c r="M53" s="10">
        <f t="shared" ca="1" si="28"/>
        <v>1</v>
      </c>
      <c r="N53" s="10">
        <f t="shared" ca="1" si="28"/>
        <v>1</v>
      </c>
    </row>
    <row r="54" spans="1:14" collapsed="1" x14ac:dyDescent="0.2">
      <c r="A54" s="9" t="s">
        <v>127</v>
      </c>
      <c r="B54" s="1" t="s">
        <v>128</v>
      </c>
      <c r="C54" s="20">
        <f t="shared" ref="C54:I54" si="29">SUM(C55)</f>
        <v>0</v>
      </c>
      <c r="D54" s="20">
        <f t="shared" si="29"/>
        <v>0</v>
      </c>
      <c r="E54" s="20">
        <f t="shared" si="29"/>
        <v>0</v>
      </c>
      <c r="F54" s="20">
        <f t="shared" si="29"/>
        <v>0</v>
      </c>
      <c r="G54" s="20">
        <f t="shared" si="29"/>
        <v>0</v>
      </c>
      <c r="H54" s="20">
        <f t="shared" si="29"/>
        <v>0</v>
      </c>
      <c r="I54" s="20">
        <f t="shared" si="29"/>
        <v>0</v>
      </c>
      <c r="J54" s="20">
        <f>SUM(J55)</f>
        <v>0</v>
      </c>
      <c r="K54" s="20">
        <f t="shared" ref="K54:N54" si="30">SUM(K55)</f>
        <v>0</v>
      </c>
      <c r="L54" s="20">
        <f t="shared" si="30"/>
        <v>0</v>
      </c>
      <c r="M54" s="20">
        <f t="shared" si="30"/>
        <v>0</v>
      </c>
      <c r="N54" s="20">
        <f t="shared" si="30"/>
        <v>0</v>
      </c>
    </row>
    <row r="55" spans="1:14" hidden="1" outlineLevel="1" x14ac:dyDescent="0.2">
      <c r="A55" s="9" t="s">
        <v>131</v>
      </c>
      <c r="B55" s="1" t="s">
        <v>132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collapsed="1" x14ac:dyDescent="0.2">
      <c r="A56" s="9" t="s">
        <v>133</v>
      </c>
      <c r="B56" s="1" t="s">
        <v>134</v>
      </c>
      <c r="C56" s="20">
        <f t="shared" ref="C56:I56" si="31">SUM(C57)</f>
        <v>0</v>
      </c>
      <c r="D56" s="20">
        <f t="shared" si="31"/>
        <v>0</v>
      </c>
      <c r="E56" s="20">
        <f t="shared" si="31"/>
        <v>0</v>
      </c>
      <c r="F56" s="20">
        <f t="shared" si="31"/>
        <v>0</v>
      </c>
      <c r="G56" s="20">
        <f t="shared" si="31"/>
        <v>0</v>
      </c>
      <c r="H56" s="20">
        <f t="shared" si="31"/>
        <v>0</v>
      </c>
      <c r="I56" s="20">
        <f t="shared" si="31"/>
        <v>0</v>
      </c>
      <c r="J56" s="20">
        <f>SUM(J57)</f>
        <v>0</v>
      </c>
      <c r="K56" s="20">
        <f t="shared" ref="K56:N56" si="32">SUM(K57)</f>
        <v>0</v>
      </c>
      <c r="L56" s="20">
        <f t="shared" si="32"/>
        <v>0</v>
      </c>
      <c r="M56" s="20">
        <f t="shared" si="32"/>
        <v>0</v>
      </c>
      <c r="N56" s="20">
        <f t="shared" si="32"/>
        <v>0</v>
      </c>
    </row>
    <row r="57" spans="1:14" hidden="1" outlineLevel="1" x14ac:dyDescent="0.2">
      <c r="A57" s="9" t="s">
        <v>135</v>
      </c>
      <c r="B57" s="1" t="s">
        <v>136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collapsed="1" x14ac:dyDescent="0.2">
      <c r="A58" s="9" t="s">
        <v>137</v>
      </c>
      <c r="B58" s="1" t="s">
        <v>138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</row>
    <row r="59" spans="1:14" x14ac:dyDescent="0.2">
      <c r="A59" s="9" t="s">
        <v>139</v>
      </c>
      <c r="B59" s="1" t="s">
        <v>140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</row>
    <row r="60" spans="1:14" x14ac:dyDescent="0.2">
      <c r="A60" s="9" t="s">
        <v>141</v>
      </c>
      <c r="B60" s="1" t="s">
        <v>142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</row>
    <row r="61" spans="1:14" x14ac:dyDescent="0.2">
      <c r="A61" s="9" t="s">
        <v>143</v>
      </c>
      <c r="B61" s="1" t="s">
        <v>144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</row>
    <row r="62" spans="1:14" x14ac:dyDescent="0.2">
      <c r="A62" s="9" t="s">
        <v>157</v>
      </c>
      <c r="B62" s="1" t="s">
        <v>158</v>
      </c>
      <c r="C62" s="20">
        <f t="shared" ref="C62:K62" si="33">SUM(C63:C64)</f>
        <v>2.2999999999999998</v>
      </c>
      <c r="D62" s="20">
        <f t="shared" si="33"/>
        <v>-0.5</v>
      </c>
      <c r="E62" s="20">
        <f t="shared" si="33"/>
        <v>5.5</v>
      </c>
      <c r="F62" s="20">
        <f t="shared" si="33"/>
        <v>-7.4</v>
      </c>
      <c r="G62" s="20">
        <f t="shared" si="33"/>
        <v>-0.4</v>
      </c>
      <c r="H62" s="20">
        <f t="shared" si="33"/>
        <v>1.2</v>
      </c>
      <c r="I62" s="20">
        <f t="shared" si="33"/>
        <v>-0.5</v>
      </c>
      <c r="J62" s="20">
        <f t="shared" si="33"/>
        <v>0</v>
      </c>
      <c r="K62" s="20">
        <f t="shared" si="33"/>
        <v>-2</v>
      </c>
      <c r="L62" s="20">
        <f t="shared" ref="L62:N62" si="34">SUM(L63:L64)</f>
        <v>-1</v>
      </c>
      <c r="M62" s="20">
        <f t="shared" si="34"/>
        <v>-5</v>
      </c>
      <c r="N62" s="20">
        <f t="shared" si="34"/>
        <v>-2</v>
      </c>
    </row>
    <row r="63" spans="1:14" hidden="1" outlineLevel="1" x14ac:dyDescent="0.2">
      <c r="A63" s="9" t="s">
        <v>159</v>
      </c>
      <c r="B63" s="1" t="s">
        <v>160</v>
      </c>
      <c r="C63" s="10">
        <v>2.2999999999999998</v>
      </c>
      <c r="D63" s="10">
        <v>-0.5</v>
      </c>
      <c r="E63" s="10">
        <v>5.5</v>
      </c>
      <c r="F63" s="10">
        <v>-7.4</v>
      </c>
      <c r="G63" s="10">
        <v>-0.4</v>
      </c>
      <c r="H63" s="10">
        <v>1.2</v>
      </c>
      <c r="I63" s="10">
        <v>-0.5</v>
      </c>
      <c r="J63" s="10">
        <v>0</v>
      </c>
      <c r="K63" s="10">
        <v>-2</v>
      </c>
      <c r="L63" s="10">
        <v>-1</v>
      </c>
      <c r="M63" s="10">
        <v>-5</v>
      </c>
      <c r="N63" s="10">
        <v>-2</v>
      </c>
    </row>
    <row r="64" spans="1:14" hidden="1" outlineLevel="1" x14ac:dyDescent="0.2">
      <c r="A64" s="9" t="s">
        <v>161</v>
      </c>
      <c r="B64" s="1" t="s">
        <v>162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</row>
    <row r="65" spans="1:14" collapsed="1" x14ac:dyDescent="0.2">
      <c r="A65" s="3"/>
      <c r="B65" s="3" t="s">
        <v>165</v>
      </c>
      <c r="C65" s="14">
        <f t="shared" ref="C65:J65" si="35">+C36+C50+C51+C54+C56+C58+C59+C60+C61+C62</f>
        <v>7.7000000000000011</v>
      </c>
      <c r="D65" s="14">
        <f t="shared" si="35"/>
        <v>5.4</v>
      </c>
      <c r="E65" s="14">
        <f t="shared" si="35"/>
        <v>10.399999999999999</v>
      </c>
      <c r="F65" s="14">
        <f t="shared" si="35"/>
        <v>11.300000000000002</v>
      </c>
      <c r="G65" s="14">
        <f t="shared" si="35"/>
        <v>1.8000000000000003</v>
      </c>
      <c r="H65" s="14">
        <f t="shared" si="35"/>
        <v>1.7000000000000002</v>
      </c>
      <c r="I65" s="14">
        <f t="shared" si="35"/>
        <v>5.4</v>
      </c>
      <c r="J65" s="14">
        <f t="shared" ca="1" si="35"/>
        <v>7</v>
      </c>
      <c r="K65" s="14">
        <f ca="1">+K36+K50+K51+K54+K56+K58+K59+K60+K61+K62</f>
        <v>18.700000000000003</v>
      </c>
      <c r="L65" s="14">
        <f t="shared" ref="L65:N65" ca="1" si="36">+L36+L50+L51+L54+L56+L58+L59+L60+L61+L62</f>
        <v>3.5999999999999996</v>
      </c>
      <c r="M65" s="14">
        <f t="shared" ca="1" si="36"/>
        <v>-1.0999999999999996</v>
      </c>
      <c r="N65" s="14">
        <f t="shared" ca="1" si="36"/>
        <v>0.90000000000000036</v>
      </c>
    </row>
    <row r="66" spans="1:14" x14ac:dyDescent="0.2">
      <c r="A66" s="12"/>
      <c r="B66" s="12" t="s">
        <v>166</v>
      </c>
      <c r="C66" s="21">
        <f t="shared" ref="C66:I66" si="37">+C34-C65</f>
        <v>49.499999999999993</v>
      </c>
      <c r="D66" s="21">
        <f t="shared" si="37"/>
        <v>34.6</v>
      </c>
      <c r="E66" s="21">
        <f t="shared" si="37"/>
        <v>19.700000000000003</v>
      </c>
      <c r="F66" s="21">
        <f t="shared" si="37"/>
        <v>19.399999999999999</v>
      </c>
      <c r="G66" s="21">
        <f t="shared" si="37"/>
        <v>18.099999999999994</v>
      </c>
      <c r="H66" s="21">
        <f t="shared" si="37"/>
        <v>36.699999999999996</v>
      </c>
      <c r="I66" s="21">
        <f t="shared" si="37"/>
        <v>34.6</v>
      </c>
      <c r="J66" s="21">
        <f ca="1">+J34-J65</f>
        <v>16.100000000000001</v>
      </c>
      <c r="K66" s="21">
        <f t="shared" ref="K66:N66" ca="1" si="38">+K34-K65</f>
        <v>4.0999999999999943</v>
      </c>
      <c r="L66" s="21">
        <f t="shared" ca="1" si="38"/>
        <v>21.6</v>
      </c>
      <c r="M66" s="21">
        <f t="shared" ca="1" si="38"/>
        <v>45.6</v>
      </c>
      <c r="N66" s="21">
        <f t="shared" ca="1" si="38"/>
        <v>39.6</v>
      </c>
    </row>
    <row r="67" spans="1:14" x14ac:dyDescent="0.2">
      <c r="A67" s="9" t="s">
        <v>167</v>
      </c>
      <c r="B67" s="1" t="s">
        <v>168</v>
      </c>
      <c r="C67" s="20">
        <f t="shared" ref="C67:I67" si="39">SUM(C68:C82)</f>
        <v>17.600000000000001</v>
      </c>
      <c r="D67" s="20">
        <f t="shared" si="39"/>
        <v>13.4</v>
      </c>
      <c r="E67" s="20">
        <f t="shared" si="39"/>
        <v>13.900000000000002</v>
      </c>
      <c r="F67" s="20">
        <f t="shared" si="39"/>
        <v>22.4</v>
      </c>
      <c r="G67" s="20">
        <f t="shared" si="39"/>
        <v>5.1000000000000005</v>
      </c>
      <c r="H67" s="20">
        <f t="shared" si="39"/>
        <v>4.9000000000000004</v>
      </c>
      <c r="I67" s="20">
        <f t="shared" si="39"/>
        <v>13.4</v>
      </c>
      <c r="J67" s="20">
        <f>SUM(J68:J82)</f>
        <v>16.3</v>
      </c>
      <c r="K67" s="20">
        <f t="shared" ref="K67:N67" si="40">SUM(K68:K82)</f>
        <v>22.599999999999998</v>
      </c>
      <c r="L67" s="20">
        <f t="shared" si="40"/>
        <v>13.1</v>
      </c>
      <c r="M67" s="20">
        <f t="shared" si="40"/>
        <v>10.499999999999998</v>
      </c>
      <c r="N67" s="20">
        <f t="shared" si="40"/>
        <v>12.9</v>
      </c>
    </row>
    <row r="68" spans="1:14" hidden="1" outlineLevel="1" x14ac:dyDescent="0.2">
      <c r="A68" s="9" t="s">
        <v>171</v>
      </c>
      <c r="B68" s="1" t="s">
        <v>172</v>
      </c>
      <c r="C68" s="10">
        <v>2.9</v>
      </c>
      <c r="D68" s="10">
        <v>2</v>
      </c>
      <c r="E68" s="10">
        <v>1.6</v>
      </c>
      <c r="F68" s="10">
        <v>5.8</v>
      </c>
      <c r="G68" s="10">
        <v>0</v>
      </c>
      <c r="H68" s="10">
        <v>0</v>
      </c>
      <c r="I68" s="10">
        <v>2</v>
      </c>
      <c r="J68" s="10">
        <v>1.6</v>
      </c>
      <c r="K68" s="10">
        <v>5.8</v>
      </c>
      <c r="L68" s="10">
        <v>0</v>
      </c>
      <c r="M68" s="10">
        <v>0</v>
      </c>
      <c r="N68" s="10">
        <v>0</v>
      </c>
    </row>
    <row r="69" spans="1:14" hidden="1" outlineLevel="1" x14ac:dyDescent="0.2">
      <c r="A69" s="9" t="s">
        <v>173</v>
      </c>
      <c r="B69" s="1" t="s">
        <v>174</v>
      </c>
      <c r="C69" s="10">
        <v>5.9</v>
      </c>
      <c r="D69" s="10">
        <v>0.2</v>
      </c>
      <c r="E69" s="10">
        <v>1.8</v>
      </c>
      <c r="F69" s="10">
        <v>3.4</v>
      </c>
      <c r="G69" s="10">
        <v>0</v>
      </c>
      <c r="H69" s="10">
        <v>0</v>
      </c>
      <c r="I69" s="10">
        <v>0.2</v>
      </c>
      <c r="J69" s="10">
        <v>1.8</v>
      </c>
      <c r="K69" s="10">
        <v>3.4</v>
      </c>
      <c r="L69" s="10">
        <v>0</v>
      </c>
      <c r="M69" s="10">
        <v>0</v>
      </c>
      <c r="N69" s="10">
        <v>0</v>
      </c>
    </row>
    <row r="70" spans="1:14" hidden="1" outlineLevel="1" x14ac:dyDescent="0.2">
      <c r="A70" s="9" t="s">
        <v>175</v>
      </c>
      <c r="B70" s="1" t="s">
        <v>176</v>
      </c>
      <c r="C70" s="10">
        <v>4.0999999999999996</v>
      </c>
      <c r="D70" s="10">
        <v>5.2</v>
      </c>
      <c r="E70" s="10">
        <v>5.6</v>
      </c>
      <c r="F70" s="10">
        <v>7.8</v>
      </c>
      <c r="G70" s="10">
        <v>0</v>
      </c>
      <c r="H70" s="10">
        <v>0</v>
      </c>
      <c r="I70" s="10">
        <v>5.2</v>
      </c>
      <c r="J70" s="10">
        <v>8</v>
      </c>
      <c r="K70" s="10">
        <v>8</v>
      </c>
      <c r="L70" s="10">
        <v>8</v>
      </c>
      <c r="M70" s="10">
        <v>5</v>
      </c>
      <c r="N70" s="10">
        <v>8</v>
      </c>
    </row>
    <row r="71" spans="1:14" hidden="1" outlineLevel="1" x14ac:dyDescent="0.2">
      <c r="A71" s="9" t="s">
        <v>177</v>
      </c>
      <c r="B71" s="1" t="s">
        <v>178</v>
      </c>
      <c r="C71" s="10">
        <v>0.5</v>
      </c>
      <c r="D71" s="10">
        <v>0.5</v>
      </c>
      <c r="E71" s="10">
        <v>0.5</v>
      </c>
      <c r="F71" s="10">
        <v>0.6</v>
      </c>
      <c r="G71" s="10">
        <v>0</v>
      </c>
      <c r="H71" s="10">
        <v>0</v>
      </c>
      <c r="I71" s="10">
        <v>0.5</v>
      </c>
      <c r="J71" s="10">
        <v>0.5</v>
      </c>
      <c r="K71" s="10">
        <v>0.6</v>
      </c>
      <c r="L71" s="10">
        <v>0</v>
      </c>
      <c r="M71" s="10">
        <v>0.6</v>
      </c>
      <c r="N71" s="10">
        <v>0</v>
      </c>
    </row>
    <row r="72" spans="1:14" hidden="1" outlineLevel="1" x14ac:dyDescent="0.2">
      <c r="A72" s="9" t="s">
        <v>179</v>
      </c>
      <c r="B72" s="1" t="s">
        <v>180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</row>
    <row r="73" spans="1:14" hidden="1" outlineLevel="1" x14ac:dyDescent="0.2">
      <c r="A73" s="9" t="s">
        <v>181</v>
      </c>
      <c r="B73" s="1" t="s">
        <v>182</v>
      </c>
      <c r="C73" s="10">
        <v>2.4</v>
      </c>
      <c r="D73" s="10">
        <v>2.9</v>
      </c>
      <c r="E73" s="10">
        <v>1.8</v>
      </c>
      <c r="F73" s="10">
        <v>1.4</v>
      </c>
      <c r="G73" s="10">
        <v>1.7</v>
      </c>
      <c r="H73" s="10">
        <v>1.6</v>
      </c>
      <c r="I73" s="10">
        <v>2.9</v>
      </c>
      <c r="J73" s="10">
        <v>1.8</v>
      </c>
      <c r="K73" s="10">
        <v>1.4</v>
      </c>
      <c r="L73" s="10">
        <v>1.7</v>
      </c>
      <c r="M73" s="10">
        <v>1.6</v>
      </c>
      <c r="N73" s="10">
        <v>1.6</v>
      </c>
    </row>
    <row r="74" spans="1:14" hidden="1" outlineLevel="1" x14ac:dyDescent="0.2">
      <c r="A74" s="9" t="s">
        <v>183</v>
      </c>
      <c r="B74" s="1" t="s">
        <v>184</v>
      </c>
      <c r="C74" s="10">
        <v>0</v>
      </c>
      <c r="D74" s="10">
        <v>0.1</v>
      </c>
      <c r="E74" s="10">
        <v>0.6</v>
      </c>
      <c r="F74" s="10">
        <v>1.2</v>
      </c>
      <c r="G74" s="10">
        <v>1.5</v>
      </c>
      <c r="H74" s="10">
        <v>0.8</v>
      </c>
      <c r="I74" s="10">
        <v>0.1</v>
      </c>
      <c r="J74" s="10">
        <v>0.6</v>
      </c>
      <c r="K74" s="10">
        <v>1.2</v>
      </c>
      <c r="L74" s="10">
        <v>1.5</v>
      </c>
      <c r="M74" s="10">
        <v>0.8</v>
      </c>
      <c r="N74" s="10">
        <v>0.8</v>
      </c>
    </row>
    <row r="75" spans="1:14" hidden="1" outlineLevel="1" x14ac:dyDescent="0.2">
      <c r="A75" s="9" t="s">
        <v>185</v>
      </c>
      <c r="B75" s="1" t="s">
        <v>186</v>
      </c>
      <c r="C75" s="10">
        <v>0.3</v>
      </c>
      <c r="D75" s="10">
        <v>0.3</v>
      </c>
      <c r="E75" s="10">
        <v>0.4</v>
      </c>
      <c r="F75" s="10">
        <v>0.4</v>
      </c>
      <c r="G75" s="10">
        <v>0.5</v>
      </c>
      <c r="H75" s="10">
        <v>0.4</v>
      </c>
      <c r="I75" s="10">
        <v>0.3</v>
      </c>
      <c r="J75" s="10">
        <v>0.4</v>
      </c>
      <c r="K75" s="10">
        <v>0.4</v>
      </c>
      <c r="L75" s="10">
        <v>0.5</v>
      </c>
      <c r="M75" s="10">
        <v>0.4</v>
      </c>
      <c r="N75" s="10">
        <v>0.4</v>
      </c>
    </row>
    <row r="76" spans="1:14" hidden="1" outlineLevel="1" x14ac:dyDescent="0.2">
      <c r="A76" s="9" t="s">
        <v>187</v>
      </c>
      <c r="B76" s="1" t="s">
        <v>184</v>
      </c>
      <c r="C76" s="10">
        <v>0.1</v>
      </c>
      <c r="D76" s="10">
        <v>0.1</v>
      </c>
      <c r="E76" s="10">
        <v>0</v>
      </c>
      <c r="F76" s="10">
        <v>0.1</v>
      </c>
      <c r="G76" s="10">
        <v>0.1</v>
      </c>
      <c r="H76" s="10">
        <v>0.1</v>
      </c>
      <c r="I76" s="10">
        <v>0.1</v>
      </c>
      <c r="J76" s="10">
        <v>0</v>
      </c>
      <c r="K76" s="10">
        <v>0.1</v>
      </c>
      <c r="L76" s="10">
        <v>0.1</v>
      </c>
      <c r="M76" s="10">
        <v>0.1</v>
      </c>
      <c r="N76" s="10">
        <v>0.1</v>
      </c>
    </row>
    <row r="77" spans="1:14" hidden="1" outlineLevel="1" x14ac:dyDescent="0.2">
      <c r="A77" s="9" t="s">
        <v>188</v>
      </c>
      <c r="B77" s="1" t="s">
        <v>189</v>
      </c>
      <c r="C77" s="10">
        <v>0.4</v>
      </c>
      <c r="D77" s="10">
        <v>0.5</v>
      </c>
      <c r="E77" s="10">
        <v>0.6</v>
      </c>
      <c r="F77" s="10">
        <v>0.6</v>
      </c>
      <c r="G77" s="10">
        <v>0.3</v>
      </c>
      <c r="H77" s="10">
        <v>0.7</v>
      </c>
      <c r="I77" s="10">
        <v>0.5</v>
      </c>
      <c r="J77" s="10">
        <v>0.6</v>
      </c>
      <c r="K77" s="10">
        <v>0.6</v>
      </c>
      <c r="L77" s="10">
        <v>0.3</v>
      </c>
      <c r="M77" s="10">
        <v>0.7</v>
      </c>
      <c r="N77" s="10">
        <v>0.7</v>
      </c>
    </row>
    <row r="78" spans="1:14" hidden="1" outlineLevel="1" x14ac:dyDescent="0.2">
      <c r="A78" s="9" t="s">
        <v>190</v>
      </c>
      <c r="B78" s="1" t="s">
        <v>191</v>
      </c>
      <c r="C78" s="10">
        <v>0.2</v>
      </c>
      <c r="D78" s="10">
        <v>0.2</v>
      </c>
      <c r="E78" s="10">
        <v>0.3</v>
      </c>
      <c r="F78" s="10">
        <v>0.3</v>
      </c>
      <c r="G78" s="10">
        <v>0.1</v>
      </c>
      <c r="H78" s="10">
        <v>0.5</v>
      </c>
      <c r="I78" s="10">
        <v>0.2</v>
      </c>
      <c r="J78" s="10">
        <v>0.3</v>
      </c>
      <c r="K78" s="10">
        <v>0.3</v>
      </c>
      <c r="L78" s="10">
        <v>0.1</v>
      </c>
      <c r="M78" s="10">
        <v>0.5</v>
      </c>
      <c r="N78" s="10">
        <v>0.5</v>
      </c>
    </row>
    <row r="79" spans="1:14" hidden="1" outlineLevel="1" x14ac:dyDescent="0.2">
      <c r="A79" s="9" t="s">
        <v>192</v>
      </c>
      <c r="B79" s="1" t="s">
        <v>193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</row>
    <row r="80" spans="1:14" hidden="1" outlineLevel="1" x14ac:dyDescent="0.2">
      <c r="A80" s="9" t="s">
        <v>194</v>
      </c>
      <c r="B80" s="1" t="s">
        <v>195</v>
      </c>
      <c r="C80" s="10">
        <v>0.5</v>
      </c>
      <c r="D80" s="10">
        <v>1.1000000000000001</v>
      </c>
      <c r="E80" s="10">
        <v>0.4</v>
      </c>
      <c r="F80" s="10">
        <v>0.4</v>
      </c>
      <c r="G80" s="10">
        <v>0.5</v>
      </c>
      <c r="H80" s="10">
        <v>0.5</v>
      </c>
      <c r="I80" s="10">
        <v>1.1000000000000001</v>
      </c>
      <c r="J80" s="10">
        <v>0.4</v>
      </c>
      <c r="K80" s="10">
        <v>0.4</v>
      </c>
      <c r="L80" s="10">
        <v>0.5</v>
      </c>
      <c r="M80" s="10">
        <v>0.5</v>
      </c>
      <c r="N80" s="10">
        <v>0.5</v>
      </c>
    </row>
    <row r="81" spans="1:14" hidden="1" outlineLevel="1" x14ac:dyDescent="0.2">
      <c r="A81" s="9" t="s">
        <v>196</v>
      </c>
      <c r="B81" s="1" t="s">
        <v>197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</row>
    <row r="82" spans="1:14" hidden="1" outlineLevel="1" x14ac:dyDescent="0.2">
      <c r="A82" s="9" t="s">
        <v>198</v>
      </c>
      <c r="B82" s="1" t="s">
        <v>199</v>
      </c>
      <c r="C82" s="10">
        <v>0.3</v>
      </c>
      <c r="D82" s="10">
        <v>0.3</v>
      </c>
      <c r="E82" s="10">
        <v>0.3</v>
      </c>
      <c r="F82" s="10">
        <v>0.4</v>
      </c>
      <c r="G82" s="10">
        <v>0.4</v>
      </c>
      <c r="H82" s="10">
        <v>0.3</v>
      </c>
      <c r="I82" s="10">
        <v>0.3</v>
      </c>
      <c r="J82" s="10">
        <v>0.3</v>
      </c>
      <c r="K82" s="10">
        <v>0.4</v>
      </c>
      <c r="L82" s="10">
        <v>0.4</v>
      </c>
      <c r="M82" s="10">
        <v>0.3</v>
      </c>
      <c r="N82" s="10">
        <v>0.3</v>
      </c>
    </row>
    <row r="83" spans="1:14" collapsed="1" x14ac:dyDescent="0.2">
      <c r="A83" s="9" t="s">
        <v>200</v>
      </c>
      <c r="B83" s="1" t="s">
        <v>201</v>
      </c>
      <c r="C83" s="20">
        <f t="shared" ref="C83:I83" si="41">SUM(C84:C94)</f>
        <v>1.3</v>
      </c>
      <c r="D83" s="20">
        <f t="shared" si="41"/>
        <v>1.2</v>
      </c>
      <c r="E83" s="20">
        <f t="shared" si="41"/>
        <v>1.6</v>
      </c>
      <c r="F83" s="20">
        <f t="shared" si="41"/>
        <v>1.6</v>
      </c>
      <c r="G83" s="20">
        <f t="shared" si="41"/>
        <v>0.5</v>
      </c>
      <c r="H83" s="20">
        <f t="shared" si="41"/>
        <v>0.8</v>
      </c>
      <c r="I83" s="20">
        <f t="shared" si="41"/>
        <v>1.2</v>
      </c>
      <c r="J83" s="20">
        <f>SUM(J84:J94)</f>
        <v>1.6</v>
      </c>
      <c r="K83" s="20">
        <f t="shared" ref="K83:N83" si="42">SUM(K84:K94)</f>
        <v>1.6</v>
      </c>
      <c r="L83" s="20">
        <f t="shared" si="42"/>
        <v>0.5</v>
      </c>
      <c r="M83" s="20">
        <f t="shared" si="42"/>
        <v>0.8</v>
      </c>
      <c r="N83" s="20">
        <f t="shared" si="42"/>
        <v>0.8</v>
      </c>
    </row>
    <row r="84" spans="1:14" hidden="1" outlineLevel="1" x14ac:dyDescent="0.2">
      <c r="A84" s="9" t="s">
        <v>202</v>
      </c>
      <c r="B84" s="1" t="s">
        <v>203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</row>
    <row r="85" spans="1:14" hidden="1" outlineLevel="1" x14ac:dyDescent="0.2">
      <c r="A85" s="9" t="s">
        <v>204</v>
      </c>
      <c r="B85" s="1" t="s">
        <v>205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hidden="1" outlineLevel="1" x14ac:dyDescent="0.2">
      <c r="A86" s="9" t="s">
        <v>206</v>
      </c>
      <c r="B86" s="1" t="s">
        <v>207</v>
      </c>
      <c r="C86" s="10">
        <v>0</v>
      </c>
      <c r="D86" s="10">
        <v>0.1</v>
      </c>
      <c r="E86" s="10">
        <v>0.1</v>
      </c>
      <c r="F86" s="10">
        <v>0.1</v>
      </c>
      <c r="G86" s="10">
        <v>0</v>
      </c>
      <c r="H86" s="10">
        <v>0.1</v>
      </c>
      <c r="I86" s="10">
        <v>0.1</v>
      </c>
      <c r="J86" s="10">
        <v>0.1</v>
      </c>
      <c r="K86" s="10">
        <v>0.1</v>
      </c>
      <c r="L86" s="10">
        <v>0</v>
      </c>
      <c r="M86" s="10">
        <v>0.1</v>
      </c>
      <c r="N86" s="10">
        <v>0.1</v>
      </c>
    </row>
    <row r="87" spans="1:14" hidden="1" outlineLevel="1" x14ac:dyDescent="0.2">
      <c r="A87" s="9" t="s">
        <v>208</v>
      </c>
      <c r="B87" s="1" t="s">
        <v>209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</row>
    <row r="88" spans="1:14" hidden="1" outlineLevel="1" x14ac:dyDescent="0.2">
      <c r="A88" s="9" t="s">
        <v>210</v>
      </c>
      <c r="B88" s="1" t="s">
        <v>211</v>
      </c>
      <c r="C88" s="10">
        <v>0.1</v>
      </c>
      <c r="D88" s="10">
        <v>0.2</v>
      </c>
      <c r="E88" s="10">
        <v>0.2</v>
      </c>
      <c r="F88" s="10">
        <v>0.1</v>
      </c>
      <c r="G88" s="10">
        <v>0.1</v>
      </c>
      <c r="H88" s="10">
        <v>0.1</v>
      </c>
      <c r="I88" s="10">
        <v>0.2</v>
      </c>
      <c r="J88" s="10">
        <v>0.2</v>
      </c>
      <c r="K88" s="10">
        <v>0.1</v>
      </c>
      <c r="L88" s="10">
        <v>0.1</v>
      </c>
      <c r="M88" s="10">
        <v>0.1</v>
      </c>
      <c r="N88" s="10">
        <v>0.1</v>
      </c>
    </row>
    <row r="89" spans="1:14" hidden="1" outlineLevel="1" x14ac:dyDescent="0.2">
      <c r="A89" s="9" t="s">
        <v>212</v>
      </c>
      <c r="B89" s="1" t="s">
        <v>213</v>
      </c>
      <c r="C89" s="10">
        <v>0</v>
      </c>
      <c r="D89" s="10">
        <v>0</v>
      </c>
      <c r="E89" s="10">
        <v>0</v>
      </c>
      <c r="F89" s="10">
        <v>0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</v>
      </c>
      <c r="M89" s="10">
        <v>0</v>
      </c>
      <c r="N89" s="10">
        <v>0</v>
      </c>
    </row>
    <row r="90" spans="1:14" hidden="1" outlineLevel="1" x14ac:dyDescent="0.2">
      <c r="A90" s="9" t="s">
        <v>214</v>
      </c>
      <c r="B90" s="1" t="s">
        <v>215</v>
      </c>
      <c r="C90" s="10">
        <v>0</v>
      </c>
      <c r="D90" s="10">
        <v>0</v>
      </c>
      <c r="E90" s="10">
        <v>0</v>
      </c>
      <c r="F90" s="10">
        <v>0</v>
      </c>
      <c r="G90" s="10">
        <v>0</v>
      </c>
      <c r="H90" s="10">
        <v>0</v>
      </c>
      <c r="I90" s="10">
        <v>0</v>
      </c>
      <c r="J90" s="10">
        <v>0</v>
      </c>
      <c r="K90" s="10">
        <v>0</v>
      </c>
      <c r="L90" s="10">
        <v>0</v>
      </c>
      <c r="M90" s="10">
        <v>0</v>
      </c>
      <c r="N90" s="10">
        <v>0</v>
      </c>
    </row>
    <row r="91" spans="1:14" hidden="1" outlineLevel="1" x14ac:dyDescent="0.2">
      <c r="A91" s="9" t="s">
        <v>216</v>
      </c>
      <c r="B91" s="1" t="s">
        <v>217</v>
      </c>
      <c r="C91" s="10">
        <v>0.4</v>
      </c>
      <c r="D91" s="10">
        <v>0.2</v>
      </c>
      <c r="E91" s="10">
        <v>0.5</v>
      </c>
      <c r="F91" s="10">
        <v>0.5</v>
      </c>
      <c r="G91" s="10">
        <v>0.4</v>
      </c>
      <c r="H91" s="10">
        <v>0.3</v>
      </c>
      <c r="I91" s="10">
        <v>0.2</v>
      </c>
      <c r="J91" s="10">
        <v>0.5</v>
      </c>
      <c r="K91" s="10">
        <v>0.5</v>
      </c>
      <c r="L91" s="10">
        <v>0.4</v>
      </c>
      <c r="M91" s="10">
        <v>0.3</v>
      </c>
      <c r="N91" s="10">
        <v>0.3</v>
      </c>
    </row>
    <row r="92" spans="1:14" hidden="1" outlineLevel="1" x14ac:dyDescent="0.2">
      <c r="A92" s="9" t="s">
        <v>218</v>
      </c>
      <c r="B92" s="1" t="s">
        <v>219</v>
      </c>
      <c r="C92" s="10">
        <v>0.7</v>
      </c>
      <c r="D92" s="10">
        <v>0.7</v>
      </c>
      <c r="E92" s="10">
        <v>0.7</v>
      </c>
      <c r="F92" s="10">
        <v>0.8</v>
      </c>
      <c r="G92" s="10">
        <v>0</v>
      </c>
      <c r="H92" s="10">
        <v>0</v>
      </c>
      <c r="I92" s="10">
        <v>0.7</v>
      </c>
      <c r="J92" s="10">
        <v>0.7</v>
      </c>
      <c r="K92" s="10">
        <v>0.8</v>
      </c>
      <c r="L92" s="10">
        <v>0</v>
      </c>
      <c r="M92" s="10">
        <v>0</v>
      </c>
      <c r="N92" s="10">
        <v>0</v>
      </c>
    </row>
    <row r="93" spans="1:14" hidden="1" outlineLevel="1" x14ac:dyDescent="0.2">
      <c r="A93" s="9" t="s">
        <v>220</v>
      </c>
      <c r="B93" s="1" t="s">
        <v>221</v>
      </c>
      <c r="C93" s="10">
        <v>0</v>
      </c>
      <c r="D93" s="10">
        <v>0</v>
      </c>
      <c r="E93" s="10">
        <v>0</v>
      </c>
      <c r="F93" s="10">
        <v>0</v>
      </c>
      <c r="G93" s="10">
        <v>0</v>
      </c>
      <c r="H93" s="10">
        <v>0</v>
      </c>
      <c r="I93" s="10">
        <v>0</v>
      </c>
      <c r="J93" s="10">
        <v>0</v>
      </c>
      <c r="K93" s="10">
        <v>0</v>
      </c>
      <c r="L93" s="10">
        <v>0</v>
      </c>
      <c r="M93" s="10">
        <v>0</v>
      </c>
      <c r="N93" s="10">
        <v>0</v>
      </c>
    </row>
    <row r="94" spans="1:14" hidden="1" outlineLevel="1" x14ac:dyDescent="0.2">
      <c r="A94" s="9" t="s">
        <v>224</v>
      </c>
      <c r="B94" s="1" t="s">
        <v>225</v>
      </c>
      <c r="C94" s="10">
        <v>0.1</v>
      </c>
      <c r="D94" s="10">
        <v>0</v>
      </c>
      <c r="E94" s="10">
        <v>0.1</v>
      </c>
      <c r="F94" s="10">
        <v>0.1</v>
      </c>
      <c r="G94" s="10">
        <v>0</v>
      </c>
      <c r="H94" s="10">
        <v>0.3</v>
      </c>
      <c r="I94" s="10">
        <v>0</v>
      </c>
      <c r="J94" s="10">
        <v>0.1</v>
      </c>
      <c r="K94" s="10">
        <v>0.1</v>
      </c>
      <c r="L94" s="10">
        <v>0</v>
      </c>
      <c r="M94" s="10">
        <v>0.3</v>
      </c>
      <c r="N94" s="10">
        <v>0.3</v>
      </c>
    </row>
    <row r="95" spans="1:14" collapsed="1" x14ac:dyDescent="0.2">
      <c r="A95" s="9" t="s">
        <v>226</v>
      </c>
      <c r="B95" s="1" t="s">
        <v>227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</row>
    <row r="96" spans="1:14" x14ac:dyDescent="0.2">
      <c r="A96" s="9" t="s">
        <v>228</v>
      </c>
      <c r="B96" s="1" t="s">
        <v>229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</row>
    <row r="97" spans="1:14" x14ac:dyDescent="0.2">
      <c r="A97" s="9" t="s">
        <v>230</v>
      </c>
      <c r="B97" s="1" t="s">
        <v>231</v>
      </c>
      <c r="C97" s="20">
        <f t="shared" ref="C97:I97" si="43">C98+C99</f>
        <v>3.5</v>
      </c>
      <c r="D97" s="20">
        <f t="shared" si="43"/>
        <v>3.5</v>
      </c>
      <c r="E97" s="20">
        <f t="shared" si="43"/>
        <v>1.2</v>
      </c>
      <c r="F97" s="20">
        <f t="shared" si="43"/>
        <v>3.9</v>
      </c>
      <c r="G97" s="20">
        <f t="shared" si="43"/>
        <v>0</v>
      </c>
      <c r="H97" s="20">
        <f t="shared" si="43"/>
        <v>0</v>
      </c>
      <c r="I97" s="20">
        <f t="shared" si="43"/>
        <v>3.5</v>
      </c>
      <c r="J97" s="20">
        <f>J98+J99</f>
        <v>3</v>
      </c>
      <c r="K97" s="20">
        <f t="shared" ref="K97:N97" si="44">K98+K99</f>
        <v>2</v>
      </c>
      <c r="L97" s="20">
        <f t="shared" si="44"/>
        <v>2</v>
      </c>
      <c r="M97" s="20">
        <f t="shared" si="44"/>
        <v>3</v>
      </c>
      <c r="N97" s="20">
        <f t="shared" si="44"/>
        <v>3</v>
      </c>
    </row>
    <row r="98" spans="1:14" hidden="1" outlineLevel="1" x14ac:dyDescent="0.2">
      <c r="A98" s="9" t="s">
        <v>232</v>
      </c>
      <c r="B98" s="1" t="s">
        <v>233</v>
      </c>
      <c r="C98" s="10">
        <v>3.5</v>
      </c>
      <c r="D98" s="10">
        <v>3.5</v>
      </c>
      <c r="E98" s="10">
        <v>1.2</v>
      </c>
      <c r="F98" s="10">
        <v>3.9</v>
      </c>
      <c r="G98" s="10">
        <v>0</v>
      </c>
      <c r="H98" s="10">
        <v>0</v>
      </c>
      <c r="I98" s="10">
        <v>3.5</v>
      </c>
      <c r="J98" s="10">
        <v>3</v>
      </c>
      <c r="K98" s="10">
        <v>2</v>
      </c>
      <c r="L98" s="10">
        <v>2</v>
      </c>
      <c r="M98" s="10">
        <v>3</v>
      </c>
      <c r="N98" s="10">
        <v>3</v>
      </c>
    </row>
    <row r="99" spans="1:14" hidden="1" outlineLevel="1" x14ac:dyDescent="0.2">
      <c r="A99" s="9" t="s">
        <v>234</v>
      </c>
      <c r="B99" s="1" t="s">
        <v>235</v>
      </c>
      <c r="C99" s="10">
        <v>0</v>
      </c>
      <c r="D99" s="10">
        <v>0</v>
      </c>
      <c r="E99" s="10">
        <v>0</v>
      </c>
      <c r="F99" s="10">
        <v>0</v>
      </c>
      <c r="G99" s="10">
        <v>0</v>
      </c>
      <c r="H99" s="10">
        <v>0</v>
      </c>
      <c r="I99" s="10">
        <v>0</v>
      </c>
      <c r="J99" s="10">
        <v>0</v>
      </c>
      <c r="K99" s="10">
        <v>0</v>
      </c>
      <c r="L99" s="10">
        <v>0</v>
      </c>
      <c r="M99" s="10">
        <v>0</v>
      </c>
      <c r="N99" s="10">
        <v>0</v>
      </c>
    </row>
    <row r="100" spans="1:14" collapsed="1" x14ac:dyDescent="0.2">
      <c r="A100" s="3"/>
      <c r="B100" s="3" t="s">
        <v>236</v>
      </c>
      <c r="C100" s="14">
        <f t="shared" ref="C100:I100" si="45">+C97+C96+C95+C83+C67</f>
        <v>22.400000000000002</v>
      </c>
      <c r="D100" s="14">
        <f t="shared" si="45"/>
        <v>18.100000000000001</v>
      </c>
      <c r="E100" s="14">
        <f t="shared" si="45"/>
        <v>16.700000000000003</v>
      </c>
      <c r="F100" s="14">
        <f t="shared" si="45"/>
        <v>27.9</v>
      </c>
      <c r="G100" s="14">
        <f t="shared" si="45"/>
        <v>5.6000000000000005</v>
      </c>
      <c r="H100" s="14">
        <f t="shared" si="45"/>
        <v>5.7</v>
      </c>
      <c r="I100" s="14">
        <f t="shared" si="45"/>
        <v>18.100000000000001</v>
      </c>
      <c r="J100" s="14">
        <f>+J97+J96+J95+J83+J67</f>
        <v>20.9</v>
      </c>
      <c r="K100" s="14">
        <f t="shared" ref="K100:N100" si="46">+K97+K96+K95+K83+K67</f>
        <v>26.2</v>
      </c>
      <c r="L100" s="14">
        <f t="shared" si="46"/>
        <v>15.6</v>
      </c>
      <c r="M100" s="14">
        <f t="shared" si="46"/>
        <v>14.299999999999997</v>
      </c>
      <c r="N100" s="14">
        <f t="shared" si="46"/>
        <v>16.7</v>
      </c>
    </row>
    <row r="101" spans="1:14" x14ac:dyDescent="0.2">
      <c r="A101" s="12"/>
      <c r="B101" s="12" t="s">
        <v>237</v>
      </c>
      <c r="C101" s="21">
        <f t="shared" ref="C101:I101" si="47">+C66-C100</f>
        <v>27.099999999999991</v>
      </c>
      <c r="D101" s="21">
        <f t="shared" si="47"/>
        <v>16.5</v>
      </c>
      <c r="E101" s="21">
        <f t="shared" si="47"/>
        <v>3</v>
      </c>
      <c r="F101" s="21">
        <f t="shared" si="47"/>
        <v>-8.5</v>
      </c>
      <c r="G101" s="21">
        <f t="shared" si="47"/>
        <v>12.499999999999993</v>
      </c>
      <c r="H101" s="21">
        <f t="shared" si="47"/>
        <v>30.999999999999996</v>
      </c>
      <c r="I101" s="21">
        <f t="shared" si="47"/>
        <v>16.5</v>
      </c>
      <c r="J101" s="21">
        <f ca="1">+J66-J100</f>
        <v>-4.7999999999999972</v>
      </c>
      <c r="K101" s="21">
        <f t="shared" ref="K101:N101" ca="1" si="48">+K66-K100</f>
        <v>-22.100000000000005</v>
      </c>
      <c r="L101" s="21">
        <f t="shared" ca="1" si="48"/>
        <v>6.0000000000000018</v>
      </c>
      <c r="M101" s="21">
        <f t="shared" ca="1" si="48"/>
        <v>31.300000000000004</v>
      </c>
      <c r="N101" s="21">
        <f t="shared" ca="1" si="48"/>
        <v>22.900000000000002</v>
      </c>
    </row>
    <row r="102" spans="1:14" x14ac:dyDescent="0.2">
      <c r="A102" s="9" t="s">
        <v>238</v>
      </c>
      <c r="B102" s="1" t="s">
        <v>239</v>
      </c>
      <c r="C102" s="20">
        <f t="shared" ref="C102:I102" si="49">SUM(C103:C104)</f>
        <v>1.1000000000000001</v>
      </c>
      <c r="D102" s="20">
        <f t="shared" si="49"/>
        <v>1.1000000000000001</v>
      </c>
      <c r="E102" s="20">
        <f t="shared" si="49"/>
        <v>1.4</v>
      </c>
      <c r="F102" s="20">
        <f t="shared" si="49"/>
        <v>0.9</v>
      </c>
      <c r="G102" s="20">
        <f t="shared" si="49"/>
        <v>0.7</v>
      </c>
      <c r="H102" s="20">
        <f t="shared" si="49"/>
        <v>1.1000000000000001</v>
      </c>
      <c r="I102" s="20">
        <f t="shared" si="49"/>
        <v>1.1000000000000001</v>
      </c>
      <c r="J102" s="20">
        <f ca="1">SUM(J103:J104)</f>
        <v>1</v>
      </c>
      <c r="K102" s="20">
        <f t="shared" ref="K102:N102" ca="1" si="50">SUM(K103:K104)</f>
        <v>1</v>
      </c>
      <c r="L102" s="20">
        <f t="shared" ca="1" si="50"/>
        <v>1</v>
      </c>
      <c r="M102" s="20">
        <f t="shared" ca="1" si="50"/>
        <v>1</v>
      </c>
      <c r="N102" s="20">
        <f t="shared" ca="1" si="50"/>
        <v>1</v>
      </c>
    </row>
    <row r="103" spans="1:14" hidden="1" outlineLevel="1" x14ac:dyDescent="0.2">
      <c r="A103" s="9" t="s">
        <v>240</v>
      </c>
      <c r="B103" s="1" t="s">
        <v>241</v>
      </c>
      <c r="C103" s="10">
        <v>1.1000000000000001</v>
      </c>
      <c r="D103" s="10">
        <v>1.1000000000000001</v>
      </c>
      <c r="E103" s="10">
        <v>1.4</v>
      </c>
      <c r="F103" s="10">
        <v>0.9</v>
      </c>
      <c r="G103" s="10">
        <v>0.7</v>
      </c>
      <c r="H103" s="10">
        <v>1.1000000000000001</v>
      </c>
      <c r="I103" s="10">
        <v>1.1000000000000001</v>
      </c>
      <c r="J103" s="10">
        <f ca="1">RANDBETWEEN(0.1,1.2)</f>
        <v>1</v>
      </c>
      <c r="K103" s="10">
        <f t="shared" ref="K103:N103" ca="1" si="51">RANDBETWEEN(0.1,1.2)</f>
        <v>1</v>
      </c>
      <c r="L103" s="10">
        <f t="shared" ca="1" si="51"/>
        <v>1</v>
      </c>
      <c r="M103" s="10">
        <f t="shared" ca="1" si="51"/>
        <v>1</v>
      </c>
      <c r="N103" s="10">
        <f t="shared" ca="1" si="51"/>
        <v>1</v>
      </c>
    </row>
    <row r="104" spans="1:14" hidden="1" outlineLevel="1" x14ac:dyDescent="0.2">
      <c r="A104" s="9" t="s">
        <v>242</v>
      </c>
      <c r="B104" s="1" t="s">
        <v>243</v>
      </c>
      <c r="C104" s="10">
        <v>0</v>
      </c>
      <c r="D104" s="10">
        <v>0</v>
      </c>
      <c r="E104" s="10">
        <v>0</v>
      </c>
      <c r="F104" s="10">
        <v>0</v>
      </c>
      <c r="G104" s="10">
        <v>0</v>
      </c>
      <c r="H104" s="10">
        <v>0</v>
      </c>
      <c r="I104" s="10">
        <v>0</v>
      </c>
      <c r="J104" s="10">
        <v>0</v>
      </c>
      <c r="K104" s="10">
        <v>0</v>
      </c>
      <c r="L104" s="10">
        <v>0</v>
      </c>
      <c r="M104" s="10">
        <v>0</v>
      </c>
      <c r="N104" s="10">
        <v>0</v>
      </c>
    </row>
    <row r="105" spans="1:14" collapsed="1" x14ac:dyDescent="0.2">
      <c r="A105" s="9" t="s">
        <v>244</v>
      </c>
      <c r="B105" s="1" t="s">
        <v>245</v>
      </c>
      <c r="C105" s="10">
        <v>0</v>
      </c>
      <c r="D105" s="10">
        <v>0</v>
      </c>
      <c r="E105" s="10">
        <v>0</v>
      </c>
      <c r="F105" s="10">
        <v>0</v>
      </c>
      <c r="G105" s="10">
        <v>0</v>
      </c>
      <c r="H105" s="10">
        <v>0</v>
      </c>
      <c r="I105" s="10">
        <v>0</v>
      </c>
      <c r="J105" s="20">
        <v>0</v>
      </c>
      <c r="K105" s="20">
        <v>0</v>
      </c>
      <c r="L105" s="20">
        <v>0</v>
      </c>
      <c r="M105" s="20">
        <v>0</v>
      </c>
      <c r="N105" s="20">
        <v>0</v>
      </c>
    </row>
    <row r="106" spans="1:14" x14ac:dyDescent="0.2">
      <c r="A106" s="12"/>
      <c r="B106" s="12" t="s">
        <v>246</v>
      </c>
      <c r="C106" s="13">
        <f t="shared" ref="C106" si="52">+C101-(C102+C105)</f>
        <v>25.999999999999989</v>
      </c>
      <c r="D106" s="13">
        <f t="shared" ref="D106" si="53">+D101-(D102+D105)</f>
        <v>15.4</v>
      </c>
      <c r="E106" s="13">
        <f t="shared" ref="E106" si="54">+E101-(E102+E105)</f>
        <v>1.6</v>
      </c>
      <c r="F106" s="13">
        <f t="shared" ref="F106" si="55">+F101-(F102+F105)</f>
        <v>-9.4</v>
      </c>
      <c r="G106" s="13">
        <f t="shared" ref="G106" si="56">+G101-(G102+G105)</f>
        <v>11.799999999999994</v>
      </c>
      <c r="H106" s="13">
        <f t="shared" ref="H106" si="57">+H101-(H102+H105)</f>
        <v>29.899999999999995</v>
      </c>
      <c r="I106" s="13">
        <f t="shared" ref="I106" si="58">+I101-(I102+I105)</f>
        <v>15.4</v>
      </c>
      <c r="J106" s="13">
        <f ca="1">+J101-(J102+J105)</f>
        <v>-5.7999999999999972</v>
      </c>
      <c r="K106" s="13">
        <f t="shared" ref="K106:N106" ca="1" si="59">+K101-(K102+K105)</f>
        <v>-23.100000000000005</v>
      </c>
      <c r="L106" s="13">
        <f t="shared" ca="1" si="59"/>
        <v>5.0000000000000018</v>
      </c>
      <c r="M106" s="13">
        <f t="shared" ca="1" si="59"/>
        <v>30.300000000000004</v>
      </c>
      <c r="N106" s="13">
        <f t="shared" ca="1" si="59"/>
        <v>21.900000000000002</v>
      </c>
    </row>
    <row r="107" spans="1:14" x14ac:dyDescent="0.2">
      <c r="A107" s="2"/>
      <c r="B107" s="2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2">
      <c r="A108" s="2"/>
      <c r="B108" s="2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2">
      <c r="A109" s="9" t="s">
        <v>74</v>
      </c>
      <c r="B109" s="1" t="s">
        <v>74</v>
      </c>
      <c r="C109" s="15" t="s">
        <v>74</v>
      </c>
      <c r="D109" s="15" t="s">
        <v>74</v>
      </c>
      <c r="E109" s="15" t="s">
        <v>74</v>
      </c>
      <c r="F109" s="15" t="s">
        <v>74</v>
      </c>
      <c r="G109" s="15" t="s">
        <v>74</v>
      </c>
      <c r="H109" s="15" t="s">
        <v>74</v>
      </c>
      <c r="I109" s="15" t="s">
        <v>74</v>
      </c>
      <c r="J109" s="15" t="s">
        <v>74</v>
      </c>
      <c r="K109" s="15" t="s">
        <v>74</v>
      </c>
      <c r="L109" s="15" t="s">
        <v>74</v>
      </c>
      <c r="M109" s="15" t="s">
        <v>74</v>
      </c>
      <c r="N109" s="15" t="s">
        <v>74</v>
      </c>
    </row>
    <row r="110" spans="1:14" x14ac:dyDescent="0.2">
      <c r="A110" s="12"/>
      <c r="B110" s="12" t="s">
        <v>247</v>
      </c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</row>
    <row r="111" spans="1:14" x14ac:dyDescent="0.2">
      <c r="A111" s="9" t="s">
        <v>248</v>
      </c>
      <c r="B111" s="1" t="s">
        <v>249</v>
      </c>
      <c r="C111" s="15">
        <v>0</v>
      </c>
      <c r="D111" s="15">
        <v>0</v>
      </c>
      <c r="E111" s="15">
        <v>0</v>
      </c>
      <c r="F111" s="15">
        <v>0</v>
      </c>
      <c r="G111" s="15">
        <v>1</v>
      </c>
      <c r="H111" s="15">
        <v>1</v>
      </c>
      <c r="I111" s="15">
        <v>0</v>
      </c>
      <c r="J111" s="15">
        <v>0</v>
      </c>
      <c r="K111" s="15">
        <v>0</v>
      </c>
      <c r="L111" s="15">
        <v>1</v>
      </c>
      <c r="M111" s="15">
        <v>1</v>
      </c>
      <c r="N111" s="15">
        <v>1</v>
      </c>
    </row>
    <row r="112" spans="1:14" hidden="1" outlineLevel="1" x14ac:dyDescent="0.2">
      <c r="A112" s="9" t="s">
        <v>250</v>
      </c>
      <c r="B112" s="1" t="s">
        <v>251</v>
      </c>
      <c r="C112" s="15">
        <v>0</v>
      </c>
      <c r="D112" s="15">
        <v>0</v>
      </c>
      <c r="E112" s="15">
        <v>0</v>
      </c>
      <c r="F112" s="15">
        <v>0</v>
      </c>
      <c r="G112" s="15">
        <v>1</v>
      </c>
      <c r="H112" s="15">
        <v>1</v>
      </c>
      <c r="I112" s="15">
        <v>0</v>
      </c>
      <c r="J112" s="15">
        <v>0</v>
      </c>
      <c r="K112" s="15">
        <v>0</v>
      </c>
      <c r="L112" s="15">
        <v>1</v>
      </c>
      <c r="M112" s="15">
        <v>1</v>
      </c>
      <c r="N112" s="15">
        <v>1</v>
      </c>
    </row>
    <row r="113" spans="1:14" collapsed="1" x14ac:dyDescent="0.2">
      <c r="A113" s="9" t="s">
        <v>252</v>
      </c>
      <c r="B113" s="1" t="s">
        <v>253</v>
      </c>
      <c r="C113" s="15">
        <v>2.4</v>
      </c>
      <c r="D113" s="15">
        <v>0.8</v>
      </c>
      <c r="E113" s="15">
        <v>0.4</v>
      </c>
      <c r="F113" s="15">
        <v>0.4</v>
      </c>
      <c r="G113" s="15">
        <v>1</v>
      </c>
      <c r="H113" s="15">
        <v>1</v>
      </c>
      <c r="I113" s="15">
        <v>0.8</v>
      </c>
      <c r="J113" s="15">
        <v>0.4</v>
      </c>
      <c r="K113" s="15">
        <v>0.4</v>
      </c>
      <c r="L113" s="15">
        <v>1</v>
      </c>
      <c r="M113" s="15">
        <v>1</v>
      </c>
      <c r="N113" s="15">
        <v>1</v>
      </c>
    </row>
    <row r="114" spans="1:14" hidden="1" outlineLevel="1" x14ac:dyDescent="0.2">
      <c r="A114" s="9" t="s">
        <v>254</v>
      </c>
      <c r="B114" s="1" t="s">
        <v>255</v>
      </c>
      <c r="C114" s="15">
        <v>2.4</v>
      </c>
      <c r="D114" s="15">
        <v>0.8</v>
      </c>
      <c r="E114" s="15">
        <v>0.4</v>
      </c>
      <c r="F114" s="15">
        <v>0.4</v>
      </c>
      <c r="G114" s="15">
        <v>1</v>
      </c>
      <c r="H114" s="15">
        <v>1</v>
      </c>
      <c r="I114" s="15">
        <v>0.8</v>
      </c>
      <c r="J114" s="15">
        <v>0.4</v>
      </c>
      <c r="K114" s="15">
        <v>0.4</v>
      </c>
      <c r="L114" s="15">
        <v>1</v>
      </c>
      <c r="M114" s="15">
        <v>1</v>
      </c>
      <c r="N114" s="15">
        <v>1</v>
      </c>
    </row>
    <row r="115" spans="1:14" collapsed="1" x14ac:dyDescent="0.2">
      <c r="A115" s="9" t="s">
        <v>256</v>
      </c>
      <c r="B115" s="1" t="s">
        <v>257</v>
      </c>
      <c r="C115" s="15">
        <v>0.4</v>
      </c>
      <c r="D115" s="15">
        <v>0.4</v>
      </c>
      <c r="E115" s="15">
        <v>0.4</v>
      </c>
      <c r="F115" s="15">
        <v>0.4</v>
      </c>
      <c r="G115" s="15">
        <v>0</v>
      </c>
      <c r="H115" s="15">
        <v>0</v>
      </c>
      <c r="I115" s="15">
        <v>0.4</v>
      </c>
      <c r="J115" s="15">
        <v>0.4</v>
      </c>
      <c r="K115" s="15">
        <v>0.4</v>
      </c>
      <c r="L115" s="15">
        <v>0</v>
      </c>
      <c r="M115" s="15">
        <v>0</v>
      </c>
      <c r="N115" s="15">
        <v>0</v>
      </c>
    </row>
    <row r="116" spans="1:14" hidden="1" outlineLevel="1" x14ac:dyDescent="0.2">
      <c r="A116" s="9" t="s">
        <v>258</v>
      </c>
      <c r="B116" s="1" t="s">
        <v>259</v>
      </c>
      <c r="C116" s="15">
        <v>0.4</v>
      </c>
      <c r="D116" s="15">
        <v>0.4</v>
      </c>
      <c r="E116" s="15">
        <v>0.4</v>
      </c>
      <c r="F116" s="15">
        <v>0.4</v>
      </c>
      <c r="G116" s="15">
        <v>0</v>
      </c>
      <c r="H116" s="15">
        <v>0</v>
      </c>
      <c r="I116" s="15">
        <v>0.4</v>
      </c>
      <c r="J116" s="15">
        <v>0.4</v>
      </c>
      <c r="K116" s="15">
        <v>0.4</v>
      </c>
      <c r="L116" s="15">
        <v>0</v>
      </c>
      <c r="M116" s="15">
        <v>0</v>
      </c>
      <c r="N116" s="15">
        <v>0</v>
      </c>
    </row>
    <row r="117" spans="1:14" collapsed="1" x14ac:dyDescent="0.2">
      <c r="A117" s="9" t="s">
        <v>260</v>
      </c>
      <c r="B117" s="1" t="s">
        <v>261</v>
      </c>
      <c r="C117" s="15">
        <v>0.4</v>
      </c>
      <c r="D117" s="15">
        <v>0.4</v>
      </c>
      <c r="E117" s="15">
        <v>0</v>
      </c>
      <c r="F117" s="15">
        <v>0</v>
      </c>
      <c r="G117" s="15">
        <v>1</v>
      </c>
      <c r="H117" s="15">
        <v>1</v>
      </c>
      <c r="I117" s="15">
        <v>0.4</v>
      </c>
      <c r="J117" s="15">
        <v>0</v>
      </c>
      <c r="K117" s="15">
        <v>0</v>
      </c>
      <c r="L117" s="15">
        <v>1</v>
      </c>
      <c r="M117" s="15">
        <v>1</v>
      </c>
      <c r="N117" s="15">
        <v>1</v>
      </c>
    </row>
    <row r="118" spans="1:14" hidden="1" outlineLevel="1" x14ac:dyDescent="0.2">
      <c r="A118" s="9" t="s">
        <v>262</v>
      </c>
      <c r="B118" s="1" t="s">
        <v>263</v>
      </c>
      <c r="C118" s="15">
        <v>0.4</v>
      </c>
      <c r="D118" s="15">
        <v>0.4</v>
      </c>
      <c r="E118" s="15">
        <v>0</v>
      </c>
      <c r="F118" s="15">
        <v>0</v>
      </c>
      <c r="G118" s="15">
        <v>1</v>
      </c>
      <c r="H118" s="15">
        <v>1</v>
      </c>
      <c r="I118" s="15">
        <v>0.4</v>
      </c>
      <c r="J118" s="15">
        <v>0</v>
      </c>
      <c r="K118" s="15">
        <v>0</v>
      </c>
      <c r="L118" s="15">
        <v>1</v>
      </c>
      <c r="M118" s="15">
        <v>1</v>
      </c>
      <c r="N118" s="15">
        <v>1</v>
      </c>
    </row>
    <row r="119" spans="1:14" collapsed="1" x14ac:dyDescent="0.2">
      <c r="A119" s="9" t="s">
        <v>264</v>
      </c>
      <c r="B119" s="1" t="s">
        <v>265</v>
      </c>
      <c r="C119" s="15">
        <v>1.6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hidden="1" outlineLevel="1" x14ac:dyDescent="0.2">
      <c r="A120" s="9" t="s">
        <v>266</v>
      </c>
      <c r="B120" s="1" t="s">
        <v>267</v>
      </c>
      <c r="C120" s="15">
        <v>1.6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collapsed="1" x14ac:dyDescent="0.2">
      <c r="A121" s="9" t="s">
        <v>268</v>
      </c>
      <c r="B121" s="1" t="s">
        <v>269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">
      <c r="A122" s="9" t="s">
        <v>270</v>
      </c>
      <c r="B122" s="1" t="s">
        <v>271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">
      <c r="A123" s="9" t="s">
        <v>272</v>
      </c>
      <c r="B123" s="1" t="s">
        <v>273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">
      <c r="A124" s="9" t="s">
        <v>274</v>
      </c>
      <c r="B124" s="1" t="s">
        <v>275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">
      <c r="A125" s="9" t="s">
        <v>276</v>
      </c>
      <c r="B125" s="1" t="s">
        <v>277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">
      <c r="A126" s="9" t="s">
        <v>280</v>
      </c>
      <c r="B126" s="1" t="s">
        <v>281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">
      <c r="A127" s="9" t="s">
        <v>284</v>
      </c>
      <c r="B127" s="1" t="s">
        <v>285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">
      <c r="A128" s="9" t="s">
        <v>288</v>
      </c>
      <c r="B128" s="1" t="s">
        <v>289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">
      <c r="A129" s="3"/>
      <c r="B129" s="3" t="s">
        <v>290</v>
      </c>
      <c r="C129" s="17">
        <v>23.8</v>
      </c>
      <c r="D129" s="17">
        <v>49.9</v>
      </c>
      <c r="E129" s="17">
        <v>75.400000000000006</v>
      </c>
      <c r="F129" s="17">
        <v>76.7</v>
      </c>
      <c r="G129" s="17">
        <v>20</v>
      </c>
      <c r="H129" s="17">
        <v>38.4</v>
      </c>
      <c r="I129" s="17">
        <v>49.9</v>
      </c>
      <c r="J129" s="17">
        <v>75.400000000000006</v>
      </c>
      <c r="K129" s="17">
        <v>76.7</v>
      </c>
      <c r="L129" s="17">
        <v>20</v>
      </c>
      <c r="M129" s="17">
        <v>38.4</v>
      </c>
      <c r="N129" s="17">
        <v>38.4</v>
      </c>
    </row>
    <row r="130" spans="1:14" x14ac:dyDescent="0.2">
      <c r="A130" s="3"/>
      <c r="B130" s="3" t="s">
        <v>291</v>
      </c>
      <c r="C130" s="17" t="s">
        <v>292</v>
      </c>
      <c r="D130" s="17" t="s">
        <v>292</v>
      </c>
      <c r="E130" s="17" t="s">
        <v>292</v>
      </c>
      <c r="F130" s="17" t="s">
        <v>292</v>
      </c>
      <c r="G130" s="17" t="s">
        <v>292</v>
      </c>
      <c r="H130" s="17" t="s">
        <v>292</v>
      </c>
      <c r="I130" s="17" t="s">
        <v>292</v>
      </c>
      <c r="J130" s="17" t="s">
        <v>292</v>
      </c>
      <c r="K130" s="17" t="s">
        <v>292</v>
      </c>
      <c r="L130" s="17" t="s">
        <v>292</v>
      </c>
      <c r="M130" s="17" t="s">
        <v>292</v>
      </c>
      <c r="N130" s="17" t="s">
        <v>292</v>
      </c>
    </row>
    <row r="131" spans="1:14" x14ac:dyDescent="0.2">
      <c r="A131" s="3"/>
      <c r="B131" s="3" t="s">
        <v>293</v>
      </c>
      <c r="C131" s="17" t="s">
        <v>292</v>
      </c>
      <c r="D131" s="17" t="s">
        <v>292</v>
      </c>
      <c r="E131" s="17" t="s">
        <v>292</v>
      </c>
      <c r="F131" s="17" t="s">
        <v>292</v>
      </c>
      <c r="G131" s="17" t="s">
        <v>292</v>
      </c>
      <c r="H131" s="17" t="s">
        <v>292</v>
      </c>
      <c r="I131" s="17" t="s">
        <v>292</v>
      </c>
      <c r="J131" s="17" t="s">
        <v>292</v>
      </c>
      <c r="K131" s="17" t="s">
        <v>292</v>
      </c>
      <c r="L131" s="17" t="s">
        <v>292</v>
      </c>
      <c r="M131" s="17" t="s">
        <v>292</v>
      </c>
      <c r="N131" s="17" t="s">
        <v>292</v>
      </c>
    </row>
    <row r="132" spans="1:14" x14ac:dyDescent="0.2">
      <c r="A132" s="3"/>
      <c r="B132" s="3" t="s">
        <v>294</v>
      </c>
      <c r="C132" s="17">
        <v>0</v>
      </c>
      <c r="D132" s="17">
        <v>0</v>
      </c>
      <c r="E132" s="17">
        <v>0</v>
      </c>
      <c r="F132" s="17">
        <v>0</v>
      </c>
      <c r="G132" s="17">
        <v>0</v>
      </c>
      <c r="H132" s="17">
        <v>0</v>
      </c>
      <c r="I132" s="17">
        <v>0</v>
      </c>
      <c r="J132" s="17">
        <v>0</v>
      </c>
      <c r="K132" s="17">
        <v>0</v>
      </c>
      <c r="L132" s="17">
        <v>0</v>
      </c>
      <c r="M132" s="17">
        <v>0</v>
      </c>
      <c r="N132" s="17">
        <v>0</v>
      </c>
    </row>
    <row r="133" spans="1:14" x14ac:dyDescent="0.2">
      <c r="A133" s="12"/>
      <c r="B133" s="12" t="s">
        <v>295</v>
      </c>
      <c r="C133" s="16" t="s">
        <v>292</v>
      </c>
      <c r="D133" s="16" t="s">
        <v>292</v>
      </c>
      <c r="E133" s="16" t="s">
        <v>292</v>
      </c>
      <c r="F133" s="16" t="s">
        <v>292</v>
      </c>
      <c r="G133" s="16" t="s">
        <v>292</v>
      </c>
      <c r="H133" s="16" t="s">
        <v>292</v>
      </c>
      <c r="I133" s="16" t="s">
        <v>292</v>
      </c>
      <c r="J133" s="16" t="s">
        <v>292</v>
      </c>
      <c r="K133" s="16" t="s">
        <v>292</v>
      </c>
      <c r="L133" s="16" t="s">
        <v>292</v>
      </c>
      <c r="M133" s="16" t="s">
        <v>292</v>
      </c>
      <c r="N133" s="16" t="s">
        <v>292</v>
      </c>
    </row>
  </sheetData>
  <pageMargins left="0.7" right="0.7" top="0.75" bottom="0.75" header="0.3" footer="0.3"/>
  <ignoredErrors>
    <ignoredError sqref="J20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4CA9-1D2D-47C8-919C-19F793915662}">
  <sheetPr codeName="Hoja36">
    <tabColor rgb="FFFFFF00"/>
  </sheetPr>
  <dimension ref="A1:N99"/>
  <sheetViews>
    <sheetView zoomScale="70" zoomScaleNormal="70" workbookViewId="0">
      <pane ySplit="6" topLeftCell="A7" activePane="bottomLeft" state="frozen"/>
      <selection activeCell="I54" sqref="I54"/>
      <selection pane="bottomLeft" activeCell="C73" sqref="C73:N73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297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</row>
    <row r="8" spans="1:14" x14ac:dyDescent="0.2">
      <c r="A8" s="9" t="s">
        <v>37</v>
      </c>
      <c r="B8" s="1" t="s">
        <v>38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x14ac:dyDescent="0.2">
      <c r="A9" s="9" t="s">
        <v>39</v>
      </c>
      <c r="B9" s="1" t="s">
        <v>40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">
      <c r="A10" s="9" t="s">
        <v>41</v>
      </c>
      <c r="B10" s="1" t="s">
        <v>42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x14ac:dyDescent="0.2">
      <c r="A11" s="9" t="s">
        <v>45</v>
      </c>
      <c r="B11" s="1" t="s">
        <v>46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12"/>
      <c r="B12" s="12" t="s">
        <v>47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f>+J7+J8+J9+J10+J11</f>
        <v>0</v>
      </c>
      <c r="K12" s="13">
        <f t="shared" ref="K12:N12" si="0">+K7+K8+K9+K10+K11</f>
        <v>0</v>
      </c>
      <c r="L12" s="13">
        <f t="shared" si="0"/>
        <v>0</v>
      </c>
      <c r="M12" s="13">
        <f t="shared" si="0"/>
        <v>0</v>
      </c>
      <c r="N12" s="13">
        <f t="shared" si="0"/>
        <v>0</v>
      </c>
    </row>
    <row r="13" spans="1:14" x14ac:dyDescent="0.2">
      <c r="A13" s="9" t="s">
        <v>48</v>
      </c>
      <c r="B13" s="1" t="s">
        <v>49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</row>
    <row r="14" spans="1:14" x14ac:dyDescent="0.2">
      <c r="A14" s="9" t="s">
        <v>60</v>
      </c>
      <c r="B14" s="1" t="s">
        <v>61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x14ac:dyDescent="0.2">
      <c r="A15" s="9" t="s">
        <v>62</v>
      </c>
      <c r="B15" s="1" t="s">
        <v>63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x14ac:dyDescent="0.2">
      <c r="A16" s="9" t="s">
        <v>64</v>
      </c>
      <c r="B16" s="1" t="s">
        <v>65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</row>
    <row r="17" spans="1:14" x14ac:dyDescent="0.2">
      <c r="A17" s="9" t="s">
        <v>68</v>
      </c>
      <c r="B17" s="1" t="s">
        <v>69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3"/>
      <c r="B18" s="3" t="s">
        <v>72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f>+J13+J14+J15+J16+J17</f>
        <v>0</v>
      </c>
      <c r="K18" s="14">
        <f t="shared" ref="K18:N18" si="1">+K13+K14+K15+K16+K17</f>
        <v>0</v>
      </c>
      <c r="L18" s="14">
        <f t="shared" si="1"/>
        <v>0</v>
      </c>
      <c r="M18" s="14">
        <f t="shared" si="1"/>
        <v>0</v>
      </c>
      <c r="N18" s="14">
        <f t="shared" si="1"/>
        <v>0</v>
      </c>
    </row>
    <row r="19" spans="1:14" x14ac:dyDescent="0.2">
      <c r="A19" s="12"/>
      <c r="B19" s="12" t="s">
        <v>73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24">
        <f>+J12-J18</f>
        <v>0</v>
      </c>
      <c r="K19" s="24">
        <f t="shared" ref="K19:N19" si="2">+K12-K18</f>
        <v>0</v>
      </c>
      <c r="L19" s="24">
        <f t="shared" si="2"/>
        <v>0</v>
      </c>
      <c r="M19" s="24">
        <f t="shared" si="2"/>
        <v>0</v>
      </c>
      <c r="N19" s="24">
        <f t="shared" si="2"/>
        <v>0</v>
      </c>
    </row>
    <row r="20" spans="1:14" x14ac:dyDescent="0.2">
      <c r="A20" s="9" t="s">
        <v>74</v>
      </c>
      <c r="B20" s="1" t="s">
        <v>74</v>
      </c>
      <c r="C20" s="10" t="s">
        <v>74</v>
      </c>
      <c r="D20" s="10" t="s">
        <v>74</v>
      </c>
      <c r="E20" s="10" t="s">
        <v>74</v>
      </c>
      <c r="F20" s="10" t="s">
        <v>74</v>
      </c>
      <c r="G20" s="10" t="s">
        <v>74</v>
      </c>
      <c r="H20" s="10" t="s">
        <v>74</v>
      </c>
      <c r="I20" s="10" t="s">
        <v>74</v>
      </c>
      <c r="J20" s="10" t="s">
        <v>74</v>
      </c>
      <c r="K20" s="10" t="s">
        <v>74</v>
      </c>
      <c r="L20" s="10" t="s">
        <v>74</v>
      </c>
      <c r="M20" s="10" t="s">
        <v>74</v>
      </c>
      <c r="N20" s="10" t="s">
        <v>74</v>
      </c>
    </row>
    <row r="21" spans="1:14" x14ac:dyDescent="0.2">
      <c r="A21" s="9" t="s">
        <v>75</v>
      </c>
      <c r="B21" s="1" t="s">
        <v>76</v>
      </c>
      <c r="C21" s="20">
        <f t="shared" ref="C21:M21" si="3">SUM(C22:C35)</f>
        <v>0</v>
      </c>
      <c r="D21" s="20">
        <f t="shared" si="3"/>
        <v>0</v>
      </c>
      <c r="E21" s="20">
        <f t="shared" si="3"/>
        <v>0</v>
      </c>
      <c r="F21" s="20">
        <f t="shared" si="3"/>
        <v>1.7000000000000002</v>
      </c>
      <c r="G21" s="20">
        <f t="shared" si="3"/>
        <v>3.4000000000000008</v>
      </c>
      <c r="H21" s="20">
        <f t="shared" si="3"/>
        <v>3.4000000000000008</v>
      </c>
      <c r="I21" s="20">
        <f t="shared" si="3"/>
        <v>3.6000000000000005</v>
      </c>
      <c r="J21" s="20">
        <f t="shared" si="3"/>
        <v>1</v>
      </c>
      <c r="K21" s="20">
        <f t="shared" si="3"/>
        <v>1.7000000000000002</v>
      </c>
      <c r="L21" s="20">
        <f t="shared" si="3"/>
        <v>2.1999999999999997</v>
      </c>
      <c r="M21" s="20">
        <f t="shared" si="3"/>
        <v>2.3000000000000003</v>
      </c>
      <c r="N21" s="20">
        <f t="shared" ref="N21" si="4">SUM(N22:N35)</f>
        <v>2.5</v>
      </c>
    </row>
    <row r="22" spans="1:14" outlineLevel="1" x14ac:dyDescent="0.2">
      <c r="A22" s="9" t="s">
        <v>77</v>
      </c>
      <c r="B22" s="1" t="s">
        <v>78</v>
      </c>
      <c r="C22" s="10">
        <v>0</v>
      </c>
      <c r="D22" s="10">
        <v>0</v>
      </c>
      <c r="E22" s="10">
        <v>0</v>
      </c>
      <c r="F22" s="10">
        <v>1</v>
      </c>
      <c r="G22" s="10">
        <v>2.2000000000000002</v>
      </c>
      <c r="H22" s="10">
        <v>2.1</v>
      </c>
      <c r="I22" s="10">
        <v>2.1</v>
      </c>
      <c r="J22" s="10">
        <v>1</v>
      </c>
      <c r="K22" s="10">
        <v>1</v>
      </c>
      <c r="L22" s="10">
        <v>1</v>
      </c>
      <c r="M22" s="10">
        <v>1</v>
      </c>
      <c r="N22" s="10">
        <v>1</v>
      </c>
    </row>
    <row r="23" spans="1:14" outlineLevel="1" x14ac:dyDescent="0.2">
      <c r="A23" s="9" t="s">
        <v>81</v>
      </c>
      <c r="B23" s="1" t="s">
        <v>82</v>
      </c>
      <c r="C23" s="10">
        <v>0</v>
      </c>
      <c r="D23" s="10">
        <v>0</v>
      </c>
      <c r="E23" s="10">
        <v>0</v>
      </c>
      <c r="F23" s="10">
        <v>0.2</v>
      </c>
      <c r="G23" s="10">
        <v>0.4</v>
      </c>
      <c r="H23" s="10">
        <v>0.4</v>
      </c>
      <c r="I23" s="10">
        <v>0.4</v>
      </c>
      <c r="J23" s="10">
        <v>0</v>
      </c>
      <c r="K23" s="10">
        <v>0.2</v>
      </c>
      <c r="L23" s="10">
        <v>0.4</v>
      </c>
      <c r="M23" s="10">
        <v>0.4</v>
      </c>
      <c r="N23" s="10">
        <v>0.4</v>
      </c>
    </row>
    <row r="24" spans="1:14" outlineLevel="1" x14ac:dyDescent="0.2">
      <c r="A24" s="9" t="s">
        <v>83</v>
      </c>
      <c r="B24" s="1" t="s">
        <v>84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</row>
    <row r="25" spans="1:14" outlineLevel="1" x14ac:dyDescent="0.2">
      <c r="A25" s="9" t="s">
        <v>85</v>
      </c>
      <c r="B25" s="1" t="s">
        <v>86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0.1</v>
      </c>
      <c r="I25" s="10">
        <v>0</v>
      </c>
      <c r="J25" s="10">
        <v>0</v>
      </c>
      <c r="K25" s="10">
        <v>0</v>
      </c>
      <c r="L25" s="10">
        <v>0</v>
      </c>
      <c r="M25" s="10">
        <v>0.1</v>
      </c>
      <c r="N25" s="10">
        <v>0</v>
      </c>
    </row>
    <row r="26" spans="1:14" outlineLevel="1" x14ac:dyDescent="0.2">
      <c r="A26" s="9" t="s">
        <v>87</v>
      </c>
      <c r="B26" s="1" t="s">
        <v>88</v>
      </c>
      <c r="C26" s="10">
        <v>0</v>
      </c>
      <c r="D26" s="10">
        <v>0</v>
      </c>
      <c r="E26" s="10">
        <v>0</v>
      </c>
      <c r="F26" s="10">
        <v>0.1</v>
      </c>
      <c r="G26" s="10">
        <v>0.2</v>
      </c>
      <c r="H26" s="10">
        <v>0.2</v>
      </c>
      <c r="I26" s="10">
        <v>0.2</v>
      </c>
      <c r="J26" s="10">
        <v>0</v>
      </c>
      <c r="K26" s="10">
        <v>0.1</v>
      </c>
      <c r="L26" s="10">
        <v>0.2</v>
      </c>
      <c r="M26" s="10">
        <v>0.2</v>
      </c>
      <c r="N26" s="10">
        <v>0.2</v>
      </c>
    </row>
    <row r="27" spans="1:14" outlineLevel="1" x14ac:dyDescent="0.2">
      <c r="A27" s="9" t="s">
        <v>89</v>
      </c>
      <c r="B27" s="1" t="s">
        <v>90</v>
      </c>
      <c r="C27" s="10">
        <v>0</v>
      </c>
      <c r="D27" s="10">
        <v>0</v>
      </c>
      <c r="E27" s="10">
        <v>0</v>
      </c>
      <c r="F27" s="10">
        <v>0.1</v>
      </c>
      <c r="G27" s="10">
        <v>0.2</v>
      </c>
      <c r="H27" s="10">
        <v>0.2</v>
      </c>
      <c r="I27" s="10">
        <v>0.2</v>
      </c>
      <c r="J27" s="10">
        <v>0</v>
      </c>
      <c r="K27" s="10">
        <v>0.1</v>
      </c>
      <c r="L27" s="10">
        <v>0.2</v>
      </c>
      <c r="M27" s="10">
        <v>0.2</v>
      </c>
      <c r="N27" s="10">
        <v>0.2</v>
      </c>
    </row>
    <row r="28" spans="1:14" outlineLevel="1" x14ac:dyDescent="0.2">
      <c r="A28" s="9" t="s">
        <v>93</v>
      </c>
      <c r="B28" s="1" t="s">
        <v>94</v>
      </c>
      <c r="C28" s="10">
        <v>0</v>
      </c>
      <c r="D28" s="10">
        <v>0</v>
      </c>
      <c r="E28" s="10">
        <v>0</v>
      </c>
      <c r="F28" s="10">
        <v>0.1</v>
      </c>
      <c r="G28" s="10">
        <v>0.2</v>
      </c>
      <c r="H28" s="10">
        <v>0.2</v>
      </c>
      <c r="I28" s="10">
        <v>0.3</v>
      </c>
      <c r="J28" s="10">
        <v>0</v>
      </c>
      <c r="K28" s="10">
        <v>0.1</v>
      </c>
      <c r="L28" s="10">
        <v>0.2</v>
      </c>
      <c r="M28" s="10">
        <v>0.2</v>
      </c>
      <c r="N28" s="10">
        <v>0.3</v>
      </c>
    </row>
    <row r="29" spans="1:14" outlineLevel="1" x14ac:dyDescent="0.2">
      <c r="A29" s="9" t="s">
        <v>95</v>
      </c>
      <c r="B29" s="1" t="s">
        <v>96</v>
      </c>
      <c r="C29" s="10">
        <v>0</v>
      </c>
      <c r="D29" s="10">
        <v>0</v>
      </c>
      <c r="E29" s="10">
        <v>0</v>
      </c>
      <c r="F29" s="10">
        <v>0.2</v>
      </c>
      <c r="G29" s="10">
        <v>0.2</v>
      </c>
      <c r="H29" s="10">
        <v>0.2</v>
      </c>
      <c r="I29" s="10">
        <v>0.2</v>
      </c>
      <c r="J29" s="10">
        <v>0</v>
      </c>
      <c r="K29" s="10">
        <v>0.2</v>
      </c>
      <c r="L29" s="10">
        <v>0.2</v>
      </c>
      <c r="M29" s="10">
        <v>0.2</v>
      </c>
      <c r="N29" s="10">
        <v>0.2</v>
      </c>
    </row>
    <row r="30" spans="1:14" outlineLevel="1" x14ac:dyDescent="0.2">
      <c r="A30" s="9" t="s">
        <v>97</v>
      </c>
      <c r="B30" s="1" t="s">
        <v>98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outlineLevel="1" x14ac:dyDescent="0.2">
      <c r="A31" s="9" t="s">
        <v>99</v>
      </c>
      <c r="B31" s="1" t="s">
        <v>100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outlineLevel="1" x14ac:dyDescent="0.2">
      <c r="A32" s="9" t="s">
        <v>101</v>
      </c>
      <c r="B32" s="1" t="s">
        <v>102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</row>
    <row r="33" spans="1:14" outlineLevel="1" x14ac:dyDescent="0.2">
      <c r="A33" s="9" t="s">
        <v>105</v>
      </c>
      <c r="B33" s="1" t="s">
        <v>106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</row>
    <row r="34" spans="1:14" outlineLevel="1" x14ac:dyDescent="0.2">
      <c r="A34" s="9" t="s">
        <v>107</v>
      </c>
      <c r="B34" s="1" t="s">
        <v>108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</row>
    <row r="35" spans="1:14" outlineLevel="1" x14ac:dyDescent="0.2">
      <c r="A35" s="9" t="s">
        <v>109</v>
      </c>
      <c r="B35" s="1" t="s">
        <v>110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0.2</v>
      </c>
      <c r="J35" s="10">
        <v>0</v>
      </c>
      <c r="K35" s="10">
        <v>0</v>
      </c>
      <c r="L35" s="10">
        <v>0</v>
      </c>
      <c r="M35" s="10">
        <v>0</v>
      </c>
      <c r="N35" s="10">
        <v>0.2</v>
      </c>
    </row>
    <row r="36" spans="1:14" x14ac:dyDescent="0.2">
      <c r="A36" s="9" t="s">
        <v>111</v>
      </c>
      <c r="B36" s="1" t="s">
        <v>112</v>
      </c>
      <c r="C36" s="20">
        <f t="shared" ref="C36:I36" si="5">SUM(C37:C38)</f>
        <v>0</v>
      </c>
      <c r="D36" s="20">
        <f t="shared" si="5"/>
        <v>0</v>
      </c>
      <c r="E36" s="20">
        <f t="shared" si="5"/>
        <v>0</v>
      </c>
      <c r="F36" s="20">
        <f t="shared" si="5"/>
        <v>0</v>
      </c>
      <c r="G36" s="20">
        <f t="shared" si="5"/>
        <v>0</v>
      </c>
      <c r="H36" s="20">
        <f t="shared" si="5"/>
        <v>0</v>
      </c>
      <c r="I36" s="20">
        <f t="shared" si="5"/>
        <v>0</v>
      </c>
      <c r="J36" s="20">
        <f>SUM(J37:J38)</f>
        <v>0</v>
      </c>
      <c r="K36" s="20">
        <f t="shared" ref="K36:N36" si="6">SUM(K37:K38)</f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</row>
    <row r="37" spans="1:14" outlineLevel="1" x14ac:dyDescent="0.2">
      <c r="A37" s="9" t="s">
        <v>113</v>
      </c>
      <c r="B37" s="1" t="s">
        <v>114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</row>
    <row r="38" spans="1:14" outlineLevel="1" x14ac:dyDescent="0.2">
      <c r="A38" s="9" t="s">
        <v>117</v>
      </c>
      <c r="B38" s="1" t="s">
        <v>118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x14ac:dyDescent="0.2">
      <c r="A39" s="9" t="s">
        <v>119</v>
      </c>
      <c r="B39" s="1" t="s">
        <v>120</v>
      </c>
      <c r="C39" s="20">
        <f t="shared" ref="C39:I39" si="7">SUM(C40:C41)</f>
        <v>0</v>
      </c>
      <c r="D39" s="20">
        <f t="shared" si="7"/>
        <v>0</v>
      </c>
      <c r="E39" s="20">
        <f t="shared" si="7"/>
        <v>0</v>
      </c>
      <c r="F39" s="20">
        <f t="shared" si="7"/>
        <v>0</v>
      </c>
      <c r="G39" s="20">
        <f t="shared" si="7"/>
        <v>0</v>
      </c>
      <c r="H39" s="20">
        <f t="shared" si="7"/>
        <v>0</v>
      </c>
      <c r="I39" s="20">
        <f t="shared" si="7"/>
        <v>0</v>
      </c>
      <c r="J39" s="20">
        <f>SUM(J40:J41)</f>
        <v>0</v>
      </c>
      <c r="K39" s="20">
        <f t="shared" ref="K39:N39" si="8">SUM(K40:K41)</f>
        <v>0</v>
      </c>
      <c r="L39" s="20">
        <f t="shared" si="8"/>
        <v>0</v>
      </c>
      <c r="M39" s="20">
        <f t="shared" si="8"/>
        <v>0</v>
      </c>
      <c r="N39" s="20">
        <f t="shared" si="8"/>
        <v>0</v>
      </c>
    </row>
    <row r="40" spans="1:14" outlineLevel="1" x14ac:dyDescent="0.2">
      <c r="A40" s="9" t="s">
        <v>123</v>
      </c>
      <c r="B40" s="1" t="s">
        <v>124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outlineLevel="1" x14ac:dyDescent="0.2">
      <c r="A41" s="9" t="s">
        <v>125</v>
      </c>
      <c r="B41" s="1" t="s">
        <v>126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x14ac:dyDescent="0.2">
      <c r="A42" s="9" t="s">
        <v>127</v>
      </c>
      <c r="B42" s="1" t="s">
        <v>128</v>
      </c>
      <c r="C42" s="20">
        <f t="shared" ref="C42:I42" si="9">+C43</f>
        <v>0</v>
      </c>
      <c r="D42" s="20">
        <f t="shared" si="9"/>
        <v>0</v>
      </c>
      <c r="E42" s="20">
        <f t="shared" si="9"/>
        <v>0</v>
      </c>
      <c r="F42" s="20">
        <f t="shared" si="9"/>
        <v>0</v>
      </c>
      <c r="G42" s="20">
        <f t="shared" si="9"/>
        <v>0</v>
      </c>
      <c r="H42" s="20">
        <f t="shared" si="9"/>
        <v>0</v>
      </c>
      <c r="I42" s="20">
        <f t="shared" si="9"/>
        <v>0</v>
      </c>
      <c r="J42" s="20">
        <f>+J43</f>
        <v>0</v>
      </c>
      <c r="K42" s="20">
        <f t="shared" ref="K42:N42" si="10">+K43</f>
        <v>0</v>
      </c>
      <c r="L42" s="20">
        <f t="shared" si="10"/>
        <v>0</v>
      </c>
      <c r="M42" s="20">
        <f t="shared" si="10"/>
        <v>0</v>
      </c>
      <c r="N42" s="20">
        <f t="shared" si="10"/>
        <v>0</v>
      </c>
    </row>
    <row r="43" spans="1:14" outlineLevel="1" x14ac:dyDescent="0.2">
      <c r="A43" s="9" t="s">
        <v>129</v>
      </c>
      <c r="B43" s="1" t="s">
        <v>130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x14ac:dyDescent="0.2">
      <c r="A44" s="9" t="s">
        <v>133</v>
      </c>
      <c r="B44" s="1" t="s">
        <v>134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</row>
    <row r="45" spans="1:14" x14ac:dyDescent="0.2">
      <c r="A45" s="9" t="s">
        <v>137</v>
      </c>
      <c r="B45" s="1" t="s">
        <v>138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</row>
    <row r="46" spans="1:14" x14ac:dyDescent="0.2">
      <c r="A46" s="9" t="s">
        <v>139</v>
      </c>
      <c r="B46" s="1" t="s">
        <v>140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</row>
    <row r="47" spans="1:14" x14ac:dyDescent="0.2">
      <c r="A47" s="9" t="s">
        <v>141</v>
      </c>
      <c r="B47" s="1" t="s">
        <v>142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</row>
    <row r="48" spans="1:14" x14ac:dyDescent="0.2">
      <c r="A48" s="9" t="s">
        <v>143</v>
      </c>
      <c r="B48" s="1" t="s">
        <v>144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</row>
    <row r="49" spans="1:14" x14ac:dyDescent="0.2">
      <c r="A49" s="9" t="s">
        <v>157</v>
      </c>
      <c r="B49" s="1" t="s">
        <v>158</v>
      </c>
      <c r="C49" s="20">
        <f t="shared" ref="C49:I49" si="11">+C50</f>
        <v>0</v>
      </c>
      <c r="D49" s="20">
        <f t="shared" si="11"/>
        <v>0</v>
      </c>
      <c r="E49" s="20">
        <f t="shared" si="11"/>
        <v>0</v>
      </c>
      <c r="F49" s="20">
        <f t="shared" si="11"/>
        <v>0</v>
      </c>
      <c r="G49" s="20">
        <f t="shared" si="11"/>
        <v>0</v>
      </c>
      <c r="H49" s="20">
        <f t="shared" si="11"/>
        <v>0</v>
      </c>
      <c r="I49" s="20">
        <f t="shared" si="11"/>
        <v>0</v>
      </c>
      <c r="J49" s="20">
        <f>+J50</f>
        <v>0</v>
      </c>
      <c r="K49" s="20">
        <f t="shared" ref="K49:N49" si="12">+K50</f>
        <v>0</v>
      </c>
      <c r="L49" s="20">
        <f t="shared" si="12"/>
        <v>0</v>
      </c>
      <c r="M49" s="20">
        <f t="shared" si="12"/>
        <v>0</v>
      </c>
      <c r="N49" s="20">
        <f t="shared" si="12"/>
        <v>0</v>
      </c>
    </row>
    <row r="50" spans="1:14" outlineLevel="1" x14ac:dyDescent="0.2">
      <c r="A50" s="9" t="s">
        <v>163</v>
      </c>
      <c r="B50" s="1" t="s">
        <v>164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</row>
    <row r="51" spans="1:14" x14ac:dyDescent="0.2">
      <c r="A51" s="3"/>
      <c r="B51" s="3" t="s">
        <v>165</v>
      </c>
      <c r="C51" s="14">
        <f t="shared" ref="C51:I51" si="13">+C21+C36+C39+C42+C44+C45+C46+C47+C48+C49</f>
        <v>0</v>
      </c>
      <c r="D51" s="14">
        <f t="shared" si="13"/>
        <v>0</v>
      </c>
      <c r="E51" s="14">
        <f t="shared" si="13"/>
        <v>0</v>
      </c>
      <c r="F51" s="14">
        <f t="shared" si="13"/>
        <v>1.7000000000000002</v>
      </c>
      <c r="G51" s="14">
        <f t="shared" si="13"/>
        <v>3.4000000000000008</v>
      </c>
      <c r="H51" s="14">
        <f t="shared" si="13"/>
        <v>3.4000000000000008</v>
      </c>
      <c r="I51" s="14">
        <f t="shared" si="13"/>
        <v>3.6000000000000005</v>
      </c>
      <c r="J51" s="14">
        <f>+J21+J36+J39+J42+J44+J45+J46+J47+J48+J49</f>
        <v>1</v>
      </c>
      <c r="K51" s="14">
        <f t="shared" ref="K51:N51" si="14">+K21+K36+K39+K42+K44+K45+K46+K47+K48+K49</f>
        <v>1.7000000000000002</v>
      </c>
      <c r="L51" s="14">
        <f t="shared" si="14"/>
        <v>2.1999999999999997</v>
      </c>
      <c r="M51" s="14">
        <f t="shared" si="14"/>
        <v>2.3000000000000003</v>
      </c>
      <c r="N51" s="14">
        <f t="shared" si="14"/>
        <v>2.5</v>
      </c>
    </row>
    <row r="52" spans="1:14" x14ac:dyDescent="0.2">
      <c r="A52" s="12"/>
      <c r="B52" s="12" t="s">
        <v>166</v>
      </c>
      <c r="C52" s="24">
        <f t="shared" ref="C52:I52" si="15">+C19-C51</f>
        <v>0</v>
      </c>
      <c r="D52" s="24">
        <f t="shared" si="15"/>
        <v>0</v>
      </c>
      <c r="E52" s="24">
        <f t="shared" si="15"/>
        <v>0</v>
      </c>
      <c r="F52" s="24">
        <f t="shared" si="15"/>
        <v>-1.7000000000000002</v>
      </c>
      <c r="G52" s="24">
        <f t="shared" si="15"/>
        <v>-3.4000000000000008</v>
      </c>
      <c r="H52" s="24">
        <f t="shared" si="15"/>
        <v>-3.4000000000000008</v>
      </c>
      <c r="I52" s="24">
        <f t="shared" si="15"/>
        <v>-3.6000000000000005</v>
      </c>
      <c r="J52" s="24">
        <f>+J19-J51</f>
        <v>-1</v>
      </c>
      <c r="K52" s="24">
        <f t="shared" ref="K52:N52" si="16">+K19-K51</f>
        <v>-1.7000000000000002</v>
      </c>
      <c r="L52" s="24">
        <f t="shared" si="16"/>
        <v>-2.1999999999999997</v>
      </c>
      <c r="M52" s="24">
        <f t="shared" si="16"/>
        <v>-2.3000000000000003</v>
      </c>
      <c r="N52" s="24">
        <f t="shared" si="16"/>
        <v>-2.5</v>
      </c>
    </row>
    <row r="53" spans="1:14" x14ac:dyDescent="0.2">
      <c r="A53" s="9" t="s">
        <v>167</v>
      </c>
      <c r="B53" s="1" t="s">
        <v>168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20">
        <f>SUM(J54:J57)</f>
        <v>0</v>
      </c>
      <c r="K53" s="20">
        <f t="shared" ref="K53:N53" si="17">SUM(K54:K57)</f>
        <v>0</v>
      </c>
      <c r="L53" s="20">
        <f t="shared" si="17"/>
        <v>0</v>
      </c>
      <c r="M53" s="20">
        <f t="shared" si="17"/>
        <v>0</v>
      </c>
      <c r="N53" s="20">
        <f t="shared" si="17"/>
        <v>0</v>
      </c>
    </row>
    <row r="54" spans="1:14" outlineLevel="1" x14ac:dyDescent="0.2">
      <c r="A54" s="9" t="s">
        <v>169</v>
      </c>
      <c r="B54" s="1" t="s">
        <v>170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outlineLevel="1" x14ac:dyDescent="0.2">
      <c r="A55" s="9" t="s">
        <v>171</v>
      </c>
      <c r="B55" s="1" t="s">
        <v>172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outlineLevel="1" x14ac:dyDescent="0.2">
      <c r="A56" s="9" t="s">
        <v>175</v>
      </c>
      <c r="B56" s="1" t="s">
        <v>176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</row>
    <row r="57" spans="1:14" outlineLevel="1" x14ac:dyDescent="0.2">
      <c r="A57" s="9" t="s">
        <v>177</v>
      </c>
      <c r="B57" s="1" t="s">
        <v>178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x14ac:dyDescent="0.2">
      <c r="A58" s="9" t="s">
        <v>200</v>
      </c>
      <c r="B58" s="1" t="s">
        <v>201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20">
        <f>SUM(J59:J62)</f>
        <v>0</v>
      </c>
      <c r="K58" s="20">
        <f t="shared" ref="K58:N58" si="18">SUM(K59:K62)</f>
        <v>0</v>
      </c>
      <c r="L58" s="20">
        <f t="shared" si="18"/>
        <v>0</v>
      </c>
      <c r="M58" s="20">
        <f t="shared" si="18"/>
        <v>0</v>
      </c>
      <c r="N58" s="20">
        <f t="shared" si="18"/>
        <v>0</v>
      </c>
    </row>
    <row r="59" spans="1:14" outlineLevel="1" x14ac:dyDescent="0.2">
      <c r="A59" s="9" t="s">
        <v>212</v>
      </c>
      <c r="B59" s="1" t="s">
        <v>213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</row>
    <row r="60" spans="1:14" outlineLevel="1" x14ac:dyDescent="0.2">
      <c r="A60" s="9" t="s">
        <v>214</v>
      </c>
      <c r="B60" s="1" t="s">
        <v>215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</row>
    <row r="61" spans="1:14" outlineLevel="1" x14ac:dyDescent="0.2">
      <c r="A61" s="9" t="s">
        <v>218</v>
      </c>
      <c r="B61" s="1" t="s">
        <v>219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</row>
    <row r="62" spans="1:14" outlineLevel="1" x14ac:dyDescent="0.2">
      <c r="A62" s="9" t="s">
        <v>220</v>
      </c>
      <c r="B62" s="1" t="s">
        <v>221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</row>
    <row r="63" spans="1:14" x14ac:dyDescent="0.2">
      <c r="A63" s="9" t="s">
        <v>226</v>
      </c>
      <c r="B63" s="1" t="s">
        <v>227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</row>
    <row r="64" spans="1:14" x14ac:dyDescent="0.2">
      <c r="A64" s="9" t="s">
        <v>228</v>
      </c>
      <c r="B64" s="1" t="s">
        <v>229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</row>
    <row r="65" spans="1:14" x14ac:dyDescent="0.2">
      <c r="A65" s="9" t="s">
        <v>230</v>
      </c>
      <c r="B65" s="1" t="s">
        <v>231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</row>
    <row r="66" spans="1:14" outlineLevel="1" x14ac:dyDescent="0.2">
      <c r="A66" s="9" t="s">
        <v>232</v>
      </c>
      <c r="B66" s="1" t="s">
        <v>233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</row>
    <row r="67" spans="1:14" outlineLevel="1" x14ac:dyDescent="0.2">
      <c r="A67" s="9" t="s">
        <v>234</v>
      </c>
      <c r="B67" s="1" t="s">
        <v>235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</row>
    <row r="68" spans="1:14" x14ac:dyDescent="0.2">
      <c r="A68" s="3"/>
      <c r="B68" s="3" t="s">
        <v>236</v>
      </c>
      <c r="C68" s="22">
        <f t="shared" ref="C68:I68" si="19">+C65+C64+C63+C58+C53</f>
        <v>0</v>
      </c>
      <c r="D68" s="22">
        <f t="shared" si="19"/>
        <v>0</v>
      </c>
      <c r="E68" s="22">
        <f t="shared" si="19"/>
        <v>0</v>
      </c>
      <c r="F68" s="22">
        <f t="shared" si="19"/>
        <v>0</v>
      </c>
      <c r="G68" s="22">
        <f t="shared" si="19"/>
        <v>0</v>
      </c>
      <c r="H68" s="22">
        <f t="shared" si="19"/>
        <v>0</v>
      </c>
      <c r="I68" s="22">
        <f t="shared" si="19"/>
        <v>0</v>
      </c>
      <c r="J68" s="22">
        <f>+J65+J64+J63+J58+J53</f>
        <v>0</v>
      </c>
      <c r="K68" s="22">
        <f t="shared" ref="K68:N68" si="20">+K65+K64+K63+K58+K53</f>
        <v>0</v>
      </c>
      <c r="L68" s="22">
        <f t="shared" si="20"/>
        <v>0</v>
      </c>
      <c r="M68" s="22">
        <f t="shared" si="20"/>
        <v>0</v>
      </c>
      <c r="N68" s="22">
        <f t="shared" si="20"/>
        <v>0</v>
      </c>
    </row>
    <row r="69" spans="1:14" x14ac:dyDescent="0.2">
      <c r="A69" s="12"/>
      <c r="B69" s="12" t="s">
        <v>237</v>
      </c>
      <c r="C69" s="24">
        <f t="shared" ref="C69:I69" si="21">+C52-C68</f>
        <v>0</v>
      </c>
      <c r="D69" s="24">
        <f t="shared" si="21"/>
        <v>0</v>
      </c>
      <c r="E69" s="24">
        <f t="shared" si="21"/>
        <v>0</v>
      </c>
      <c r="F69" s="24">
        <f t="shared" si="21"/>
        <v>-1.7000000000000002</v>
      </c>
      <c r="G69" s="24">
        <f t="shared" si="21"/>
        <v>-3.4000000000000008</v>
      </c>
      <c r="H69" s="24">
        <f t="shared" si="21"/>
        <v>-3.4000000000000008</v>
      </c>
      <c r="I69" s="24">
        <f t="shared" si="21"/>
        <v>-3.6000000000000005</v>
      </c>
      <c r="J69" s="24">
        <f>+J52-J68</f>
        <v>-1</v>
      </c>
      <c r="K69" s="24">
        <f t="shared" ref="K69:N69" si="22">+K52-K68</f>
        <v>-1.7000000000000002</v>
      </c>
      <c r="L69" s="24">
        <f t="shared" si="22"/>
        <v>-2.1999999999999997</v>
      </c>
      <c r="M69" s="24">
        <f t="shared" si="22"/>
        <v>-2.3000000000000003</v>
      </c>
      <c r="N69" s="24">
        <f t="shared" si="22"/>
        <v>-2.5</v>
      </c>
    </row>
    <row r="70" spans="1:14" x14ac:dyDescent="0.2">
      <c r="A70" s="9" t="s">
        <v>238</v>
      </c>
      <c r="B70" s="1" t="s">
        <v>239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20">
        <f>+J71</f>
        <v>0</v>
      </c>
      <c r="K70" s="20">
        <f t="shared" ref="K70:N70" si="23">+K71</f>
        <v>0</v>
      </c>
      <c r="L70" s="20">
        <f t="shared" si="23"/>
        <v>0</v>
      </c>
      <c r="M70" s="20">
        <f t="shared" si="23"/>
        <v>0</v>
      </c>
      <c r="N70" s="20">
        <f t="shared" si="23"/>
        <v>0</v>
      </c>
    </row>
    <row r="71" spans="1:14" outlineLevel="1" x14ac:dyDescent="0.2">
      <c r="A71" s="9" t="s">
        <v>242</v>
      </c>
      <c r="B71" s="1" t="s">
        <v>243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>
        <v>0</v>
      </c>
      <c r="N71" s="10">
        <v>0</v>
      </c>
    </row>
    <row r="72" spans="1:14" x14ac:dyDescent="0.2">
      <c r="A72" s="9" t="s">
        <v>244</v>
      </c>
      <c r="B72" s="1" t="s">
        <v>245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</row>
    <row r="73" spans="1:14" x14ac:dyDescent="0.2">
      <c r="A73" s="12"/>
      <c r="B73" s="12" t="s">
        <v>246</v>
      </c>
      <c r="C73" s="24">
        <f t="shared" ref="C73:I73" si="24">+C69-SUM(C70,C72)</f>
        <v>0</v>
      </c>
      <c r="D73" s="24">
        <f t="shared" si="24"/>
        <v>0</v>
      </c>
      <c r="E73" s="24">
        <f t="shared" si="24"/>
        <v>0</v>
      </c>
      <c r="F73" s="24">
        <f t="shared" si="24"/>
        <v>-1.7000000000000002</v>
      </c>
      <c r="G73" s="24">
        <f t="shared" si="24"/>
        <v>-3.4000000000000008</v>
      </c>
      <c r="H73" s="24">
        <f t="shared" si="24"/>
        <v>-3.4000000000000008</v>
      </c>
      <c r="I73" s="24">
        <f t="shared" si="24"/>
        <v>-3.6000000000000005</v>
      </c>
      <c r="J73" s="24">
        <f>+J69-SUM(J70,J72)</f>
        <v>-1</v>
      </c>
      <c r="K73" s="24">
        <f t="shared" ref="K73:N73" si="25">+K69-SUM(K70,K72)</f>
        <v>-1.7000000000000002</v>
      </c>
      <c r="L73" s="24">
        <f t="shared" si="25"/>
        <v>-2.1999999999999997</v>
      </c>
      <c r="M73" s="24">
        <f t="shared" si="25"/>
        <v>-2.3000000000000003</v>
      </c>
      <c r="N73" s="24">
        <f t="shared" si="25"/>
        <v>-2.5</v>
      </c>
    </row>
    <row r="74" spans="1:14" x14ac:dyDescent="0.2">
      <c r="A74" s="2"/>
      <c r="B74" s="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 x14ac:dyDescent="0.2">
      <c r="A75" s="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2">
      <c r="A76" s="2"/>
      <c r="B76" s="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2">
      <c r="A77" s="9" t="s">
        <v>74</v>
      </c>
      <c r="B77" s="1" t="s">
        <v>74</v>
      </c>
      <c r="C77" s="15" t="s">
        <v>74</v>
      </c>
      <c r="D77" s="15" t="s">
        <v>74</v>
      </c>
      <c r="E77" s="15" t="s">
        <v>74</v>
      </c>
      <c r="F77" s="15" t="s">
        <v>74</v>
      </c>
      <c r="G77" s="15" t="s">
        <v>74</v>
      </c>
      <c r="H77" s="15" t="s">
        <v>74</v>
      </c>
      <c r="I77" s="15" t="s">
        <v>74</v>
      </c>
      <c r="J77" s="15" t="s">
        <v>74</v>
      </c>
      <c r="K77" s="15" t="s">
        <v>74</v>
      </c>
      <c r="L77" s="15" t="s">
        <v>74</v>
      </c>
      <c r="M77" s="15" t="s">
        <v>74</v>
      </c>
      <c r="N77" s="15" t="s">
        <v>74</v>
      </c>
    </row>
    <row r="78" spans="1:14" x14ac:dyDescent="0.2">
      <c r="A78" s="12"/>
      <c r="B78" s="12" t="s">
        <v>247</v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</row>
    <row r="79" spans="1:14" x14ac:dyDescent="0.2">
      <c r="A79" s="9" t="s">
        <v>248</v>
      </c>
      <c r="B79" s="1" t="s">
        <v>249</v>
      </c>
      <c r="C79" s="15">
        <v>0</v>
      </c>
      <c r="D79" s="15">
        <v>0</v>
      </c>
      <c r="E79" s="15">
        <v>0</v>
      </c>
      <c r="F79" s="15">
        <v>1</v>
      </c>
      <c r="G79" s="15">
        <v>2</v>
      </c>
      <c r="H79" s="15">
        <v>2</v>
      </c>
      <c r="I79" s="15">
        <v>2</v>
      </c>
      <c r="J79" s="15">
        <v>0</v>
      </c>
      <c r="K79" s="15">
        <v>1</v>
      </c>
      <c r="L79" s="15">
        <v>2</v>
      </c>
      <c r="M79" s="15">
        <v>2</v>
      </c>
      <c r="N79" s="15">
        <v>2</v>
      </c>
    </row>
    <row r="80" spans="1:14" outlineLevel="1" x14ac:dyDescent="0.2">
      <c r="A80" s="9" t="s">
        <v>250</v>
      </c>
      <c r="B80" s="1" t="s">
        <v>251</v>
      </c>
      <c r="C80" s="15">
        <v>0</v>
      </c>
      <c r="D80" s="15">
        <v>0</v>
      </c>
      <c r="E80" s="15">
        <v>0</v>
      </c>
      <c r="F80" s="15">
        <v>1</v>
      </c>
      <c r="G80" s="15">
        <v>2</v>
      </c>
      <c r="H80" s="15">
        <v>2</v>
      </c>
      <c r="I80" s="15">
        <v>2</v>
      </c>
      <c r="J80" s="15">
        <v>0</v>
      </c>
      <c r="K80" s="15">
        <v>1</v>
      </c>
      <c r="L80" s="15">
        <v>2</v>
      </c>
      <c r="M80" s="15">
        <v>2</v>
      </c>
      <c r="N80" s="15">
        <v>2</v>
      </c>
    </row>
    <row r="81" spans="1:14" x14ac:dyDescent="0.2">
      <c r="A81" s="9" t="s">
        <v>252</v>
      </c>
      <c r="B81" s="1" t="s">
        <v>253</v>
      </c>
      <c r="C81" s="15">
        <v>0</v>
      </c>
      <c r="D81" s="15">
        <v>0</v>
      </c>
      <c r="E81" s="15">
        <v>0</v>
      </c>
      <c r="F81" s="15">
        <v>1</v>
      </c>
      <c r="G81" s="15">
        <v>2</v>
      </c>
      <c r="H81" s="15">
        <v>2</v>
      </c>
      <c r="I81" s="15">
        <v>2</v>
      </c>
      <c r="J81" s="15">
        <v>0</v>
      </c>
      <c r="K81" s="15">
        <v>1</v>
      </c>
      <c r="L81" s="15">
        <v>2</v>
      </c>
      <c r="M81" s="15">
        <v>2</v>
      </c>
      <c r="N81" s="15">
        <v>2</v>
      </c>
    </row>
    <row r="82" spans="1:14" outlineLevel="1" x14ac:dyDescent="0.2">
      <c r="A82" s="9" t="s">
        <v>254</v>
      </c>
      <c r="B82" s="1" t="s">
        <v>255</v>
      </c>
      <c r="C82" s="15">
        <v>0</v>
      </c>
      <c r="D82" s="15">
        <v>0</v>
      </c>
      <c r="E82" s="15">
        <v>0</v>
      </c>
      <c r="F82" s="15">
        <v>1</v>
      </c>
      <c r="G82" s="15">
        <v>2</v>
      </c>
      <c r="H82" s="15">
        <v>2</v>
      </c>
      <c r="I82" s="15">
        <v>2</v>
      </c>
      <c r="J82" s="15">
        <v>0</v>
      </c>
      <c r="K82" s="15">
        <v>1</v>
      </c>
      <c r="L82" s="15">
        <v>2</v>
      </c>
      <c r="M82" s="15">
        <v>2</v>
      </c>
      <c r="N82" s="15">
        <v>2</v>
      </c>
    </row>
    <row r="83" spans="1:14" x14ac:dyDescent="0.2">
      <c r="A83" s="9" t="s">
        <v>256</v>
      </c>
      <c r="B83" s="1" t="s">
        <v>257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">
      <c r="A84" s="9" t="s">
        <v>260</v>
      </c>
      <c r="B84" s="1" t="s">
        <v>261</v>
      </c>
      <c r="C84" s="15">
        <v>0</v>
      </c>
      <c r="D84" s="15">
        <v>0</v>
      </c>
      <c r="E84" s="15">
        <v>0</v>
      </c>
      <c r="F84" s="15">
        <v>1</v>
      </c>
      <c r="G84" s="15">
        <v>2</v>
      </c>
      <c r="H84" s="15">
        <v>2</v>
      </c>
      <c r="I84" s="15">
        <v>2</v>
      </c>
      <c r="J84" s="15">
        <v>0</v>
      </c>
      <c r="K84" s="15">
        <v>1</v>
      </c>
      <c r="L84" s="15">
        <v>2</v>
      </c>
      <c r="M84" s="15">
        <v>2</v>
      </c>
      <c r="N84" s="15">
        <v>2</v>
      </c>
    </row>
    <row r="85" spans="1:14" outlineLevel="1" x14ac:dyDescent="0.2">
      <c r="A85" s="9" t="s">
        <v>262</v>
      </c>
      <c r="B85" s="1" t="s">
        <v>263</v>
      </c>
      <c r="C85" s="15">
        <v>0</v>
      </c>
      <c r="D85" s="15">
        <v>0</v>
      </c>
      <c r="E85" s="15">
        <v>0</v>
      </c>
      <c r="F85" s="15">
        <v>1</v>
      </c>
      <c r="G85" s="15">
        <v>2</v>
      </c>
      <c r="H85" s="15">
        <v>2</v>
      </c>
      <c r="I85" s="15">
        <v>2</v>
      </c>
      <c r="J85" s="15">
        <v>0</v>
      </c>
      <c r="K85" s="15">
        <v>1</v>
      </c>
      <c r="L85" s="15">
        <v>2</v>
      </c>
      <c r="M85" s="15">
        <v>2</v>
      </c>
      <c r="N85" s="15">
        <v>2</v>
      </c>
    </row>
    <row r="86" spans="1:14" x14ac:dyDescent="0.2">
      <c r="A86" s="9" t="s">
        <v>264</v>
      </c>
      <c r="B86" s="1" t="s">
        <v>265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">
      <c r="A87" s="9" t="s">
        <v>268</v>
      </c>
      <c r="B87" s="1" t="s">
        <v>269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">
      <c r="A88" s="9" t="s">
        <v>270</v>
      </c>
      <c r="B88" s="1" t="s">
        <v>271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">
      <c r="A89" s="9" t="s">
        <v>272</v>
      </c>
      <c r="B89" s="1" t="s">
        <v>273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">
      <c r="A90" s="9" t="s">
        <v>274</v>
      </c>
      <c r="B90" s="1" t="s">
        <v>275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">
      <c r="A91" s="9" t="s">
        <v>276</v>
      </c>
      <c r="B91" s="1" t="s">
        <v>277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">
      <c r="A92" s="9" t="s">
        <v>280</v>
      </c>
      <c r="B92" s="1" t="s">
        <v>281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">
      <c r="A93" s="9" t="s">
        <v>284</v>
      </c>
      <c r="B93" s="1" t="s">
        <v>285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">
      <c r="A94" s="9" t="s">
        <v>288</v>
      </c>
      <c r="B94" s="1" t="s">
        <v>289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">
      <c r="A95" s="3"/>
      <c r="B95" s="3" t="s">
        <v>290</v>
      </c>
      <c r="C95" s="17" t="s">
        <v>292</v>
      </c>
      <c r="D95" s="17" t="s">
        <v>292</v>
      </c>
      <c r="E95" s="17" t="s">
        <v>292</v>
      </c>
      <c r="F95" s="17">
        <v>0</v>
      </c>
      <c r="G95" s="17">
        <v>0</v>
      </c>
      <c r="H95" s="17">
        <v>0</v>
      </c>
      <c r="I95" s="17">
        <v>0</v>
      </c>
      <c r="J95" s="17" t="s">
        <v>292</v>
      </c>
      <c r="K95" s="17">
        <v>0</v>
      </c>
      <c r="L95" s="17">
        <v>0</v>
      </c>
      <c r="M95" s="17">
        <v>0</v>
      </c>
      <c r="N95" s="17">
        <v>0</v>
      </c>
    </row>
    <row r="96" spans="1:14" x14ac:dyDescent="0.2">
      <c r="A96" s="3"/>
      <c r="B96" s="3" t="s">
        <v>291</v>
      </c>
      <c r="C96" s="17" t="s">
        <v>292</v>
      </c>
      <c r="D96" s="17" t="s">
        <v>292</v>
      </c>
      <c r="E96" s="17" t="s">
        <v>292</v>
      </c>
      <c r="F96" s="17" t="s">
        <v>292</v>
      </c>
      <c r="G96" s="17" t="s">
        <v>292</v>
      </c>
      <c r="H96" s="17" t="s">
        <v>292</v>
      </c>
      <c r="I96" s="17" t="s">
        <v>292</v>
      </c>
      <c r="J96" s="17" t="s">
        <v>292</v>
      </c>
      <c r="K96" s="17" t="s">
        <v>292</v>
      </c>
      <c r="L96" s="17" t="s">
        <v>292</v>
      </c>
      <c r="M96" s="17" t="s">
        <v>292</v>
      </c>
      <c r="N96" s="17" t="s">
        <v>292</v>
      </c>
    </row>
    <row r="97" spans="1:14" x14ac:dyDescent="0.2">
      <c r="A97" s="3"/>
      <c r="B97" s="3" t="s">
        <v>293</v>
      </c>
      <c r="C97" s="17" t="s">
        <v>292</v>
      </c>
      <c r="D97" s="17" t="s">
        <v>292</v>
      </c>
      <c r="E97" s="17" t="s">
        <v>292</v>
      </c>
      <c r="F97" s="17" t="s">
        <v>292</v>
      </c>
      <c r="G97" s="17" t="s">
        <v>292</v>
      </c>
      <c r="H97" s="17" t="s">
        <v>292</v>
      </c>
      <c r="I97" s="17" t="s">
        <v>292</v>
      </c>
      <c r="J97" s="17" t="s">
        <v>292</v>
      </c>
      <c r="K97" s="17" t="s">
        <v>292</v>
      </c>
      <c r="L97" s="17" t="s">
        <v>292</v>
      </c>
      <c r="M97" s="17" t="s">
        <v>292</v>
      </c>
      <c r="N97" s="17" t="s">
        <v>292</v>
      </c>
    </row>
    <row r="98" spans="1:14" x14ac:dyDescent="0.2">
      <c r="A98" s="3"/>
      <c r="B98" s="3" t="s">
        <v>294</v>
      </c>
      <c r="C98" s="17" t="s">
        <v>292</v>
      </c>
      <c r="D98" s="17" t="s">
        <v>292</v>
      </c>
      <c r="E98" s="17" t="s">
        <v>292</v>
      </c>
      <c r="F98" s="17">
        <v>0</v>
      </c>
      <c r="G98" s="17">
        <v>0</v>
      </c>
      <c r="H98" s="17">
        <v>0</v>
      </c>
      <c r="I98" s="17">
        <v>0</v>
      </c>
      <c r="J98" s="17" t="s">
        <v>292</v>
      </c>
      <c r="K98" s="17">
        <v>0</v>
      </c>
      <c r="L98" s="17">
        <v>0</v>
      </c>
      <c r="M98" s="17">
        <v>0</v>
      </c>
      <c r="N98" s="17">
        <v>0</v>
      </c>
    </row>
    <row r="99" spans="1:14" x14ac:dyDescent="0.2">
      <c r="A99" s="12"/>
      <c r="B99" s="12" t="s">
        <v>295</v>
      </c>
      <c r="C99" s="16" t="s">
        <v>292</v>
      </c>
      <c r="D99" s="16" t="s">
        <v>292</v>
      </c>
      <c r="E99" s="16" t="s">
        <v>292</v>
      </c>
      <c r="F99" s="16" t="s">
        <v>292</v>
      </c>
      <c r="G99" s="16" t="s">
        <v>292</v>
      </c>
      <c r="H99" s="16" t="s">
        <v>292</v>
      </c>
      <c r="I99" s="16" t="s">
        <v>292</v>
      </c>
      <c r="J99" s="16" t="s">
        <v>292</v>
      </c>
      <c r="K99" s="16" t="s">
        <v>292</v>
      </c>
      <c r="L99" s="16" t="s">
        <v>292</v>
      </c>
      <c r="M99" s="16" t="s">
        <v>292</v>
      </c>
      <c r="N99" s="16" t="s">
        <v>292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34257-1848-41DE-A90B-38EBD53049E6}">
  <sheetPr codeName="Hoja37">
    <tabColor rgb="FFFFFF00"/>
  </sheetPr>
  <dimension ref="A1:Q83"/>
  <sheetViews>
    <sheetView zoomScale="70" zoomScaleNormal="70" workbookViewId="0">
      <pane ySplit="6" topLeftCell="A43" activePane="bottomLeft" state="frozen"/>
      <selection activeCell="I54" sqref="I54"/>
      <selection pane="bottomLeft" activeCell="G60" sqref="G60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298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0">
        <f t="shared" ref="C7:I7" si="0">SUM(C8:C11)</f>
        <v>7.5</v>
      </c>
      <c r="D7" s="20">
        <f t="shared" si="0"/>
        <v>7.7</v>
      </c>
      <c r="E7" s="20">
        <f t="shared" si="0"/>
        <v>7.7</v>
      </c>
      <c r="F7" s="20">
        <f t="shared" si="0"/>
        <v>7.7</v>
      </c>
      <c r="G7" s="20">
        <f t="shared" si="0"/>
        <v>8.6</v>
      </c>
      <c r="H7" s="20">
        <f t="shared" si="0"/>
        <v>3.4</v>
      </c>
      <c r="I7" s="20">
        <f t="shared" si="0"/>
        <v>1.9</v>
      </c>
      <c r="J7" s="20">
        <f>SUM(J8:J11)</f>
        <v>7</v>
      </c>
      <c r="K7" s="20">
        <f t="shared" ref="K7:N7" si="1">SUM(K8:K11)</f>
        <v>9</v>
      </c>
      <c r="L7" s="20">
        <f t="shared" si="1"/>
        <v>9</v>
      </c>
      <c r="M7" s="20">
        <f t="shared" si="1"/>
        <v>8</v>
      </c>
      <c r="N7" s="20">
        <f t="shared" si="1"/>
        <v>8</v>
      </c>
    </row>
    <row r="8" spans="1:14" outlineLevel="1" x14ac:dyDescent="0.2">
      <c r="A8" s="9" t="s">
        <v>25</v>
      </c>
      <c r="B8" s="1" t="s">
        <v>26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3.4</v>
      </c>
      <c r="I9" s="10">
        <v>1.9</v>
      </c>
      <c r="J9" s="10">
        <v>0</v>
      </c>
      <c r="K9" s="10">
        <v>0</v>
      </c>
      <c r="L9" s="10">
        <v>0</v>
      </c>
      <c r="M9" s="10">
        <v>0</v>
      </c>
      <c r="N9" s="10">
        <v>8</v>
      </c>
    </row>
    <row r="10" spans="1:14" outlineLevel="1" x14ac:dyDescent="0.2">
      <c r="A10" s="9" t="s">
        <v>33</v>
      </c>
      <c r="B10" s="1" t="s">
        <v>34</v>
      </c>
      <c r="C10" s="10">
        <v>7.5</v>
      </c>
      <c r="D10" s="10">
        <v>7.7</v>
      </c>
      <c r="E10" s="10">
        <v>7.7</v>
      </c>
      <c r="F10" s="10">
        <v>7.7</v>
      </c>
      <c r="G10" s="10">
        <v>8.6</v>
      </c>
      <c r="H10" s="10">
        <v>0</v>
      </c>
      <c r="I10" s="10">
        <v>0</v>
      </c>
      <c r="J10" s="10">
        <v>7</v>
      </c>
      <c r="K10" s="10">
        <v>9</v>
      </c>
      <c r="L10" s="10">
        <v>9</v>
      </c>
      <c r="M10" s="10">
        <v>8</v>
      </c>
      <c r="N10" s="10">
        <v>0</v>
      </c>
    </row>
    <row r="11" spans="1:14" outlineLevel="1" x14ac:dyDescent="0.2">
      <c r="A11" s="9" t="s">
        <v>35</v>
      </c>
      <c r="B11" s="1" t="s">
        <v>36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9" t="s">
        <v>37</v>
      </c>
      <c r="B12" s="1" t="s">
        <v>38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</row>
    <row r="13" spans="1:14" x14ac:dyDescent="0.2">
      <c r="A13" s="9" t="s">
        <v>39</v>
      </c>
      <c r="B13" s="1" t="s">
        <v>40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</row>
    <row r="14" spans="1:14" x14ac:dyDescent="0.2">
      <c r="A14" s="9" t="s">
        <v>41</v>
      </c>
      <c r="B14" s="1" t="s">
        <v>42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</row>
    <row r="15" spans="1:14" x14ac:dyDescent="0.2">
      <c r="A15" s="9" t="s">
        <v>45</v>
      </c>
      <c r="B15" s="1" t="s">
        <v>46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</row>
    <row r="16" spans="1:14" x14ac:dyDescent="0.2">
      <c r="A16" s="12"/>
      <c r="B16" s="12" t="s">
        <v>47</v>
      </c>
      <c r="C16" s="13">
        <v>7.5</v>
      </c>
      <c r="D16" s="13">
        <v>7.7</v>
      </c>
      <c r="E16" s="13">
        <v>7.7</v>
      </c>
      <c r="F16" s="13">
        <v>7.7</v>
      </c>
      <c r="G16" s="13">
        <v>8.6</v>
      </c>
      <c r="H16" s="13">
        <v>3.4</v>
      </c>
      <c r="I16" s="13">
        <v>1.9</v>
      </c>
      <c r="J16" s="24">
        <f>+J7+J12+J13+J14+J15</f>
        <v>7</v>
      </c>
      <c r="K16" s="24">
        <f t="shared" ref="K16:N16" si="2">+K7+K12+K13+K14+K15</f>
        <v>9</v>
      </c>
      <c r="L16" s="24">
        <f t="shared" si="2"/>
        <v>9</v>
      </c>
      <c r="M16" s="24">
        <f t="shared" si="2"/>
        <v>8</v>
      </c>
      <c r="N16" s="24">
        <f t="shared" si="2"/>
        <v>8</v>
      </c>
    </row>
    <row r="17" spans="1:14" x14ac:dyDescent="0.2">
      <c r="A17" s="9" t="s">
        <v>48</v>
      </c>
      <c r="B17" s="1" t="s">
        <v>49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20">
        <f>SUM(J18:J19)</f>
        <v>0</v>
      </c>
      <c r="K17" s="20">
        <f t="shared" ref="K17:N17" si="3">SUM(K18:K19)</f>
        <v>0</v>
      </c>
      <c r="L17" s="20">
        <f t="shared" si="3"/>
        <v>0</v>
      </c>
      <c r="M17" s="20">
        <f t="shared" si="3"/>
        <v>0</v>
      </c>
      <c r="N17" s="20">
        <f t="shared" si="3"/>
        <v>0</v>
      </c>
    </row>
    <row r="18" spans="1:14" outlineLevel="1" x14ac:dyDescent="0.2">
      <c r="A18" s="9" t="s">
        <v>50</v>
      </c>
      <c r="B18" s="1" t="s">
        <v>51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outlineLevel="1" x14ac:dyDescent="0.2">
      <c r="A19" s="9" t="s">
        <v>59</v>
      </c>
      <c r="B19" s="1" t="s">
        <v>53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x14ac:dyDescent="0.2">
      <c r="A20" s="9" t="s">
        <v>60</v>
      </c>
      <c r="B20" s="1" t="s">
        <v>61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</row>
    <row r="21" spans="1:14" x14ac:dyDescent="0.2">
      <c r="A21" s="9" t="s">
        <v>62</v>
      </c>
      <c r="B21" s="1" t="s">
        <v>63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</row>
    <row r="22" spans="1:14" x14ac:dyDescent="0.2">
      <c r="A22" s="9" t="s">
        <v>64</v>
      </c>
      <c r="B22" s="1" t="s">
        <v>65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</row>
    <row r="23" spans="1:14" x14ac:dyDescent="0.2">
      <c r="A23" s="9" t="s">
        <v>68</v>
      </c>
      <c r="B23" s="1" t="s">
        <v>69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</row>
    <row r="24" spans="1:14" x14ac:dyDescent="0.2">
      <c r="A24" s="3"/>
      <c r="B24" s="3" t="s">
        <v>72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22">
        <f>+J17+J20+J21+J22+J23</f>
        <v>0</v>
      </c>
      <c r="K24" s="22">
        <f t="shared" ref="K24:N24" si="4">+K17+K20+K21+K22+K23</f>
        <v>0</v>
      </c>
      <c r="L24" s="22">
        <f t="shared" si="4"/>
        <v>0</v>
      </c>
      <c r="M24" s="22">
        <f t="shared" si="4"/>
        <v>0</v>
      </c>
      <c r="N24" s="22">
        <f t="shared" si="4"/>
        <v>0</v>
      </c>
    </row>
    <row r="25" spans="1:14" x14ac:dyDescent="0.2">
      <c r="A25" s="12"/>
      <c r="B25" s="12" t="s">
        <v>73</v>
      </c>
      <c r="C25" s="13">
        <v>7.5</v>
      </c>
      <c r="D25" s="13">
        <v>7.7</v>
      </c>
      <c r="E25" s="13">
        <v>7.7</v>
      </c>
      <c r="F25" s="13">
        <v>7.7</v>
      </c>
      <c r="G25" s="13">
        <v>8.6</v>
      </c>
      <c r="H25" s="13">
        <v>3.4</v>
      </c>
      <c r="I25" s="13">
        <v>1.9</v>
      </c>
      <c r="J25" s="24">
        <f>+J16-J24</f>
        <v>7</v>
      </c>
      <c r="K25" s="24">
        <f t="shared" ref="K25:N25" si="5">+K16-K24</f>
        <v>9</v>
      </c>
      <c r="L25" s="24">
        <f t="shared" si="5"/>
        <v>9</v>
      </c>
      <c r="M25" s="24">
        <f t="shared" si="5"/>
        <v>8</v>
      </c>
      <c r="N25" s="24">
        <f t="shared" si="5"/>
        <v>8</v>
      </c>
    </row>
    <row r="26" spans="1:14" x14ac:dyDescent="0.2">
      <c r="A26" s="9" t="s">
        <v>74</v>
      </c>
      <c r="B26" s="1" t="s">
        <v>74</v>
      </c>
      <c r="C26" s="10" t="s">
        <v>74</v>
      </c>
      <c r="D26" s="10" t="s">
        <v>74</v>
      </c>
      <c r="E26" s="10" t="s">
        <v>74</v>
      </c>
      <c r="F26" s="10" t="s">
        <v>74</v>
      </c>
      <c r="G26" s="10" t="s">
        <v>74</v>
      </c>
      <c r="H26" s="10" t="s">
        <v>74</v>
      </c>
      <c r="I26" s="10" t="s">
        <v>74</v>
      </c>
      <c r="J26" s="10" t="s">
        <v>74</v>
      </c>
      <c r="K26" s="10" t="s">
        <v>74</v>
      </c>
      <c r="L26" s="10" t="s">
        <v>74</v>
      </c>
      <c r="M26" s="10" t="s">
        <v>74</v>
      </c>
      <c r="N26" s="10" t="s">
        <v>74</v>
      </c>
    </row>
    <row r="27" spans="1:14" x14ac:dyDescent="0.2">
      <c r="A27" s="9" t="s">
        <v>75</v>
      </c>
      <c r="B27" s="1" t="s">
        <v>76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</row>
    <row r="28" spans="1:14" x14ac:dyDescent="0.2">
      <c r="A28" s="9" t="s">
        <v>111</v>
      </c>
      <c r="B28" s="1" t="s">
        <v>112</v>
      </c>
      <c r="C28" s="20">
        <f t="shared" ref="C28:I28" si="6">+C29</f>
        <v>0</v>
      </c>
      <c r="D28" s="20">
        <f t="shared" si="6"/>
        <v>0</v>
      </c>
      <c r="E28" s="20">
        <f t="shared" si="6"/>
        <v>0</v>
      </c>
      <c r="F28" s="20">
        <f t="shared" si="6"/>
        <v>0</v>
      </c>
      <c r="G28" s="20">
        <f t="shared" si="6"/>
        <v>0</v>
      </c>
      <c r="H28" s="20">
        <f t="shared" si="6"/>
        <v>0</v>
      </c>
      <c r="I28" s="20">
        <f t="shared" si="6"/>
        <v>0</v>
      </c>
      <c r="J28" s="20">
        <f>+J29</f>
        <v>0</v>
      </c>
      <c r="K28" s="20">
        <f t="shared" ref="K28:N28" si="7">+K29</f>
        <v>0</v>
      </c>
      <c r="L28" s="20">
        <f t="shared" si="7"/>
        <v>0</v>
      </c>
      <c r="M28" s="20">
        <f t="shared" si="7"/>
        <v>0</v>
      </c>
      <c r="N28" s="20">
        <f t="shared" si="7"/>
        <v>0</v>
      </c>
    </row>
    <row r="29" spans="1:14" outlineLevel="1" x14ac:dyDescent="0.2">
      <c r="A29" s="9" t="s">
        <v>115</v>
      </c>
      <c r="B29" s="1" t="s">
        <v>116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</row>
    <row r="30" spans="1:14" x14ac:dyDescent="0.2">
      <c r="A30" s="9" t="s">
        <v>119</v>
      </c>
      <c r="B30" s="1" t="s">
        <v>120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</row>
    <row r="31" spans="1:14" x14ac:dyDescent="0.2">
      <c r="A31" s="9" t="s">
        <v>127</v>
      </c>
      <c r="B31" s="1" t="s">
        <v>128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</row>
    <row r="32" spans="1:14" x14ac:dyDescent="0.2">
      <c r="A32" s="9" t="s">
        <v>133</v>
      </c>
      <c r="B32" s="1" t="s">
        <v>134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</row>
    <row r="33" spans="1:17" x14ac:dyDescent="0.2">
      <c r="A33" s="9" t="s">
        <v>137</v>
      </c>
      <c r="B33" s="1" t="s">
        <v>138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</row>
    <row r="34" spans="1:17" x14ac:dyDescent="0.2">
      <c r="A34" s="9" t="s">
        <v>139</v>
      </c>
      <c r="B34" s="1" t="s">
        <v>140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</row>
    <row r="35" spans="1:17" x14ac:dyDescent="0.2">
      <c r="A35" s="9" t="s">
        <v>141</v>
      </c>
      <c r="B35" s="1" t="s">
        <v>142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Q35" s="25"/>
    </row>
    <row r="36" spans="1:17" x14ac:dyDescent="0.2">
      <c r="A36" s="9" t="s">
        <v>143</v>
      </c>
      <c r="B36" s="1" t="s">
        <v>144</v>
      </c>
      <c r="C36" s="20">
        <f t="shared" ref="C36:M36" si="8">SUM(C37:C42)</f>
        <v>1.7</v>
      </c>
      <c r="D36" s="20">
        <f t="shared" si="8"/>
        <v>1</v>
      </c>
      <c r="E36" s="20">
        <f t="shared" si="8"/>
        <v>4.3</v>
      </c>
      <c r="F36" s="20">
        <f t="shared" si="8"/>
        <v>1</v>
      </c>
      <c r="G36" s="20">
        <f t="shared" si="8"/>
        <v>1.8</v>
      </c>
      <c r="H36" s="20">
        <f t="shared" si="8"/>
        <v>0.8</v>
      </c>
      <c r="I36" s="20">
        <f t="shared" si="8"/>
        <v>0.6</v>
      </c>
      <c r="J36" s="20">
        <f t="shared" ca="1" si="8"/>
        <v>1</v>
      </c>
      <c r="K36" s="20">
        <f t="shared" ca="1" si="8"/>
        <v>4.3</v>
      </c>
      <c r="L36" s="20">
        <f t="shared" ca="1" si="8"/>
        <v>3.2</v>
      </c>
      <c r="M36" s="20">
        <f t="shared" ca="1" si="8"/>
        <v>4.4000000000000004</v>
      </c>
      <c r="N36" s="20">
        <f t="shared" ref="N36" ca="1" si="9">SUM(N37:N42)</f>
        <v>1</v>
      </c>
    </row>
    <row r="37" spans="1:17" outlineLevel="1" x14ac:dyDescent="0.2">
      <c r="A37" s="9" t="s">
        <v>145</v>
      </c>
      <c r="B37" s="1" t="s">
        <v>146</v>
      </c>
      <c r="C37" s="10">
        <v>1</v>
      </c>
      <c r="D37" s="10">
        <v>1</v>
      </c>
      <c r="E37" s="10">
        <v>1</v>
      </c>
      <c r="F37" s="10">
        <v>1</v>
      </c>
      <c r="G37" s="10">
        <v>1.8</v>
      </c>
      <c r="H37" s="10">
        <v>0.8</v>
      </c>
      <c r="I37" s="10">
        <v>0.6</v>
      </c>
      <c r="J37" s="10">
        <f t="shared" ref="J37:N37" ca="1" si="10">RANDBETWEEN(0.8,1.9)</f>
        <v>1</v>
      </c>
      <c r="K37" s="10">
        <f t="shared" ca="1" si="10"/>
        <v>1</v>
      </c>
      <c r="L37" s="10">
        <f t="shared" ca="1" si="10"/>
        <v>1</v>
      </c>
      <c r="M37" s="10">
        <f ca="1">RANDBETWEEN(0.8,1.9)</f>
        <v>1</v>
      </c>
      <c r="N37" s="10">
        <f t="shared" ca="1" si="10"/>
        <v>1</v>
      </c>
      <c r="Q37" s="25">
        <v>1</v>
      </c>
    </row>
    <row r="38" spans="1:17" outlineLevel="1" x14ac:dyDescent="0.2">
      <c r="A38" s="9" t="s">
        <v>147</v>
      </c>
      <c r="B38" s="1" t="s">
        <v>148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7" outlineLevel="1" x14ac:dyDescent="0.2">
      <c r="A39" s="9" t="s">
        <v>149</v>
      </c>
      <c r="B39" s="1" t="s">
        <v>150</v>
      </c>
      <c r="C39" s="10">
        <v>0</v>
      </c>
      <c r="D39" s="10">
        <v>0</v>
      </c>
      <c r="E39" s="10">
        <v>3.3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3.3</v>
      </c>
      <c r="L39" s="10">
        <v>2.2000000000000002</v>
      </c>
      <c r="M39" s="10">
        <v>3.4</v>
      </c>
      <c r="N39" s="10">
        <v>0</v>
      </c>
    </row>
    <row r="40" spans="1:17" outlineLevel="1" x14ac:dyDescent="0.2">
      <c r="A40" s="9" t="s">
        <v>151</v>
      </c>
      <c r="B40" s="1" t="s">
        <v>152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7" outlineLevel="1" x14ac:dyDescent="0.2">
      <c r="A41" s="9" t="s">
        <v>153</v>
      </c>
      <c r="B41" s="1" t="s">
        <v>154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7" outlineLevel="1" x14ac:dyDescent="0.2">
      <c r="A42" s="9" t="s">
        <v>155</v>
      </c>
      <c r="B42" s="1" t="s">
        <v>156</v>
      </c>
      <c r="C42" s="10">
        <v>0.7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7" x14ac:dyDescent="0.2">
      <c r="A43" s="9" t="s">
        <v>157</v>
      </c>
      <c r="B43" s="1" t="s">
        <v>158</v>
      </c>
      <c r="C43" s="20">
        <f t="shared" ref="C43" si="11">+C44</f>
        <v>0.2</v>
      </c>
      <c r="D43" s="20">
        <f t="shared" ref="D43" si="12">+D44</f>
        <v>-0.1</v>
      </c>
      <c r="E43" s="20">
        <f t="shared" ref="E43" si="13">+E44</f>
        <v>0.2</v>
      </c>
      <c r="F43" s="20">
        <f t="shared" ref="F43" si="14">+F44</f>
        <v>-0.1</v>
      </c>
      <c r="G43" s="20">
        <f t="shared" ref="G43" si="15">+G44</f>
        <v>-0.1</v>
      </c>
      <c r="H43" s="20">
        <f t="shared" ref="H43" si="16">+H44</f>
        <v>-0.1</v>
      </c>
      <c r="I43" s="20">
        <f t="shared" ref="I43" si="17">+I44</f>
        <v>-0.3</v>
      </c>
      <c r="J43" s="20">
        <f t="shared" ref="J43" si="18">+J44</f>
        <v>-0.1</v>
      </c>
      <c r="K43" s="20">
        <f t="shared" ref="K43" si="19">+K44</f>
        <v>0.2</v>
      </c>
      <c r="L43" s="20">
        <f t="shared" ref="L43" si="20">+L44</f>
        <v>-0.1</v>
      </c>
      <c r="M43" s="20">
        <f t="shared" ref="M43" si="21">+M44</f>
        <v>-0.1</v>
      </c>
      <c r="N43" s="20">
        <f t="shared" ref="N43" si="22">+N44</f>
        <v>-0.1</v>
      </c>
    </row>
    <row r="44" spans="1:17" outlineLevel="1" x14ac:dyDescent="0.2">
      <c r="A44" s="9" t="s">
        <v>159</v>
      </c>
      <c r="B44" s="1" t="s">
        <v>160</v>
      </c>
      <c r="C44" s="10">
        <v>0.2</v>
      </c>
      <c r="D44" s="10">
        <v>-0.1</v>
      </c>
      <c r="E44" s="10">
        <v>0.2</v>
      </c>
      <c r="F44" s="10">
        <v>-0.1</v>
      </c>
      <c r="G44" s="10">
        <v>-0.1</v>
      </c>
      <c r="H44" s="10">
        <v>-0.1</v>
      </c>
      <c r="I44" s="10">
        <v>-0.3</v>
      </c>
      <c r="J44" s="10">
        <v>-0.1</v>
      </c>
      <c r="K44" s="10">
        <v>0.2</v>
      </c>
      <c r="L44" s="10">
        <v>-0.1</v>
      </c>
      <c r="M44" s="10">
        <v>-0.1</v>
      </c>
      <c r="N44" s="10">
        <v>-0.1</v>
      </c>
    </row>
    <row r="45" spans="1:17" x14ac:dyDescent="0.2">
      <c r="A45" s="3"/>
      <c r="B45" s="3" t="s">
        <v>165</v>
      </c>
      <c r="C45" s="22">
        <f t="shared" ref="C45:M45" si="23">+C27+C28+C30+C31+C32+C33+C34+C35+C36+C43</f>
        <v>1.9</v>
      </c>
      <c r="D45" s="22">
        <f t="shared" si="23"/>
        <v>0.9</v>
      </c>
      <c r="E45" s="22">
        <f t="shared" si="23"/>
        <v>4.5</v>
      </c>
      <c r="F45" s="22">
        <f t="shared" si="23"/>
        <v>0.9</v>
      </c>
      <c r="G45" s="22">
        <f t="shared" si="23"/>
        <v>1.7</v>
      </c>
      <c r="H45" s="22">
        <f t="shared" si="23"/>
        <v>0.70000000000000007</v>
      </c>
      <c r="I45" s="22">
        <f t="shared" si="23"/>
        <v>0.3</v>
      </c>
      <c r="J45" s="22">
        <f t="shared" ca="1" si="23"/>
        <v>0.9</v>
      </c>
      <c r="K45" s="22">
        <f t="shared" ca="1" si="23"/>
        <v>4.5</v>
      </c>
      <c r="L45" s="22">
        <f t="shared" ca="1" si="23"/>
        <v>3.1</v>
      </c>
      <c r="M45" s="22">
        <f t="shared" ca="1" si="23"/>
        <v>4.3000000000000007</v>
      </c>
      <c r="N45" s="22">
        <f t="shared" ref="N45" ca="1" si="24">+N27+N28+N30+N31+N32+N33+N34+N35+N36+N43</f>
        <v>0.9</v>
      </c>
    </row>
    <row r="46" spans="1:17" x14ac:dyDescent="0.2">
      <c r="A46" s="12"/>
      <c r="B46" s="12" t="s">
        <v>166</v>
      </c>
      <c r="C46" s="24">
        <f t="shared" ref="C46:M46" si="25">+C25-C45</f>
        <v>5.6</v>
      </c>
      <c r="D46" s="24">
        <f t="shared" si="25"/>
        <v>6.8</v>
      </c>
      <c r="E46" s="24">
        <f t="shared" si="25"/>
        <v>3.2</v>
      </c>
      <c r="F46" s="24">
        <f t="shared" si="25"/>
        <v>6.8</v>
      </c>
      <c r="G46" s="24">
        <f t="shared" si="25"/>
        <v>6.8999999999999995</v>
      </c>
      <c r="H46" s="24">
        <f t="shared" si="25"/>
        <v>2.6999999999999997</v>
      </c>
      <c r="I46" s="24">
        <f t="shared" si="25"/>
        <v>1.5999999999999999</v>
      </c>
      <c r="J46" s="24">
        <f t="shared" ca="1" si="25"/>
        <v>6.1</v>
      </c>
      <c r="K46" s="24">
        <f t="shared" ca="1" si="25"/>
        <v>4.5</v>
      </c>
      <c r="L46" s="24">
        <f t="shared" ca="1" si="25"/>
        <v>5.9</v>
      </c>
      <c r="M46" s="24">
        <f t="shared" ca="1" si="25"/>
        <v>3.6999999999999993</v>
      </c>
      <c r="N46" s="24">
        <f t="shared" ref="N46" ca="1" si="26">+N25-N45</f>
        <v>7.1</v>
      </c>
    </row>
    <row r="47" spans="1:17" x14ac:dyDescent="0.2">
      <c r="A47" s="9" t="s">
        <v>167</v>
      </c>
      <c r="B47" s="1" t="s">
        <v>168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</row>
    <row r="48" spans="1:17" x14ac:dyDescent="0.2">
      <c r="A48" s="9" t="s">
        <v>200</v>
      </c>
      <c r="B48" s="1" t="s">
        <v>201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2.2000000000000002</v>
      </c>
      <c r="I48" s="10">
        <v>4.9000000000000004</v>
      </c>
      <c r="J48" s="20">
        <f>SUM(J49:J50)</f>
        <v>0</v>
      </c>
      <c r="K48" s="20">
        <f t="shared" ref="K48:N48" si="27">SUM(K49:K50)</f>
        <v>0</v>
      </c>
      <c r="L48" s="20">
        <f t="shared" si="27"/>
        <v>1.2</v>
      </c>
      <c r="M48" s="20">
        <f t="shared" si="27"/>
        <v>0</v>
      </c>
      <c r="N48" s="20">
        <f t="shared" si="27"/>
        <v>2.2000000000000002</v>
      </c>
    </row>
    <row r="49" spans="1:14" outlineLevel="1" x14ac:dyDescent="0.2">
      <c r="A49" s="9" t="s">
        <v>220</v>
      </c>
      <c r="B49" s="1" t="s">
        <v>221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outlineLevel="1" x14ac:dyDescent="0.2">
      <c r="A50" s="9" t="s">
        <v>222</v>
      </c>
      <c r="B50" s="1" t="s">
        <v>223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2.2000000000000002</v>
      </c>
      <c r="I50" s="10">
        <v>4.9000000000000004</v>
      </c>
      <c r="J50" s="10">
        <v>0</v>
      </c>
      <c r="K50" s="10">
        <v>0</v>
      </c>
      <c r="L50" s="10">
        <v>1.2</v>
      </c>
      <c r="M50" s="10">
        <v>0</v>
      </c>
      <c r="N50" s="10">
        <v>2.2000000000000002</v>
      </c>
    </row>
    <row r="51" spans="1:14" x14ac:dyDescent="0.2">
      <c r="A51" s="9" t="s">
        <v>226</v>
      </c>
      <c r="B51" s="1" t="s">
        <v>227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</row>
    <row r="52" spans="1:14" x14ac:dyDescent="0.2">
      <c r="A52" s="9" t="s">
        <v>228</v>
      </c>
      <c r="B52" s="1" t="s">
        <v>229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</row>
    <row r="53" spans="1:14" x14ac:dyDescent="0.2">
      <c r="A53" s="9" t="s">
        <v>230</v>
      </c>
      <c r="B53" s="1" t="s">
        <v>231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20">
        <f>+J54</f>
        <v>0</v>
      </c>
      <c r="K53" s="20">
        <f t="shared" ref="K53:N53" si="28">+K54</f>
        <v>0</v>
      </c>
      <c r="L53" s="20">
        <f t="shared" si="28"/>
        <v>0</v>
      </c>
      <c r="M53" s="20">
        <f t="shared" si="28"/>
        <v>0</v>
      </c>
      <c r="N53" s="20">
        <f t="shared" si="28"/>
        <v>0</v>
      </c>
    </row>
    <row r="54" spans="1:14" outlineLevel="1" x14ac:dyDescent="0.2">
      <c r="A54" s="9" t="s">
        <v>232</v>
      </c>
      <c r="B54" s="1" t="s">
        <v>233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x14ac:dyDescent="0.2">
      <c r="A55" s="3"/>
      <c r="B55" s="3" t="s">
        <v>236</v>
      </c>
      <c r="C55" s="22">
        <f t="shared" ref="C55:I55" si="29">+C47+C48+C51+C52+C53</f>
        <v>0</v>
      </c>
      <c r="D55" s="22">
        <f t="shared" si="29"/>
        <v>0</v>
      </c>
      <c r="E55" s="22">
        <f t="shared" si="29"/>
        <v>0</v>
      </c>
      <c r="F55" s="22">
        <f t="shared" si="29"/>
        <v>0</v>
      </c>
      <c r="G55" s="22">
        <f t="shared" si="29"/>
        <v>0</v>
      </c>
      <c r="H55" s="22">
        <f t="shared" si="29"/>
        <v>2.2000000000000002</v>
      </c>
      <c r="I55" s="22">
        <f t="shared" si="29"/>
        <v>4.9000000000000004</v>
      </c>
      <c r="J55" s="22">
        <f>+J47+J48+J51+J52+J53</f>
        <v>0</v>
      </c>
      <c r="K55" s="22">
        <f t="shared" ref="K55:N55" si="30">+K47+K48+K51+K52+K53</f>
        <v>0</v>
      </c>
      <c r="L55" s="22">
        <f t="shared" si="30"/>
        <v>1.2</v>
      </c>
      <c r="M55" s="22">
        <f t="shared" si="30"/>
        <v>0</v>
      </c>
      <c r="N55" s="22">
        <f t="shared" si="30"/>
        <v>2.2000000000000002</v>
      </c>
    </row>
    <row r="56" spans="1:14" x14ac:dyDescent="0.2">
      <c r="A56" s="12"/>
      <c r="B56" s="12" t="s">
        <v>237</v>
      </c>
      <c r="C56" s="24">
        <f t="shared" ref="C56:I56" si="31">+C46-C55</f>
        <v>5.6</v>
      </c>
      <c r="D56" s="24">
        <f t="shared" si="31"/>
        <v>6.8</v>
      </c>
      <c r="E56" s="24">
        <f t="shared" si="31"/>
        <v>3.2</v>
      </c>
      <c r="F56" s="24">
        <f t="shared" si="31"/>
        <v>6.8</v>
      </c>
      <c r="G56" s="24">
        <f t="shared" si="31"/>
        <v>6.8999999999999995</v>
      </c>
      <c r="H56" s="24">
        <f t="shared" si="31"/>
        <v>0.49999999999999956</v>
      </c>
      <c r="I56" s="24">
        <f t="shared" si="31"/>
        <v>-3.3000000000000007</v>
      </c>
      <c r="J56" s="24">
        <f ca="1">+J46-J55</f>
        <v>6.1</v>
      </c>
      <c r="K56" s="24">
        <f t="shared" ref="K56:N56" ca="1" si="32">+K46-K55</f>
        <v>4.5</v>
      </c>
      <c r="L56" s="24">
        <f t="shared" ca="1" si="32"/>
        <v>4.7</v>
      </c>
      <c r="M56" s="24">
        <f t="shared" ca="1" si="32"/>
        <v>3.6999999999999993</v>
      </c>
      <c r="N56" s="24">
        <f t="shared" ca="1" si="32"/>
        <v>4.8999999999999995</v>
      </c>
    </row>
    <row r="57" spans="1:14" x14ac:dyDescent="0.2">
      <c r="A57" s="9" t="s">
        <v>238</v>
      </c>
      <c r="B57" s="1" t="s">
        <v>239</v>
      </c>
      <c r="C57" s="10">
        <v>0.2</v>
      </c>
      <c r="D57" s="10">
        <v>0.2</v>
      </c>
      <c r="E57" s="10">
        <v>0.2</v>
      </c>
      <c r="F57" s="10">
        <v>0.2</v>
      </c>
      <c r="G57" s="10">
        <v>0.1</v>
      </c>
      <c r="H57" s="10">
        <v>0.2</v>
      </c>
      <c r="I57" s="10">
        <v>0.1</v>
      </c>
      <c r="J57" s="20">
        <f>+J58</f>
        <v>0.2</v>
      </c>
      <c r="K57" s="20">
        <f t="shared" ref="K57:N57" si="33">+K58</f>
        <v>0.2</v>
      </c>
      <c r="L57" s="20">
        <f t="shared" si="33"/>
        <v>0.2</v>
      </c>
      <c r="M57" s="20">
        <f t="shared" si="33"/>
        <v>0.1</v>
      </c>
      <c r="N57" s="20">
        <f t="shared" si="33"/>
        <v>0.2</v>
      </c>
    </row>
    <row r="58" spans="1:14" outlineLevel="1" x14ac:dyDescent="0.2">
      <c r="A58" s="9" t="s">
        <v>240</v>
      </c>
      <c r="B58" s="1" t="s">
        <v>241</v>
      </c>
      <c r="C58" s="10">
        <v>0.2</v>
      </c>
      <c r="D58" s="10">
        <v>0.2</v>
      </c>
      <c r="E58" s="10">
        <v>0.2</v>
      </c>
      <c r="F58" s="10">
        <v>0.2</v>
      </c>
      <c r="G58" s="10">
        <v>0.1</v>
      </c>
      <c r="H58" s="10">
        <v>0.2</v>
      </c>
      <c r="I58" s="10">
        <v>0.1</v>
      </c>
      <c r="J58" s="10">
        <v>0.2</v>
      </c>
      <c r="K58" s="10">
        <v>0.2</v>
      </c>
      <c r="L58" s="10">
        <v>0.2</v>
      </c>
      <c r="M58" s="10">
        <v>0.1</v>
      </c>
      <c r="N58" s="10">
        <v>0.2</v>
      </c>
    </row>
    <row r="59" spans="1:14" x14ac:dyDescent="0.2">
      <c r="A59" s="9" t="s">
        <v>244</v>
      </c>
      <c r="B59" s="1" t="s">
        <v>245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</row>
    <row r="60" spans="1:14" x14ac:dyDescent="0.2">
      <c r="A60" s="12"/>
      <c r="B60" s="12" t="s">
        <v>246</v>
      </c>
      <c r="C60" s="24">
        <f t="shared" ref="C60:I60" si="34">+C56-SUM(C57,C59)</f>
        <v>5.3999999999999995</v>
      </c>
      <c r="D60" s="24">
        <f t="shared" si="34"/>
        <v>6.6</v>
      </c>
      <c r="E60" s="24">
        <f t="shared" si="34"/>
        <v>3</v>
      </c>
      <c r="F60" s="24">
        <f t="shared" si="34"/>
        <v>6.6</v>
      </c>
      <c r="G60" s="24">
        <f t="shared" si="34"/>
        <v>6.8</v>
      </c>
      <c r="H60" s="24">
        <f t="shared" si="34"/>
        <v>0.29999999999999954</v>
      </c>
      <c r="I60" s="24">
        <f t="shared" si="34"/>
        <v>-3.4000000000000008</v>
      </c>
      <c r="J60" s="24">
        <f ca="1">+J56-SUM(J57,J59)</f>
        <v>5.8999999999999995</v>
      </c>
      <c r="K60" s="24">
        <f t="shared" ref="K60:N60" ca="1" si="35">+K56-SUM(K57,K59)</f>
        <v>4.3</v>
      </c>
      <c r="L60" s="24">
        <f t="shared" ca="1" si="35"/>
        <v>4.5</v>
      </c>
      <c r="M60" s="24">
        <f t="shared" ca="1" si="35"/>
        <v>3.5999999999999992</v>
      </c>
      <c r="N60" s="24">
        <f t="shared" ca="1" si="35"/>
        <v>4.6999999999999993</v>
      </c>
    </row>
    <row r="61" spans="1:14" x14ac:dyDescent="0.2">
      <c r="A61" s="9" t="s">
        <v>74</v>
      </c>
      <c r="B61" s="1" t="s">
        <v>74</v>
      </c>
      <c r="C61" s="15" t="s">
        <v>74</v>
      </c>
      <c r="D61" s="15" t="s">
        <v>74</v>
      </c>
      <c r="E61" s="15" t="s">
        <v>74</v>
      </c>
      <c r="F61" s="15" t="s">
        <v>74</v>
      </c>
      <c r="G61" s="15" t="s">
        <v>74</v>
      </c>
      <c r="H61" s="15" t="s">
        <v>74</v>
      </c>
      <c r="I61" s="15" t="s">
        <v>74</v>
      </c>
      <c r="J61" s="15" t="s">
        <v>74</v>
      </c>
      <c r="K61" s="15" t="s">
        <v>74</v>
      </c>
      <c r="L61" s="15" t="s">
        <v>74</v>
      </c>
      <c r="M61" s="15" t="s">
        <v>74</v>
      </c>
      <c r="N61" s="15" t="s">
        <v>74</v>
      </c>
    </row>
    <row r="62" spans="1:14" x14ac:dyDescent="0.2">
      <c r="A62" s="12"/>
      <c r="B62" s="12" t="s">
        <v>247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</row>
    <row r="63" spans="1:14" x14ac:dyDescent="0.2">
      <c r="A63" s="9" t="s">
        <v>248</v>
      </c>
      <c r="B63" s="1" t="s">
        <v>249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">
      <c r="A64" s="9" t="s">
        <v>252</v>
      </c>
      <c r="B64" s="1" t="s">
        <v>253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">
      <c r="A65" s="9" t="s">
        <v>256</v>
      </c>
      <c r="B65" s="1" t="s">
        <v>257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">
      <c r="A66" s="9" t="s">
        <v>260</v>
      </c>
      <c r="B66" s="1" t="s">
        <v>261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">
      <c r="A67" s="9" t="s">
        <v>264</v>
      </c>
      <c r="B67" s="1" t="s">
        <v>265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">
      <c r="A68" s="9" t="s">
        <v>268</v>
      </c>
      <c r="B68" s="1" t="s">
        <v>269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">
      <c r="A69" s="9" t="s">
        <v>270</v>
      </c>
      <c r="B69" s="1" t="s">
        <v>271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">
      <c r="A70" s="9" t="s">
        <v>272</v>
      </c>
      <c r="B70" s="1" t="s">
        <v>273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">
      <c r="A71" s="9" t="s">
        <v>274</v>
      </c>
      <c r="B71" s="1" t="s">
        <v>275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">
      <c r="A72" s="9" t="s">
        <v>276</v>
      </c>
      <c r="B72" s="1" t="s">
        <v>277</v>
      </c>
      <c r="C72" s="15">
        <v>45</v>
      </c>
      <c r="D72" s="15">
        <v>45</v>
      </c>
      <c r="E72" s="15">
        <v>45</v>
      </c>
      <c r="F72" s="15">
        <v>45</v>
      </c>
      <c r="G72" s="15">
        <v>45</v>
      </c>
      <c r="H72" s="15">
        <v>45</v>
      </c>
      <c r="I72" s="15">
        <v>45</v>
      </c>
      <c r="J72" s="15">
        <v>45</v>
      </c>
      <c r="K72" s="15">
        <v>45</v>
      </c>
      <c r="L72" s="15">
        <v>45</v>
      </c>
      <c r="M72" s="15">
        <v>45</v>
      </c>
      <c r="N72" s="15">
        <v>45</v>
      </c>
    </row>
    <row r="73" spans="1:14" outlineLevel="1" x14ac:dyDescent="0.2">
      <c r="A73" s="9" t="s">
        <v>278</v>
      </c>
      <c r="B73" s="1" t="s">
        <v>279</v>
      </c>
      <c r="C73" s="15">
        <v>45</v>
      </c>
      <c r="D73" s="15">
        <v>45</v>
      </c>
      <c r="E73" s="15">
        <v>45</v>
      </c>
      <c r="F73" s="15">
        <v>45</v>
      </c>
      <c r="G73" s="15">
        <v>45</v>
      </c>
      <c r="H73" s="15">
        <v>45</v>
      </c>
      <c r="I73" s="15">
        <v>45</v>
      </c>
      <c r="J73" s="15">
        <v>45</v>
      </c>
      <c r="K73" s="15">
        <v>45</v>
      </c>
      <c r="L73" s="15">
        <v>45</v>
      </c>
      <c r="M73" s="15">
        <v>45</v>
      </c>
      <c r="N73" s="15">
        <v>45</v>
      </c>
    </row>
    <row r="74" spans="1:14" x14ac:dyDescent="0.2">
      <c r="A74" s="9" t="s">
        <v>280</v>
      </c>
      <c r="B74" s="1" t="s">
        <v>281</v>
      </c>
      <c r="C74" s="15">
        <v>45</v>
      </c>
      <c r="D74" s="15">
        <v>45</v>
      </c>
      <c r="E74" s="15">
        <v>45</v>
      </c>
      <c r="F74" s="15">
        <v>45</v>
      </c>
      <c r="G74" s="15">
        <v>45</v>
      </c>
      <c r="H74" s="15">
        <v>45</v>
      </c>
      <c r="I74" s="15">
        <v>45</v>
      </c>
      <c r="J74" s="15">
        <v>45</v>
      </c>
      <c r="K74" s="15">
        <v>45</v>
      </c>
      <c r="L74" s="15">
        <v>45</v>
      </c>
      <c r="M74" s="15">
        <v>45</v>
      </c>
      <c r="N74" s="15">
        <v>45</v>
      </c>
    </row>
    <row r="75" spans="1:14" outlineLevel="1" x14ac:dyDescent="0.2">
      <c r="A75" s="9" t="s">
        <v>282</v>
      </c>
      <c r="B75" s="1" t="s">
        <v>283</v>
      </c>
      <c r="C75" s="15">
        <v>45</v>
      </c>
      <c r="D75" s="15">
        <v>45</v>
      </c>
      <c r="E75" s="15">
        <v>45</v>
      </c>
      <c r="F75" s="15">
        <v>45</v>
      </c>
      <c r="G75" s="15">
        <v>45</v>
      </c>
      <c r="H75" s="15">
        <v>45</v>
      </c>
      <c r="I75" s="15">
        <v>45</v>
      </c>
      <c r="J75" s="15">
        <v>45</v>
      </c>
      <c r="K75" s="15">
        <v>45</v>
      </c>
      <c r="L75" s="15">
        <v>45</v>
      </c>
      <c r="M75" s="15">
        <v>45</v>
      </c>
      <c r="N75" s="15">
        <v>45</v>
      </c>
    </row>
    <row r="76" spans="1:14" x14ac:dyDescent="0.2">
      <c r="A76" s="9" t="s">
        <v>284</v>
      </c>
      <c r="B76" s="1" t="s">
        <v>285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outlineLevel="1" x14ac:dyDescent="0.2">
      <c r="A77" s="9" t="s">
        <v>286</v>
      </c>
      <c r="B77" s="1" t="s">
        <v>287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">
      <c r="A78" s="9" t="s">
        <v>288</v>
      </c>
      <c r="B78" s="1" t="s">
        <v>289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">
      <c r="A79" s="3"/>
      <c r="B79" s="3" t="s">
        <v>290</v>
      </c>
      <c r="C79" s="17" t="s">
        <v>292</v>
      </c>
      <c r="D79" s="17" t="s">
        <v>292</v>
      </c>
      <c r="E79" s="17" t="s">
        <v>292</v>
      </c>
      <c r="F79" s="17" t="s">
        <v>292</v>
      </c>
      <c r="G79" s="17" t="s">
        <v>292</v>
      </c>
      <c r="H79" s="17" t="s">
        <v>292</v>
      </c>
      <c r="I79" s="17" t="s">
        <v>292</v>
      </c>
      <c r="J79" s="17" t="s">
        <v>292</v>
      </c>
      <c r="K79" s="17" t="s">
        <v>292</v>
      </c>
      <c r="L79" s="17" t="s">
        <v>292</v>
      </c>
      <c r="M79" s="17" t="s">
        <v>292</v>
      </c>
      <c r="N79" s="17" t="s">
        <v>292</v>
      </c>
    </row>
    <row r="80" spans="1:14" x14ac:dyDescent="0.2">
      <c r="A80" s="3"/>
      <c r="B80" s="3" t="s">
        <v>291</v>
      </c>
      <c r="C80" s="17" t="s">
        <v>292</v>
      </c>
      <c r="D80" s="17" t="s">
        <v>292</v>
      </c>
      <c r="E80" s="17" t="s">
        <v>292</v>
      </c>
      <c r="F80" s="17" t="s">
        <v>292</v>
      </c>
      <c r="G80" s="17" t="s">
        <v>292</v>
      </c>
      <c r="H80" s="17" t="s">
        <v>292</v>
      </c>
      <c r="I80" s="17" t="s">
        <v>292</v>
      </c>
      <c r="J80" s="17" t="s">
        <v>292</v>
      </c>
      <c r="K80" s="17" t="s">
        <v>292</v>
      </c>
      <c r="L80" s="17" t="s">
        <v>292</v>
      </c>
      <c r="M80" s="17" t="s">
        <v>292</v>
      </c>
      <c r="N80" s="17" t="s">
        <v>292</v>
      </c>
    </row>
    <row r="81" spans="1:14" x14ac:dyDescent="0.2">
      <c r="A81" s="3"/>
      <c r="B81" s="3" t="s">
        <v>293</v>
      </c>
      <c r="C81" s="17" t="s">
        <v>292</v>
      </c>
      <c r="D81" s="17" t="s">
        <v>292</v>
      </c>
      <c r="E81" s="17" t="s">
        <v>292</v>
      </c>
      <c r="F81" s="17" t="s">
        <v>292</v>
      </c>
      <c r="G81" s="17" t="s">
        <v>292</v>
      </c>
      <c r="H81" s="17" t="s">
        <v>292</v>
      </c>
      <c r="I81" s="17" t="s">
        <v>292</v>
      </c>
      <c r="J81" s="17" t="s">
        <v>292</v>
      </c>
      <c r="K81" s="17" t="s">
        <v>292</v>
      </c>
      <c r="L81" s="17" t="s">
        <v>292</v>
      </c>
      <c r="M81" s="17" t="s">
        <v>292</v>
      </c>
      <c r="N81" s="17" t="s">
        <v>292</v>
      </c>
    </row>
    <row r="82" spans="1:14" x14ac:dyDescent="0.2">
      <c r="A82" s="3"/>
      <c r="B82" s="3" t="s">
        <v>294</v>
      </c>
      <c r="C82" s="17" t="s">
        <v>292</v>
      </c>
      <c r="D82" s="17" t="s">
        <v>292</v>
      </c>
      <c r="E82" s="17" t="s">
        <v>292</v>
      </c>
      <c r="F82" s="17" t="s">
        <v>292</v>
      </c>
      <c r="G82" s="17" t="s">
        <v>292</v>
      </c>
      <c r="H82" s="17" t="s">
        <v>292</v>
      </c>
      <c r="I82" s="17" t="s">
        <v>292</v>
      </c>
      <c r="J82" s="17" t="s">
        <v>292</v>
      </c>
      <c r="K82" s="17" t="s">
        <v>292</v>
      </c>
      <c r="L82" s="17" t="s">
        <v>292</v>
      </c>
      <c r="M82" s="17" t="s">
        <v>292</v>
      </c>
      <c r="N82" s="17" t="s">
        <v>292</v>
      </c>
    </row>
    <row r="83" spans="1:14" x14ac:dyDescent="0.2">
      <c r="A83" s="12"/>
      <c r="B83" s="12" t="s">
        <v>295</v>
      </c>
      <c r="C83" s="16" t="s">
        <v>292</v>
      </c>
      <c r="D83" s="16" t="s">
        <v>292</v>
      </c>
      <c r="E83" s="16" t="s">
        <v>292</v>
      </c>
      <c r="F83" s="16" t="s">
        <v>292</v>
      </c>
      <c r="G83" s="16" t="s">
        <v>292</v>
      </c>
      <c r="H83" s="16" t="s">
        <v>292</v>
      </c>
      <c r="I83" s="16" t="s">
        <v>292</v>
      </c>
      <c r="J83" s="16" t="s">
        <v>292</v>
      </c>
      <c r="K83" s="16" t="s">
        <v>292</v>
      </c>
      <c r="L83" s="16" t="s">
        <v>292</v>
      </c>
      <c r="M83" s="16" t="s">
        <v>292</v>
      </c>
      <c r="N83" s="16" t="s">
        <v>292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C8F27-399F-4C0F-9D25-54B19AA5FA8C}">
  <sheetPr codeName="Hoja38">
    <tabColor rgb="FFFFFF00"/>
  </sheetPr>
  <dimension ref="A1:N65"/>
  <sheetViews>
    <sheetView zoomScale="85" zoomScaleNormal="85" workbookViewId="0">
      <pane ySplit="6" topLeftCell="A40" activePane="bottomLeft" state="frozen"/>
      <selection activeCell="I54" sqref="I54"/>
      <selection pane="bottomLeft" activeCell="C7" sqref="C7"/>
    </sheetView>
  </sheetViews>
  <sheetFormatPr baseColWidth="10" defaultRowHeight="12" outlineLevelRow="1" x14ac:dyDescent="0.2"/>
  <cols>
    <col min="1" max="1" width="11.7109375" style="1" customWidth="1"/>
    <col min="2" max="2" width="36.140625" style="1" bestFit="1" customWidth="1"/>
    <col min="3" max="14" width="11.570312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299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f>+C8</f>
        <v>5</v>
      </c>
      <c r="D7" s="10">
        <f t="shared" ref="D7:N7" si="0">+D8</f>
        <v>5</v>
      </c>
      <c r="E7" s="10">
        <f t="shared" si="0"/>
        <v>5</v>
      </c>
      <c r="F7" s="10">
        <f t="shared" si="0"/>
        <v>5</v>
      </c>
      <c r="G7" s="10">
        <f t="shared" si="0"/>
        <v>5</v>
      </c>
      <c r="H7" s="10">
        <f t="shared" si="0"/>
        <v>5</v>
      </c>
      <c r="I7" s="10">
        <f t="shared" si="0"/>
        <v>5</v>
      </c>
      <c r="J7" s="10">
        <f t="shared" si="0"/>
        <v>5</v>
      </c>
      <c r="K7" s="10">
        <f t="shared" si="0"/>
        <v>5</v>
      </c>
      <c r="L7" s="10">
        <f t="shared" si="0"/>
        <v>5</v>
      </c>
      <c r="M7" s="10">
        <f t="shared" si="0"/>
        <v>5</v>
      </c>
      <c r="N7" s="10">
        <f t="shared" si="0"/>
        <v>5</v>
      </c>
    </row>
    <row r="8" spans="1:14" x14ac:dyDescent="0.2">
      <c r="A8" s="9" t="s">
        <v>33</v>
      </c>
      <c r="B8" s="1" t="s">
        <v>34</v>
      </c>
      <c r="C8" s="10">
        <v>5</v>
      </c>
      <c r="D8" s="10">
        <v>5</v>
      </c>
      <c r="E8" s="10">
        <v>5</v>
      </c>
      <c r="F8" s="10">
        <v>5</v>
      </c>
      <c r="G8" s="10">
        <v>5</v>
      </c>
      <c r="H8" s="10">
        <v>5</v>
      </c>
      <c r="I8" s="10">
        <v>5</v>
      </c>
      <c r="J8" s="10">
        <v>5</v>
      </c>
      <c r="K8" s="10">
        <v>5</v>
      </c>
      <c r="L8" s="10">
        <v>5</v>
      </c>
      <c r="M8" s="10">
        <v>5</v>
      </c>
      <c r="N8" s="10">
        <v>5</v>
      </c>
    </row>
    <row r="9" spans="1:14" x14ac:dyDescent="0.2">
      <c r="A9" s="9" t="s">
        <v>37</v>
      </c>
      <c r="B9" s="1" t="s">
        <v>38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">
      <c r="A10" s="9" t="s">
        <v>39</v>
      </c>
      <c r="B10" s="1" t="s">
        <v>40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x14ac:dyDescent="0.2">
      <c r="A11" s="9" t="s">
        <v>41</v>
      </c>
      <c r="B11" s="1" t="s">
        <v>42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9" t="s">
        <v>45</v>
      </c>
      <c r="B12" s="1" t="s">
        <v>46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</row>
    <row r="13" spans="1:14" x14ac:dyDescent="0.2">
      <c r="A13" s="12"/>
      <c r="B13" s="12" t="s">
        <v>47</v>
      </c>
      <c r="C13" s="24">
        <f t="shared" ref="C13:N13" si="1">+C7+C9+C10+C11+C12</f>
        <v>5</v>
      </c>
      <c r="D13" s="24">
        <f t="shared" si="1"/>
        <v>5</v>
      </c>
      <c r="E13" s="24">
        <f t="shared" si="1"/>
        <v>5</v>
      </c>
      <c r="F13" s="24">
        <f t="shared" si="1"/>
        <v>5</v>
      </c>
      <c r="G13" s="24">
        <f t="shared" si="1"/>
        <v>5</v>
      </c>
      <c r="H13" s="24">
        <f t="shared" si="1"/>
        <v>5</v>
      </c>
      <c r="I13" s="24">
        <f t="shared" si="1"/>
        <v>5</v>
      </c>
      <c r="J13" s="24">
        <f t="shared" si="1"/>
        <v>5</v>
      </c>
      <c r="K13" s="24">
        <f t="shared" si="1"/>
        <v>5</v>
      </c>
      <c r="L13" s="24">
        <f t="shared" si="1"/>
        <v>5</v>
      </c>
      <c r="M13" s="24">
        <f t="shared" si="1"/>
        <v>5</v>
      </c>
      <c r="N13" s="24">
        <f t="shared" si="1"/>
        <v>5</v>
      </c>
    </row>
    <row r="14" spans="1:14" x14ac:dyDescent="0.2">
      <c r="A14" s="9" t="s">
        <v>48</v>
      </c>
      <c r="B14" s="1" t="s">
        <v>49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x14ac:dyDescent="0.2">
      <c r="A15" s="9" t="s">
        <v>60</v>
      </c>
      <c r="B15" s="1" t="s">
        <v>61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x14ac:dyDescent="0.2">
      <c r="A16" s="9" t="s">
        <v>62</v>
      </c>
      <c r="B16" s="1" t="s">
        <v>63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</row>
    <row r="17" spans="1:14" x14ac:dyDescent="0.2">
      <c r="A17" s="9" t="s">
        <v>64</v>
      </c>
      <c r="B17" s="1" t="s">
        <v>65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9" t="s">
        <v>68</v>
      </c>
      <c r="B18" s="1" t="s">
        <v>69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x14ac:dyDescent="0.2">
      <c r="A19" s="3"/>
      <c r="B19" s="3" t="s">
        <v>72</v>
      </c>
      <c r="C19" s="24">
        <f>+C14+C15+C16+C17+C18</f>
        <v>0</v>
      </c>
      <c r="D19" s="24">
        <f t="shared" ref="D19:N19" si="2">+D14+D15+D16+D17+D18</f>
        <v>0</v>
      </c>
      <c r="E19" s="24">
        <f t="shared" si="2"/>
        <v>0</v>
      </c>
      <c r="F19" s="24">
        <f t="shared" si="2"/>
        <v>0</v>
      </c>
      <c r="G19" s="24">
        <f t="shared" si="2"/>
        <v>0</v>
      </c>
      <c r="H19" s="24">
        <f t="shared" si="2"/>
        <v>0</v>
      </c>
      <c r="I19" s="24">
        <f t="shared" si="2"/>
        <v>0</v>
      </c>
      <c r="J19" s="24">
        <f t="shared" si="2"/>
        <v>0</v>
      </c>
      <c r="K19" s="24">
        <f t="shared" si="2"/>
        <v>0</v>
      </c>
      <c r="L19" s="24">
        <f t="shared" si="2"/>
        <v>0</v>
      </c>
      <c r="M19" s="24">
        <f t="shared" si="2"/>
        <v>0</v>
      </c>
      <c r="N19" s="24">
        <f t="shared" si="2"/>
        <v>0</v>
      </c>
    </row>
    <row r="20" spans="1:14" x14ac:dyDescent="0.2">
      <c r="A20" s="12"/>
      <c r="B20" s="12" t="s">
        <v>73</v>
      </c>
      <c r="C20" s="26">
        <f>+C13-C19</f>
        <v>5</v>
      </c>
      <c r="D20" s="26">
        <f t="shared" ref="D20:N20" si="3">+D13-D19</f>
        <v>5</v>
      </c>
      <c r="E20" s="26">
        <f t="shared" si="3"/>
        <v>5</v>
      </c>
      <c r="F20" s="26">
        <f t="shared" si="3"/>
        <v>5</v>
      </c>
      <c r="G20" s="26">
        <f t="shared" si="3"/>
        <v>5</v>
      </c>
      <c r="H20" s="26">
        <f t="shared" si="3"/>
        <v>5</v>
      </c>
      <c r="I20" s="26">
        <f t="shared" si="3"/>
        <v>5</v>
      </c>
      <c r="J20" s="26">
        <f t="shared" si="3"/>
        <v>5</v>
      </c>
      <c r="K20" s="26">
        <f t="shared" si="3"/>
        <v>5</v>
      </c>
      <c r="L20" s="26">
        <f t="shared" si="3"/>
        <v>5</v>
      </c>
      <c r="M20" s="26">
        <f t="shared" si="3"/>
        <v>5</v>
      </c>
      <c r="N20" s="26">
        <f t="shared" si="3"/>
        <v>5</v>
      </c>
    </row>
    <row r="21" spans="1:14" x14ac:dyDescent="0.2">
      <c r="A21" s="9" t="s">
        <v>74</v>
      </c>
      <c r="B21" s="1" t="s">
        <v>74</v>
      </c>
      <c r="C21" s="10" t="s">
        <v>74</v>
      </c>
      <c r="D21" s="10" t="s">
        <v>74</v>
      </c>
      <c r="E21" s="10" t="s">
        <v>74</v>
      </c>
      <c r="F21" s="10" t="s">
        <v>74</v>
      </c>
      <c r="G21" s="10" t="s">
        <v>74</v>
      </c>
      <c r="H21" s="10" t="s">
        <v>74</v>
      </c>
      <c r="I21" s="10" t="s">
        <v>74</v>
      </c>
      <c r="J21" s="10" t="s">
        <v>74</v>
      </c>
      <c r="K21" s="10" t="s">
        <v>74</v>
      </c>
      <c r="L21" s="10" t="s">
        <v>74</v>
      </c>
      <c r="M21" s="10" t="s">
        <v>74</v>
      </c>
      <c r="N21" s="10" t="s">
        <v>74</v>
      </c>
    </row>
    <row r="22" spans="1:14" x14ac:dyDescent="0.2">
      <c r="A22" s="9" t="s">
        <v>75</v>
      </c>
      <c r="B22" s="1" t="s">
        <v>76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x14ac:dyDescent="0.2">
      <c r="A23" s="9" t="s">
        <v>111</v>
      </c>
      <c r="B23" s="1" t="s">
        <v>112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</row>
    <row r="24" spans="1:14" x14ac:dyDescent="0.2">
      <c r="A24" s="9" t="s">
        <v>119</v>
      </c>
      <c r="B24" s="1" t="s">
        <v>120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</row>
    <row r="25" spans="1:14" x14ac:dyDescent="0.2">
      <c r="A25" s="9" t="s">
        <v>127</v>
      </c>
      <c r="B25" s="1" t="s">
        <v>128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</row>
    <row r="26" spans="1:14" x14ac:dyDescent="0.2">
      <c r="A26" s="9" t="s">
        <v>133</v>
      </c>
      <c r="B26" s="1" t="s">
        <v>134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</row>
    <row r="27" spans="1:14" x14ac:dyDescent="0.2">
      <c r="A27" s="9" t="s">
        <v>137</v>
      </c>
      <c r="B27" s="1" t="s">
        <v>138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4" x14ac:dyDescent="0.2">
      <c r="A28" s="9" t="s">
        <v>139</v>
      </c>
      <c r="B28" s="1" t="s">
        <v>140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x14ac:dyDescent="0.2">
      <c r="A29" s="9" t="s">
        <v>141</v>
      </c>
      <c r="B29" s="1" t="s">
        <v>142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</row>
    <row r="30" spans="1:14" x14ac:dyDescent="0.2">
      <c r="A30" s="9" t="s">
        <v>143</v>
      </c>
      <c r="B30" s="1" t="s">
        <v>144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x14ac:dyDescent="0.2">
      <c r="A31" s="9" t="s">
        <v>157</v>
      </c>
      <c r="B31" s="1" t="s">
        <v>158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x14ac:dyDescent="0.2">
      <c r="A32" s="3"/>
      <c r="B32" s="3" t="s">
        <v>165</v>
      </c>
      <c r="C32" s="24">
        <f t="shared" ref="C32:M32" si="4">+C23+C22+C24+C25+C26+C27+C28+C29+C30+C31</f>
        <v>0</v>
      </c>
      <c r="D32" s="24">
        <f t="shared" si="4"/>
        <v>0</v>
      </c>
      <c r="E32" s="24">
        <f t="shared" si="4"/>
        <v>0</v>
      </c>
      <c r="F32" s="24">
        <f t="shared" si="4"/>
        <v>0</v>
      </c>
      <c r="G32" s="24">
        <f t="shared" si="4"/>
        <v>0</v>
      </c>
      <c r="H32" s="24">
        <f t="shared" si="4"/>
        <v>0</v>
      </c>
      <c r="I32" s="24">
        <f t="shared" si="4"/>
        <v>0</v>
      </c>
      <c r="J32" s="24">
        <f t="shared" si="4"/>
        <v>0</v>
      </c>
      <c r="K32" s="24">
        <f t="shared" si="4"/>
        <v>0</v>
      </c>
      <c r="L32" s="24">
        <f t="shared" si="4"/>
        <v>0</v>
      </c>
      <c r="M32" s="24">
        <f t="shared" si="4"/>
        <v>0</v>
      </c>
      <c r="N32" s="24">
        <f>+N23+N22+N24+N25+N26+N27+N28+N29+N30+N31</f>
        <v>0</v>
      </c>
    </row>
    <row r="33" spans="1:14" x14ac:dyDescent="0.2">
      <c r="A33" s="12"/>
      <c r="B33" s="12" t="s">
        <v>166</v>
      </c>
      <c r="C33" s="26">
        <f t="shared" ref="C33:N33" si="5">+C20-C32</f>
        <v>5</v>
      </c>
      <c r="D33" s="26">
        <f t="shared" si="5"/>
        <v>5</v>
      </c>
      <c r="E33" s="26">
        <f t="shared" si="5"/>
        <v>5</v>
      </c>
      <c r="F33" s="26">
        <f t="shared" si="5"/>
        <v>5</v>
      </c>
      <c r="G33" s="26">
        <f t="shared" si="5"/>
        <v>5</v>
      </c>
      <c r="H33" s="26">
        <f t="shared" si="5"/>
        <v>5</v>
      </c>
      <c r="I33" s="26">
        <f t="shared" si="5"/>
        <v>5</v>
      </c>
      <c r="J33" s="26">
        <f t="shared" si="5"/>
        <v>5</v>
      </c>
      <c r="K33" s="26">
        <f t="shared" si="5"/>
        <v>5</v>
      </c>
      <c r="L33" s="26">
        <f t="shared" si="5"/>
        <v>5</v>
      </c>
      <c r="M33" s="26">
        <f t="shared" si="5"/>
        <v>5</v>
      </c>
      <c r="N33" s="26">
        <f t="shared" si="5"/>
        <v>5</v>
      </c>
    </row>
    <row r="34" spans="1:14" x14ac:dyDescent="0.2">
      <c r="A34" s="9" t="s">
        <v>167</v>
      </c>
      <c r="B34" s="1" t="s">
        <v>168</v>
      </c>
      <c r="C34" s="10">
        <f>+C35</f>
        <v>1</v>
      </c>
      <c r="D34" s="10">
        <f t="shared" ref="D34:N34" si="6">+D35</f>
        <v>1</v>
      </c>
      <c r="E34" s="10">
        <f t="shared" si="6"/>
        <v>2</v>
      </c>
      <c r="F34" s="10">
        <f t="shared" si="6"/>
        <v>2</v>
      </c>
      <c r="G34" s="10">
        <f t="shared" si="6"/>
        <v>2</v>
      </c>
      <c r="H34" s="10">
        <f t="shared" si="6"/>
        <v>1</v>
      </c>
      <c r="I34" s="10">
        <f t="shared" si="6"/>
        <v>1</v>
      </c>
      <c r="J34" s="10">
        <f t="shared" si="6"/>
        <v>1</v>
      </c>
      <c r="K34" s="10">
        <f t="shared" si="6"/>
        <v>1</v>
      </c>
      <c r="L34" s="10">
        <f t="shared" si="6"/>
        <v>1</v>
      </c>
      <c r="M34" s="10">
        <f t="shared" si="6"/>
        <v>2</v>
      </c>
      <c r="N34" s="10">
        <f t="shared" si="6"/>
        <v>1</v>
      </c>
    </row>
    <row r="35" spans="1:14" outlineLevel="1" x14ac:dyDescent="0.2">
      <c r="A35" s="9" t="s">
        <v>171</v>
      </c>
      <c r="B35" s="1" t="s">
        <v>172</v>
      </c>
      <c r="C35" s="10">
        <v>1</v>
      </c>
      <c r="D35" s="10">
        <v>1</v>
      </c>
      <c r="E35" s="10">
        <v>2</v>
      </c>
      <c r="F35" s="10">
        <v>2</v>
      </c>
      <c r="G35" s="10">
        <v>2</v>
      </c>
      <c r="H35" s="10">
        <v>1</v>
      </c>
      <c r="I35" s="10">
        <v>1</v>
      </c>
      <c r="J35" s="10">
        <v>1</v>
      </c>
      <c r="K35" s="10">
        <v>1</v>
      </c>
      <c r="L35" s="10">
        <v>1</v>
      </c>
      <c r="M35" s="10">
        <v>2</v>
      </c>
      <c r="N35" s="10">
        <v>1</v>
      </c>
    </row>
    <row r="36" spans="1:14" x14ac:dyDescent="0.2">
      <c r="A36" s="9" t="s">
        <v>200</v>
      </c>
      <c r="B36" s="1" t="s">
        <v>201</v>
      </c>
      <c r="C36" s="10">
        <f>+C37</f>
        <v>0</v>
      </c>
      <c r="D36" s="10">
        <f t="shared" ref="D36:N36" si="7">+D37</f>
        <v>0</v>
      </c>
      <c r="E36" s="10">
        <f t="shared" si="7"/>
        <v>0</v>
      </c>
      <c r="F36" s="10">
        <f t="shared" si="7"/>
        <v>0</v>
      </c>
      <c r="G36" s="10">
        <f t="shared" si="7"/>
        <v>0</v>
      </c>
      <c r="H36" s="10">
        <f t="shared" si="7"/>
        <v>0</v>
      </c>
      <c r="I36" s="10">
        <f t="shared" si="7"/>
        <v>0</v>
      </c>
      <c r="J36" s="10">
        <f t="shared" si="7"/>
        <v>0</v>
      </c>
      <c r="K36" s="10">
        <f t="shared" si="7"/>
        <v>0</v>
      </c>
      <c r="L36" s="10">
        <f t="shared" si="7"/>
        <v>0</v>
      </c>
      <c r="M36" s="10">
        <f t="shared" si="7"/>
        <v>0</v>
      </c>
      <c r="N36" s="10">
        <f t="shared" si="7"/>
        <v>0</v>
      </c>
    </row>
    <row r="37" spans="1:14" outlineLevel="1" x14ac:dyDescent="0.2">
      <c r="A37" s="9" t="s">
        <v>220</v>
      </c>
      <c r="B37" s="1" t="s">
        <v>221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</row>
    <row r="38" spans="1:14" x14ac:dyDescent="0.2">
      <c r="A38" s="9" t="s">
        <v>226</v>
      </c>
      <c r="B38" s="1" t="s">
        <v>227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x14ac:dyDescent="0.2">
      <c r="A39" s="9" t="s">
        <v>228</v>
      </c>
      <c r="B39" s="1" t="s">
        <v>229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x14ac:dyDescent="0.2">
      <c r="A40" s="9" t="s">
        <v>230</v>
      </c>
      <c r="B40" s="1" t="s">
        <v>231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x14ac:dyDescent="0.2">
      <c r="A41" s="3"/>
      <c r="B41" s="3" t="s">
        <v>236</v>
      </c>
      <c r="C41" s="24">
        <f>+C34+C36+C38+C39+C40</f>
        <v>1</v>
      </c>
      <c r="D41" s="24">
        <f t="shared" ref="D41:N41" si="8">+D34+D36+D38+D39+D40</f>
        <v>1</v>
      </c>
      <c r="E41" s="24">
        <f t="shared" si="8"/>
        <v>2</v>
      </c>
      <c r="F41" s="24">
        <f t="shared" si="8"/>
        <v>2</v>
      </c>
      <c r="G41" s="24">
        <f t="shared" si="8"/>
        <v>2</v>
      </c>
      <c r="H41" s="24">
        <f t="shared" si="8"/>
        <v>1</v>
      </c>
      <c r="I41" s="24">
        <f t="shared" si="8"/>
        <v>1</v>
      </c>
      <c r="J41" s="24">
        <f t="shared" si="8"/>
        <v>1</v>
      </c>
      <c r="K41" s="24">
        <f t="shared" si="8"/>
        <v>1</v>
      </c>
      <c r="L41" s="24">
        <f t="shared" si="8"/>
        <v>1</v>
      </c>
      <c r="M41" s="24">
        <f t="shared" si="8"/>
        <v>2</v>
      </c>
      <c r="N41" s="24">
        <f t="shared" si="8"/>
        <v>1</v>
      </c>
    </row>
    <row r="42" spans="1:14" x14ac:dyDescent="0.2">
      <c r="A42" s="12"/>
      <c r="B42" s="12" t="s">
        <v>237</v>
      </c>
      <c r="C42" s="26">
        <f>+C33-C41</f>
        <v>4</v>
      </c>
      <c r="D42" s="26">
        <f t="shared" ref="D42:N42" si="9">+D33-D41</f>
        <v>4</v>
      </c>
      <c r="E42" s="26">
        <f t="shared" si="9"/>
        <v>3</v>
      </c>
      <c r="F42" s="26">
        <f t="shared" si="9"/>
        <v>3</v>
      </c>
      <c r="G42" s="26">
        <f t="shared" si="9"/>
        <v>3</v>
      </c>
      <c r="H42" s="26">
        <f t="shared" si="9"/>
        <v>4</v>
      </c>
      <c r="I42" s="26">
        <f t="shared" si="9"/>
        <v>4</v>
      </c>
      <c r="J42" s="26">
        <f t="shared" si="9"/>
        <v>4</v>
      </c>
      <c r="K42" s="26">
        <f t="shared" si="9"/>
        <v>4</v>
      </c>
      <c r="L42" s="26">
        <f t="shared" si="9"/>
        <v>4</v>
      </c>
      <c r="M42" s="26">
        <f t="shared" si="9"/>
        <v>3</v>
      </c>
      <c r="N42" s="26">
        <f t="shared" si="9"/>
        <v>4</v>
      </c>
    </row>
    <row r="43" spans="1:14" x14ac:dyDescent="0.2">
      <c r="A43" s="9" t="s">
        <v>238</v>
      </c>
      <c r="B43" s="1" t="s">
        <v>239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x14ac:dyDescent="0.2">
      <c r="A44" s="9" t="s">
        <v>244</v>
      </c>
      <c r="B44" s="1" t="s">
        <v>245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x14ac:dyDescent="0.2">
      <c r="A45" s="12"/>
      <c r="B45" s="12" t="s">
        <v>246</v>
      </c>
      <c r="C45" s="26">
        <f>+C42-SUM(C43,C44)</f>
        <v>4</v>
      </c>
      <c r="D45" s="26">
        <f t="shared" ref="D45:N45" si="10">+D42-SUM(D43,D44)</f>
        <v>4</v>
      </c>
      <c r="E45" s="26">
        <f t="shared" si="10"/>
        <v>3</v>
      </c>
      <c r="F45" s="26">
        <f t="shared" si="10"/>
        <v>3</v>
      </c>
      <c r="G45" s="26">
        <f t="shared" si="10"/>
        <v>3</v>
      </c>
      <c r="H45" s="26">
        <f t="shared" si="10"/>
        <v>4</v>
      </c>
      <c r="I45" s="26">
        <f t="shared" si="10"/>
        <v>4</v>
      </c>
      <c r="J45" s="26">
        <f t="shared" si="10"/>
        <v>4</v>
      </c>
      <c r="K45" s="26">
        <f t="shared" si="10"/>
        <v>4</v>
      </c>
      <c r="L45" s="26">
        <f t="shared" si="10"/>
        <v>4</v>
      </c>
      <c r="M45" s="26">
        <f t="shared" si="10"/>
        <v>3</v>
      </c>
      <c r="N45" s="26">
        <f t="shared" si="10"/>
        <v>4</v>
      </c>
    </row>
    <row r="46" spans="1:14" x14ac:dyDescent="0.2">
      <c r="A46" s="9" t="s">
        <v>74</v>
      </c>
      <c r="B46" s="1" t="s">
        <v>74</v>
      </c>
      <c r="C46" s="15" t="s">
        <v>74</v>
      </c>
      <c r="D46" s="15" t="s">
        <v>74</v>
      </c>
      <c r="E46" s="15" t="s">
        <v>74</v>
      </c>
      <c r="F46" s="15" t="s">
        <v>74</v>
      </c>
      <c r="G46" s="15" t="s">
        <v>74</v>
      </c>
      <c r="H46" s="15" t="s">
        <v>74</v>
      </c>
      <c r="I46" s="15" t="s">
        <v>74</v>
      </c>
      <c r="J46" s="15" t="s">
        <v>74</v>
      </c>
      <c r="K46" s="15" t="s">
        <v>74</v>
      </c>
      <c r="L46" s="15" t="s">
        <v>74</v>
      </c>
      <c r="M46" s="15" t="s">
        <v>74</v>
      </c>
      <c r="N46" s="15" t="s">
        <v>74</v>
      </c>
    </row>
    <row r="47" spans="1:14" x14ac:dyDescent="0.2">
      <c r="A47" s="12"/>
      <c r="B47" s="12" t="s">
        <v>247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</row>
    <row r="48" spans="1:14" x14ac:dyDescent="0.2">
      <c r="A48" s="9" t="s">
        <v>248</v>
      </c>
      <c r="B48" s="1" t="s">
        <v>249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">
      <c r="A49" s="9" t="s">
        <v>252</v>
      </c>
      <c r="B49" s="1" t="s">
        <v>253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">
      <c r="A50" s="9" t="s">
        <v>256</v>
      </c>
      <c r="B50" s="1" t="s">
        <v>257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">
      <c r="A51" s="9" t="s">
        <v>260</v>
      </c>
      <c r="B51" s="1" t="s">
        <v>261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">
      <c r="A52" s="9" t="s">
        <v>264</v>
      </c>
      <c r="B52" s="1" t="s">
        <v>265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">
      <c r="A53" s="9" t="s">
        <v>268</v>
      </c>
      <c r="B53" s="1" t="s">
        <v>269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">
      <c r="A54" s="9" t="s">
        <v>270</v>
      </c>
      <c r="B54" s="1" t="s">
        <v>271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">
      <c r="A55" s="9" t="s">
        <v>272</v>
      </c>
      <c r="B55" s="1" t="s">
        <v>273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">
      <c r="A56" s="9" t="s">
        <v>274</v>
      </c>
      <c r="B56" s="1" t="s">
        <v>275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">
      <c r="A57" s="9" t="s">
        <v>276</v>
      </c>
      <c r="B57" s="1" t="s">
        <v>277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">
      <c r="A58" s="9" t="s">
        <v>280</v>
      </c>
      <c r="B58" s="1" t="s">
        <v>281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">
      <c r="A59" s="9" t="s">
        <v>284</v>
      </c>
      <c r="B59" s="1" t="s">
        <v>285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">
      <c r="A60" s="9" t="s">
        <v>288</v>
      </c>
      <c r="B60" s="1" t="s">
        <v>289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">
      <c r="A61" s="3"/>
      <c r="B61" s="3" t="s">
        <v>290</v>
      </c>
      <c r="C61" s="17" t="s">
        <v>292</v>
      </c>
      <c r="D61" s="17" t="s">
        <v>292</v>
      </c>
      <c r="E61" s="17" t="s">
        <v>292</v>
      </c>
      <c r="F61" s="17" t="s">
        <v>292</v>
      </c>
      <c r="G61" s="17" t="s">
        <v>292</v>
      </c>
      <c r="H61" s="17" t="s">
        <v>292</v>
      </c>
      <c r="I61" s="17" t="s">
        <v>292</v>
      </c>
      <c r="J61" s="17" t="s">
        <v>292</v>
      </c>
      <c r="K61" s="17" t="s">
        <v>292</v>
      </c>
      <c r="L61" s="17" t="s">
        <v>292</v>
      </c>
      <c r="M61" s="17" t="s">
        <v>292</v>
      </c>
      <c r="N61" s="17" t="s">
        <v>292</v>
      </c>
    </row>
    <row r="62" spans="1:14" x14ac:dyDescent="0.2">
      <c r="A62" s="3"/>
      <c r="B62" s="3" t="s">
        <v>291</v>
      </c>
      <c r="C62" s="17" t="s">
        <v>292</v>
      </c>
      <c r="D62" s="17" t="s">
        <v>292</v>
      </c>
      <c r="E62" s="17" t="s">
        <v>292</v>
      </c>
      <c r="F62" s="17" t="s">
        <v>292</v>
      </c>
      <c r="G62" s="17" t="s">
        <v>292</v>
      </c>
      <c r="H62" s="17" t="s">
        <v>292</v>
      </c>
      <c r="I62" s="17" t="s">
        <v>292</v>
      </c>
      <c r="J62" s="17" t="s">
        <v>292</v>
      </c>
      <c r="K62" s="17" t="s">
        <v>292</v>
      </c>
      <c r="L62" s="17" t="s">
        <v>292</v>
      </c>
      <c r="M62" s="17" t="s">
        <v>292</v>
      </c>
      <c r="N62" s="17" t="s">
        <v>292</v>
      </c>
    </row>
    <row r="63" spans="1:14" x14ac:dyDescent="0.2">
      <c r="A63" s="3"/>
      <c r="B63" s="3" t="s">
        <v>293</v>
      </c>
      <c r="C63" s="17" t="s">
        <v>292</v>
      </c>
      <c r="D63" s="17" t="s">
        <v>292</v>
      </c>
      <c r="E63" s="17" t="s">
        <v>292</v>
      </c>
      <c r="F63" s="17" t="s">
        <v>292</v>
      </c>
      <c r="G63" s="17" t="s">
        <v>292</v>
      </c>
      <c r="H63" s="17" t="s">
        <v>292</v>
      </c>
      <c r="I63" s="17" t="s">
        <v>292</v>
      </c>
      <c r="J63" s="17" t="s">
        <v>292</v>
      </c>
      <c r="K63" s="17" t="s">
        <v>292</v>
      </c>
      <c r="L63" s="17" t="s">
        <v>292</v>
      </c>
      <c r="M63" s="17" t="s">
        <v>292</v>
      </c>
      <c r="N63" s="17" t="s">
        <v>292</v>
      </c>
    </row>
    <row r="64" spans="1:14" x14ac:dyDescent="0.2">
      <c r="A64" s="3"/>
      <c r="B64" s="3" t="s">
        <v>294</v>
      </c>
      <c r="C64" s="17" t="s">
        <v>292</v>
      </c>
      <c r="D64" s="17" t="s">
        <v>292</v>
      </c>
      <c r="E64" s="17" t="s">
        <v>292</v>
      </c>
      <c r="F64" s="17" t="s">
        <v>292</v>
      </c>
      <c r="G64" s="17" t="s">
        <v>292</v>
      </c>
      <c r="H64" s="17" t="s">
        <v>292</v>
      </c>
      <c r="I64" s="17" t="s">
        <v>292</v>
      </c>
      <c r="J64" s="17" t="s">
        <v>292</v>
      </c>
      <c r="K64" s="17" t="s">
        <v>292</v>
      </c>
      <c r="L64" s="17" t="s">
        <v>292</v>
      </c>
      <c r="M64" s="17" t="s">
        <v>292</v>
      </c>
      <c r="N64" s="17" t="s">
        <v>292</v>
      </c>
    </row>
    <row r="65" spans="1:14" x14ac:dyDescent="0.2">
      <c r="A65" s="12"/>
      <c r="B65" s="12" t="s">
        <v>295</v>
      </c>
      <c r="C65" s="16" t="s">
        <v>292</v>
      </c>
      <c r="D65" s="16" t="s">
        <v>292</v>
      </c>
      <c r="E65" s="16" t="s">
        <v>292</v>
      </c>
      <c r="F65" s="16" t="s">
        <v>292</v>
      </c>
      <c r="G65" s="16" t="s">
        <v>292</v>
      </c>
      <c r="H65" s="16" t="s">
        <v>292</v>
      </c>
      <c r="I65" s="16" t="s">
        <v>292</v>
      </c>
      <c r="J65" s="16" t="s">
        <v>292</v>
      </c>
      <c r="K65" s="16" t="s">
        <v>292</v>
      </c>
      <c r="L65" s="16" t="s">
        <v>292</v>
      </c>
      <c r="M65" s="16" t="s">
        <v>292</v>
      </c>
      <c r="N65" s="16" t="s">
        <v>292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8BE7E-8FD6-47F2-9979-190786433AAF}">
  <sheetPr codeName="Hoja39">
    <tabColor rgb="FF00B050"/>
  </sheetPr>
  <dimension ref="A1:N181"/>
  <sheetViews>
    <sheetView zoomScale="85" zoomScaleNormal="85" workbookViewId="0">
      <pane ySplit="6" topLeftCell="A21" activePane="bottomLeft" state="frozen"/>
      <selection activeCell="I54" sqref="I54"/>
      <selection pane="bottomLeft" activeCell="C7" sqref="C7:N7"/>
    </sheetView>
  </sheetViews>
  <sheetFormatPr baseColWidth="10" defaultRowHeight="12" outlineLevelRow="1" x14ac:dyDescent="0.2"/>
  <cols>
    <col min="1" max="1" width="11.7109375" style="1" customWidth="1"/>
    <col min="2" max="2" width="35.5703125" style="1" customWidth="1"/>
    <col min="3" max="14" width="13.855468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/>
      <c r="F2" s="4"/>
      <c r="G2" s="3"/>
      <c r="H2" s="4"/>
      <c r="I2" s="4"/>
      <c r="J2" s="4"/>
      <c r="K2" s="4"/>
      <c r="L2" s="4"/>
      <c r="M2" s="3"/>
      <c r="N2" s="4"/>
    </row>
    <row r="3" spans="1:14" x14ac:dyDescent="0.2">
      <c r="A3" s="2" t="s">
        <v>4</v>
      </c>
      <c r="C3" s="1">
        <f>+'Centre DW5'!C54+'Centre WP5'!C140+'Centre WR5'!C85</f>
        <v>119.99999999999997</v>
      </c>
      <c r="D3" s="1">
        <f>+'Centre DW5'!D54+'Centre WP5'!D140+'Centre WR5'!D85</f>
        <v>-20.500000000000014</v>
      </c>
      <c r="E3" s="1">
        <f>+'Centre DW5'!E54+'Centre WP5'!E140+'Centre WR5'!E85</f>
        <v>66.900000000000034</v>
      </c>
      <c r="F3" s="1">
        <f>+'Centre DW5'!F54+'Centre WP5'!F140+'Centre WR5'!F85</f>
        <v>88.499999999999986</v>
      </c>
      <c r="G3" s="1">
        <f>+'Centre DW5'!G54+'Centre WP5'!G140+'Centre WR5'!G85</f>
        <v>-2.6999999999999318</v>
      </c>
      <c r="H3" s="1">
        <f>+'Centre DW5'!H54+'Centre WP5'!H140+'Centre WR5'!H85</f>
        <v>48.30000000000004</v>
      </c>
      <c r="I3" s="1">
        <f>+'Centre DW5'!I54+'Centre WP5'!I140+'Centre WR5'!I85</f>
        <v>-14.700000000000017</v>
      </c>
      <c r="J3" s="1">
        <f>+'Centre DW5'!J54+'Centre WP5'!J140+'Centre WR5'!J85</f>
        <v>33.200000000000003</v>
      </c>
      <c r="K3" s="1">
        <f>+'Centre DW5'!K54+'Centre WP5'!K140+'Centre WR5'!K85</f>
        <v>81.899999999999935</v>
      </c>
      <c r="L3" s="1">
        <f>+'Centre DW5'!L54+'Centre WP5'!L140+'Centre WR5'!L85</f>
        <v>35.200000000000031</v>
      </c>
      <c r="M3" s="1">
        <f>+'Centre DW5'!M54+'Centre WP5'!M140+'Centre WR5'!M85</f>
        <v>27.100000000000094</v>
      </c>
      <c r="N3" s="1">
        <f>+'Centre DW5'!N54+'Centre WP5'!N140+'Centre WR5'!N85</f>
        <v>-47.200000000000031</v>
      </c>
    </row>
    <row r="4" spans="1:14" x14ac:dyDescent="0.2">
      <c r="A4" s="5"/>
      <c r="B4" s="5"/>
      <c r="C4" s="51">
        <f>C3-C151</f>
        <v>0</v>
      </c>
      <c r="D4" s="51">
        <f t="shared" ref="D4:N4" si="0">D3-D151</f>
        <v>0</v>
      </c>
      <c r="E4" s="51">
        <f t="shared" si="0"/>
        <v>0</v>
      </c>
      <c r="F4" s="51">
        <f t="shared" si="0"/>
        <v>0</v>
      </c>
      <c r="G4" s="51">
        <f t="shared" si="0"/>
        <v>-7.9936057773011271E-14</v>
      </c>
      <c r="H4" s="51">
        <f t="shared" si="0"/>
        <v>5.6843418860808015E-14</v>
      </c>
      <c r="I4" s="51">
        <f t="shared" si="0"/>
        <v>1.7763568394002505E-14</v>
      </c>
      <c r="J4" s="51">
        <f t="shared" si="0"/>
        <v>0</v>
      </c>
      <c r="K4" s="51">
        <f t="shared" si="0"/>
        <v>0</v>
      </c>
      <c r="L4" s="51">
        <f t="shared" si="0"/>
        <v>0</v>
      </c>
      <c r="M4" s="51">
        <f t="shared" si="0"/>
        <v>4.6185277824406512E-14</v>
      </c>
      <c r="N4" s="51">
        <f t="shared" si="0"/>
        <v>0</v>
      </c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33" t="s">
        <v>23</v>
      </c>
      <c r="B7" s="34" t="s">
        <v>24</v>
      </c>
      <c r="C7" s="44">
        <f t="shared" ref="C7:I7" si="1">SUM(C8:C14)</f>
        <v>658</v>
      </c>
      <c r="D7" s="44">
        <f t="shared" si="1"/>
        <v>582</v>
      </c>
      <c r="E7" s="44">
        <f t="shared" si="1"/>
        <v>644.40000000000009</v>
      </c>
      <c r="F7" s="44">
        <f t="shared" si="1"/>
        <v>760.5</v>
      </c>
      <c r="G7" s="44">
        <f t="shared" si="1"/>
        <v>663.9</v>
      </c>
      <c r="H7" s="44">
        <f t="shared" si="1"/>
        <v>649</v>
      </c>
      <c r="I7" s="44">
        <f t="shared" si="1"/>
        <v>646.4</v>
      </c>
      <c r="J7" s="44">
        <f>SUM(J8:J14)</f>
        <v>639.6</v>
      </c>
      <c r="K7" s="44">
        <f t="shared" ref="K7:N7" si="2">SUM(K8:K14)</f>
        <v>763.3</v>
      </c>
      <c r="L7" s="44">
        <f t="shared" si="2"/>
        <v>651</v>
      </c>
      <c r="M7" s="44">
        <f t="shared" si="2"/>
        <v>623.1</v>
      </c>
      <c r="N7" s="44">
        <f t="shared" si="2"/>
        <v>625.20000000000005</v>
      </c>
    </row>
    <row r="8" spans="1:14" hidden="1" outlineLevel="1" x14ac:dyDescent="0.2">
      <c r="A8" s="9" t="s">
        <v>25</v>
      </c>
      <c r="B8" s="1" t="s">
        <v>26</v>
      </c>
      <c r="C8" s="10">
        <f>IFERROR(VLOOKUP(A8,'Centre DW5'!$A$7:$N$161,3,FALSE),0)+
IFERROR(VLOOKUP(A8,'Centre WP5'!$A$7:$N$160,3,FALSE),0)+
IFERROR(VLOOKUP(A8,'Centre WR5'!$A$7:$N$160,3,FALSE),0)</f>
        <v>0</v>
      </c>
      <c r="D8" s="10">
        <f>IFERROR(VLOOKUP(A8,'Centre DW5'!$A$7:$N$161,4,FALSE),0)+
IFERROR(VLOOKUP(A8,'Centre WP5'!$A$7:$N$160,4,FALSE),0)+
IFERROR(VLOOKUP(A8,'Centre WR5'!$A$7:$N$160,4,FALSE),0)</f>
        <v>0</v>
      </c>
      <c r="E8" s="10">
        <f>IFERROR(VLOOKUP(A8,'Centre DW5'!$A$7:$N$161,5,FALSE),0)+
IFERROR(VLOOKUP(A8,'Centre WP5'!$A$7:$N$160,5,FALSE),0)+
IFERROR(VLOOKUP(A8,'Centre WR5'!$A$7:$N$160,5,FALSE),0)</f>
        <v>0</v>
      </c>
      <c r="F8" s="10">
        <f>IFERROR(VLOOKUP(A8,'Centre DW5'!$A$7:$N$161,6,FALSE),0)+
IFERROR(VLOOKUP(A8,'Centre WP5'!$A$7:$N$160,6,FALSE),0)+
IFERROR(VLOOKUP(A8,'Centre WR5'!$A$7:$N$160,6,FALSE),0)</f>
        <v>0</v>
      </c>
      <c r="G8" s="10">
        <f>IFERROR(VLOOKUP(A8,'Centre DW5'!$A$7:$N$161,7,FALSE),0)+
IFERROR(VLOOKUP(A8,'Centre WP5'!$A$7:$N$160,7,FALSE),0)+
IFERROR(VLOOKUP(A8,'Centre WR5'!$A$7:$N$160,7,FALSE),0)</f>
        <v>0</v>
      </c>
      <c r="H8" s="10">
        <f>IFERROR(VLOOKUP(A8,'Centre DW5'!$A$7:$N$161,8,FALSE),0)+
IFERROR(VLOOKUP(A8,'Centre WP5'!$A$7:$N$160,8,FALSE),0)+
IFERROR(VLOOKUP(A8,'Centre WR5'!$A$7:$N$160,8,FALSE),0)</f>
        <v>0</v>
      </c>
      <c r="I8" s="10">
        <f>IFERROR(VLOOKUP(A8,'Centre DW5'!$A$7:$N$161,9,FALSE),0)+
IFERROR(VLOOKUP(A8,'Centre WP5'!$A$7:$N$160,9,FALSE),0)+
IFERROR(VLOOKUP(A8,'Centre WR5'!$A$7:$N$160,9,FALSE),0)</f>
        <v>0</v>
      </c>
      <c r="J8" s="10">
        <f>IFERROR(VLOOKUP(A8,'Centre DW5'!$A$7:$N$161,10,FALSE),0)+
IFERROR(VLOOKUP(A8,'Centre WP5'!$A$7:$N$160,10,FALSE),0)+
IFERROR(VLOOKUP(A8,'Centre WR5'!$A$7:$N$160,10,FALSE),0)</f>
        <v>0</v>
      </c>
      <c r="K8" s="10">
        <f>IFERROR(VLOOKUP(A8,'Centre DW5'!$A$7:$N$161,11,FALSE),0)+
IFERROR(VLOOKUP(A8,'Centre WP5'!$A$7:$N$160,11,FALSE),0)+
IFERROR(VLOOKUP(A8,'Centre WR5'!$A$7:$N$160,11,FALSE),0)</f>
        <v>0</v>
      </c>
      <c r="L8" s="10">
        <f>IFERROR(VLOOKUP(A8,'Centre DW5'!$A$7:$N$161,12,FALSE),0)+
IFERROR(VLOOKUP(A8,'Centre WP5'!$A$7:$N$160,12,FALSE),0)+
IFERROR(VLOOKUP(A8,'Centre WR5'!$A$7:$N$160,12,FALSE),0)</f>
        <v>0</v>
      </c>
      <c r="M8" s="10">
        <f>IFERROR(VLOOKUP(A8,'Centre DW5'!$A$7:$N$161,13,FALSE),0)+
IFERROR(VLOOKUP(A8,'Centre WP5'!$A$7:$N$160,13,FALSE),0)+
IFERROR(VLOOKUP(A8,'Centre WR5'!$A$7:$N$160,13,FALSE),0)</f>
        <v>0</v>
      </c>
      <c r="N8" s="10">
        <f>IFERROR(VLOOKUP(A8,'Centre DW5'!$A$7:$N$161,14,FALSE),0)+
IFERROR(VLOOKUP(A8,'Centre WP5'!$A$7:$N$160,14,FALSE),0)+
IFERROR(VLOOKUP(A8,'Centre WR5'!$A$7:$N$160,14,FALSE),0)</f>
        <v>0</v>
      </c>
    </row>
    <row r="9" spans="1:14" hidden="1" outlineLevel="1" x14ac:dyDescent="0.2">
      <c r="A9" s="9" t="s">
        <v>300</v>
      </c>
      <c r="B9" s="1" t="s">
        <v>36</v>
      </c>
      <c r="C9" s="10">
        <f>IFERROR(VLOOKUP(A9,'Centre DW5'!$A$7:$N$161,3,FALSE),0)+
IFERROR(VLOOKUP(A9,'Centre WP5'!$A$7:$N$160,3,FALSE),0)+
IFERROR(VLOOKUP(A9,'Centre WR5'!$A$7:$N$160,3,FALSE),0)</f>
        <v>0</v>
      </c>
      <c r="D9" s="10">
        <f>IFERROR(VLOOKUP(A9,'Centre DW5'!$A$7:$N$161,4,FALSE),0)+
IFERROR(VLOOKUP(A9,'Centre WP5'!$A$7:$N$160,4,FALSE),0)+
IFERROR(VLOOKUP(A9,'Centre WR5'!$A$7:$N$160,4,FALSE),0)</f>
        <v>0</v>
      </c>
      <c r="E9" s="10">
        <f>IFERROR(VLOOKUP(A9,'Centre DW5'!$A$7:$N$161,5,FALSE),0)+
IFERROR(VLOOKUP(A9,'Centre WP5'!$A$7:$N$160,5,FALSE),0)+
IFERROR(VLOOKUP(A9,'Centre WR5'!$A$7:$N$160,5,FALSE),0)</f>
        <v>0</v>
      </c>
      <c r="F9" s="10">
        <f>IFERROR(VLOOKUP(A9,'Centre DW5'!$A$7:$N$161,6,FALSE),0)+
IFERROR(VLOOKUP(A9,'Centre WP5'!$A$7:$N$160,6,FALSE),0)+
IFERROR(VLOOKUP(A9,'Centre WR5'!$A$7:$N$160,6,FALSE),0)</f>
        <v>0</v>
      </c>
      <c r="G9" s="10">
        <f>IFERROR(VLOOKUP(A9,'Centre DW5'!$A$7:$N$161,7,FALSE),0)+
IFERROR(VLOOKUP(A9,'Centre WP5'!$A$7:$N$160,7,FALSE),0)+
IFERROR(VLOOKUP(A9,'Centre WR5'!$A$7:$N$160,7,FALSE),0)</f>
        <v>0</v>
      </c>
      <c r="H9" s="10">
        <f>IFERROR(VLOOKUP(A9,'Centre DW5'!$A$7:$N$161,8,FALSE),0)+
IFERROR(VLOOKUP(A9,'Centre WP5'!$A$7:$N$160,8,FALSE),0)+
IFERROR(VLOOKUP(A9,'Centre WR5'!$A$7:$N$160,8,FALSE),0)</f>
        <v>0</v>
      </c>
      <c r="I9" s="10">
        <f>IFERROR(VLOOKUP(A9,'Centre DW5'!$A$7:$N$161,9,FALSE),0)+
IFERROR(VLOOKUP(A9,'Centre WP5'!$A$7:$N$160,9,FALSE),0)+
IFERROR(VLOOKUP(A9,'Centre WR5'!$A$7:$N$160,9,FALSE),0)</f>
        <v>0</v>
      </c>
      <c r="J9" s="10">
        <f>IFERROR(VLOOKUP(A9,'Centre DW5'!$A$7:$N$161,10,FALSE),0)+
IFERROR(VLOOKUP(A9,'Centre WP5'!$A$7:$N$160,10,FALSE),0)+
IFERROR(VLOOKUP(A9,'Centre WR5'!$A$7:$N$160,10,FALSE),0)</f>
        <v>0</v>
      </c>
      <c r="K9" s="10">
        <f>IFERROR(VLOOKUP(A9,'Centre DW5'!$A$7:$N$161,11,FALSE),0)+
IFERROR(VLOOKUP(A9,'Centre WP5'!$A$7:$N$160,11,FALSE),0)+
IFERROR(VLOOKUP(A9,'Centre WR5'!$A$7:$N$160,11,FALSE),0)</f>
        <v>0</v>
      </c>
      <c r="L9" s="10">
        <f>IFERROR(VLOOKUP(A9,'Centre DW5'!$A$7:$N$161,12,FALSE),0)+
IFERROR(VLOOKUP(A9,'Centre WP5'!$A$7:$N$160,12,FALSE),0)+
IFERROR(VLOOKUP(A9,'Centre WR5'!$A$7:$N$160,12,FALSE),0)</f>
        <v>0</v>
      </c>
      <c r="M9" s="10">
        <f>IFERROR(VLOOKUP(A9,'Centre DW5'!$A$7:$N$161,13,FALSE),0)+
IFERROR(VLOOKUP(A9,'Centre WP5'!$A$7:$N$160,13,FALSE),0)+
IFERROR(VLOOKUP(A9,'Centre WR5'!$A$7:$N$160,13,FALSE),0)</f>
        <v>0</v>
      </c>
      <c r="N9" s="10">
        <f>IFERROR(VLOOKUP(A9,'Centre DW5'!$A$7:$N$161,14,FALSE),0)+
IFERROR(VLOOKUP(A9,'Centre WP5'!$A$7:$N$160,14,FALSE),0)+
IFERROR(VLOOKUP(A9,'Centre WR5'!$A$7:$N$160,14,FALSE),0)</f>
        <v>0</v>
      </c>
    </row>
    <row r="10" spans="1:14" hidden="1" outlineLevel="1" x14ac:dyDescent="0.2">
      <c r="A10" s="9" t="s">
        <v>27</v>
      </c>
      <c r="B10" s="1" t="s">
        <v>28</v>
      </c>
      <c r="C10" s="10">
        <f>IFERROR(VLOOKUP(A10,'Centre DW5'!$A$7:$N$161,3,FALSE),0)+
IFERROR(VLOOKUP(A10,'Centre WP5'!$A$7:$N$160,3,FALSE),0)+
IFERROR(VLOOKUP(A10,'Centre WR5'!$A$7:$N$160,3,FALSE),0)</f>
        <v>0</v>
      </c>
      <c r="D10" s="10">
        <f>IFERROR(VLOOKUP(A10,'Centre DW5'!$A$7:$N$161,4,FALSE),0)+
IFERROR(VLOOKUP(A10,'Centre WP5'!$A$7:$N$160,4,FALSE),0)+
IFERROR(VLOOKUP(A10,'Centre WR5'!$A$7:$N$160,4,FALSE),0)</f>
        <v>0</v>
      </c>
      <c r="E10" s="10">
        <f>IFERROR(VLOOKUP(A10,'Centre DW5'!$A$7:$N$161,5,FALSE),0)+
IFERROR(VLOOKUP(A10,'Centre WP5'!$A$7:$N$160,5,FALSE),0)+
IFERROR(VLOOKUP(A10,'Centre WR5'!$A$7:$N$160,5,FALSE),0)</f>
        <v>0</v>
      </c>
      <c r="F10" s="10">
        <f>IFERROR(VLOOKUP(A10,'Centre DW5'!$A$7:$N$161,6,FALSE),0)+
IFERROR(VLOOKUP(A10,'Centre WP5'!$A$7:$N$160,6,FALSE),0)+
IFERROR(VLOOKUP(A10,'Centre WR5'!$A$7:$N$160,6,FALSE),0)</f>
        <v>0</v>
      </c>
      <c r="G10" s="10">
        <f>IFERROR(VLOOKUP(A10,'Centre DW5'!$A$7:$N$161,7,FALSE),0)+
IFERROR(VLOOKUP(A10,'Centre WP5'!$A$7:$N$160,7,FALSE),0)+
IFERROR(VLOOKUP(A10,'Centre WR5'!$A$7:$N$160,7,FALSE),0)</f>
        <v>0</v>
      </c>
      <c r="H10" s="10">
        <f>IFERROR(VLOOKUP(A10,'Centre DW5'!$A$7:$N$161,8,FALSE),0)+
IFERROR(VLOOKUP(A10,'Centre WP5'!$A$7:$N$160,8,FALSE),0)+
IFERROR(VLOOKUP(A10,'Centre WR5'!$A$7:$N$160,8,FALSE),0)</f>
        <v>0</v>
      </c>
      <c r="I10" s="10">
        <f>IFERROR(VLOOKUP(A10,'Centre DW5'!$A$7:$N$161,9,FALSE),0)+
IFERROR(VLOOKUP(A10,'Centre WP5'!$A$7:$N$160,9,FALSE),0)+
IFERROR(VLOOKUP(A10,'Centre WR5'!$A$7:$N$160,9,FALSE),0)</f>
        <v>0</v>
      </c>
      <c r="J10" s="10">
        <f>IFERROR(VLOOKUP(A10,'Centre DW5'!$A$7:$N$161,10,FALSE),0)+
IFERROR(VLOOKUP(A10,'Centre WP5'!$A$7:$N$160,10,FALSE),0)+
IFERROR(VLOOKUP(A10,'Centre WR5'!$A$7:$N$160,10,FALSE),0)</f>
        <v>0</v>
      </c>
      <c r="K10" s="10">
        <f>IFERROR(VLOOKUP(A10,'Centre DW5'!$A$7:$N$161,11,FALSE),0)+
IFERROR(VLOOKUP(A10,'Centre WP5'!$A$7:$N$160,11,FALSE),0)+
IFERROR(VLOOKUP(A10,'Centre WR5'!$A$7:$N$160,11,FALSE),0)</f>
        <v>0</v>
      </c>
      <c r="L10" s="10">
        <f>IFERROR(VLOOKUP(A10,'Centre DW5'!$A$7:$N$161,12,FALSE),0)+
IFERROR(VLOOKUP(A10,'Centre WP5'!$A$7:$N$160,12,FALSE),0)+
IFERROR(VLOOKUP(A10,'Centre WR5'!$A$7:$N$160,12,FALSE),0)</f>
        <v>0</v>
      </c>
      <c r="M10" s="10">
        <f>IFERROR(VLOOKUP(A10,'Centre DW5'!$A$7:$N$161,13,FALSE),0)+
IFERROR(VLOOKUP(A10,'Centre WP5'!$A$7:$N$160,13,FALSE),0)+
IFERROR(VLOOKUP(A10,'Centre WR5'!$A$7:$N$160,13,FALSE),0)</f>
        <v>0</v>
      </c>
      <c r="N10" s="10">
        <f>IFERROR(VLOOKUP(A10,'Centre DW5'!$A$7:$N$161,14,FALSE),0)+
IFERROR(VLOOKUP(A10,'Centre WP5'!$A$7:$N$160,14,FALSE),0)+
IFERROR(VLOOKUP(A10,'Centre WR5'!$A$7:$N$160,14,FALSE),0)</f>
        <v>0</v>
      </c>
    </row>
    <row r="11" spans="1:14" hidden="1" outlineLevel="1" x14ac:dyDescent="0.2">
      <c r="A11" s="9" t="s">
        <v>29</v>
      </c>
      <c r="B11" s="1" t="s">
        <v>30</v>
      </c>
      <c r="C11" s="10">
        <f>IFERROR(VLOOKUP(A11,'Centre DW5'!$A$7:$N$161,3,FALSE),0)+
IFERROR(VLOOKUP(A11,'Centre WP5'!$A$7:$N$160,3,FALSE),0)+
IFERROR(VLOOKUP(A11,'Centre WR5'!$A$7:$N$160,3,FALSE),0)</f>
        <v>0</v>
      </c>
      <c r="D11" s="10">
        <f>IFERROR(VLOOKUP(A11,'Centre DW5'!$A$7:$N$161,4,FALSE),0)+
IFERROR(VLOOKUP(A11,'Centre WP5'!$A$7:$N$160,4,FALSE),0)+
IFERROR(VLOOKUP(A11,'Centre WR5'!$A$7:$N$160,4,FALSE),0)</f>
        <v>0</v>
      </c>
      <c r="E11" s="10">
        <f>IFERROR(VLOOKUP(A11,'Centre DW5'!$A$7:$N$161,5,FALSE),0)+
IFERROR(VLOOKUP(A11,'Centre WP5'!$A$7:$N$160,5,FALSE),0)+
IFERROR(VLOOKUP(A11,'Centre WR5'!$A$7:$N$160,5,FALSE),0)</f>
        <v>0</v>
      </c>
      <c r="F11" s="10">
        <f>IFERROR(VLOOKUP(A11,'Centre DW5'!$A$7:$N$161,6,FALSE),0)+
IFERROR(VLOOKUP(A11,'Centre WP5'!$A$7:$N$160,6,FALSE),0)+
IFERROR(VLOOKUP(A11,'Centre WR5'!$A$7:$N$160,6,FALSE),0)</f>
        <v>0</v>
      </c>
      <c r="G11" s="10">
        <f>IFERROR(VLOOKUP(A11,'Centre DW5'!$A$7:$N$161,7,FALSE),0)+
IFERROR(VLOOKUP(A11,'Centre WP5'!$A$7:$N$160,7,FALSE),0)+
IFERROR(VLOOKUP(A11,'Centre WR5'!$A$7:$N$160,7,FALSE),0)</f>
        <v>0</v>
      </c>
      <c r="H11" s="10">
        <f>IFERROR(VLOOKUP(A11,'Centre DW5'!$A$7:$N$161,8,FALSE),0)+
IFERROR(VLOOKUP(A11,'Centre WP5'!$A$7:$N$160,8,FALSE),0)+
IFERROR(VLOOKUP(A11,'Centre WR5'!$A$7:$N$160,8,FALSE),0)</f>
        <v>0</v>
      </c>
      <c r="I11" s="10">
        <f>IFERROR(VLOOKUP(A11,'Centre DW5'!$A$7:$N$161,9,FALSE),0)+
IFERROR(VLOOKUP(A11,'Centre WP5'!$A$7:$N$160,9,FALSE),0)+
IFERROR(VLOOKUP(A11,'Centre WR5'!$A$7:$N$160,9,FALSE),0)</f>
        <v>0</v>
      </c>
      <c r="J11" s="10">
        <f>IFERROR(VLOOKUP(A11,'Centre DW5'!$A$7:$N$161,10,FALSE),0)+
IFERROR(VLOOKUP(A11,'Centre WP5'!$A$7:$N$160,10,FALSE),0)+
IFERROR(VLOOKUP(A11,'Centre WR5'!$A$7:$N$160,10,FALSE),0)</f>
        <v>0</v>
      </c>
      <c r="K11" s="10">
        <f>IFERROR(VLOOKUP(A11,'Centre DW5'!$A$7:$N$161,11,FALSE),0)+
IFERROR(VLOOKUP(A11,'Centre WP5'!$A$7:$N$160,11,FALSE),0)+
IFERROR(VLOOKUP(A11,'Centre WR5'!$A$7:$N$160,11,FALSE),0)</f>
        <v>0</v>
      </c>
      <c r="L11" s="10">
        <f>IFERROR(VLOOKUP(A11,'Centre DW5'!$A$7:$N$161,12,FALSE),0)+
IFERROR(VLOOKUP(A11,'Centre WP5'!$A$7:$N$160,12,FALSE),0)+
IFERROR(VLOOKUP(A11,'Centre WR5'!$A$7:$N$160,12,FALSE),0)</f>
        <v>0</v>
      </c>
      <c r="M11" s="10">
        <f>IFERROR(VLOOKUP(A11,'Centre DW5'!$A$7:$N$161,13,FALSE),0)+
IFERROR(VLOOKUP(A11,'Centre WP5'!$A$7:$N$160,13,FALSE),0)+
IFERROR(VLOOKUP(A11,'Centre WR5'!$A$7:$N$160,13,FALSE),0)</f>
        <v>0</v>
      </c>
      <c r="N11" s="10">
        <f>IFERROR(VLOOKUP(A11,'Centre DW5'!$A$7:$N$161,14,FALSE),0)+
IFERROR(VLOOKUP(A11,'Centre WP5'!$A$7:$N$160,14,FALSE),0)+
IFERROR(VLOOKUP(A11,'Centre WR5'!$A$7:$N$160,14,FALSE),0)</f>
        <v>0</v>
      </c>
    </row>
    <row r="12" spans="1:14" hidden="1" outlineLevel="1" x14ac:dyDescent="0.2">
      <c r="A12" s="9" t="s">
        <v>31</v>
      </c>
      <c r="B12" s="1" t="s">
        <v>32</v>
      </c>
      <c r="C12" s="10">
        <f>IFERROR(VLOOKUP(A12,'Centre DW5'!$A$7:$N$161,3,FALSE),0)+
IFERROR(VLOOKUP(A12,'Centre WP5'!$A$7:$N$160,3,FALSE),0)+
IFERROR(VLOOKUP(A12,'Centre WR5'!$A$7:$N$160,3,FALSE),0)</f>
        <v>0</v>
      </c>
      <c r="D12" s="10">
        <f>IFERROR(VLOOKUP(A12,'Centre DW5'!$A$7:$N$161,4,FALSE),0)+
IFERROR(VLOOKUP(A12,'Centre WP5'!$A$7:$N$160,4,FALSE),0)+
IFERROR(VLOOKUP(A12,'Centre WR5'!$A$7:$N$160,4,FALSE),0)</f>
        <v>0</v>
      </c>
      <c r="E12" s="10">
        <f>IFERROR(VLOOKUP(A12,'Centre DW5'!$A$7:$N$161,5,FALSE),0)+
IFERROR(VLOOKUP(A12,'Centre WP5'!$A$7:$N$160,5,FALSE),0)+
IFERROR(VLOOKUP(A12,'Centre WR5'!$A$7:$N$160,5,FALSE),0)</f>
        <v>0</v>
      </c>
      <c r="F12" s="10">
        <f>IFERROR(VLOOKUP(A12,'Centre DW5'!$A$7:$N$161,6,FALSE),0)+
IFERROR(VLOOKUP(A12,'Centre WP5'!$A$7:$N$160,6,FALSE),0)+
IFERROR(VLOOKUP(A12,'Centre WR5'!$A$7:$N$160,6,FALSE),0)</f>
        <v>0</v>
      </c>
      <c r="G12" s="10">
        <f>IFERROR(VLOOKUP(A12,'Centre DW5'!$A$7:$N$161,7,FALSE),0)+
IFERROR(VLOOKUP(A12,'Centre WP5'!$A$7:$N$160,7,FALSE),0)+
IFERROR(VLOOKUP(A12,'Centre WR5'!$A$7:$N$160,7,FALSE),0)</f>
        <v>0</v>
      </c>
      <c r="H12" s="10">
        <f>IFERROR(VLOOKUP(A12,'Centre DW5'!$A$7:$N$161,8,FALSE),0)+
IFERROR(VLOOKUP(A12,'Centre WP5'!$A$7:$N$160,8,FALSE),0)+
IFERROR(VLOOKUP(A12,'Centre WR5'!$A$7:$N$160,8,FALSE),0)</f>
        <v>647</v>
      </c>
      <c r="I12" s="10">
        <f>IFERROR(VLOOKUP(A12,'Centre DW5'!$A$7:$N$161,9,FALSE),0)+
IFERROR(VLOOKUP(A12,'Centre WP5'!$A$7:$N$160,9,FALSE),0)+
IFERROR(VLOOKUP(A12,'Centre WR5'!$A$7:$N$160,9,FALSE),0)</f>
        <v>641.4</v>
      </c>
      <c r="J12" s="10">
        <f>IFERROR(VLOOKUP(A12,'Centre DW5'!$A$7:$N$161,10,FALSE),0)+
IFERROR(VLOOKUP(A12,'Centre WP5'!$A$7:$N$160,10,FALSE),0)+
IFERROR(VLOOKUP(A12,'Centre WR5'!$A$7:$N$160,10,FALSE),0)</f>
        <v>0</v>
      </c>
      <c r="K12" s="10">
        <f>IFERROR(VLOOKUP(A12,'Centre DW5'!$A$7:$N$161,11,FALSE),0)+
IFERROR(VLOOKUP(A12,'Centre WP5'!$A$7:$N$160,11,FALSE),0)+
IFERROR(VLOOKUP(A12,'Centre WR5'!$A$7:$N$160,11,FALSE),0)</f>
        <v>0</v>
      </c>
      <c r="L12" s="10">
        <f>IFERROR(VLOOKUP(A12,'Centre DW5'!$A$7:$N$161,12,FALSE),0)+
IFERROR(VLOOKUP(A12,'Centre WP5'!$A$7:$N$160,12,FALSE),0)+
IFERROR(VLOOKUP(A12,'Centre WR5'!$A$7:$N$160,12,FALSE),0)</f>
        <v>0</v>
      </c>
      <c r="M12" s="10">
        <f>IFERROR(VLOOKUP(A12,'Centre DW5'!$A$7:$N$161,13,FALSE),0)+
IFERROR(VLOOKUP(A12,'Centre WP5'!$A$7:$N$160,13,FALSE),0)+
IFERROR(VLOOKUP(A12,'Centre WR5'!$A$7:$N$160,13,FALSE),0)</f>
        <v>0</v>
      </c>
      <c r="N12" s="10">
        <f>IFERROR(VLOOKUP(A12,'Centre DW5'!$A$7:$N$161,14,FALSE),0)+
IFERROR(VLOOKUP(A12,'Centre WP5'!$A$7:$N$160,14,FALSE),0)+
IFERROR(VLOOKUP(A12,'Centre WR5'!$A$7:$N$160,14,FALSE),0)</f>
        <v>0</v>
      </c>
    </row>
    <row r="13" spans="1:14" hidden="1" outlineLevel="1" x14ac:dyDescent="0.2">
      <c r="A13" s="9" t="s">
        <v>33</v>
      </c>
      <c r="B13" s="1" t="s">
        <v>34</v>
      </c>
      <c r="C13" s="10">
        <f>IFERROR(VLOOKUP(A13,'Centre DW5'!$A$7:$N$161,3,FALSE),0)+
IFERROR(VLOOKUP(A13,'Centre WP5'!$A$7:$N$160,3,FALSE),0)+
IFERROR(VLOOKUP(A13,'Centre WR5'!$A$7:$N$160,3,FALSE),0)</f>
        <v>658</v>
      </c>
      <c r="D13" s="10">
        <f>IFERROR(VLOOKUP(A13,'Centre DW5'!$A$7:$N$161,4,FALSE),0)+
IFERROR(VLOOKUP(A13,'Centre WP5'!$A$7:$N$160,4,FALSE),0)+
IFERROR(VLOOKUP(A13,'Centre WR5'!$A$7:$N$160,4,FALSE),0)</f>
        <v>582</v>
      </c>
      <c r="E13" s="10">
        <f>IFERROR(VLOOKUP(A13,'Centre DW5'!$A$7:$N$161,5,FALSE),0)+
IFERROR(VLOOKUP(A13,'Centre WP5'!$A$7:$N$160,5,FALSE),0)+
IFERROR(VLOOKUP(A13,'Centre WR5'!$A$7:$N$160,5,FALSE),0)</f>
        <v>644.40000000000009</v>
      </c>
      <c r="F13" s="10">
        <f>IFERROR(VLOOKUP(A13,'Centre DW5'!$A$7:$N$161,6,FALSE),0)+
IFERROR(VLOOKUP(A13,'Centre WP5'!$A$7:$N$160,6,FALSE),0)+
IFERROR(VLOOKUP(A13,'Centre WR5'!$A$7:$N$160,6,FALSE),0)</f>
        <v>760.5</v>
      </c>
      <c r="G13" s="10">
        <f>IFERROR(VLOOKUP(A13,'Centre DW5'!$A$7:$N$161,7,FALSE),0)+
IFERROR(VLOOKUP(A13,'Centre WP5'!$A$7:$N$160,7,FALSE),0)+
IFERROR(VLOOKUP(A13,'Centre WR5'!$A$7:$N$160,7,FALSE),0)</f>
        <v>663.9</v>
      </c>
      <c r="H13" s="10">
        <f>IFERROR(VLOOKUP(A13,'Centre DW5'!$A$7:$N$161,8,FALSE),0)+
IFERROR(VLOOKUP(A13,'Centre WP5'!$A$7:$N$160,8,FALSE),0)+
IFERROR(VLOOKUP(A13,'Centre WR5'!$A$7:$N$160,8,FALSE),0)</f>
        <v>2</v>
      </c>
      <c r="I13" s="10">
        <f>IFERROR(VLOOKUP(A13,'Centre DW5'!$A$7:$N$161,9,FALSE),0)+
IFERROR(VLOOKUP(A13,'Centre WP5'!$A$7:$N$160,9,FALSE),0)+
IFERROR(VLOOKUP(A13,'Centre WR5'!$A$7:$N$160,9,FALSE),0)</f>
        <v>5</v>
      </c>
      <c r="J13" s="10">
        <f>IFERROR(VLOOKUP(A13,'Centre DW5'!$A$7:$N$161,10,FALSE),0)+
IFERROR(VLOOKUP(A13,'Centre WP5'!$A$7:$N$160,10,FALSE),0)+
IFERROR(VLOOKUP(A13,'Centre WR5'!$A$7:$N$160,10,FALSE),0)</f>
        <v>639.6</v>
      </c>
      <c r="K13" s="10">
        <f>IFERROR(VLOOKUP(A13,'Centre DW5'!$A$7:$N$161,11,FALSE),0)+
IFERROR(VLOOKUP(A13,'Centre WP5'!$A$7:$N$160,11,FALSE),0)+
IFERROR(VLOOKUP(A13,'Centre WR5'!$A$7:$N$160,11,FALSE),0)</f>
        <v>763.3</v>
      </c>
      <c r="L13" s="10">
        <f>IFERROR(VLOOKUP(A13,'Centre DW5'!$A$7:$N$161,12,FALSE),0)+
IFERROR(VLOOKUP(A13,'Centre WP5'!$A$7:$N$160,12,FALSE),0)+
IFERROR(VLOOKUP(A13,'Centre WR5'!$A$7:$N$160,12,FALSE),0)</f>
        <v>651</v>
      </c>
      <c r="M13" s="10">
        <f>IFERROR(VLOOKUP(A13,'Centre DW5'!$A$7:$N$161,13,FALSE),0)+
IFERROR(VLOOKUP(A13,'Centre WP5'!$A$7:$N$160,13,FALSE),0)+
IFERROR(VLOOKUP(A13,'Centre WR5'!$A$7:$N$160,13,FALSE),0)</f>
        <v>623.1</v>
      </c>
      <c r="N13" s="10">
        <f>IFERROR(VLOOKUP(A13,'Centre DW5'!$A$7:$N$161,14,FALSE),0)+
IFERROR(VLOOKUP(A13,'Centre WP5'!$A$7:$N$160,14,FALSE),0)+
IFERROR(VLOOKUP(A13,'Centre WR5'!$A$7:$N$160,14,FALSE),0)</f>
        <v>625.20000000000005</v>
      </c>
    </row>
    <row r="14" spans="1:14" hidden="1" outlineLevel="1" x14ac:dyDescent="0.2">
      <c r="A14" s="9" t="s">
        <v>35</v>
      </c>
      <c r="B14" s="1" t="s">
        <v>36</v>
      </c>
      <c r="C14" s="10">
        <f>IFERROR(VLOOKUP(A14,'Centre DW5'!$A$7:$N$161,3,FALSE),0)+
IFERROR(VLOOKUP(A14,'Centre WP5'!$A$7:$N$160,3,FALSE),0)+
IFERROR(VLOOKUP(A14,'Centre WR5'!$A$7:$N$160,3,FALSE),0)</f>
        <v>0</v>
      </c>
      <c r="D14" s="10">
        <f>IFERROR(VLOOKUP(A14,'Centre DW5'!$A$7:$N$161,4,FALSE),0)+
IFERROR(VLOOKUP(A14,'Centre WP5'!$A$7:$N$160,4,FALSE),0)+
IFERROR(VLOOKUP(A14,'Centre WR5'!$A$7:$N$160,4,FALSE),0)</f>
        <v>0</v>
      </c>
      <c r="E14" s="10">
        <f>IFERROR(VLOOKUP(A14,'Centre DW5'!$A$7:$N$161,5,FALSE),0)+
IFERROR(VLOOKUP(A14,'Centre WP5'!$A$7:$N$160,5,FALSE),0)+
IFERROR(VLOOKUP(A14,'Centre WR5'!$A$7:$N$160,5,FALSE),0)</f>
        <v>0</v>
      </c>
      <c r="F14" s="10">
        <f>IFERROR(VLOOKUP(A14,'Centre DW5'!$A$7:$N$161,6,FALSE),0)+
IFERROR(VLOOKUP(A14,'Centre WP5'!$A$7:$N$160,6,FALSE),0)+
IFERROR(VLOOKUP(A14,'Centre WR5'!$A$7:$N$160,6,FALSE),0)</f>
        <v>0</v>
      </c>
      <c r="G14" s="10">
        <f>IFERROR(VLOOKUP(A14,'Centre DW5'!$A$7:$N$161,7,FALSE),0)+
IFERROR(VLOOKUP(A14,'Centre WP5'!$A$7:$N$160,7,FALSE),0)+
IFERROR(VLOOKUP(A14,'Centre WR5'!$A$7:$N$160,7,FALSE),0)</f>
        <v>0</v>
      </c>
      <c r="H14" s="10">
        <f>IFERROR(VLOOKUP(A14,'Centre DW5'!$A$7:$N$161,8,FALSE),0)+
IFERROR(VLOOKUP(A14,'Centre WP5'!$A$7:$N$160,8,FALSE),0)+
IFERROR(VLOOKUP(A14,'Centre WR5'!$A$7:$N$160,8,FALSE),0)</f>
        <v>0</v>
      </c>
      <c r="I14" s="10">
        <f>IFERROR(VLOOKUP(A14,'Centre DW5'!$A$7:$N$161,9,FALSE),0)+
IFERROR(VLOOKUP(A14,'Centre WP5'!$A$7:$N$160,9,FALSE),0)+
IFERROR(VLOOKUP(A14,'Centre WR5'!$A$7:$N$160,9,FALSE),0)</f>
        <v>0</v>
      </c>
      <c r="J14" s="10">
        <f>IFERROR(VLOOKUP(A14,'Centre DW5'!$A$7:$N$161,10,FALSE),0)+
IFERROR(VLOOKUP(A14,'Centre WP5'!$A$7:$N$160,10,FALSE),0)+
IFERROR(VLOOKUP(A14,'Centre WR5'!$A$7:$N$160,10,FALSE),0)</f>
        <v>0</v>
      </c>
      <c r="K14" s="10">
        <f>IFERROR(VLOOKUP(A14,'Centre DW5'!$A$7:$N$161,11,FALSE),0)+
IFERROR(VLOOKUP(A14,'Centre WP5'!$A$7:$N$160,11,FALSE),0)+
IFERROR(VLOOKUP(A14,'Centre WR5'!$A$7:$N$160,11,FALSE),0)</f>
        <v>0</v>
      </c>
      <c r="L14" s="10">
        <f>IFERROR(VLOOKUP(A14,'Centre DW5'!$A$7:$N$161,12,FALSE),0)+
IFERROR(VLOOKUP(A14,'Centre WP5'!$A$7:$N$160,12,FALSE),0)+
IFERROR(VLOOKUP(A14,'Centre WR5'!$A$7:$N$160,12,FALSE),0)</f>
        <v>0</v>
      </c>
      <c r="M14" s="10">
        <f>IFERROR(VLOOKUP(A14,'Centre DW5'!$A$7:$N$161,13,FALSE),0)+
IFERROR(VLOOKUP(A14,'Centre WP5'!$A$7:$N$160,13,FALSE),0)+
IFERROR(VLOOKUP(A14,'Centre WR5'!$A$7:$N$160,13,FALSE),0)</f>
        <v>0</v>
      </c>
      <c r="N14" s="10">
        <f>IFERROR(VLOOKUP(A14,'Centre DW5'!$A$7:$N$161,14,FALSE),0)+
IFERROR(VLOOKUP(A14,'Centre WP5'!$A$7:$N$160,14,FALSE),0)+
IFERROR(VLOOKUP(A14,'Centre WR5'!$A$7:$N$160,14,FALSE),0)</f>
        <v>0</v>
      </c>
    </row>
    <row r="15" spans="1:14" collapsed="1" x14ac:dyDescent="0.2">
      <c r="A15" s="33" t="s">
        <v>37</v>
      </c>
      <c r="B15" s="34" t="s">
        <v>38</v>
      </c>
      <c r="C15" s="44">
        <f>IFERROR(VLOOKUP(A15,'Centre DW5'!$A$7:$N$161,3,FALSE),0)+
IFERROR(VLOOKUP(A15,'Centre WP5'!$A$7:$N$160,3,FALSE),0)+
IFERROR(VLOOKUP(A15,'Centre WR5'!$A$7:$N$160,3,FALSE),0)</f>
        <v>0</v>
      </c>
      <c r="D15" s="44">
        <f>IFERROR(VLOOKUP(A15,'Centre DW5'!$A$7:$N$161,4,FALSE),0)+
IFERROR(VLOOKUP(A15,'Centre WP5'!$A$7:$N$160,4,FALSE),0)+
IFERROR(VLOOKUP(A15,'Centre WR5'!$A$7:$N$160,4,FALSE),0)</f>
        <v>0</v>
      </c>
      <c r="E15" s="44">
        <f>IFERROR(VLOOKUP(A15,'Centre DW5'!$A$7:$N$161,5,FALSE),0)+
IFERROR(VLOOKUP(A15,'Centre WP5'!$A$7:$N$160,5,FALSE),0)+
IFERROR(VLOOKUP(A15,'Centre WR5'!$A$7:$N$160,5,FALSE),0)</f>
        <v>0</v>
      </c>
      <c r="F15" s="44">
        <f>IFERROR(VLOOKUP(A15,'Centre DW5'!$A$7:$N$161,6,FALSE),0)+
IFERROR(VLOOKUP(A15,'Centre WP5'!$A$7:$N$160,6,FALSE),0)+
IFERROR(VLOOKUP(A15,'Centre WR5'!$A$7:$N$160,6,FALSE),0)</f>
        <v>0</v>
      </c>
      <c r="G15" s="44">
        <f>IFERROR(VLOOKUP(A15,'Centre DW5'!$A$7:$N$161,7,FALSE),0)+
IFERROR(VLOOKUP(A15,'Centre WP5'!$A$7:$N$160,7,FALSE),0)+
IFERROR(VLOOKUP(A15,'Centre WR5'!$A$7:$N$160,7,FALSE),0)</f>
        <v>0</v>
      </c>
      <c r="H15" s="44">
        <f>IFERROR(VLOOKUP(A15,'Centre DW5'!$A$7:$N$161,8,FALSE),0)+
IFERROR(VLOOKUP(A15,'Centre WP5'!$A$7:$N$160,8,FALSE),0)+
IFERROR(VLOOKUP(A15,'Centre WR5'!$A$7:$N$160,8,FALSE),0)</f>
        <v>0</v>
      </c>
      <c r="I15" s="44">
        <f>IFERROR(VLOOKUP(A15,'Centre DW5'!$A$7:$N$161,9,FALSE),0)+
IFERROR(VLOOKUP(A15,'Centre WP5'!$A$7:$N$160,9,FALSE),0)+
IFERROR(VLOOKUP(A15,'Centre WR5'!$A$7:$N$160,9,FALSE),0)</f>
        <v>0</v>
      </c>
      <c r="J15" s="44">
        <f>IFERROR(VLOOKUP(A15,'Centre DW5'!$A$7:$N$161,10,FALSE),0)+
IFERROR(VLOOKUP(A15,'Centre WP5'!$A$7:$N$160,10,FALSE),0)+
IFERROR(VLOOKUP(A15,'Centre WR5'!$A$7:$N$160,10,FALSE),0)</f>
        <v>0</v>
      </c>
      <c r="K15" s="44">
        <f>IFERROR(VLOOKUP(A15,'Centre DW5'!$A$7:$N$161,11,FALSE),0)+
IFERROR(VLOOKUP(A15,'Centre WP5'!$A$7:$N$160,11,FALSE),0)+
IFERROR(VLOOKUP(A15,'Centre WR5'!$A$7:$N$160,11,FALSE),0)</f>
        <v>0</v>
      </c>
      <c r="L15" s="44">
        <f>IFERROR(VLOOKUP(A15,'Centre DW5'!$A$7:$N$161,12,FALSE),0)+
IFERROR(VLOOKUP(A15,'Centre WP5'!$A$7:$N$160,12,FALSE),0)+
IFERROR(VLOOKUP(A15,'Centre WR5'!$A$7:$N$160,12,FALSE),0)</f>
        <v>0</v>
      </c>
      <c r="M15" s="44">
        <f>IFERROR(VLOOKUP(A15,'Centre DW5'!$A$7:$N$161,13,FALSE),0)+
IFERROR(VLOOKUP(A15,'Centre WP5'!$A$7:$N$160,13,FALSE),0)+
IFERROR(VLOOKUP(A15,'Centre WR5'!$A$7:$N$160,13,FALSE),0)</f>
        <v>0</v>
      </c>
      <c r="N15" s="44">
        <f>IFERROR(VLOOKUP(A15,'Centre DW5'!$A$7:$N$161,14,FALSE),0)+
IFERROR(VLOOKUP(A15,'Centre WP5'!$A$7:$N$160,14,FALSE),0)+
IFERROR(VLOOKUP(A15,'Centre WR5'!$A$7:$N$160,14,FALSE),0)</f>
        <v>0</v>
      </c>
    </row>
    <row r="16" spans="1:14" x14ac:dyDescent="0.2">
      <c r="A16" s="33" t="s">
        <v>39</v>
      </c>
      <c r="B16" s="34" t="s">
        <v>40</v>
      </c>
      <c r="C16" s="44">
        <f>IFERROR(VLOOKUP(A16,'Centre DW5'!$A$7:$N$161,3,FALSE),0)+
IFERROR(VLOOKUP(A16,'Centre WP5'!$A$7:$N$160,3,FALSE),0)+
IFERROR(VLOOKUP(A16,'Centre WR5'!$A$7:$N$160,3,FALSE),0)</f>
        <v>0</v>
      </c>
      <c r="D16" s="44">
        <f>IFERROR(VLOOKUP(A16,'Centre DW5'!$A$7:$N$161,4,FALSE),0)+
IFERROR(VLOOKUP(A16,'Centre WP5'!$A$7:$N$160,4,FALSE),0)+
IFERROR(VLOOKUP(A16,'Centre WR5'!$A$7:$N$160,4,FALSE),0)</f>
        <v>0</v>
      </c>
      <c r="E16" s="44">
        <f>IFERROR(VLOOKUP(A16,'Centre DW5'!$A$7:$N$161,5,FALSE),0)+
IFERROR(VLOOKUP(A16,'Centre WP5'!$A$7:$N$160,5,FALSE),0)+
IFERROR(VLOOKUP(A16,'Centre WR5'!$A$7:$N$160,5,FALSE),0)</f>
        <v>0</v>
      </c>
      <c r="F16" s="44">
        <f>IFERROR(VLOOKUP(A16,'Centre DW5'!$A$7:$N$161,6,FALSE),0)+
IFERROR(VLOOKUP(A16,'Centre WP5'!$A$7:$N$160,6,FALSE),0)+
IFERROR(VLOOKUP(A16,'Centre WR5'!$A$7:$N$160,6,FALSE),0)</f>
        <v>0</v>
      </c>
      <c r="G16" s="44">
        <f>IFERROR(VLOOKUP(A16,'Centre DW5'!$A$7:$N$161,7,FALSE),0)+
IFERROR(VLOOKUP(A16,'Centre WP5'!$A$7:$N$160,7,FALSE),0)+
IFERROR(VLOOKUP(A16,'Centre WR5'!$A$7:$N$160,7,FALSE),0)</f>
        <v>0</v>
      </c>
      <c r="H16" s="44">
        <f>IFERROR(VLOOKUP(A16,'Centre DW5'!$A$7:$N$161,8,FALSE),0)+
IFERROR(VLOOKUP(A16,'Centre WP5'!$A$7:$N$160,8,FALSE),0)+
IFERROR(VLOOKUP(A16,'Centre WR5'!$A$7:$N$160,8,FALSE),0)</f>
        <v>0</v>
      </c>
      <c r="I16" s="44">
        <f>IFERROR(VLOOKUP(A16,'Centre DW5'!$A$7:$N$161,9,FALSE),0)+
IFERROR(VLOOKUP(A16,'Centre WP5'!$A$7:$N$160,9,FALSE),0)+
IFERROR(VLOOKUP(A16,'Centre WR5'!$A$7:$N$160,9,FALSE),0)</f>
        <v>0</v>
      </c>
      <c r="J16" s="44">
        <f>IFERROR(VLOOKUP(A16,'Centre DW5'!$A$7:$N$161,10,FALSE),0)+
IFERROR(VLOOKUP(A16,'Centre WP5'!$A$7:$N$160,10,FALSE),0)+
IFERROR(VLOOKUP(A16,'Centre WR5'!$A$7:$N$160,10,FALSE),0)</f>
        <v>0</v>
      </c>
      <c r="K16" s="44">
        <f>IFERROR(VLOOKUP(A16,'Centre DW5'!$A$7:$N$161,11,FALSE),0)+
IFERROR(VLOOKUP(A16,'Centre WP5'!$A$7:$N$160,11,FALSE),0)+
IFERROR(VLOOKUP(A16,'Centre WR5'!$A$7:$N$160,11,FALSE),0)</f>
        <v>0</v>
      </c>
      <c r="L16" s="44">
        <f>IFERROR(VLOOKUP(A16,'Centre DW5'!$A$7:$N$161,12,FALSE),0)+
IFERROR(VLOOKUP(A16,'Centre WP5'!$A$7:$N$160,12,FALSE),0)+
IFERROR(VLOOKUP(A16,'Centre WR5'!$A$7:$N$160,12,FALSE),0)</f>
        <v>0</v>
      </c>
      <c r="M16" s="44">
        <f>IFERROR(VLOOKUP(A16,'Centre DW5'!$A$7:$N$161,13,FALSE),0)+
IFERROR(VLOOKUP(A16,'Centre WP5'!$A$7:$N$160,13,FALSE),0)+
IFERROR(VLOOKUP(A16,'Centre WR5'!$A$7:$N$160,13,FALSE),0)</f>
        <v>0</v>
      </c>
      <c r="N16" s="44">
        <f>IFERROR(VLOOKUP(A16,'Centre DW5'!$A$7:$N$161,14,FALSE),0)+
IFERROR(VLOOKUP(A16,'Centre WP5'!$A$7:$N$160,14,FALSE),0)+
IFERROR(VLOOKUP(A16,'Centre WR5'!$A$7:$N$160,14,FALSE),0)</f>
        <v>0</v>
      </c>
    </row>
    <row r="17" spans="1:14" x14ac:dyDescent="0.2">
      <c r="A17" s="33" t="s">
        <v>41</v>
      </c>
      <c r="B17" s="34" t="s">
        <v>42</v>
      </c>
      <c r="C17" s="44">
        <f>+C18</f>
        <v>0</v>
      </c>
      <c r="D17" s="44">
        <f t="shared" ref="D17:N17" si="3">+D18</f>
        <v>0</v>
      </c>
      <c r="E17" s="44">
        <f t="shared" si="3"/>
        <v>0</v>
      </c>
      <c r="F17" s="44">
        <f t="shared" si="3"/>
        <v>0</v>
      </c>
      <c r="G17" s="44">
        <f t="shared" si="3"/>
        <v>0</v>
      </c>
      <c r="H17" s="44">
        <f t="shared" si="3"/>
        <v>0</v>
      </c>
      <c r="I17" s="44">
        <f t="shared" si="3"/>
        <v>0</v>
      </c>
      <c r="J17" s="44">
        <f t="shared" si="3"/>
        <v>0</v>
      </c>
      <c r="K17" s="44">
        <f t="shared" si="3"/>
        <v>0</v>
      </c>
      <c r="L17" s="44">
        <f t="shared" si="3"/>
        <v>0</v>
      </c>
      <c r="M17" s="44">
        <f t="shared" si="3"/>
        <v>0</v>
      </c>
      <c r="N17" s="44">
        <f t="shared" si="3"/>
        <v>0</v>
      </c>
    </row>
    <row r="18" spans="1:14" hidden="1" outlineLevel="1" x14ac:dyDescent="0.2">
      <c r="A18" s="9" t="s">
        <v>43</v>
      </c>
      <c r="B18" s="1" t="s">
        <v>44</v>
      </c>
      <c r="C18" s="10">
        <f>IFERROR(VLOOKUP(A18,'Centre DW5'!$A$7:$N$161,3,FALSE),0)+
IFERROR(VLOOKUP(A18,'Centre WP5'!$A$7:$N$160,3,FALSE),0)+
IFERROR(VLOOKUP(A18,'Centre WR5'!$A$7:$N$160,3,FALSE),0)</f>
        <v>0</v>
      </c>
      <c r="D18" s="10">
        <f>IFERROR(VLOOKUP(A18,'Centre DW5'!$A$7:$N$161,4,FALSE),0)+
IFERROR(VLOOKUP(A18,'Centre WP5'!$A$7:$N$160,4,FALSE),0)+
IFERROR(VLOOKUP(A18,'Centre WR5'!$A$7:$N$160,4,FALSE),0)</f>
        <v>0</v>
      </c>
      <c r="E18" s="10">
        <f>IFERROR(VLOOKUP(A18,'Centre DW5'!$A$7:$N$161,5,FALSE),0)+
IFERROR(VLOOKUP(A18,'Centre WP5'!$A$7:$N$160,5,FALSE),0)+
IFERROR(VLOOKUP(A18,'Centre WR5'!$A$7:$N$160,5,FALSE),0)</f>
        <v>0</v>
      </c>
      <c r="F18" s="10">
        <f>IFERROR(VLOOKUP(A18,'Centre DW5'!$A$7:$N$161,6,FALSE),0)+
IFERROR(VLOOKUP(A18,'Centre WP5'!$A$7:$N$160,6,FALSE),0)+
IFERROR(VLOOKUP(A18,'Centre WR5'!$A$7:$N$160,6,FALSE),0)</f>
        <v>0</v>
      </c>
      <c r="G18" s="10">
        <f>IFERROR(VLOOKUP(A18,'Centre DW5'!$A$7:$N$161,7,FALSE),0)+
IFERROR(VLOOKUP(A18,'Centre WP5'!$A$7:$N$160,7,FALSE),0)+
IFERROR(VLOOKUP(A18,'Centre WR5'!$A$7:$N$160,7,FALSE),0)</f>
        <v>0</v>
      </c>
      <c r="H18" s="10">
        <f>IFERROR(VLOOKUP(A18,'Centre DW5'!$A$7:$N$161,8,FALSE),0)+
IFERROR(VLOOKUP(A18,'Centre WP5'!$A$7:$N$160,8,FALSE),0)+
IFERROR(VLOOKUP(A18,'Centre WR5'!$A$7:$N$160,8,FALSE),0)</f>
        <v>0</v>
      </c>
      <c r="I18" s="10">
        <f>IFERROR(VLOOKUP(A18,'Centre DW5'!$A$7:$N$161,9,FALSE),0)+
IFERROR(VLOOKUP(A18,'Centre WP5'!$A$7:$N$160,9,FALSE),0)+
IFERROR(VLOOKUP(A18,'Centre WR5'!$A$7:$N$160,9,FALSE),0)</f>
        <v>0</v>
      </c>
      <c r="J18" s="10">
        <f>IFERROR(VLOOKUP(A18,'Centre DW5'!$A$7:$N$161,10,FALSE),0)+
IFERROR(VLOOKUP(A18,'Centre WP5'!$A$7:$N$160,10,FALSE),0)+
IFERROR(VLOOKUP(A18,'Centre WR5'!$A$7:$N$160,10,FALSE),0)</f>
        <v>0</v>
      </c>
      <c r="K18" s="10">
        <f>IFERROR(VLOOKUP(A18,'Centre DW5'!$A$7:$N$161,11,FALSE),0)+
IFERROR(VLOOKUP(A18,'Centre WP5'!$A$7:$N$160,11,FALSE),0)+
IFERROR(VLOOKUP(A18,'Centre WR5'!$A$7:$N$160,11,FALSE),0)</f>
        <v>0</v>
      </c>
      <c r="L18" s="10">
        <f>IFERROR(VLOOKUP(A18,'Centre DW5'!$A$7:$N$161,12,FALSE),0)+
IFERROR(VLOOKUP(A18,'Centre WP5'!$A$7:$N$160,12,FALSE),0)+
IFERROR(VLOOKUP(A18,'Centre WR5'!$A$7:$N$160,12,FALSE),0)</f>
        <v>0</v>
      </c>
      <c r="M18" s="10">
        <f>IFERROR(VLOOKUP(A18,'Centre DW5'!$A$7:$N$161,13,FALSE),0)+
IFERROR(VLOOKUP(A18,'Centre WP5'!$A$7:$N$160,13,FALSE),0)+
IFERROR(VLOOKUP(A18,'Centre WR5'!$A$7:$N$160,13,FALSE),0)</f>
        <v>0</v>
      </c>
      <c r="N18" s="10">
        <f>IFERROR(VLOOKUP(A18,'Centre DW5'!$A$7:$N$161,14,FALSE),0)+
IFERROR(VLOOKUP(A18,'Centre WP5'!$A$7:$N$160,14,FALSE),0)+
IFERROR(VLOOKUP(A18,'Centre WR5'!$A$7:$N$160,14,FALSE),0)</f>
        <v>0</v>
      </c>
    </row>
    <row r="19" spans="1:14" collapsed="1" x14ac:dyDescent="0.2">
      <c r="A19" s="33" t="s">
        <v>45</v>
      </c>
      <c r="B19" s="34" t="s">
        <v>46</v>
      </c>
      <c r="C19" s="44">
        <f>IFERROR(VLOOKUP(#REF!,'Centre DW5'!$A$7:$N$161,10,FALSE),0)+
IFERROR(VLOOKUP(#REF!,'Centre WP5'!$A$7:$N$160,10,FALSE),0)+
IFERROR(VLOOKUP(#REF!,'Centre WR5'!$A$7:$N$160,10,FALSE),0)</f>
        <v>0</v>
      </c>
      <c r="D19" s="44">
        <f>IFERROR(VLOOKUP(#REF!,'Centre DW5'!$A$7:$N$161,10,FALSE),0)+
IFERROR(VLOOKUP(#REF!,'Centre WP5'!$A$7:$N$160,10,FALSE),0)+
IFERROR(VLOOKUP(#REF!,'Centre WR5'!$A$7:$N$160,10,FALSE),0)</f>
        <v>0</v>
      </c>
      <c r="E19" s="44">
        <f>IFERROR(VLOOKUP(#REF!,'Centre DW5'!$A$7:$N$161,10,FALSE),0)+
IFERROR(VLOOKUP(#REF!,'Centre WP5'!$A$7:$N$160,10,FALSE),0)+
IFERROR(VLOOKUP(#REF!,'Centre WR5'!$A$7:$N$160,10,FALSE),0)</f>
        <v>0</v>
      </c>
      <c r="F19" s="44">
        <f>IFERROR(VLOOKUP(#REF!,'Centre DW5'!$A$7:$N$161,10,FALSE),0)+
IFERROR(VLOOKUP(#REF!,'Centre WP5'!$A$7:$N$160,10,FALSE),0)+
IFERROR(VLOOKUP(#REF!,'Centre WR5'!$A$7:$N$160,10,FALSE),0)</f>
        <v>0</v>
      </c>
      <c r="G19" s="44">
        <f>IFERROR(VLOOKUP(#REF!,'Centre DW5'!$A$7:$N$161,10,FALSE),0)+
IFERROR(VLOOKUP(#REF!,'Centre WP5'!$A$7:$N$160,10,FALSE),0)+
IFERROR(VLOOKUP(#REF!,'Centre WR5'!$A$7:$N$160,10,FALSE),0)</f>
        <v>0</v>
      </c>
      <c r="H19" s="44">
        <f>IFERROR(VLOOKUP(#REF!,'Centre DW5'!$A$7:$N$161,10,FALSE),0)+
IFERROR(VLOOKUP(#REF!,'Centre WP5'!$A$7:$N$160,10,FALSE),0)+
IFERROR(VLOOKUP(#REF!,'Centre WR5'!$A$7:$N$160,10,FALSE),0)</f>
        <v>0</v>
      </c>
      <c r="I19" s="44">
        <f>IFERROR(VLOOKUP(#REF!,'Centre DW5'!$A$7:$N$161,10,FALSE),0)+
IFERROR(VLOOKUP(#REF!,'Centre WP5'!$A$7:$N$160,10,FALSE),0)+
IFERROR(VLOOKUP(#REF!,'Centre WR5'!$A$7:$N$160,10,FALSE),0)</f>
        <v>0</v>
      </c>
      <c r="J19" s="44">
        <f>IFERROR(VLOOKUP(A19,'Centre DW5'!$A$7:$N$161,10,FALSE),0)+
IFERROR(VLOOKUP(A19,'Centre WP5'!$A$7:$N$160,10,FALSE),0)+
IFERROR(VLOOKUP(A19,'Centre WR5'!$A$7:$N$160,10,FALSE),0)</f>
        <v>0</v>
      </c>
      <c r="K19" s="44">
        <f>IFERROR(VLOOKUP(A19,'Centre DW5'!$A$7:$N$161,11,FALSE),0)+
IFERROR(VLOOKUP(A19,'Centre WP5'!$A$7:$N$160,11,FALSE),0)+
IFERROR(VLOOKUP(A19,'Centre WR5'!$A$7:$N$160,11,FALSE),0)</f>
        <v>0</v>
      </c>
      <c r="L19" s="44">
        <f>IFERROR(VLOOKUP(A19,'Centre DW5'!$A$7:$N$161,12,FALSE),0)+
IFERROR(VLOOKUP(A19,'Centre WP5'!$A$7:$N$160,12,FALSE),0)+
IFERROR(VLOOKUP(A19,'Centre WR5'!$A$7:$N$160,12,FALSE),0)</f>
        <v>0</v>
      </c>
      <c r="M19" s="44">
        <f>IFERROR(VLOOKUP(A19,'Centre DW5'!$A$7:$N$161,13,FALSE),0)+
IFERROR(VLOOKUP(A19,'Centre WP5'!$A$7:$N$160,13,FALSE),0)+
IFERROR(VLOOKUP(A19,'Centre WR5'!$A$7:$N$160,13,FALSE),0)</f>
        <v>0</v>
      </c>
      <c r="N19" s="44">
        <f>IFERROR(VLOOKUP(A19,'Centre DW5'!$A$7:$N$161,14,FALSE),0)+
IFERROR(VLOOKUP(A19,'Centre WP5'!$A$7:$N$160,14,FALSE),0)+
IFERROR(VLOOKUP(A19,'Centre WR5'!$A$7:$N$160,14,FALSE),0)</f>
        <v>0</v>
      </c>
    </row>
    <row r="20" spans="1:14" x14ac:dyDescent="0.2">
      <c r="A20" s="35"/>
      <c r="B20" s="35" t="s">
        <v>47</v>
      </c>
      <c r="C20" s="21">
        <f t="shared" ref="C20:M20" si="4">+C7+C15+C16+C17+C19</f>
        <v>658</v>
      </c>
      <c r="D20" s="21">
        <f t="shared" si="4"/>
        <v>582</v>
      </c>
      <c r="E20" s="21">
        <f t="shared" si="4"/>
        <v>644.40000000000009</v>
      </c>
      <c r="F20" s="21">
        <f t="shared" si="4"/>
        <v>760.5</v>
      </c>
      <c r="G20" s="21">
        <f t="shared" si="4"/>
        <v>663.9</v>
      </c>
      <c r="H20" s="21">
        <f t="shared" si="4"/>
        <v>649</v>
      </c>
      <c r="I20" s="21">
        <f t="shared" si="4"/>
        <v>646.4</v>
      </c>
      <c r="J20" s="21">
        <f t="shared" si="4"/>
        <v>639.6</v>
      </c>
      <c r="K20" s="21">
        <f t="shared" si="4"/>
        <v>763.3</v>
      </c>
      <c r="L20" s="21">
        <f t="shared" si="4"/>
        <v>651</v>
      </c>
      <c r="M20" s="21">
        <f t="shared" si="4"/>
        <v>623.1</v>
      </c>
      <c r="N20" s="21">
        <f t="shared" ref="N20" si="5">+N7+N15+N16+N17+N19</f>
        <v>625.20000000000005</v>
      </c>
    </row>
    <row r="21" spans="1:14" x14ac:dyDescent="0.2">
      <c r="A21" s="33" t="s">
        <v>48</v>
      </c>
      <c r="B21" s="34" t="s">
        <v>49</v>
      </c>
      <c r="C21" s="44">
        <f t="shared" ref="C21:I21" si="6">SUM(C22:C25)</f>
        <v>0</v>
      </c>
      <c r="D21" s="44">
        <f t="shared" si="6"/>
        <v>0</v>
      </c>
      <c r="E21" s="44">
        <f t="shared" si="6"/>
        <v>0</v>
      </c>
      <c r="F21" s="44">
        <f t="shared" si="6"/>
        <v>0</v>
      </c>
      <c r="G21" s="44">
        <f t="shared" si="6"/>
        <v>19</v>
      </c>
      <c r="H21" s="44">
        <f t="shared" si="6"/>
        <v>0</v>
      </c>
      <c r="I21" s="44">
        <f t="shared" si="6"/>
        <v>0</v>
      </c>
      <c r="J21" s="44">
        <f>SUM(J22:J25)</f>
        <v>0</v>
      </c>
      <c r="K21" s="44">
        <f t="shared" ref="K21:N21" si="7">SUM(K22:K25)</f>
        <v>0</v>
      </c>
      <c r="L21" s="44">
        <f t="shared" si="7"/>
        <v>19</v>
      </c>
      <c r="M21" s="44">
        <f t="shared" si="7"/>
        <v>0</v>
      </c>
      <c r="N21" s="44">
        <f t="shared" si="7"/>
        <v>0</v>
      </c>
    </row>
    <row r="22" spans="1:14" hidden="1" outlineLevel="1" x14ac:dyDescent="0.2">
      <c r="A22" s="9" t="s">
        <v>50</v>
      </c>
      <c r="B22" s="1" t="s">
        <v>51</v>
      </c>
      <c r="C22" s="10">
        <f>IFERROR(VLOOKUP(A22,'Centre DW5'!$A$7:$N$161,3,FALSE),0)+
IFERROR(VLOOKUP(A22,'Centre WP5'!$A$7:$N$160,3,FALSE),0)+
IFERROR(VLOOKUP(A22,'Centre WR5'!$A$7:$N$160,3,FALSE),0)</f>
        <v>0</v>
      </c>
      <c r="D22" s="10">
        <f>IFERROR(VLOOKUP(A22,'Centre DW5'!$A$7:$N$161,4,FALSE),0)+
IFERROR(VLOOKUP(A22,'Centre WP5'!$A$7:$N$160,4,FALSE),0)+
IFERROR(VLOOKUP(A22,'Centre WR5'!$A$7:$N$160,4,FALSE),0)</f>
        <v>0</v>
      </c>
      <c r="E22" s="10">
        <f>IFERROR(VLOOKUP(A22,'Centre DW5'!$A$7:$N$161,5,FALSE),0)+
IFERROR(VLOOKUP(A22,'Centre WP5'!$A$7:$N$160,5,FALSE),0)+
IFERROR(VLOOKUP(A22,'Centre WR5'!$A$7:$N$160,5,FALSE),0)</f>
        <v>0</v>
      </c>
      <c r="F22" s="10">
        <f>IFERROR(VLOOKUP(A22,'Centre DW5'!$A$7:$N$161,6,FALSE),0)+
IFERROR(VLOOKUP(A22,'Centre WP5'!$A$7:$N$160,6,FALSE),0)+
IFERROR(VLOOKUP(A22,'Centre WR5'!$A$7:$N$160,6,FALSE),0)</f>
        <v>0</v>
      </c>
      <c r="G22" s="10">
        <f>IFERROR(VLOOKUP(A22,'Centre DW5'!$A$7:$N$161,7,FALSE),0)+
IFERROR(VLOOKUP(A22,'Centre WP5'!$A$7:$N$160,7,FALSE),0)+
IFERROR(VLOOKUP(A22,'Centre WR5'!$A$7:$N$160,7,FALSE),0)</f>
        <v>0</v>
      </c>
      <c r="H22" s="10">
        <f>IFERROR(VLOOKUP(A22,'Centre DW5'!$A$7:$N$161,8,FALSE),0)+
IFERROR(VLOOKUP(A22,'Centre WP5'!$A$7:$N$160,8,FALSE),0)+
IFERROR(VLOOKUP(A22,'Centre WR5'!$A$7:$N$160,8,FALSE),0)</f>
        <v>0</v>
      </c>
      <c r="I22" s="10">
        <f>IFERROR(VLOOKUP(A22,'Centre DW5'!$A$7:$N$161,9,FALSE),0)+
IFERROR(VLOOKUP(A22,'Centre WP5'!$A$7:$N$160,9,FALSE),0)+
IFERROR(VLOOKUP(A22,'Centre WR5'!$A$7:$N$160,9,FALSE),0)</f>
        <v>0</v>
      </c>
      <c r="J22" s="10">
        <f>IFERROR(VLOOKUP(A22,'Centre DW5'!$A$7:$N$161,10,FALSE),0)+
IFERROR(VLOOKUP(A22,'Centre WP5'!$A$7:$N$160,10,FALSE),0)+
IFERROR(VLOOKUP(A22,'Centre WR5'!$A$7:$N$160,10,FALSE),0)</f>
        <v>0</v>
      </c>
      <c r="K22" s="10">
        <f>IFERROR(VLOOKUP(A22,'Centre DW5'!$A$7:$N$161,11,FALSE),0)+
IFERROR(VLOOKUP(A22,'Centre WP5'!$A$7:$N$160,11,FALSE),0)+
IFERROR(VLOOKUP(A22,'Centre WR5'!$A$7:$N$160,11,FALSE),0)</f>
        <v>0</v>
      </c>
      <c r="L22" s="10">
        <f>IFERROR(VLOOKUP(A22,'Centre DW5'!$A$7:$N$161,12,FALSE),0)+
IFERROR(VLOOKUP(A22,'Centre WP5'!$A$7:$N$160,12,FALSE),0)+
IFERROR(VLOOKUP(A22,'Centre WR5'!$A$7:$N$160,12,FALSE),0)</f>
        <v>0</v>
      </c>
      <c r="M22" s="10">
        <f>IFERROR(VLOOKUP(A22,'Centre DW5'!$A$7:$N$161,13,FALSE),0)+
IFERROR(VLOOKUP(A22,'Centre WP5'!$A$7:$N$160,13,FALSE),0)+
IFERROR(VLOOKUP(A22,'Centre WR5'!$A$7:$N$160,13,FALSE),0)</f>
        <v>0</v>
      </c>
      <c r="N22" s="10">
        <f>IFERROR(VLOOKUP(A22,'Centre DW5'!$A$7:$N$161,14,FALSE),0)+
IFERROR(VLOOKUP(A22,'Centre WP5'!$A$7:$N$160,14,FALSE),0)+
IFERROR(VLOOKUP(A22,'Centre WR5'!$A$7:$N$160,14,FALSE),0)</f>
        <v>0</v>
      </c>
    </row>
    <row r="23" spans="1:14" hidden="1" outlineLevel="1" x14ac:dyDescent="0.2">
      <c r="A23" s="9" t="s">
        <v>56</v>
      </c>
      <c r="B23" s="1" t="s">
        <v>51</v>
      </c>
      <c r="C23" s="10">
        <f>IFERROR(VLOOKUP(A23,'Centre DW5'!$A$7:$N$161,3,FALSE),0)+
IFERROR(VLOOKUP(A23,'Centre WP5'!$A$7:$N$160,3,FALSE),0)+
IFERROR(VLOOKUP(A23,'Centre WR5'!$A$7:$N$160,3,FALSE),0)</f>
        <v>0</v>
      </c>
      <c r="D23" s="10">
        <f>IFERROR(VLOOKUP(A23,'Centre DW5'!$A$7:$N$161,4,FALSE),0)+
IFERROR(VLOOKUP(A23,'Centre WP5'!$A$7:$N$160,4,FALSE),0)+
IFERROR(VLOOKUP(A23,'Centre WR5'!$A$7:$N$160,4,FALSE),0)</f>
        <v>0</v>
      </c>
      <c r="E23" s="10">
        <f>IFERROR(VLOOKUP(A23,'Centre DW5'!$A$7:$N$161,5,FALSE),0)+
IFERROR(VLOOKUP(A23,'Centre WP5'!$A$7:$N$160,5,FALSE),0)+
IFERROR(VLOOKUP(A23,'Centre WR5'!$A$7:$N$160,5,FALSE),0)</f>
        <v>0</v>
      </c>
      <c r="F23" s="10">
        <f>IFERROR(VLOOKUP(A23,'Centre DW5'!$A$7:$N$161,6,FALSE),0)+
IFERROR(VLOOKUP(A23,'Centre WP5'!$A$7:$N$160,6,FALSE),0)+
IFERROR(VLOOKUP(A23,'Centre WR5'!$A$7:$N$160,6,FALSE),0)</f>
        <v>0</v>
      </c>
      <c r="G23" s="10">
        <f>IFERROR(VLOOKUP(A23,'Centre DW5'!$A$7:$N$161,7,FALSE),0)+
IFERROR(VLOOKUP(A23,'Centre WP5'!$A$7:$N$160,7,FALSE),0)+
IFERROR(VLOOKUP(A23,'Centre WR5'!$A$7:$N$160,7,FALSE),0)</f>
        <v>0</v>
      </c>
      <c r="H23" s="10">
        <f>IFERROR(VLOOKUP(A23,'Centre DW5'!$A$7:$N$161,8,FALSE),0)+
IFERROR(VLOOKUP(A23,'Centre WP5'!$A$7:$N$160,8,FALSE),0)+
IFERROR(VLOOKUP(A23,'Centre WR5'!$A$7:$N$160,8,FALSE),0)</f>
        <v>0</v>
      </c>
      <c r="I23" s="10">
        <f>IFERROR(VLOOKUP(A23,'Centre DW5'!$A$7:$N$161,9,FALSE),0)+
IFERROR(VLOOKUP(A23,'Centre WP5'!$A$7:$N$160,9,FALSE),0)+
IFERROR(VLOOKUP(A23,'Centre WR5'!$A$7:$N$160,9,FALSE),0)</f>
        <v>0</v>
      </c>
      <c r="J23" s="10">
        <f>IFERROR(VLOOKUP(A23,'Centre DW5'!$A$7:$N$161,10,FALSE),0)+
IFERROR(VLOOKUP(A23,'Centre WP5'!$A$7:$N$160,10,FALSE),0)+
IFERROR(VLOOKUP(A23,'Centre WR5'!$A$7:$N$160,10,FALSE),0)</f>
        <v>0</v>
      </c>
      <c r="K23" s="10">
        <f>IFERROR(VLOOKUP(A23,'Centre DW5'!$A$7:$N$161,11,FALSE),0)+
IFERROR(VLOOKUP(A23,'Centre WP5'!$A$7:$N$160,11,FALSE),0)+
IFERROR(VLOOKUP(A23,'Centre WR5'!$A$7:$N$160,11,FALSE),0)</f>
        <v>0</v>
      </c>
      <c r="L23" s="10">
        <f>IFERROR(VLOOKUP(A23,'Centre DW5'!$A$7:$N$161,12,FALSE),0)+
IFERROR(VLOOKUP(A23,'Centre WP5'!$A$7:$N$160,12,FALSE),0)+
IFERROR(VLOOKUP(A23,'Centre WR5'!$A$7:$N$160,12,FALSE),0)</f>
        <v>0</v>
      </c>
      <c r="M23" s="10">
        <f>IFERROR(VLOOKUP(A23,'Centre DW5'!$A$7:$N$161,13,FALSE),0)+
IFERROR(VLOOKUP(A23,'Centre WP5'!$A$7:$N$160,13,FALSE),0)+
IFERROR(VLOOKUP(A23,'Centre WR5'!$A$7:$N$160,13,FALSE),0)</f>
        <v>0</v>
      </c>
      <c r="N23" s="10">
        <f>IFERROR(VLOOKUP(A23,'Centre DW5'!$A$7:$N$161,14,FALSE),0)+
IFERROR(VLOOKUP(A23,'Centre WP5'!$A$7:$N$160,14,FALSE),0)+
IFERROR(VLOOKUP(A23,'Centre WR5'!$A$7:$N$160,14,FALSE),0)</f>
        <v>0</v>
      </c>
    </row>
    <row r="24" spans="1:14" hidden="1" outlineLevel="1" x14ac:dyDescent="0.2">
      <c r="A24" s="9" t="s">
        <v>57</v>
      </c>
      <c r="B24" s="1" t="s">
        <v>58</v>
      </c>
      <c r="C24" s="10">
        <f>IFERROR(VLOOKUP(A24,'Centre DW5'!$A$7:$N$161,3,FALSE),0)+
IFERROR(VLOOKUP(A24,'Centre WP5'!$A$7:$N$160,3,FALSE),0)+
IFERROR(VLOOKUP(A24,'Centre WR5'!$A$7:$N$160,3,FALSE),0)</f>
        <v>0</v>
      </c>
      <c r="D24" s="10">
        <f>IFERROR(VLOOKUP(A24,'Centre DW5'!$A$7:$N$161,4,FALSE),0)+
IFERROR(VLOOKUP(A24,'Centre WP5'!$A$7:$N$160,4,FALSE),0)+
IFERROR(VLOOKUP(A24,'Centre WR5'!$A$7:$N$160,4,FALSE),0)</f>
        <v>0</v>
      </c>
      <c r="E24" s="10">
        <f>IFERROR(VLOOKUP(A24,'Centre DW5'!$A$7:$N$161,5,FALSE),0)+
IFERROR(VLOOKUP(A24,'Centre WP5'!$A$7:$N$160,5,FALSE),0)+
IFERROR(VLOOKUP(A24,'Centre WR5'!$A$7:$N$160,5,FALSE),0)</f>
        <v>0</v>
      </c>
      <c r="F24" s="10">
        <f>IFERROR(VLOOKUP(A24,'Centre DW5'!$A$7:$N$161,6,FALSE),0)+
IFERROR(VLOOKUP(A24,'Centre WP5'!$A$7:$N$160,6,FALSE),0)+
IFERROR(VLOOKUP(A24,'Centre WR5'!$A$7:$N$160,6,FALSE),0)</f>
        <v>0</v>
      </c>
      <c r="G24" s="10">
        <f>IFERROR(VLOOKUP(A24,'Centre DW5'!$A$7:$N$161,7,FALSE),0)+
IFERROR(VLOOKUP(A24,'Centre WP5'!$A$7:$N$160,7,FALSE),0)+
IFERROR(VLOOKUP(A24,'Centre WR5'!$A$7:$N$160,7,FALSE),0)</f>
        <v>19</v>
      </c>
      <c r="H24" s="10">
        <f>IFERROR(VLOOKUP(A24,'Centre DW5'!$A$7:$N$161,8,FALSE),0)+
IFERROR(VLOOKUP(A24,'Centre WP5'!$A$7:$N$160,8,FALSE),0)+
IFERROR(VLOOKUP(A24,'Centre WR5'!$A$7:$N$160,8,FALSE),0)</f>
        <v>0</v>
      </c>
      <c r="I24" s="10">
        <f>IFERROR(VLOOKUP(A24,'Centre DW5'!$A$7:$N$161,9,FALSE),0)+
IFERROR(VLOOKUP(A24,'Centre WP5'!$A$7:$N$160,9,FALSE),0)+
IFERROR(VLOOKUP(A24,'Centre WR5'!$A$7:$N$160,9,FALSE),0)</f>
        <v>0</v>
      </c>
      <c r="J24" s="10">
        <f>IFERROR(VLOOKUP(A24,'Centre DW5'!$A$7:$N$161,10,FALSE),0)+
IFERROR(VLOOKUP(A24,'Centre WP5'!$A$7:$N$160,10,FALSE),0)+
IFERROR(VLOOKUP(A24,'Centre WR5'!$A$7:$N$160,10,FALSE),0)</f>
        <v>0</v>
      </c>
      <c r="K24" s="10">
        <f>IFERROR(VLOOKUP(A24,'Centre DW5'!$A$7:$N$161,11,FALSE),0)+
IFERROR(VLOOKUP(A24,'Centre WP5'!$A$7:$N$160,11,FALSE),0)+
IFERROR(VLOOKUP(A24,'Centre WR5'!$A$7:$N$160,11,FALSE),0)</f>
        <v>0</v>
      </c>
      <c r="L24" s="10">
        <f>IFERROR(VLOOKUP(A24,'Centre DW5'!$A$7:$N$161,12,FALSE),0)+
IFERROR(VLOOKUP(A24,'Centre WP5'!$A$7:$N$160,12,FALSE),0)+
IFERROR(VLOOKUP(A24,'Centre WR5'!$A$7:$N$160,12,FALSE),0)</f>
        <v>19</v>
      </c>
      <c r="M24" s="10">
        <f>IFERROR(VLOOKUP(A24,'Centre DW5'!$A$7:$N$161,13,FALSE),0)+
IFERROR(VLOOKUP(A24,'Centre WP5'!$A$7:$N$160,13,FALSE),0)+
IFERROR(VLOOKUP(A24,'Centre WR5'!$A$7:$N$160,13,FALSE),0)</f>
        <v>0</v>
      </c>
      <c r="N24" s="10">
        <f>IFERROR(VLOOKUP(A24,'Centre DW5'!$A$7:$N$161,14,FALSE),0)+
IFERROR(VLOOKUP(A24,'Centre WP5'!$A$7:$N$160,14,FALSE),0)+
IFERROR(VLOOKUP(A24,'Centre WR5'!$A$7:$N$160,14,FALSE),0)</f>
        <v>0</v>
      </c>
    </row>
    <row r="25" spans="1:14" hidden="1" outlineLevel="1" x14ac:dyDescent="0.2">
      <c r="A25" s="9" t="s">
        <v>59</v>
      </c>
      <c r="B25" s="1" t="s">
        <v>53</v>
      </c>
      <c r="C25" s="10">
        <f>IFERROR(VLOOKUP(A25,'Centre DW5'!$A$7:$N$161,3,FALSE),0)+
IFERROR(VLOOKUP(A25,'Centre WP5'!$A$7:$N$160,3,FALSE),0)+
IFERROR(VLOOKUP(A25,'Centre WR5'!$A$7:$N$160,3,FALSE),0)</f>
        <v>0</v>
      </c>
      <c r="D25" s="10">
        <f>IFERROR(VLOOKUP(A25,'Centre DW5'!$A$7:$N$161,4,FALSE),0)+
IFERROR(VLOOKUP(A25,'Centre WP5'!$A$7:$N$160,4,FALSE),0)+
IFERROR(VLOOKUP(A25,'Centre WR5'!$A$7:$N$160,4,FALSE),0)</f>
        <v>0</v>
      </c>
      <c r="E25" s="10">
        <f>IFERROR(VLOOKUP(A25,'Centre DW5'!$A$7:$N$161,5,FALSE),0)+
IFERROR(VLOOKUP(A25,'Centre WP5'!$A$7:$N$160,5,FALSE),0)+
IFERROR(VLOOKUP(A25,'Centre WR5'!$A$7:$N$160,5,FALSE),0)</f>
        <v>0</v>
      </c>
      <c r="F25" s="10">
        <f>IFERROR(VLOOKUP(A25,'Centre DW5'!$A$7:$N$161,6,FALSE),0)+
IFERROR(VLOOKUP(A25,'Centre WP5'!$A$7:$N$160,6,FALSE),0)+
IFERROR(VLOOKUP(A25,'Centre WR5'!$A$7:$N$160,6,FALSE),0)</f>
        <v>0</v>
      </c>
      <c r="G25" s="10">
        <f>IFERROR(VLOOKUP(A25,'Centre DW5'!$A$7:$N$161,7,FALSE),0)+
IFERROR(VLOOKUP(A25,'Centre WP5'!$A$7:$N$160,7,FALSE),0)+
IFERROR(VLOOKUP(A25,'Centre WR5'!$A$7:$N$160,7,FALSE),0)</f>
        <v>0</v>
      </c>
      <c r="H25" s="10">
        <f>IFERROR(VLOOKUP(A25,'Centre DW5'!$A$7:$N$161,8,FALSE),0)+
IFERROR(VLOOKUP(A25,'Centre WP5'!$A$7:$N$160,8,FALSE),0)+
IFERROR(VLOOKUP(A25,'Centre WR5'!$A$7:$N$160,8,FALSE),0)</f>
        <v>0</v>
      </c>
      <c r="I25" s="10">
        <f>IFERROR(VLOOKUP(A25,'Centre DW5'!$A$7:$N$161,9,FALSE),0)+
IFERROR(VLOOKUP(A25,'Centre WP5'!$A$7:$N$160,9,FALSE),0)+
IFERROR(VLOOKUP(A25,'Centre WR5'!$A$7:$N$160,9,FALSE),0)</f>
        <v>0</v>
      </c>
      <c r="J25" s="10">
        <f>IFERROR(VLOOKUP(A25,'Centre DW5'!$A$7:$N$161,10,FALSE),0)+
IFERROR(VLOOKUP(A25,'Centre WP5'!$A$7:$N$160,10,FALSE),0)+
IFERROR(VLOOKUP(A25,'Centre WR5'!$A$7:$N$160,10,FALSE),0)</f>
        <v>0</v>
      </c>
      <c r="K25" s="10">
        <f>IFERROR(VLOOKUP(A25,'Centre DW5'!$A$7:$N$161,11,FALSE),0)+
IFERROR(VLOOKUP(A25,'Centre WP5'!$A$7:$N$160,11,FALSE),0)+
IFERROR(VLOOKUP(A25,'Centre WR5'!$A$7:$N$160,11,FALSE),0)</f>
        <v>0</v>
      </c>
      <c r="L25" s="10">
        <f>IFERROR(VLOOKUP(A25,'Centre DW5'!$A$7:$N$161,12,FALSE),0)+
IFERROR(VLOOKUP(A25,'Centre WP5'!$A$7:$N$160,12,FALSE),0)+
IFERROR(VLOOKUP(A25,'Centre WR5'!$A$7:$N$160,12,FALSE),0)</f>
        <v>0</v>
      </c>
      <c r="M25" s="10">
        <f>IFERROR(VLOOKUP(A25,'Centre DW5'!$A$7:$N$161,13,FALSE),0)+
IFERROR(VLOOKUP(A25,'Centre WP5'!$A$7:$N$160,13,FALSE),0)+
IFERROR(VLOOKUP(A25,'Centre WR5'!$A$7:$N$160,13,FALSE),0)</f>
        <v>0</v>
      </c>
      <c r="N25" s="10">
        <f>IFERROR(VLOOKUP(A25,'Centre DW5'!$A$7:$N$161,14,FALSE),0)+
IFERROR(VLOOKUP(A25,'Centre WP5'!$A$7:$N$160,14,FALSE),0)+
IFERROR(VLOOKUP(A25,'Centre WR5'!$A$7:$N$160,14,FALSE),0)</f>
        <v>0</v>
      </c>
    </row>
    <row r="26" spans="1:14" collapsed="1" x14ac:dyDescent="0.2">
      <c r="A26" s="33" t="s">
        <v>60</v>
      </c>
      <c r="B26" s="34" t="s">
        <v>61</v>
      </c>
      <c r="C26" s="44">
        <f>IFERROR(VLOOKUP(A26,'Centre DW5'!$A$7:$N$161,3,FALSE),0)+
IFERROR(VLOOKUP(A26,'Centre WP5'!$A$7:$N$160,3,FALSE),0)+
IFERROR(VLOOKUP(A26,'Centre WR5'!$A$7:$N$160,3,FALSE),0)</f>
        <v>0</v>
      </c>
      <c r="D26" s="44">
        <f>IFERROR(VLOOKUP(A26,'Centre DW5'!$A$7:$N$161,4,FALSE),0)+
IFERROR(VLOOKUP(A26,'Centre WP5'!$A$7:$N$160,4,FALSE),0)+
IFERROR(VLOOKUP(A26,'Centre WR5'!$A$7:$N$160,4,FALSE),0)</f>
        <v>0</v>
      </c>
      <c r="E26" s="44">
        <f>IFERROR(VLOOKUP(A26,'Centre DW5'!$A$7:$N$161,5,FALSE),0)+
IFERROR(VLOOKUP(A26,'Centre WP5'!$A$7:$N$160,5,FALSE),0)+
IFERROR(VLOOKUP(A26,'Centre WR5'!$A$7:$N$160,5,FALSE),0)</f>
        <v>0</v>
      </c>
      <c r="F26" s="44">
        <f>IFERROR(VLOOKUP(A26,'Centre DW5'!$A$7:$N$161,6,FALSE),0)+
IFERROR(VLOOKUP(A26,'Centre WP5'!$A$7:$N$160,6,FALSE),0)+
IFERROR(VLOOKUP(A26,'Centre WR5'!$A$7:$N$160,6,FALSE),0)</f>
        <v>0</v>
      </c>
      <c r="G26" s="44">
        <f>IFERROR(VLOOKUP(A26,'Centre DW5'!$A$7:$N$161,7,FALSE),0)+
IFERROR(VLOOKUP(A26,'Centre WP5'!$A$7:$N$160,7,FALSE),0)+
IFERROR(VLOOKUP(A26,'Centre WR5'!$A$7:$N$160,7,FALSE),0)</f>
        <v>0</v>
      </c>
      <c r="H26" s="44">
        <f>IFERROR(VLOOKUP(A26,'Centre DW5'!$A$7:$N$161,8,FALSE),0)+
IFERROR(VLOOKUP(A26,'Centre WP5'!$A$7:$N$160,8,FALSE),0)+
IFERROR(VLOOKUP(A26,'Centre WR5'!$A$7:$N$160,8,FALSE),0)</f>
        <v>0</v>
      </c>
      <c r="I26" s="44">
        <f>IFERROR(VLOOKUP(A26,'Centre DW5'!$A$7:$N$161,9,FALSE),0)+
IFERROR(VLOOKUP(A26,'Centre WP5'!$A$7:$N$160,9,FALSE),0)+
IFERROR(VLOOKUP(A26,'Centre WR5'!$A$7:$N$160,9,FALSE),0)</f>
        <v>0</v>
      </c>
      <c r="J26" s="44">
        <f>IFERROR(VLOOKUP(A26,'Centre DW5'!$A$7:$N$161,10,FALSE),0)+
IFERROR(VLOOKUP(A26,'Centre WP5'!$A$7:$N$160,10,FALSE),0)+
IFERROR(VLOOKUP(A26,'Centre WR5'!$A$7:$N$160,10,FALSE),0)</f>
        <v>0</v>
      </c>
      <c r="K26" s="44">
        <f>IFERROR(VLOOKUP(A26,'Centre DW5'!$A$7:$N$161,11,FALSE),0)+
IFERROR(VLOOKUP(A26,'Centre WP5'!$A$7:$N$160,11,FALSE),0)+
IFERROR(VLOOKUP(A26,'Centre WR5'!$A$7:$N$160,11,FALSE),0)</f>
        <v>0</v>
      </c>
      <c r="L26" s="44">
        <f>IFERROR(VLOOKUP(A26,'Centre DW5'!$A$7:$N$161,12,FALSE),0)+
IFERROR(VLOOKUP(A26,'Centre WP5'!$A$7:$N$160,12,FALSE),0)+
IFERROR(VLOOKUP(A26,'Centre WR5'!$A$7:$N$160,12,FALSE),0)</f>
        <v>0</v>
      </c>
      <c r="M26" s="44">
        <f>IFERROR(VLOOKUP(A26,'Centre DW5'!$A$7:$N$161,13,FALSE),0)+
IFERROR(VLOOKUP(A26,'Centre WP5'!$A$7:$N$160,13,FALSE),0)+
IFERROR(VLOOKUP(A26,'Centre WR5'!$A$7:$N$160,13,FALSE),0)</f>
        <v>0</v>
      </c>
      <c r="N26" s="44">
        <f>IFERROR(VLOOKUP(A26,'Centre DW5'!$A$7:$N$161,14,FALSE),0)+
IFERROR(VLOOKUP(A26,'Centre WP5'!$A$7:$N$160,14,FALSE),0)+
IFERROR(VLOOKUP(A26,'Centre WR5'!$A$7:$N$160,14,FALSE),0)</f>
        <v>0</v>
      </c>
    </row>
    <row r="27" spans="1:14" x14ac:dyDescent="0.2">
      <c r="A27" s="33" t="s">
        <v>62</v>
      </c>
      <c r="B27" s="34" t="s">
        <v>63</v>
      </c>
      <c r="C27" s="44">
        <f>IFERROR(VLOOKUP(A27,'Centre DW5'!$A$7:$N$161,3,FALSE),0)+
IFERROR(VLOOKUP(A27,'Centre WP5'!$A$7:$N$160,3,FALSE),0)+
IFERROR(VLOOKUP(A27,'Centre WR5'!$A$7:$N$160,3,FALSE),0)</f>
        <v>0</v>
      </c>
      <c r="D27" s="44">
        <f>IFERROR(VLOOKUP(A27,'Centre DW5'!$A$7:$N$161,4,FALSE),0)+
IFERROR(VLOOKUP(A27,'Centre WP5'!$A$7:$N$160,4,FALSE),0)+
IFERROR(VLOOKUP(A27,'Centre WR5'!$A$7:$N$160,4,FALSE),0)</f>
        <v>0</v>
      </c>
      <c r="E27" s="44">
        <f>IFERROR(VLOOKUP(A27,'Centre DW5'!$A$7:$N$161,5,FALSE),0)+
IFERROR(VLOOKUP(A27,'Centre WP5'!$A$7:$N$160,5,FALSE),0)+
IFERROR(VLOOKUP(A27,'Centre WR5'!$A$7:$N$160,5,FALSE),0)</f>
        <v>0</v>
      </c>
      <c r="F27" s="44">
        <f>IFERROR(VLOOKUP(A27,'Centre DW5'!$A$7:$N$161,6,FALSE),0)+
IFERROR(VLOOKUP(A27,'Centre WP5'!$A$7:$N$160,6,FALSE),0)+
IFERROR(VLOOKUP(A27,'Centre WR5'!$A$7:$N$160,6,FALSE),0)</f>
        <v>0</v>
      </c>
      <c r="G27" s="44">
        <f>IFERROR(VLOOKUP(A27,'Centre DW5'!$A$7:$N$161,7,FALSE),0)+
IFERROR(VLOOKUP(A27,'Centre WP5'!$A$7:$N$160,7,FALSE),0)+
IFERROR(VLOOKUP(A27,'Centre WR5'!$A$7:$N$160,7,FALSE),0)</f>
        <v>0</v>
      </c>
      <c r="H27" s="44">
        <f>IFERROR(VLOOKUP(A27,'Centre DW5'!$A$7:$N$161,8,FALSE),0)+
IFERROR(VLOOKUP(A27,'Centre WP5'!$A$7:$N$160,8,FALSE),0)+
IFERROR(VLOOKUP(A27,'Centre WR5'!$A$7:$N$160,8,FALSE),0)</f>
        <v>0</v>
      </c>
      <c r="I27" s="44">
        <f>IFERROR(VLOOKUP(A27,'Centre DW5'!$A$7:$N$161,9,FALSE),0)+
IFERROR(VLOOKUP(A27,'Centre WP5'!$A$7:$N$160,9,FALSE),0)+
IFERROR(VLOOKUP(A27,'Centre WR5'!$A$7:$N$160,9,FALSE),0)</f>
        <v>0</v>
      </c>
      <c r="J27" s="44">
        <f>IFERROR(VLOOKUP(A27,'Centre DW5'!$A$7:$N$161,10,FALSE),0)+
IFERROR(VLOOKUP(A27,'Centre WP5'!$A$7:$N$160,10,FALSE),0)+
IFERROR(VLOOKUP(A27,'Centre WR5'!$A$7:$N$160,10,FALSE),0)</f>
        <v>0</v>
      </c>
      <c r="K27" s="44">
        <f>IFERROR(VLOOKUP(A27,'Centre DW5'!$A$7:$N$161,11,FALSE),0)+
IFERROR(VLOOKUP(A27,'Centre WP5'!$A$7:$N$160,11,FALSE),0)+
IFERROR(VLOOKUP(A27,'Centre WR5'!$A$7:$N$160,11,FALSE),0)</f>
        <v>0</v>
      </c>
      <c r="L27" s="44">
        <f>IFERROR(VLOOKUP(A27,'Centre DW5'!$A$7:$N$161,12,FALSE),0)+
IFERROR(VLOOKUP(A27,'Centre WP5'!$A$7:$N$160,12,FALSE),0)+
IFERROR(VLOOKUP(A27,'Centre WR5'!$A$7:$N$160,12,FALSE),0)</f>
        <v>0</v>
      </c>
      <c r="M27" s="44">
        <f>IFERROR(VLOOKUP(A27,'Centre DW5'!$A$7:$N$161,13,FALSE),0)+
IFERROR(VLOOKUP(A27,'Centre WP5'!$A$7:$N$160,13,FALSE),0)+
IFERROR(VLOOKUP(A27,'Centre WR5'!$A$7:$N$160,13,FALSE),0)</f>
        <v>0</v>
      </c>
      <c r="N27" s="44">
        <f>IFERROR(VLOOKUP(A27,'Centre DW5'!$A$7:$N$161,14,FALSE),0)+
IFERROR(VLOOKUP(A27,'Centre WP5'!$A$7:$N$160,14,FALSE),0)+
IFERROR(VLOOKUP(A27,'Centre WR5'!$A$7:$N$160,14,FALSE),0)</f>
        <v>0</v>
      </c>
    </row>
    <row r="28" spans="1:14" x14ac:dyDescent="0.2">
      <c r="A28" s="33" t="s">
        <v>64</v>
      </c>
      <c r="B28" s="34" t="s">
        <v>65</v>
      </c>
      <c r="C28" s="44">
        <f>+C29</f>
        <v>-60</v>
      </c>
      <c r="D28" s="44">
        <f t="shared" ref="D28:N28" si="8">+D29</f>
        <v>0</v>
      </c>
      <c r="E28" s="44">
        <f t="shared" si="8"/>
        <v>10</v>
      </c>
      <c r="F28" s="44">
        <f t="shared" si="8"/>
        <v>10</v>
      </c>
      <c r="G28" s="44">
        <f t="shared" si="8"/>
        <v>-10</v>
      </c>
      <c r="H28" s="44">
        <f t="shared" si="8"/>
        <v>0</v>
      </c>
      <c r="I28" s="44">
        <f t="shared" si="8"/>
        <v>0</v>
      </c>
      <c r="J28" s="44">
        <f t="shared" si="8"/>
        <v>0</v>
      </c>
      <c r="K28" s="44">
        <f t="shared" si="8"/>
        <v>0</v>
      </c>
      <c r="L28" s="44">
        <f t="shared" si="8"/>
        <v>0</v>
      </c>
      <c r="M28" s="44">
        <f t="shared" si="8"/>
        <v>0</v>
      </c>
      <c r="N28" s="44">
        <f t="shared" si="8"/>
        <v>0</v>
      </c>
    </row>
    <row r="29" spans="1:14" hidden="1" outlineLevel="1" x14ac:dyDescent="0.2">
      <c r="A29" s="9" t="s">
        <v>66</v>
      </c>
      <c r="B29" s="1" t="s">
        <v>67</v>
      </c>
      <c r="C29" s="10">
        <f>IFERROR(VLOOKUP(A29,'Centre DW5'!$A$7:$N$161,3,FALSE),0)+
IFERROR(VLOOKUP(A29,'Centre WP5'!$A$7:$N$160,3,FALSE),0)+
IFERROR(VLOOKUP(A29,'Centre WR5'!$A$7:$N$160,3,FALSE),0)</f>
        <v>-60</v>
      </c>
      <c r="D29" s="10">
        <f>IFERROR(VLOOKUP(A29,'Centre DW5'!$A$7:$N$161,4,FALSE),0)+
IFERROR(VLOOKUP(A29,'Centre WP5'!$A$7:$N$160,4,FALSE),0)+
IFERROR(VLOOKUP(A29,'Centre WR5'!$A$7:$N$160,4,FALSE),0)</f>
        <v>0</v>
      </c>
      <c r="E29" s="10">
        <f>IFERROR(VLOOKUP(A29,'Centre DW5'!$A$7:$N$161,5,FALSE),0)+
IFERROR(VLOOKUP(A29,'Centre WP5'!$A$7:$N$160,5,FALSE),0)+
IFERROR(VLOOKUP(A29,'Centre WR5'!$A$7:$N$160,5,FALSE),0)</f>
        <v>10</v>
      </c>
      <c r="F29" s="10">
        <f>IFERROR(VLOOKUP(A29,'Centre DW5'!$A$7:$N$161,6,FALSE),0)+
IFERROR(VLOOKUP(A29,'Centre WP5'!$A$7:$N$160,6,FALSE),0)+
IFERROR(VLOOKUP(A29,'Centre WR5'!$A$7:$N$160,6,FALSE),0)</f>
        <v>10</v>
      </c>
      <c r="G29" s="10">
        <f>IFERROR(VLOOKUP(A29,'Centre DW5'!$A$7:$N$161,7,FALSE),0)+
IFERROR(VLOOKUP(A29,'Centre WP5'!$A$7:$N$160,7,FALSE),0)+
IFERROR(VLOOKUP(A29,'Centre WR5'!$A$7:$N$160,7,FALSE),0)</f>
        <v>-10</v>
      </c>
      <c r="H29" s="10">
        <f>IFERROR(VLOOKUP(A29,'Centre DW5'!$A$7:$N$161,8,FALSE),0)+
IFERROR(VLOOKUP(A29,'Centre WP5'!$A$7:$N$160,8,FALSE),0)+
IFERROR(VLOOKUP(A29,'Centre WR5'!$A$7:$N$160,8,FALSE),0)</f>
        <v>0</v>
      </c>
      <c r="I29" s="10">
        <f>IFERROR(VLOOKUP(A29,'Centre DW5'!$A$7:$N$161,9,FALSE),0)+
IFERROR(VLOOKUP(A29,'Centre WP5'!$A$7:$N$160,9,FALSE),0)+
IFERROR(VLOOKUP(A29,'Centre WR5'!$A$7:$N$160,9,FALSE),0)</f>
        <v>0</v>
      </c>
      <c r="J29" s="10">
        <f>IFERROR(VLOOKUP(A29,'Centre DW5'!$A$7:$N$161,10,FALSE),0)+
IFERROR(VLOOKUP(A29,'Centre WP5'!$A$7:$N$160,10,FALSE),0)+
IFERROR(VLOOKUP(A29,'Centre WR5'!$A$7:$N$160,10,FALSE),0)</f>
        <v>0</v>
      </c>
      <c r="K29" s="10">
        <f>IFERROR(VLOOKUP(A29,'Centre DW5'!$A$7:$N$161,11,FALSE),0)+
IFERROR(VLOOKUP(A29,'Centre WP5'!$A$7:$N$160,11,FALSE),0)+
IFERROR(VLOOKUP(A29,'Centre WR5'!$A$7:$N$160,11,FALSE),0)</f>
        <v>0</v>
      </c>
      <c r="L29" s="10">
        <f>IFERROR(VLOOKUP(A29,'Centre DW5'!$A$7:$N$161,12,FALSE),0)+
IFERROR(VLOOKUP(A29,'Centre WP5'!$A$7:$N$160,12,FALSE),0)+
IFERROR(VLOOKUP(A29,'Centre WR5'!$A$7:$N$160,12,FALSE),0)</f>
        <v>0</v>
      </c>
      <c r="M29" s="10">
        <f>IFERROR(VLOOKUP(A29,'Centre DW5'!$A$7:$N$161,13,FALSE),0)+
IFERROR(VLOOKUP(A29,'Centre WP5'!$A$7:$N$160,13,FALSE),0)+
IFERROR(VLOOKUP(A29,'Centre WR5'!$A$7:$N$160,13,FALSE),0)</f>
        <v>0</v>
      </c>
      <c r="N29" s="10">
        <f>IFERROR(VLOOKUP(A29,'Centre DW5'!$A$7:$N$161,14,FALSE),0)+
IFERROR(VLOOKUP(A29,'Centre WP5'!$A$7:$N$160,14,FALSE),0)+
IFERROR(VLOOKUP(A29,'Centre WR5'!$A$7:$N$160,14,FALSE),0)</f>
        <v>0</v>
      </c>
    </row>
    <row r="30" spans="1:14" collapsed="1" x14ac:dyDescent="0.2">
      <c r="A30" s="33" t="s">
        <v>68</v>
      </c>
      <c r="B30" s="34" t="s">
        <v>69</v>
      </c>
      <c r="C30" s="44">
        <f>+C31</f>
        <v>0</v>
      </c>
      <c r="D30" s="44">
        <f t="shared" ref="D30:N30" si="9">+D31</f>
        <v>0</v>
      </c>
      <c r="E30" s="44">
        <f t="shared" si="9"/>
        <v>0</v>
      </c>
      <c r="F30" s="44">
        <f t="shared" si="9"/>
        <v>0</v>
      </c>
      <c r="G30" s="44">
        <f t="shared" si="9"/>
        <v>0</v>
      </c>
      <c r="H30" s="44">
        <f t="shared" si="9"/>
        <v>0</v>
      </c>
      <c r="I30" s="44">
        <f t="shared" si="9"/>
        <v>0</v>
      </c>
      <c r="J30" s="44">
        <f t="shared" si="9"/>
        <v>0</v>
      </c>
      <c r="K30" s="44">
        <f t="shared" si="9"/>
        <v>0</v>
      </c>
      <c r="L30" s="44">
        <f t="shared" si="9"/>
        <v>0</v>
      </c>
      <c r="M30" s="44">
        <f t="shared" si="9"/>
        <v>0</v>
      </c>
      <c r="N30" s="44">
        <f t="shared" si="9"/>
        <v>0</v>
      </c>
    </row>
    <row r="31" spans="1:14" hidden="1" outlineLevel="1" x14ac:dyDescent="0.2">
      <c r="A31" s="9" t="s">
        <v>70</v>
      </c>
      <c r="B31" s="1" t="s">
        <v>71</v>
      </c>
      <c r="C31" s="10">
        <f>IFERROR(VLOOKUP(A31,'Centre DW5'!$A$7:$N$161,3,FALSE),0)+
IFERROR(VLOOKUP(A31,'Centre WP5'!$A$7:$N$160,3,FALSE),0)+
IFERROR(VLOOKUP(A31,'Centre WR5'!$A$7:$N$160,3,FALSE),0)</f>
        <v>0</v>
      </c>
      <c r="D31" s="10">
        <f>IFERROR(VLOOKUP(A31,'Centre DW5'!$A$7:$N$161,4,FALSE),0)+
IFERROR(VLOOKUP(A31,'Centre WP5'!$A$7:$N$160,4,FALSE),0)+
IFERROR(VLOOKUP(A31,'Centre WR5'!$A$7:$N$160,4,FALSE),0)</f>
        <v>0</v>
      </c>
      <c r="E31" s="10">
        <f>IFERROR(VLOOKUP(A31,'Centre DW5'!$A$7:$N$161,5,FALSE),0)+
IFERROR(VLOOKUP(A31,'Centre WP5'!$A$7:$N$160,5,FALSE),0)+
IFERROR(VLOOKUP(A31,'Centre WR5'!$A$7:$N$160,5,FALSE),0)</f>
        <v>0</v>
      </c>
      <c r="F31" s="10">
        <f>IFERROR(VLOOKUP(A31,'Centre DW5'!$A$7:$N$161,6,FALSE),0)+
IFERROR(VLOOKUP(A31,'Centre WP5'!$A$7:$N$160,6,FALSE),0)+
IFERROR(VLOOKUP(A31,'Centre WR5'!$A$7:$N$160,6,FALSE),0)</f>
        <v>0</v>
      </c>
      <c r="G31" s="10">
        <f>IFERROR(VLOOKUP(A31,'Centre DW5'!$A$7:$N$161,7,FALSE),0)+
IFERROR(VLOOKUP(A31,'Centre WP5'!$A$7:$N$160,7,FALSE),0)+
IFERROR(VLOOKUP(A31,'Centre WR5'!$A$7:$N$160,7,FALSE),0)</f>
        <v>0</v>
      </c>
      <c r="H31" s="10">
        <f>IFERROR(VLOOKUP(A31,'Centre DW5'!$A$7:$N$161,8,FALSE),0)+
IFERROR(VLOOKUP(A31,'Centre WP5'!$A$7:$N$160,8,FALSE),0)+
IFERROR(VLOOKUP(A31,'Centre WR5'!$A$7:$N$160,8,FALSE),0)</f>
        <v>0</v>
      </c>
      <c r="I31" s="10">
        <f>IFERROR(VLOOKUP(A31,'Centre DW5'!$A$7:$N$161,9,FALSE),0)+
IFERROR(VLOOKUP(A31,'Centre WP5'!$A$7:$N$160,9,FALSE),0)+
IFERROR(VLOOKUP(A31,'Centre WR5'!$A$7:$N$160,9,FALSE),0)</f>
        <v>0</v>
      </c>
      <c r="J31" s="10">
        <f>IFERROR(VLOOKUP(A31,'Centre DW5'!$A$7:$N$161,10,FALSE),0)+
IFERROR(VLOOKUP(A31,'Centre WP5'!$A$7:$N$160,10,FALSE),0)+
IFERROR(VLOOKUP(A31,'Centre WR5'!$A$7:$N$160,10,FALSE),0)</f>
        <v>0</v>
      </c>
      <c r="K31" s="10">
        <f>IFERROR(VLOOKUP(A31,'Centre DW5'!$A$7:$N$161,11,FALSE),0)+
IFERROR(VLOOKUP(A31,'Centre WP5'!$A$7:$N$160,11,FALSE),0)+
IFERROR(VLOOKUP(A31,'Centre WR5'!$A$7:$N$160,11,FALSE),0)</f>
        <v>0</v>
      </c>
      <c r="L31" s="10">
        <f>IFERROR(VLOOKUP(A31,'Centre DW5'!$A$7:$N$161,12,FALSE),0)+
IFERROR(VLOOKUP(A31,'Centre WP5'!$A$7:$N$160,12,FALSE),0)+
IFERROR(VLOOKUP(A31,'Centre WR5'!$A$7:$N$160,12,FALSE),0)</f>
        <v>0</v>
      </c>
      <c r="M31" s="10">
        <f>IFERROR(VLOOKUP(A31,'Centre DW5'!$A$7:$N$161,13,FALSE),0)+
IFERROR(VLOOKUP(A31,'Centre WP5'!$A$7:$N$160,13,FALSE),0)+
IFERROR(VLOOKUP(A31,'Centre WR5'!$A$7:$N$160,13,FALSE),0)</f>
        <v>0</v>
      </c>
      <c r="N31" s="10">
        <f>IFERROR(VLOOKUP(A31,'Centre DW5'!$A$7:$N$161,14,FALSE),0)+
IFERROR(VLOOKUP(A31,'Centre WP5'!$A$7:$N$160,14,FALSE),0)+
IFERROR(VLOOKUP(A31,'Centre WR5'!$A$7:$N$160,14,FALSE),0)</f>
        <v>0</v>
      </c>
    </row>
    <row r="32" spans="1:14" collapsed="1" x14ac:dyDescent="0.2">
      <c r="A32" s="36"/>
      <c r="B32" s="36" t="s">
        <v>72</v>
      </c>
      <c r="C32" s="45">
        <f t="shared" ref="C32:N32" si="10">+C21+C26+C27+C28+C30</f>
        <v>-60</v>
      </c>
      <c r="D32" s="45">
        <f t="shared" si="10"/>
        <v>0</v>
      </c>
      <c r="E32" s="45">
        <f t="shared" si="10"/>
        <v>10</v>
      </c>
      <c r="F32" s="45">
        <f t="shared" si="10"/>
        <v>10</v>
      </c>
      <c r="G32" s="45">
        <f t="shared" si="10"/>
        <v>9</v>
      </c>
      <c r="H32" s="45">
        <f t="shared" si="10"/>
        <v>0</v>
      </c>
      <c r="I32" s="45">
        <f t="shared" si="10"/>
        <v>0</v>
      </c>
      <c r="J32" s="45">
        <f t="shared" si="10"/>
        <v>0</v>
      </c>
      <c r="K32" s="45">
        <f t="shared" si="10"/>
        <v>0</v>
      </c>
      <c r="L32" s="45">
        <f t="shared" si="10"/>
        <v>19</v>
      </c>
      <c r="M32" s="45">
        <f t="shared" si="10"/>
        <v>0</v>
      </c>
      <c r="N32" s="45">
        <f t="shared" si="10"/>
        <v>0</v>
      </c>
    </row>
    <row r="33" spans="1:14" x14ac:dyDescent="0.2">
      <c r="A33" s="35"/>
      <c r="B33" s="35" t="s">
        <v>73</v>
      </c>
      <c r="C33" s="21">
        <f t="shared" ref="C33:N33" si="11">+C20-C32</f>
        <v>718</v>
      </c>
      <c r="D33" s="21">
        <f t="shared" si="11"/>
        <v>582</v>
      </c>
      <c r="E33" s="21">
        <f t="shared" si="11"/>
        <v>634.40000000000009</v>
      </c>
      <c r="F33" s="21">
        <f t="shared" si="11"/>
        <v>750.5</v>
      </c>
      <c r="G33" s="21">
        <f t="shared" si="11"/>
        <v>654.9</v>
      </c>
      <c r="H33" s="21">
        <f t="shared" si="11"/>
        <v>649</v>
      </c>
      <c r="I33" s="21">
        <f t="shared" si="11"/>
        <v>646.4</v>
      </c>
      <c r="J33" s="21">
        <f t="shared" si="11"/>
        <v>639.6</v>
      </c>
      <c r="K33" s="21">
        <f t="shared" si="11"/>
        <v>763.3</v>
      </c>
      <c r="L33" s="21">
        <f t="shared" si="11"/>
        <v>632</v>
      </c>
      <c r="M33" s="21">
        <f t="shared" si="11"/>
        <v>623.1</v>
      </c>
      <c r="N33" s="21">
        <f t="shared" si="11"/>
        <v>625.20000000000005</v>
      </c>
    </row>
    <row r="34" spans="1:14" x14ac:dyDescent="0.2">
      <c r="A34" s="9" t="s">
        <v>74</v>
      </c>
      <c r="B34" s="1" t="s">
        <v>74</v>
      </c>
      <c r="C34" s="10" t="s">
        <v>74</v>
      </c>
      <c r="D34" s="10" t="s">
        <v>74</v>
      </c>
      <c r="E34" s="10" t="s">
        <v>74</v>
      </c>
      <c r="F34" s="10" t="s">
        <v>74</v>
      </c>
      <c r="G34" s="10" t="s">
        <v>74</v>
      </c>
      <c r="H34" s="10" t="s">
        <v>74</v>
      </c>
      <c r="I34" s="10" t="s">
        <v>74</v>
      </c>
      <c r="J34" s="10" t="s">
        <v>74</v>
      </c>
      <c r="K34" s="10" t="s">
        <v>74</v>
      </c>
      <c r="L34" s="10" t="s">
        <v>74</v>
      </c>
      <c r="M34" s="10" t="s">
        <v>74</v>
      </c>
      <c r="N34" s="10" t="s">
        <v>74</v>
      </c>
    </row>
    <row r="35" spans="1:14" x14ac:dyDescent="0.2">
      <c r="A35" s="33" t="s">
        <v>75</v>
      </c>
      <c r="B35" s="34" t="s">
        <v>76</v>
      </c>
      <c r="C35" s="44">
        <f t="shared" ref="C35:I35" si="12">SUM(C36:C55)</f>
        <v>282.2</v>
      </c>
      <c r="D35" s="44">
        <f t="shared" si="12"/>
        <v>268.60000000000002</v>
      </c>
      <c r="E35" s="44">
        <f t="shared" si="12"/>
        <v>273</v>
      </c>
      <c r="F35" s="44">
        <f t="shared" si="12"/>
        <v>319.89999999999998</v>
      </c>
      <c r="G35" s="44">
        <f t="shared" si="12"/>
        <v>306.09999999999997</v>
      </c>
      <c r="H35" s="44">
        <f t="shared" si="12"/>
        <v>272.10000000000002</v>
      </c>
      <c r="I35" s="44">
        <f t="shared" si="12"/>
        <v>277.7</v>
      </c>
      <c r="J35" s="44">
        <f>SUM(J36:J55)</f>
        <v>285.2</v>
      </c>
      <c r="K35" s="44">
        <f t="shared" ref="K35:N35" si="13">SUM(K36:K55)</f>
        <v>311.20000000000005</v>
      </c>
      <c r="L35" s="44">
        <f t="shared" si="13"/>
        <v>298.8</v>
      </c>
      <c r="M35" s="44">
        <f t="shared" si="13"/>
        <v>290.39999999999998</v>
      </c>
      <c r="N35" s="44">
        <f t="shared" si="13"/>
        <v>306.2</v>
      </c>
    </row>
    <row r="36" spans="1:14" hidden="1" outlineLevel="1" x14ac:dyDescent="0.2">
      <c r="A36" s="9" t="s">
        <v>77</v>
      </c>
      <c r="B36" s="1" t="s">
        <v>78</v>
      </c>
      <c r="C36" s="10">
        <f>IFERROR(VLOOKUP(A36,'Centre DW5'!$A$7:$N$161,3,FALSE),0)+
IFERROR(VLOOKUP(A36,'Centre WP5'!$A$7:$N$160,3,FALSE),0)+
IFERROR(VLOOKUP(A36,'Centre WR5'!$A$7:$N$160,3,FALSE),0)</f>
        <v>67.7</v>
      </c>
      <c r="D36" s="10">
        <f>IFERROR(VLOOKUP(A36,'Centre DW5'!$A$7:$N$161,4,FALSE),0)+
IFERROR(VLOOKUP(A36,'Centre WP5'!$A$7:$N$160,4,FALSE),0)+
IFERROR(VLOOKUP(A36,'Centre WR5'!$A$7:$N$160,4,FALSE),0)</f>
        <v>63.3</v>
      </c>
      <c r="E36" s="10">
        <f>IFERROR(VLOOKUP(A36,'Centre DW5'!$A$7:$N$161,5,FALSE),0)+
IFERROR(VLOOKUP(A36,'Centre WP5'!$A$7:$N$160,5,FALSE),0)+
IFERROR(VLOOKUP(A36,'Centre WR5'!$A$7:$N$160,5,FALSE),0)</f>
        <v>67.8</v>
      </c>
      <c r="F36" s="10">
        <f>IFERROR(VLOOKUP(A36,'Centre DW5'!$A$7:$N$161,6,FALSE),0)+
IFERROR(VLOOKUP(A36,'Centre WP5'!$A$7:$N$160,6,FALSE),0)+
IFERROR(VLOOKUP(A36,'Centre WR5'!$A$7:$N$160,6,FALSE),0)</f>
        <v>76.5</v>
      </c>
      <c r="G36" s="10">
        <f>IFERROR(VLOOKUP(A36,'Centre DW5'!$A$7:$N$161,7,FALSE),0)+
IFERROR(VLOOKUP(A36,'Centre WP5'!$A$7:$N$160,7,FALSE),0)+
IFERROR(VLOOKUP(A36,'Centre WR5'!$A$7:$N$160,7,FALSE),0)</f>
        <v>75.3</v>
      </c>
      <c r="H36" s="10">
        <f>IFERROR(VLOOKUP(A36,'Centre DW5'!$A$7:$N$161,8,FALSE),0)+
IFERROR(VLOOKUP(A36,'Centre WP5'!$A$7:$N$160,8,FALSE),0)+
IFERROR(VLOOKUP(A36,'Centre WR5'!$A$7:$N$160,8,FALSE),0)</f>
        <v>73.3</v>
      </c>
      <c r="I36" s="10">
        <f>IFERROR(VLOOKUP(A36,'Centre DW5'!$A$7:$N$161,9,FALSE),0)+
IFERROR(VLOOKUP(A36,'Centre WP5'!$A$7:$N$160,9,FALSE),0)+
IFERROR(VLOOKUP(A36,'Centre WR5'!$A$7:$N$160,9,FALSE),0)</f>
        <v>59.8</v>
      </c>
      <c r="J36" s="10">
        <f>IFERROR(VLOOKUP(A36,'Centre DW5'!$A$7:$N$161,10,FALSE),0)+
IFERROR(VLOOKUP(A36,'Centre WP5'!$A$7:$N$160,10,FALSE),0)+
IFERROR(VLOOKUP(A36,'Centre WR5'!$A$7:$N$160,10,FALSE),0)</f>
        <v>59</v>
      </c>
      <c r="K36" s="10">
        <f>IFERROR(VLOOKUP(A36,'Centre DW5'!$A$7:$N$161,11,FALSE),0)+
IFERROR(VLOOKUP(A36,'Centre WP5'!$A$7:$N$160,11,FALSE),0)+
IFERROR(VLOOKUP(A36,'Centre WR5'!$A$7:$N$160,11,FALSE),0)</f>
        <v>71</v>
      </c>
      <c r="L36" s="10">
        <f>IFERROR(VLOOKUP(A36,'Centre DW5'!$A$7:$N$161,12,FALSE),0)+
IFERROR(VLOOKUP(A36,'Centre WP5'!$A$7:$N$160,12,FALSE),0)+
IFERROR(VLOOKUP(A36,'Centre WR5'!$A$7:$N$160,12,FALSE),0)</f>
        <v>74</v>
      </c>
      <c r="M36" s="10">
        <f>IFERROR(VLOOKUP(A36,'Centre DW5'!$A$7:$N$161,13,FALSE),0)+
IFERROR(VLOOKUP(A36,'Centre WP5'!$A$7:$N$160,13,FALSE),0)+
IFERROR(VLOOKUP(A36,'Centre WR5'!$A$7:$N$160,13,FALSE),0)</f>
        <v>67</v>
      </c>
      <c r="N36" s="10">
        <f>IFERROR(VLOOKUP(A36,'Centre DW5'!$A$7:$N$161,14,FALSE),0)+
IFERROR(VLOOKUP(A36,'Centre WP5'!$A$7:$N$160,14,FALSE),0)+
IFERROR(VLOOKUP(A36,'Centre WR5'!$A$7:$N$160,14,FALSE),0)</f>
        <v>61</v>
      </c>
    </row>
    <row r="37" spans="1:14" hidden="1" outlineLevel="1" x14ac:dyDescent="0.2">
      <c r="A37" s="9" t="s">
        <v>79</v>
      </c>
      <c r="B37" s="1" t="s">
        <v>80</v>
      </c>
      <c r="C37" s="10">
        <f>IFERROR(VLOOKUP(A37,'Centre DW5'!$A$7:$N$161,3,FALSE),0)+
IFERROR(VLOOKUP(A37,'Centre WP5'!$A$7:$N$160,3,FALSE),0)+
IFERROR(VLOOKUP(A37,'Centre WR5'!$A$7:$N$160,3,FALSE),0)</f>
        <v>1.7</v>
      </c>
      <c r="D37" s="10">
        <f>IFERROR(VLOOKUP(A37,'Centre DW5'!$A$7:$N$161,4,FALSE),0)+
IFERROR(VLOOKUP(A37,'Centre WP5'!$A$7:$N$160,4,FALSE),0)+
IFERROR(VLOOKUP(A37,'Centre WR5'!$A$7:$N$160,4,FALSE),0)</f>
        <v>1.7</v>
      </c>
      <c r="E37" s="10">
        <f>IFERROR(VLOOKUP(A37,'Centre DW5'!$A$7:$N$161,5,FALSE),0)+
IFERROR(VLOOKUP(A37,'Centre WP5'!$A$7:$N$160,5,FALSE),0)+
IFERROR(VLOOKUP(A37,'Centre WR5'!$A$7:$N$160,5,FALSE),0)</f>
        <v>1.6</v>
      </c>
      <c r="F37" s="10">
        <f>IFERROR(VLOOKUP(A37,'Centre DW5'!$A$7:$N$161,6,FALSE),0)+
IFERROR(VLOOKUP(A37,'Centre WP5'!$A$7:$N$160,6,FALSE),0)+
IFERROR(VLOOKUP(A37,'Centre WR5'!$A$7:$N$160,6,FALSE),0)</f>
        <v>1.6</v>
      </c>
      <c r="G37" s="10">
        <f>IFERROR(VLOOKUP(A37,'Centre DW5'!$A$7:$N$161,7,FALSE),0)+
IFERROR(VLOOKUP(A37,'Centre WP5'!$A$7:$N$160,7,FALSE),0)+
IFERROR(VLOOKUP(A37,'Centre WR5'!$A$7:$N$160,7,FALSE),0)</f>
        <v>1.7</v>
      </c>
      <c r="H37" s="10">
        <f>IFERROR(VLOOKUP(A37,'Centre DW5'!$A$7:$N$161,8,FALSE),0)+
IFERROR(VLOOKUP(A37,'Centre WP5'!$A$7:$N$160,8,FALSE),0)+
IFERROR(VLOOKUP(A37,'Centre WR5'!$A$7:$N$160,8,FALSE),0)</f>
        <v>1.7</v>
      </c>
      <c r="I37" s="10">
        <f>IFERROR(VLOOKUP(A37,'Centre DW5'!$A$7:$N$161,9,FALSE),0)+
IFERROR(VLOOKUP(A37,'Centre WP5'!$A$7:$N$160,9,FALSE),0)+
IFERROR(VLOOKUP(A37,'Centre WR5'!$A$7:$N$160,9,FALSE),0)</f>
        <v>1</v>
      </c>
      <c r="J37" s="10">
        <f>IFERROR(VLOOKUP(A37,'Centre DW5'!$A$7:$N$161,10,FALSE),0)+
IFERROR(VLOOKUP(A37,'Centre WP5'!$A$7:$N$160,10,FALSE),0)+
IFERROR(VLOOKUP(A37,'Centre WR5'!$A$7:$N$160,10,FALSE),0)</f>
        <v>1.6</v>
      </c>
      <c r="K37" s="10">
        <f>IFERROR(VLOOKUP(A37,'Centre DW5'!$A$7:$N$161,11,FALSE),0)+
IFERROR(VLOOKUP(A37,'Centre WP5'!$A$7:$N$160,11,FALSE),0)+
IFERROR(VLOOKUP(A37,'Centre WR5'!$A$7:$N$160,11,FALSE),0)</f>
        <v>1.6</v>
      </c>
      <c r="L37" s="10">
        <f>IFERROR(VLOOKUP(A37,'Centre DW5'!$A$7:$N$161,12,FALSE),0)+
IFERROR(VLOOKUP(A37,'Centre WP5'!$A$7:$N$160,12,FALSE),0)+
IFERROR(VLOOKUP(A37,'Centre WR5'!$A$7:$N$160,12,FALSE),0)</f>
        <v>1.2</v>
      </c>
      <c r="M37" s="10">
        <f>IFERROR(VLOOKUP(A37,'Centre DW5'!$A$7:$N$161,13,FALSE),0)+
IFERROR(VLOOKUP(A37,'Centre WP5'!$A$7:$N$160,13,FALSE),0)+
IFERROR(VLOOKUP(A37,'Centre WR5'!$A$7:$N$160,13,FALSE),0)</f>
        <v>1.7</v>
      </c>
      <c r="N37" s="10">
        <f>IFERROR(VLOOKUP(A37,'Centre DW5'!$A$7:$N$161,14,FALSE),0)+
IFERROR(VLOOKUP(A37,'Centre WP5'!$A$7:$N$160,14,FALSE),0)+
IFERROR(VLOOKUP(A37,'Centre WR5'!$A$7:$N$160,14,FALSE),0)</f>
        <v>1</v>
      </c>
    </row>
    <row r="38" spans="1:14" hidden="1" outlineLevel="1" x14ac:dyDescent="0.2">
      <c r="A38" s="9" t="s">
        <v>81</v>
      </c>
      <c r="B38" s="1" t="s">
        <v>82</v>
      </c>
      <c r="C38" s="10">
        <f>IFERROR(VLOOKUP(A38,'Centre DW5'!$A$7:$N$161,3,FALSE),0)+
IFERROR(VLOOKUP(A38,'Centre WP5'!$A$7:$N$160,3,FALSE),0)+
IFERROR(VLOOKUP(A38,'Centre WR5'!$A$7:$N$160,3,FALSE),0)</f>
        <v>16.100000000000001</v>
      </c>
      <c r="D38" s="10">
        <f>IFERROR(VLOOKUP(A38,'Centre DW5'!$A$7:$N$161,4,FALSE),0)+
IFERROR(VLOOKUP(A38,'Centre WP5'!$A$7:$N$160,4,FALSE),0)+
IFERROR(VLOOKUP(A38,'Centre WR5'!$A$7:$N$160,4,FALSE),0)</f>
        <v>12.5</v>
      </c>
      <c r="E38" s="10">
        <f>IFERROR(VLOOKUP(A38,'Centre DW5'!$A$7:$N$161,5,FALSE),0)+
IFERROR(VLOOKUP(A38,'Centre WP5'!$A$7:$N$160,5,FALSE),0)+
IFERROR(VLOOKUP(A38,'Centre WR5'!$A$7:$N$160,5,FALSE),0)</f>
        <v>14.6</v>
      </c>
      <c r="F38" s="10">
        <f>IFERROR(VLOOKUP(A38,'Centre DW5'!$A$7:$N$161,6,FALSE),0)+
IFERROR(VLOOKUP(A38,'Centre WP5'!$A$7:$N$160,6,FALSE),0)+
IFERROR(VLOOKUP(A38,'Centre WR5'!$A$7:$N$160,6,FALSE),0)</f>
        <v>19.5</v>
      </c>
      <c r="G38" s="10">
        <f>IFERROR(VLOOKUP(A38,'Centre DW5'!$A$7:$N$161,7,FALSE),0)+
IFERROR(VLOOKUP(A38,'Centre WP5'!$A$7:$N$160,7,FALSE),0)+
IFERROR(VLOOKUP(A38,'Centre WR5'!$A$7:$N$160,7,FALSE),0)</f>
        <v>15</v>
      </c>
      <c r="H38" s="10">
        <f>IFERROR(VLOOKUP(A38,'Centre DW5'!$A$7:$N$161,8,FALSE),0)+
IFERROR(VLOOKUP(A38,'Centre WP5'!$A$7:$N$160,8,FALSE),0)+
IFERROR(VLOOKUP(A38,'Centre WR5'!$A$7:$N$160,8,FALSE),0)</f>
        <v>13.7</v>
      </c>
      <c r="I38" s="10">
        <f>IFERROR(VLOOKUP(A38,'Centre DW5'!$A$7:$N$161,9,FALSE),0)+
IFERROR(VLOOKUP(A38,'Centre WP5'!$A$7:$N$160,9,FALSE),0)+
IFERROR(VLOOKUP(A38,'Centre WR5'!$A$7:$N$160,9,FALSE),0)</f>
        <v>13.8</v>
      </c>
      <c r="J38" s="10">
        <f>IFERROR(VLOOKUP(A38,'Centre DW5'!$A$7:$N$161,10,FALSE),0)+
IFERROR(VLOOKUP(A38,'Centre WP5'!$A$7:$N$160,10,FALSE),0)+
IFERROR(VLOOKUP(A38,'Centre WR5'!$A$7:$N$160,10,FALSE),0)</f>
        <v>14</v>
      </c>
      <c r="K38" s="10">
        <f>IFERROR(VLOOKUP(A38,'Centre DW5'!$A$7:$N$161,11,FALSE),0)+
IFERROR(VLOOKUP(A38,'Centre WP5'!$A$7:$N$160,11,FALSE),0)+
IFERROR(VLOOKUP(A38,'Centre WR5'!$A$7:$N$160,11,FALSE),0)</f>
        <v>14</v>
      </c>
      <c r="L38" s="10">
        <f>IFERROR(VLOOKUP(A38,'Centre DW5'!$A$7:$N$161,12,FALSE),0)+
IFERROR(VLOOKUP(A38,'Centre WP5'!$A$7:$N$160,12,FALSE),0)+
IFERROR(VLOOKUP(A38,'Centre WR5'!$A$7:$N$160,12,FALSE),0)</f>
        <v>16</v>
      </c>
      <c r="M38" s="10">
        <f>IFERROR(VLOOKUP(A38,'Centre DW5'!$A$7:$N$161,13,FALSE),0)+
IFERROR(VLOOKUP(A38,'Centre WP5'!$A$7:$N$160,13,FALSE),0)+
IFERROR(VLOOKUP(A38,'Centre WR5'!$A$7:$N$160,13,FALSE),0)</f>
        <v>16</v>
      </c>
      <c r="N38" s="10">
        <f>IFERROR(VLOOKUP(A38,'Centre DW5'!$A$7:$N$161,14,FALSE),0)+
IFERROR(VLOOKUP(A38,'Centre WP5'!$A$7:$N$160,14,FALSE),0)+
IFERROR(VLOOKUP(A38,'Centre WR5'!$A$7:$N$160,14,FALSE),0)</f>
        <v>15</v>
      </c>
    </row>
    <row r="39" spans="1:14" hidden="1" outlineLevel="1" x14ac:dyDescent="0.2">
      <c r="A39" s="9" t="s">
        <v>83</v>
      </c>
      <c r="B39" s="1" t="s">
        <v>84</v>
      </c>
      <c r="C39" s="10">
        <f>IFERROR(VLOOKUP(A39,'Centre DW5'!$A$7:$N$161,3,FALSE),0)+
IFERROR(VLOOKUP(A39,'Centre WP5'!$A$7:$N$160,3,FALSE),0)+
IFERROR(VLOOKUP(A39,'Centre WR5'!$A$7:$N$160,3,FALSE),0)</f>
        <v>0</v>
      </c>
      <c r="D39" s="10">
        <f>IFERROR(VLOOKUP(A39,'Centre DW5'!$A$7:$N$161,4,FALSE),0)+
IFERROR(VLOOKUP(A39,'Centre WP5'!$A$7:$N$160,4,FALSE),0)+
IFERROR(VLOOKUP(A39,'Centre WR5'!$A$7:$N$160,4,FALSE),0)</f>
        <v>0</v>
      </c>
      <c r="E39" s="10">
        <f>IFERROR(VLOOKUP(A39,'Centre DW5'!$A$7:$N$161,5,FALSE),0)+
IFERROR(VLOOKUP(A39,'Centre WP5'!$A$7:$N$160,5,FALSE),0)+
IFERROR(VLOOKUP(A39,'Centre WR5'!$A$7:$N$160,5,FALSE),0)</f>
        <v>0</v>
      </c>
      <c r="F39" s="10">
        <f>IFERROR(VLOOKUP(A39,'Centre DW5'!$A$7:$N$161,6,FALSE),0)+
IFERROR(VLOOKUP(A39,'Centre WP5'!$A$7:$N$160,6,FALSE),0)+
IFERROR(VLOOKUP(A39,'Centre WR5'!$A$7:$N$160,6,FALSE),0)</f>
        <v>0</v>
      </c>
      <c r="G39" s="10">
        <f>IFERROR(VLOOKUP(A39,'Centre DW5'!$A$7:$N$161,7,FALSE),0)+
IFERROR(VLOOKUP(A39,'Centre WP5'!$A$7:$N$160,7,FALSE),0)+
IFERROR(VLOOKUP(A39,'Centre WR5'!$A$7:$N$160,7,FALSE),0)</f>
        <v>0</v>
      </c>
      <c r="H39" s="10">
        <f>IFERROR(VLOOKUP(A39,'Centre DW5'!$A$7:$N$161,8,FALSE),0)+
IFERROR(VLOOKUP(A39,'Centre WP5'!$A$7:$N$160,8,FALSE),0)+
IFERROR(VLOOKUP(A39,'Centre WR5'!$A$7:$N$160,8,FALSE),0)</f>
        <v>0</v>
      </c>
      <c r="I39" s="10">
        <f>IFERROR(VLOOKUP(A39,'Centre DW5'!$A$7:$N$161,9,FALSE),0)+
IFERROR(VLOOKUP(A39,'Centre WP5'!$A$7:$N$160,9,FALSE),0)+
IFERROR(VLOOKUP(A39,'Centre WR5'!$A$7:$N$160,9,FALSE),0)</f>
        <v>0</v>
      </c>
      <c r="J39" s="10">
        <f>IFERROR(VLOOKUP(A39,'Centre DW5'!$A$7:$N$161,10,FALSE),0)+
IFERROR(VLOOKUP(A39,'Centre WP5'!$A$7:$N$160,10,FALSE),0)+
IFERROR(VLOOKUP(A39,'Centre WR5'!$A$7:$N$160,10,FALSE),0)</f>
        <v>0</v>
      </c>
      <c r="K39" s="10">
        <f>IFERROR(VLOOKUP(A39,'Centre DW5'!$A$7:$N$161,11,FALSE),0)+
IFERROR(VLOOKUP(A39,'Centre WP5'!$A$7:$N$160,11,FALSE),0)+
IFERROR(VLOOKUP(A39,'Centre WR5'!$A$7:$N$160,11,FALSE),0)</f>
        <v>0</v>
      </c>
      <c r="L39" s="10">
        <f>IFERROR(VLOOKUP(A39,'Centre DW5'!$A$7:$N$161,12,FALSE),0)+
IFERROR(VLOOKUP(A39,'Centre WP5'!$A$7:$N$160,12,FALSE),0)+
IFERROR(VLOOKUP(A39,'Centre WR5'!$A$7:$N$160,12,FALSE),0)</f>
        <v>0</v>
      </c>
      <c r="M39" s="10">
        <f>IFERROR(VLOOKUP(A39,'Centre DW5'!$A$7:$N$161,13,FALSE),0)+
IFERROR(VLOOKUP(A39,'Centre WP5'!$A$7:$N$160,13,FALSE),0)+
IFERROR(VLOOKUP(A39,'Centre WR5'!$A$7:$N$160,13,FALSE),0)</f>
        <v>0</v>
      </c>
      <c r="N39" s="10">
        <f>IFERROR(VLOOKUP(A39,'Centre DW5'!$A$7:$N$161,14,FALSE),0)+
IFERROR(VLOOKUP(A39,'Centre WP5'!$A$7:$N$160,14,FALSE),0)+
IFERROR(VLOOKUP(A39,'Centre WR5'!$A$7:$N$160,14,FALSE),0)</f>
        <v>0</v>
      </c>
    </row>
    <row r="40" spans="1:14" hidden="1" outlineLevel="1" x14ac:dyDescent="0.2">
      <c r="A40" s="9" t="s">
        <v>85</v>
      </c>
      <c r="B40" s="1" t="s">
        <v>86</v>
      </c>
      <c r="C40" s="10">
        <f>IFERROR(VLOOKUP(A40,'Centre DW5'!$A$7:$N$161,3,FALSE),0)+
IFERROR(VLOOKUP(A40,'Centre WP5'!$A$7:$N$160,3,FALSE),0)+
IFERROR(VLOOKUP(A40,'Centre WR5'!$A$7:$N$160,3,FALSE),0)</f>
        <v>2.7</v>
      </c>
      <c r="D40" s="10">
        <f>IFERROR(VLOOKUP(A40,'Centre DW5'!$A$7:$N$161,4,FALSE),0)+
IFERROR(VLOOKUP(A40,'Centre WP5'!$A$7:$N$160,4,FALSE),0)+
IFERROR(VLOOKUP(A40,'Centre WR5'!$A$7:$N$160,4,FALSE),0)</f>
        <v>3.3</v>
      </c>
      <c r="E40" s="10">
        <f>IFERROR(VLOOKUP(A40,'Centre DW5'!$A$7:$N$161,5,FALSE),0)+
IFERROR(VLOOKUP(A40,'Centre WP5'!$A$7:$N$160,5,FALSE),0)+
IFERROR(VLOOKUP(A40,'Centre WR5'!$A$7:$N$160,5,FALSE),0)</f>
        <v>4.8</v>
      </c>
      <c r="F40" s="10">
        <f>IFERROR(VLOOKUP(A40,'Centre DW5'!$A$7:$N$161,6,FALSE),0)+
IFERROR(VLOOKUP(A40,'Centre WP5'!$A$7:$N$160,6,FALSE),0)+
IFERROR(VLOOKUP(A40,'Centre WR5'!$A$7:$N$160,6,FALSE),0)</f>
        <v>9.1999999999999993</v>
      </c>
      <c r="G40" s="10">
        <f>IFERROR(VLOOKUP(A40,'Centre DW5'!$A$7:$N$161,7,FALSE),0)+
IFERROR(VLOOKUP(A40,'Centre WP5'!$A$7:$N$160,7,FALSE),0)+
IFERROR(VLOOKUP(A40,'Centre WR5'!$A$7:$N$160,7,FALSE),0)</f>
        <v>4.7</v>
      </c>
      <c r="H40" s="10">
        <f>IFERROR(VLOOKUP(A40,'Centre DW5'!$A$7:$N$161,8,FALSE),0)+
IFERROR(VLOOKUP(A40,'Centre WP5'!$A$7:$N$160,8,FALSE),0)+
IFERROR(VLOOKUP(A40,'Centre WR5'!$A$7:$N$160,8,FALSE),0)</f>
        <v>2.7</v>
      </c>
      <c r="I40" s="10">
        <f>IFERROR(VLOOKUP(A40,'Centre DW5'!$A$7:$N$161,9,FALSE),0)+
IFERROR(VLOOKUP(A40,'Centre WP5'!$A$7:$N$160,9,FALSE),0)+
IFERROR(VLOOKUP(A40,'Centre WR5'!$A$7:$N$160,9,FALSE),0)</f>
        <v>3.7</v>
      </c>
      <c r="J40" s="10">
        <f>IFERROR(VLOOKUP(A40,'Centre DW5'!$A$7:$N$161,10,FALSE),0)+
IFERROR(VLOOKUP(A40,'Centre WP5'!$A$7:$N$160,10,FALSE),0)+
IFERROR(VLOOKUP(A40,'Centre WR5'!$A$7:$N$160,10,FALSE),0)</f>
        <v>4.8</v>
      </c>
      <c r="K40" s="10">
        <f>IFERROR(VLOOKUP(A40,'Centre DW5'!$A$7:$N$161,11,FALSE),0)+
IFERROR(VLOOKUP(A40,'Centre WP5'!$A$7:$N$160,11,FALSE),0)+
IFERROR(VLOOKUP(A40,'Centre WR5'!$A$7:$N$160,11,FALSE),0)</f>
        <v>9.1999999999999993</v>
      </c>
      <c r="L40" s="10">
        <f>IFERROR(VLOOKUP(A40,'Centre DW5'!$A$7:$N$161,12,FALSE),0)+
IFERROR(VLOOKUP(A40,'Centre WP5'!$A$7:$N$160,12,FALSE),0)+
IFERROR(VLOOKUP(A40,'Centre WR5'!$A$7:$N$160,12,FALSE),0)</f>
        <v>4.7</v>
      </c>
      <c r="M40" s="10">
        <f>IFERROR(VLOOKUP(A40,'Centre DW5'!$A$7:$N$161,13,FALSE),0)+
IFERROR(VLOOKUP(A40,'Centre WP5'!$A$7:$N$160,13,FALSE),0)+
IFERROR(VLOOKUP(A40,'Centre WR5'!$A$7:$N$160,13,FALSE),0)</f>
        <v>2.7</v>
      </c>
      <c r="N40" s="10">
        <f>IFERROR(VLOOKUP(A40,'Centre DW5'!$A$7:$N$161,14,FALSE),0)+
IFERROR(VLOOKUP(A40,'Centre WP5'!$A$7:$N$160,14,FALSE),0)+
IFERROR(VLOOKUP(A40,'Centre WR5'!$A$7:$N$160,14,FALSE),0)</f>
        <v>3.7</v>
      </c>
    </row>
    <row r="41" spans="1:14" hidden="1" outlineLevel="1" x14ac:dyDescent="0.2">
      <c r="A41" s="9" t="s">
        <v>87</v>
      </c>
      <c r="B41" s="1" t="s">
        <v>88</v>
      </c>
      <c r="C41" s="10">
        <f>IFERROR(VLOOKUP(A41,'Centre DW5'!$A$7:$N$161,3,FALSE),0)+
IFERROR(VLOOKUP(A41,'Centre WP5'!$A$7:$N$160,3,FALSE),0)+
IFERROR(VLOOKUP(A41,'Centre WR5'!$A$7:$N$160,3,FALSE),0)</f>
        <v>8</v>
      </c>
      <c r="D41" s="10">
        <f>IFERROR(VLOOKUP(A41,'Centre DW5'!$A$7:$N$161,4,FALSE),0)+
IFERROR(VLOOKUP(A41,'Centre WP5'!$A$7:$N$160,4,FALSE),0)+
IFERROR(VLOOKUP(A41,'Centre WR5'!$A$7:$N$160,4,FALSE),0)</f>
        <v>6.2</v>
      </c>
      <c r="E41" s="10">
        <f>IFERROR(VLOOKUP(A41,'Centre DW5'!$A$7:$N$161,5,FALSE),0)+
IFERROR(VLOOKUP(A41,'Centre WP5'!$A$7:$N$160,5,FALSE),0)+
IFERROR(VLOOKUP(A41,'Centre WR5'!$A$7:$N$160,5,FALSE),0)</f>
        <v>6.1</v>
      </c>
      <c r="F41" s="10">
        <f>IFERROR(VLOOKUP(A41,'Centre DW5'!$A$7:$N$161,6,FALSE),0)+
IFERROR(VLOOKUP(A41,'Centre WP5'!$A$7:$N$160,6,FALSE),0)+
IFERROR(VLOOKUP(A41,'Centre WR5'!$A$7:$N$160,6,FALSE),0)</f>
        <v>6.5</v>
      </c>
      <c r="G41" s="10">
        <f>IFERROR(VLOOKUP(A41,'Centre DW5'!$A$7:$N$161,7,FALSE),0)+
IFERROR(VLOOKUP(A41,'Centre WP5'!$A$7:$N$160,7,FALSE),0)+
IFERROR(VLOOKUP(A41,'Centre WR5'!$A$7:$N$160,7,FALSE),0)</f>
        <v>6.5</v>
      </c>
      <c r="H41" s="10">
        <f>IFERROR(VLOOKUP(A41,'Centre DW5'!$A$7:$N$161,8,FALSE),0)+
IFERROR(VLOOKUP(A41,'Centre WP5'!$A$7:$N$160,8,FALSE),0)+
IFERROR(VLOOKUP(A41,'Centre WR5'!$A$7:$N$160,8,FALSE),0)</f>
        <v>6.5</v>
      </c>
      <c r="I41" s="10">
        <f>IFERROR(VLOOKUP(A41,'Centre DW5'!$A$7:$N$161,9,FALSE),0)+
IFERROR(VLOOKUP(A41,'Centre WP5'!$A$7:$N$160,9,FALSE),0)+
IFERROR(VLOOKUP(A41,'Centre WR5'!$A$7:$N$160,9,FALSE),0)</f>
        <v>6.4</v>
      </c>
      <c r="J41" s="10">
        <f>IFERROR(VLOOKUP(A41,'Centre DW5'!$A$7:$N$161,10,FALSE),0)+
IFERROR(VLOOKUP(A41,'Centre WP5'!$A$7:$N$160,10,FALSE),0)+
IFERROR(VLOOKUP(A41,'Centre WR5'!$A$7:$N$160,10,FALSE),0)</f>
        <v>6.1</v>
      </c>
      <c r="K41" s="10">
        <f>IFERROR(VLOOKUP(A41,'Centre DW5'!$A$7:$N$161,11,FALSE),0)+
IFERROR(VLOOKUP(A41,'Centre WP5'!$A$7:$N$160,11,FALSE),0)+
IFERROR(VLOOKUP(A41,'Centre WR5'!$A$7:$N$160,11,FALSE),0)</f>
        <v>6.5</v>
      </c>
      <c r="L41" s="10">
        <f>IFERROR(VLOOKUP(A41,'Centre DW5'!$A$7:$N$161,12,FALSE),0)+
IFERROR(VLOOKUP(A41,'Centre WP5'!$A$7:$N$160,12,FALSE),0)+
IFERROR(VLOOKUP(A41,'Centre WR5'!$A$7:$N$160,12,FALSE),0)</f>
        <v>6.5</v>
      </c>
      <c r="M41" s="10">
        <f>IFERROR(VLOOKUP(A41,'Centre DW5'!$A$7:$N$161,13,FALSE),0)+
IFERROR(VLOOKUP(A41,'Centre WP5'!$A$7:$N$160,13,FALSE),0)+
IFERROR(VLOOKUP(A41,'Centre WR5'!$A$7:$N$160,13,FALSE),0)</f>
        <v>6.5</v>
      </c>
      <c r="N41" s="10">
        <f>IFERROR(VLOOKUP(A41,'Centre DW5'!$A$7:$N$161,14,FALSE),0)+
IFERROR(VLOOKUP(A41,'Centre WP5'!$A$7:$N$160,14,FALSE),0)+
IFERROR(VLOOKUP(A41,'Centre WR5'!$A$7:$N$160,14,FALSE),0)</f>
        <v>6.4</v>
      </c>
    </row>
    <row r="42" spans="1:14" hidden="1" outlineLevel="1" x14ac:dyDescent="0.2">
      <c r="A42" s="9" t="s">
        <v>89</v>
      </c>
      <c r="B42" s="1" t="s">
        <v>90</v>
      </c>
      <c r="C42" s="10">
        <f>IFERROR(VLOOKUP(A42,'Centre DW5'!$A$7:$N$161,3,FALSE),0)+
IFERROR(VLOOKUP(A42,'Centre WP5'!$A$7:$N$160,3,FALSE),0)+
IFERROR(VLOOKUP(A42,'Centre WR5'!$A$7:$N$160,3,FALSE),0)</f>
        <v>8.6</v>
      </c>
      <c r="D42" s="10">
        <f>IFERROR(VLOOKUP(A42,'Centre DW5'!$A$7:$N$161,4,FALSE),0)+
IFERROR(VLOOKUP(A42,'Centre WP5'!$A$7:$N$160,4,FALSE),0)+
IFERROR(VLOOKUP(A42,'Centre WR5'!$A$7:$N$160,4,FALSE),0)</f>
        <v>6.7</v>
      </c>
      <c r="E42" s="10">
        <f>IFERROR(VLOOKUP(A42,'Centre DW5'!$A$7:$N$161,5,FALSE),0)+
IFERROR(VLOOKUP(A42,'Centre WP5'!$A$7:$N$160,5,FALSE),0)+
IFERROR(VLOOKUP(A42,'Centre WR5'!$A$7:$N$160,5,FALSE),0)</f>
        <v>7</v>
      </c>
      <c r="F42" s="10">
        <f>IFERROR(VLOOKUP(A42,'Centre DW5'!$A$7:$N$161,6,FALSE),0)+
IFERROR(VLOOKUP(A42,'Centre WP5'!$A$7:$N$160,6,FALSE),0)+
IFERROR(VLOOKUP(A42,'Centre WR5'!$A$7:$N$160,6,FALSE),0)</f>
        <v>8</v>
      </c>
      <c r="G42" s="10">
        <f>IFERROR(VLOOKUP(A42,'Centre DW5'!$A$7:$N$161,7,FALSE),0)+
IFERROR(VLOOKUP(A42,'Centre WP5'!$A$7:$N$160,7,FALSE),0)+
IFERROR(VLOOKUP(A42,'Centre WR5'!$A$7:$N$160,7,FALSE),0)</f>
        <v>8.1999999999999993</v>
      </c>
      <c r="H42" s="10">
        <f>IFERROR(VLOOKUP(A42,'Centre DW5'!$A$7:$N$161,8,FALSE),0)+
IFERROR(VLOOKUP(A42,'Centre WP5'!$A$7:$N$160,8,FALSE),0)+
IFERROR(VLOOKUP(A42,'Centre WR5'!$A$7:$N$160,8,FALSE),0)</f>
        <v>6.9</v>
      </c>
      <c r="I42" s="10">
        <f>IFERROR(VLOOKUP(A42,'Centre DW5'!$A$7:$N$161,9,FALSE),0)+
IFERROR(VLOOKUP(A42,'Centre WP5'!$A$7:$N$160,9,FALSE),0)+
IFERROR(VLOOKUP(A42,'Centre WR5'!$A$7:$N$160,9,FALSE),0)</f>
        <v>6.9</v>
      </c>
      <c r="J42" s="10">
        <f>IFERROR(VLOOKUP(A42,'Centre DW5'!$A$7:$N$161,10,FALSE),0)+
IFERROR(VLOOKUP(A42,'Centre WP5'!$A$7:$N$160,10,FALSE),0)+
IFERROR(VLOOKUP(A42,'Centre WR5'!$A$7:$N$160,10,FALSE),0)</f>
        <v>7</v>
      </c>
      <c r="K42" s="10">
        <f>IFERROR(VLOOKUP(A42,'Centre DW5'!$A$7:$N$161,11,FALSE),0)+
IFERROR(VLOOKUP(A42,'Centre WP5'!$A$7:$N$160,11,FALSE),0)+
IFERROR(VLOOKUP(A42,'Centre WR5'!$A$7:$N$160,11,FALSE),0)</f>
        <v>8</v>
      </c>
      <c r="L42" s="10">
        <f>IFERROR(VLOOKUP(A42,'Centre DW5'!$A$7:$N$161,12,FALSE),0)+
IFERROR(VLOOKUP(A42,'Centre WP5'!$A$7:$N$160,12,FALSE),0)+
IFERROR(VLOOKUP(A42,'Centre WR5'!$A$7:$N$160,12,FALSE),0)</f>
        <v>8.1999999999999993</v>
      </c>
      <c r="M42" s="10">
        <f>IFERROR(VLOOKUP(A42,'Centre DW5'!$A$7:$N$161,13,FALSE),0)+
IFERROR(VLOOKUP(A42,'Centre WP5'!$A$7:$N$160,13,FALSE),0)+
IFERROR(VLOOKUP(A42,'Centre WR5'!$A$7:$N$160,13,FALSE),0)</f>
        <v>6.9</v>
      </c>
      <c r="N42" s="10">
        <f>IFERROR(VLOOKUP(A42,'Centre DW5'!$A$7:$N$161,14,FALSE),0)+
IFERROR(VLOOKUP(A42,'Centre WP5'!$A$7:$N$160,14,FALSE),0)+
IFERROR(VLOOKUP(A42,'Centre WR5'!$A$7:$N$160,14,FALSE),0)</f>
        <v>6.9</v>
      </c>
    </row>
    <row r="43" spans="1:14" hidden="1" outlineLevel="1" x14ac:dyDescent="0.2">
      <c r="A43" s="9" t="s">
        <v>93</v>
      </c>
      <c r="B43" s="1" t="s">
        <v>94</v>
      </c>
      <c r="C43" s="10">
        <f>IFERROR(VLOOKUP(A43,'Centre DW5'!$A$7:$N$161,3,FALSE),0)+
IFERROR(VLOOKUP(A43,'Centre WP5'!$A$7:$N$160,3,FALSE),0)+
IFERROR(VLOOKUP(A43,'Centre WR5'!$A$7:$N$160,3,FALSE),0)</f>
        <v>12.1</v>
      </c>
      <c r="D43" s="10">
        <f>IFERROR(VLOOKUP(A43,'Centre DW5'!$A$7:$N$161,4,FALSE),0)+
IFERROR(VLOOKUP(A43,'Centre WP5'!$A$7:$N$160,4,FALSE),0)+
IFERROR(VLOOKUP(A43,'Centre WR5'!$A$7:$N$160,4,FALSE),0)</f>
        <v>7.3</v>
      </c>
      <c r="E43" s="10">
        <f>IFERROR(VLOOKUP(A43,'Centre DW5'!$A$7:$N$161,5,FALSE),0)+
IFERROR(VLOOKUP(A43,'Centre WP5'!$A$7:$N$160,5,FALSE),0)+
IFERROR(VLOOKUP(A43,'Centre WR5'!$A$7:$N$160,5,FALSE),0)</f>
        <v>7.8</v>
      </c>
      <c r="F43" s="10">
        <f>IFERROR(VLOOKUP(A43,'Centre DW5'!$A$7:$N$161,6,FALSE),0)+
IFERROR(VLOOKUP(A43,'Centre WP5'!$A$7:$N$160,6,FALSE),0)+
IFERROR(VLOOKUP(A43,'Centre WR5'!$A$7:$N$160,6,FALSE),0)</f>
        <v>11.3</v>
      </c>
      <c r="G43" s="10">
        <f>IFERROR(VLOOKUP(A43,'Centre DW5'!$A$7:$N$161,7,FALSE),0)+
IFERROR(VLOOKUP(A43,'Centre WP5'!$A$7:$N$160,7,FALSE),0)+
IFERROR(VLOOKUP(A43,'Centre WR5'!$A$7:$N$160,7,FALSE),0)</f>
        <v>6.4</v>
      </c>
      <c r="H43" s="10">
        <f>IFERROR(VLOOKUP(A43,'Centre DW5'!$A$7:$N$161,8,FALSE),0)+
IFERROR(VLOOKUP(A43,'Centre WP5'!$A$7:$N$160,8,FALSE),0)+
IFERROR(VLOOKUP(A43,'Centre WR5'!$A$7:$N$160,8,FALSE),0)</f>
        <v>6.5</v>
      </c>
      <c r="I43" s="10">
        <f>IFERROR(VLOOKUP(A43,'Centre DW5'!$A$7:$N$161,9,FALSE),0)+
IFERROR(VLOOKUP(A43,'Centre WP5'!$A$7:$N$160,9,FALSE),0)+
IFERROR(VLOOKUP(A43,'Centre WR5'!$A$7:$N$160,9,FALSE),0)</f>
        <v>10.5</v>
      </c>
      <c r="J43" s="10">
        <f>IFERROR(VLOOKUP(A43,'Centre DW5'!$A$7:$N$161,10,FALSE),0)+
IFERROR(VLOOKUP(A43,'Centre WP5'!$A$7:$N$160,10,FALSE),0)+
IFERROR(VLOOKUP(A43,'Centre WR5'!$A$7:$N$160,10,FALSE),0)</f>
        <v>7.8</v>
      </c>
      <c r="K43" s="10">
        <f>IFERROR(VLOOKUP(A43,'Centre DW5'!$A$7:$N$161,11,FALSE),0)+
IFERROR(VLOOKUP(A43,'Centre WP5'!$A$7:$N$160,11,FALSE),0)+
IFERROR(VLOOKUP(A43,'Centre WR5'!$A$7:$N$160,11,FALSE),0)</f>
        <v>11.3</v>
      </c>
      <c r="L43" s="10">
        <f>IFERROR(VLOOKUP(A43,'Centre DW5'!$A$7:$N$161,12,FALSE),0)+
IFERROR(VLOOKUP(A43,'Centre WP5'!$A$7:$N$160,12,FALSE),0)+
IFERROR(VLOOKUP(A43,'Centre WR5'!$A$7:$N$160,12,FALSE),0)</f>
        <v>6.4</v>
      </c>
      <c r="M43" s="10">
        <f>IFERROR(VLOOKUP(A43,'Centre DW5'!$A$7:$N$161,13,FALSE),0)+
IFERROR(VLOOKUP(A43,'Centre WP5'!$A$7:$N$160,13,FALSE),0)+
IFERROR(VLOOKUP(A43,'Centre WR5'!$A$7:$N$160,13,FALSE),0)</f>
        <v>6.5</v>
      </c>
      <c r="N43" s="10">
        <f>IFERROR(VLOOKUP(A43,'Centre DW5'!$A$7:$N$161,14,FALSE),0)+
IFERROR(VLOOKUP(A43,'Centre WP5'!$A$7:$N$160,14,FALSE),0)+
IFERROR(VLOOKUP(A43,'Centre WR5'!$A$7:$N$160,14,FALSE),0)</f>
        <v>10.5</v>
      </c>
    </row>
    <row r="44" spans="1:14" hidden="1" outlineLevel="1" x14ac:dyDescent="0.2">
      <c r="A44" s="9" t="s">
        <v>95</v>
      </c>
      <c r="B44" s="1" t="s">
        <v>96</v>
      </c>
      <c r="C44" s="10">
        <f>IFERROR(VLOOKUP(A44,'Centre DW5'!$A$7:$N$161,3,FALSE),0)+
IFERROR(VLOOKUP(A44,'Centre WP5'!$A$7:$N$160,3,FALSE),0)+
IFERROR(VLOOKUP(A44,'Centre WR5'!$A$7:$N$160,3,FALSE),0)</f>
        <v>6.1</v>
      </c>
      <c r="D44" s="10">
        <f>IFERROR(VLOOKUP(A44,'Centre DW5'!$A$7:$N$161,4,FALSE),0)+
IFERROR(VLOOKUP(A44,'Centre WP5'!$A$7:$N$160,4,FALSE),0)+
IFERROR(VLOOKUP(A44,'Centre WR5'!$A$7:$N$160,4,FALSE),0)</f>
        <v>5.4</v>
      </c>
      <c r="E44" s="10">
        <f>IFERROR(VLOOKUP(A44,'Centre DW5'!$A$7:$N$161,5,FALSE),0)+
IFERROR(VLOOKUP(A44,'Centre WP5'!$A$7:$N$160,5,FALSE),0)+
IFERROR(VLOOKUP(A44,'Centre WR5'!$A$7:$N$160,5,FALSE),0)</f>
        <v>5.7</v>
      </c>
      <c r="F44" s="10">
        <f>IFERROR(VLOOKUP(A44,'Centre DW5'!$A$7:$N$161,6,FALSE),0)+
IFERROR(VLOOKUP(A44,'Centre WP5'!$A$7:$N$160,6,FALSE),0)+
IFERROR(VLOOKUP(A44,'Centre WR5'!$A$7:$N$160,6,FALSE),0)</f>
        <v>5.9</v>
      </c>
      <c r="G44" s="10">
        <f>IFERROR(VLOOKUP(A44,'Centre DW5'!$A$7:$N$161,7,FALSE),0)+
IFERROR(VLOOKUP(A44,'Centre WP5'!$A$7:$N$160,7,FALSE),0)+
IFERROR(VLOOKUP(A44,'Centre WR5'!$A$7:$N$160,7,FALSE),0)</f>
        <v>5.7</v>
      </c>
      <c r="H44" s="10">
        <f>IFERROR(VLOOKUP(A44,'Centre DW5'!$A$7:$N$161,8,FALSE),0)+
IFERROR(VLOOKUP(A44,'Centre WP5'!$A$7:$N$160,8,FALSE),0)+
IFERROR(VLOOKUP(A44,'Centre WR5'!$A$7:$N$160,8,FALSE),0)</f>
        <v>5.6</v>
      </c>
      <c r="I44" s="10">
        <f>IFERROR(VLOOKUP(A44,'Centre DW5'!$A$7:$N$161,9,FALSE),0)+
IFERROR(VLOOKUP(A44,'Centre WP5'!$A$7:$N$160,9,FALSE),0)+
IFERROR(VLOOKUP(A44,'Centre WR5'!$A$7:$N$160,9,FALSE),0)</f>
        <v>5.4</v>
      </c>
      <c r="J44" s="10">
        <f>IFERROR(VLOOKUP(A44,'Centre DW5'!$A$7:$N$161,10,FALSE),0)+
IFERROR(VLOOKUP(A44,'Centre WP5'!$A$7:$N$160,10,FALSE),0)+
IFERROR(VLOOKUP(A44,'Centre WR5'!$A$7:$N$160,10,FALSE),0)</f>
        <v>5.7</v>
      </c>
      <c r="K44" s="10">
        <f>IFERROR(VLOOKUP(A44,'Centre DW5'!$A$7:$N$161,11,FALSE),0)+
IFERROR(VLOOKUP(A44,'Centre WP5'!$A$7:$N$160,11,FALSE),0)+
IFERROR(VLOOKUP(A44,'Centre WR5'!$A$7:$N$160,11,FALSE),0)</f>
        <v>5.9</v>
      </c>
      <c r="L44" s="10">
        <f>IFERROR(VLOOKUP(A44,'Centre DW5'!$A$7:$N$161,12,FALSE),0)+
IFERROR(VLOOKUP(A44,'Centre WP5'!$A$7:$N$160,12,FALSE),0)+
IFERROR(VLOOKUP(A44,'Centre WR5'!$A$7:$N$160,12,FALSE),0)</f>
        <v>5.7</v>
      </c>
      <c r="M44" s="10">
        <f>IFERROR(VLOOKUP(A44,'Centre DW5'!$A$7:$N$161,13,FALSE),0)+
IFERROR(VLOOKUP(A44,'Centre WP5'!$A$7:$N$160,13,FALSE),0)+
IFERROR(VLOOKUP(A44,'Centre WR5'!$A$7:$N$160,13,FALSE),0)</f>
        <v>5.6</v>
      </c>
      <c r="N44" s="10">
        <f>IFERROR(VLOOKUP(A44,'Centre DW5'!$A$7:$N$161,14,FALSE),0)+
IFERROR(VLOOKUP(A44,'Centre WP5'!$A$7:$N$160,14,FALSE),0)+
IFERROR(VLOOKUP(A44,'Centre WR5'!$A$7:$N$160,14,FALSE),0)</f>
        <v>5.4</v>
      </c>
    </row>
    <row r="45" spans="1:14" hidden="1" outlineLevel="1" x14ac:dyDescent="0.2">
      <c r="A45" s="9" t="s">
        <v>301</v>
      </c>
      <c r="B45" s="1" t="s">
        <v>302</v>
      </c>
      <c r="C45" s="10">
        <f>IFERROR(VLOOKUP(A45,'Centre DW5'!$A$7:$N$161,3,FALSE),0)+
IFERROR(VLOOKUP(A45,'Centre WP5'!$A$7:$N$160,3,FALSE),0)+
IFERROR(VLOOKUP(A45,'Centre WR5'!$A$7:$N$160,3,FALSE),0)</f>
        <v>0</v>
      </c>
      <c r="D45" s="10">
        <f>IFERROR(VLOOKUP(A45,'Centre DW5'!$A$7:$N$161,4,FALSE),0)+
IFERROR(VLOOKUP(A45,'Centre WP5'!$A$7:$N$160,4,FALSE),0)+
IFERROR(VLOOKUP(A45,'Centre WR5'!$A$7:$N$160,4,FALSE),0)</f>
        <v>0</v>
      </c>
      <c r="E45" s="10">
        <f>IFERROR(VLOOKUP(A45,'Centre DW5'!$A$7:$N$161,5,FALSE),0)+
IFERROR(VLOOKUP(A45,'Centre WP5'!$A$7:$N$160,5,FALSE),0)+
IFERROR(VLOOKUP(A45,'Centre WR5'!$A$7:$N$160,5,FALSE),0)</f>
        <v>0</v>
      </c>
      <c r="F45" s="10">
        <f>IFERROR(VLOOKUP(A45,'Centre DW5'!$A$7:$N$161,6,FALSE),0)+
IFERROR(VLOOKUP(A45,'Centre WP5'!$A$7:$N$160,6,FALSE),0)+
IFERROR(VLOOKUP(A45,'Centre WR5'!$A$7:$N$160,6,FALSE),0)</f>
        <v>0</v>
      </c>
      <c r="G45" s="10">
        <f>IFERROR(VLOOKUP(A45,'Centre DW5'!$A$7:$N$161,7,FALSE),0)+
IFERROR(VLOOKUP(A45,'Centre WP5'!$A$7:$N$160,7,FALSE),0)+
IFERROR(VLOOKUP(A45,'Centre WR5'!$A$7:$N$160,7,FALSE),0)</f>
        <v>0</v>
      </c>
      <c r="H45" s="10">
        <f>IFERROR(VLOOKUP(A45,'Centre DW5'!$A$7:$N$161,8,FALSE),0)+
IFERROR(VLOOKUP(A45,'Centre WP5'!$A$7:$N$160,8,FALSE),0)+
IFERROR(VLOOKUP(A45,'Centre WR5'!$A$7:$N$160,8,FALSE),0)</f>
        <v>0</v>
      </c>
      <c r="I45" s="10">
        <f>IFERROR(VLOOKUP(A45,'Centre DW5'!$A$7:$N$161,9,FALSE),0)+
IFERROR(VLOOKUP(A45,'Centre WP5'!$A$7:$N$160,9,FALSE),0)+
IFERROR(VLOOKUP(A45,'Centre WR5'!$A$7:$N$160,9,FALSE),0)</f>
        <v>0</v>
      </c>
      <c r="J45" s="10">
        <f>IFERROR(VLOOKUP(A45,'Centre DW5'!$A$7:$N$161,10,FALSE),0)+
IFERROR(VLOOKUP(A45,'Centre WP5'!$A$7:$N$160,10,FALSE),0)+
IFERROR(VLOOKUP(A45,'Centre WR5'!$A$7:$N$160,10,FALSE),0)</f>
        <v>0</v>
      </c>
      <c r="K45" s="10">
        <f>IFERROR(VLOOKUP(A45,'Centre DW5'!$A$7:$N$161,11,FALSE),0)+
IFERROR(VLOOKUP(A45,'Centre WP5'!$A$7:$N$160,11,FALSE),0)+
IFERROR(VLOOKUP(A45,'Centre WR5'!$A$7:$N$160,11,FALSE),0)</f>
        <v>0</v>
      </c>
      <c r="L45" s="10">
        <f>IFERROR(VLOOKUP(A45,'Centre DW5'!$A$7:$N$161,12,FALSE),0)+
IFERROR(VLOOKUP(A45,'Centre WP5'!$A$7:$N$160,12,FALSE),0)+
IFERROR(VLOOKUP(A45,'Centre WR5'!$A$7:$N$160,12,FALSE),0)</f>
        <v>0</v>
      </c>
      <c r="M45" s="10">
        <f>IFERROR(VLOOKUP(A45,'Centre DW5'!$A$7:$N$161,13,FALSE),0)+
IFERROR(VLOOKUP(A45,'Centre WP5'!$A$7:$N$160,13,FALSE),0)+
IFERROR(VLOOKUP(A45,'Centre WR5'!$A$7:$N$160,13,FALSE),0)</f>
        <v>0</v>
      </c>
      <c r="N45" s="10">
        <f>IFERROR(VLOOKUP(A45,'Centre DW5'!$A$7:$N$161,14,FALSE),0)+
IFERROR(VLOOKUP(A45,'Centre WP5'!$A$7:$N$160,14,FALSE),0)+
IFERROR(VLOOKUP(A45,'Centre WR5'!$A$7:$N$160,14,FALSE),0)</f>
        <v>0</v>
      </c>
    </row>
    <row r="46" spans="1:14" hidden="1" outlineLevel="1" x14ac:dyDescent="0.2">
      <c r="A46" s="9" t="s">
        <v>97</v>
      </c>
      <c r="B46" s="1" t="s">
        <v>98</v>
      </c>
      <c r="C46" s="10">
        <f>IFERROR(VLOOKUP(A46,'Centre DW5'!$A$7:$N$161,3,FALSE),0)+
IFERROR(VLOOKUP(A46,'Centre WP5'!$A$7:$N$160,3,FALSE),0)+
IFERROR(VLOOKUP(A46,'Centre WR5'!$A$7:$N$160,3,FALSE),0)</f>
        <v>3.1</v>
      </c>
      <c r="D46" s="10">
        <f>IFERROR(VLOOKUP(A46,'Centre DW5'!$A$7:$N$161,4,FALSE),0)+
IFERROR(VLOOKUP(A46,'Centre WP5'!$A$7:$N$160,4,FALSE),0)+
IFERROR(VLOOKUP(A46,'Centre WR5'!$A$7:$N$160,4,FALSE),0)</f>
        <v>7.2</v>
      </c>
      <c r="E46" s="10">
        <f>IFERROR(VLOOKUP(A46,'Centre DW5'!$A$7:$N$161,5,FALSE),0)+
IFERROR(VLOOKUP(A46,'Centre WP5'!$A$7:$N$160,5,FALSE),0)+
IFERROR(VLOOKUP(A46,'Centre WR5'!$A$7:$N$160,5,FALSE),0)</f>
        <v>8</v>
      </c>
      <c r="F46" s="10">
        <f>IFERROR(VLOOKUP(A46,'Centre DW5'!$A$7:$N$161,6,FALSE),0)+
IFERROR(VLOOKUP(A46,'Centre WP5'!$A$7:$N$160,6,FALSE),0)+
IFERROR(VLOOKUP(A46,'Centre WR5'!$A$7:$N$160,6,FALSE),0)</f>
        <v>11.9</v>
      </c>
      <c r="G46" s="10">
        <f>IFERROR(VLOOKUP(A46,'Centre DW5'!$A$7:$N$161,7,FALSE),0)+
IFERROR(VLOOKUP(A46,'Centre WP5'!$A$7:$N$160,7,FALSE),0)+
IFERROR(VLOOKUP(A46,'Centre WR5'!$A$7:$N$160,7,FALSE),0)</f>
        <v>10.199999999999999</v>
      </c>
      <c r="H46" s="10">
        <f>IFERROR(VLOOKUP(A46,'Centre DW5'!$A$7:$N$161,8,FALSE),0)+
IFERROR(VLOOKUP(A46,'Centre WP5'!$A$7:$N$160,8,FALSE),0)+
IFERROR(VLOOKUP(A46,'Centre WR5'!$A$7:$N$160,8,FALSE),0)</f>
        <v>-2.9</v>
      </c>
      <c r="I46" s="10">
        <f>IFERROR(VLOOKUP(A46,'Centre DW5'!$A$7:$N$161,9,FALSE),0)+
IFERROR(VLOOKUP(A46,'Centre WP5'!$A$7:$N$160,9,FALSE),0)+
IFERROR(VLOOKUP(A46,'Centre WR5'!$A$7:$N$160,9,FALSE),0)</f>
        <v>12.1</v>
      </c>
      <c r="J46" s="10">
        <f>IFERROR(VLOOKUP(A46,'Centre DW5'!$A$7:$N$161,10,FALSE),0)+
IFERROR(VLOOKUP(A46,'Centre WP5'!$A$7:$N$160,10,FALSE),0)+
IFERROR(VLOOKUP(A46,'Centre WR5'!$A$7:$N$160,10,FALSE),0)</f>
        <v>8</v>
      </c>
      <c r="K46" s="10">
        <f>IFERROR(VLOOKUP(A46,'Centre DW5'!$A$7:$N$161,11,FALSE),0)+
IFERROR(VLOOKUP(A46,'Centre WP5'!$A$7:$N$160,11,FALSE),0)+
IFERROR(VLOOKUP(A46,'Centre WR5'!$A$7:$N$160,11,FALSE),0)</f>
        <v>11.9</v>
      </c>
      <c r="L46" s="10">
        <f>IFERROR(VLOOKUP(A46,'Centre DW5'!$A$7:$N$161,12,FALSE),0)+
IFERROR(VLOOKUP(A46,'Centre WP5'!$A$7:$N$160,12,FALSE),0)+
IFERROR(VLOOKUP(A46,'Centre WR5'!$A$7:$N$160,12,FALSE),0)</f>
        <v>10.199999999999999</v>
      </c>
      <c r="M46" s="10">
        <f>IFERROR(VLOOKUP(A46,'Centre DW5'!$A$7:$N$161,13,FALSE),0)+
IFERROR(VLOOKUP(A46,'Centre WP5'!$A$7:$N$160,13,FALSE),0)+
IFERROR(VLOOKUP(A46,'Centre WR5'!$A$7:$N$160,13,FALSE),0)</f>
        <v>-2.9</v>
      </c>
      <c r="N46" s="10">
        <f>IFERROR(VLOOKUP(A46,'Centre DW5'!$A$7:$N$161,14,FALSE),0)+
IFERROR(VLOOKUP(A46,'Centre WP5'!$A$7:$N$160,14,FALSE),0)+
IFERROR(VLOOKUP(A46,'Centre WR5'!$A$7:$N$160,14,FALSE),0)</f>
        <v>12.1</v>
      </c>
    </row>
    <row r="47" spans="1:14" hidden="1" outlineLevel="1" x14ac:dyDescent="0.2">
      <c r="A47" s="9" t="s">
        <v>303</v>
      </c>
      <c r="B47" s="1" t="s">
        <v>304</v>
      </c>
      <c r="C47" s="10">
        <f>IFERROR(VLOOKUP(A47,'Centre DW5'!$A$7:$N$161,3,FALSE),0)+
IFERROR(VLOOKUP(A47,'Centre WP5'!$A$7:$N$160,3,FALSE),0)+
IFERROR(VLOOKUP(A47,'Centre WR5'!$A$7:$N$160,3,FALSE),0)</f>
        <v>0</v>
      </c>
      <c r="D47" s="10">
        <f>IFERROR(VLOOKUP(A47,'Centre DW5'!$A$7:$N$161,4,FALSE),0)+
IFERROR(VLOOKUP(A47,'Centre WP5'!$A$7:$N$160,4,FALSE),0)+
IFERROR(VLOOKUP(A47,'Centre WR5'!$A$7:$N$160,4,FALSE),0)</f>
        <v>0.1</v>
      </c>
      <c r="E47" s="10">
        <f>IFERROR(VLOOKUP(A47,'Centre DW5'!$A$7:$N$161,5,FALSE),0)+
IFERROR(VLOOKUP(A47,'Centre WP5'!$A$7:$N$160,5,FALSE),0)+
IFERROR(VLOOKUP(A47,'Centre WR5'!$A$7:$N$160,5,FALSE),0)</f>
        <v>0</v>
      </c>
      <c r="F47" s="10">
        <f>IFERROR(VLOOKUP(A47,'Centre DW5'!$A$7:$N$161,6,FALSE),0)+
IFERROR(VLOOKUP(A47,'Centre WP5'!$A$7:$N$160,6,FALSE),0)+
IFERROR(VLOOKUP(A47,'Centre WR5'!$A$7:$N$160,6,FALSE),0)</f>
        <v>0</v>
      </c>
      <c r="G47" s="10">
        <f>IFERROR(VLOOKUP(A47,'Centre DW5'!$A$7:$N$161,7,FALSE),0)+
IFERROR(VLOOKUP(A47,'Centre WP5'!$A$7:$N$160,7,FALSE),0)+
IFERROR(VLOOKUP(A47,'Centre WR5'!$A$7:$N$160,7,FALSE),0)</f>
        <v>0</v>
      </c>
      <c r="H47" s="10">
        <f>IFERROR(VLOOKUP(A47,'Centre DW5'!$A$7:$N$161,8,FALSE),0)+
IFERROR(VLOOKUP(A47,'Centre WP5'!$A$7:$N$160,8,FALSE),0)+
IFERROR(VLOOKUP(A47,'Centre WR5'!$A$7:$N$160,8,FALSE),0)</f>
        <v>0</v>
      </c>
      <c r="I47" s="10">
        <f>IFERROR(VLOOKUP(A47,'Centre DW5'!$A$7:$N$161,9,FALSE),0)+
IFERROR(VLOOKUP(A47,'Centre WP5'!$A$7:$N$160,9,FALSE),0)+
IFERROR(VLOOKUP(A47,'Centre WR5'!$A$7:$N$160,9,FALSE),0)</f>
        <v>2.1</v>
      </c>
      <c r="J47" s="10">
        <f>IFERROR(VLOOKUP(A47,'Centre DW5'!$A$7:$N$161,10,FALSE),0)+
IFERROR(VLOOKUP(A47,'Centre WP5'!$A$7:$N$160,10,FALSE),0)+
IFERROR(VLOOKUP(A47,'Centre WR5'!$A$7:$N$160,10,FALSE),0)</f>
        <v>0</v>
      </c>
      <c r="K47" s="10">
        <f>IFERROR(VLOOKUP(A47,'Centre DW5'!$A$7:$N$161,11,FALSE),0)+
IFERROR(VLOOKUP(A47,'Centre WP5'!$A$7:$N$160,11,FALSE),0)+
IFERROR(VLOOKUP(A47,'Centre WR5'!$A$7:$N$160,11,FALSE),0)</f>
        <v>0</v>
      </c>
      <c r="L47" s="10">
        <f>IFERROR(VLOOKUP(A47,'Centre DW5'!$A$7:$N$161,12,FALSE),0)+
IFERROR(VLOOKUP(A47,'Centre WP5'!$A$7:$N$160,12,FALSE),0)+
IFERROR(VLOOKUP(A47,'Centre WR5'!$A$7:$N$160,12,FALSE),0)</f>
        <v>0</v>
      </c>
      <c r="M47" s="10">
        <f>IFERROR(VLOOKUP(A47,'Centre DW5'!$A$7:$N$161,13,FALSE),0)+
IFERROR(VLOOKUP(A47,'Centre WP5'!$A$7:$N$160,13,FALSE),0)+
IFERROR(VLOOKUP(A47,'Centre WR5'!$A$7:$N$160,13,FALSE),0)</f>
        <v>0</v>
      </c>
      <c r="N47" s="10">
        <f>IFERROR(VLOOKUP(A47,'Centre DW5'!$A$7:$N$161,14,FALSE),0)+
IFERROR(VLOOKUP(A47,'Centre WP5'!$A$7:$N$160,14,FALSE),0)+
IFERROR(VLOOKUP(A47,'Centre WR5'!$A$7:$N$160,14,FALSE),0)</f>
        <v>2.1</v>
      </c>
    </row>
    <row r="48" spans="1:14" hidden="1" outlineLevel="1" x14ac:dyDescent="0.2">
      <c r="A48" s="9" t="s">
        <v>99</v>
      </c>
      <c r="B48" s="1" t="s">
        <v>100</v>
      </c>
      <c r="C48" s="10">
        <f>IFERROR(VLOOKUP(A48,'Centre DW5'!$A$7:$N$161,3,FALSE),0)+
IFERROR(VLOOKUP(A48,'Centre WP5'!$A$7:$N$160,3,FALSE),0)+
IFERROR(VLOOKUP(A48,'Centre WR5'!$A$7:$N$160,3,FALSE),0)</f>
        <v>0</v>
      </c>
      <c r="D48" s="10">
        <f>IFERROR(VLOOKUP(A48,'Centre DW5'!$A$7:$N$161,4,FALSE),0)+
IFERROR(VLOOKUP(A48,'Centre WP5'!$A$7:$N$160,4,FALSE),0)+
IFERROR(VLOOKUP(A48,'Centre WR5'!$A$7:$N$160,4,FALSE),0)</f>
        <v>0</v>
      </c>
      <c r="E48" s="10">
        <f>IFERROR(VLOOKUP(A48,'Centre DW5'!$A$7:$N$161,5,FALSE),0)+
IFERROR(VLOOKUP(A48,'Centre WP5'!$A$7:$N$160,5,FALSE),0)+
IFERROR(VLOOKUP(A48,'Centre WR5'!$A$7:$N$160,5,FALSE),0)</f>
        <v>0</v>
      </c>
      <c r="F48" s="10">
        <f>IFERROR(VLOOKUP(A48,'Centre DW5'!$A$7:$N$161,6,FALSE),0)+
IFERROR(VLOOKUP(A48,'Centre WP5'!$A$7:$N$160,6,FALSE),0)+
IFERROR(VLOOKUP(A48,'Centre WR5'!$A$7:$N$160,6,FALSE),0)</f>
        <v>0</v>
      </c>
      <c r="G48" s="10">
        <f>IFERROR(VLOOKUP(A48,'Centre DW5'!$A$7:$N$161,7,FALSE),0)+
IFERROR(VLOOKUP(A48,'Centre WP5'!$A$7:$N$160,7,FALSE),0)+
IFERROR(VLOOKUP(A48,'Centre WR5'!$A$7:$N$160,7,FALSE),0)</f>
        <v>0</v>
      </c>
      <c r="H48" s="10">
        <f>IFERROR(VLOOKUP(A48,'Centre DW5'!$A$7:$N$161,8,FALSE),0)+
IFERROR(VLOOKUP(A48,'Centre WP5'!$A$7:$N$160,8,FALSE),0)+
IFERROR(VLOOKUP(A48,'Centre WR5'!$A$7:$N$160,8,FALSE),0)</f>
        <v>0</v>
      </c>
      <c r="I48" s="10">
        <f>IFERROR(VLOOKUP(A48,'Centre DW5'!$A$7:$N$161,9,FALSE),0)+
IFERROR(VLOOKUP(A48,'Centre WP5'!$A$7:$N$160,9,FALSE),0)+
IFERROR(VLOOKUP(A48,'Centre WR5'!$A$7:$N$160,9,FALSE),0)</f>
        <v>0</v>
      </c>
      <c r="J48" s="10">
        <f>IFERROR(VLOOKUP(A48,'Centre DW5'!$A$7:$N$161,10,FALSE),0)+
IFERROR(VLOOKUP(A48,'Centre WP5'!$A$7:$N$160,10,FALSE),0)+
IFERROR(VLOOKUP(A48,'Centre WR5'!$A$7:$N$160,10,FALSE),0)</f>
        <v>0</v>
      </c>
      <c r="K48" s="10">
        <f>IFERROR(VLOOKUP(A48,'Centre DW5'!$A$7:$N$161,11,FALSE),0)+
IFERROR(VLOOKUP(A48,'Centre WP5'!$A$7:$N$160,11,FALSE),0)+
IFERROR(VLOOKUP(A48,'Centre WR5'!$A$7:$N$160,11,FALSE),0)</f>
        <v>0</v>
      </c>
      <c r="L48" s="10">
        <f>IFERROR(VLOOKUP(A48,'Centre DW5'!$A$7:$N$161,12,FALSE),0)+
IFERROR(VLOOKUP(A48,'Centre WP5'!$A$7:$N$160,12,FALSE),0)+
IFERROR(VLOOKUP(A48,'Centre WR5'!$A$7:$N$160,12,FALSE),0)</f>
        <v>0</v>
      </c>
      <c r="M48" s="10">
        <f>IFERROR(VLOOKUP(A48,'Centre DW5'!$A$7:$N$161,13,FALSE),0)+
IFERROR(VLOOKUP(A48,'Centre WP5'!$A$7:$N$160,13,FALSE),0)+
IFERROR(VLOOKUP(A48,'Centre WR5'!$A$7:$N$160,13,FALSE),0)</f>
        <v>0</v>
      </c>
      <c r="N48" s="10">
        <f>IFERROR(VLOOKUP(A48,'Centre DW5'!$A$7:$N$161,14,FALSE),0)+
IFERROR(VLOOKUP(A48,'Centre WP5'!$A$7:$N$160,14,FALSE),0)+
IFERROR(VLOOKUP(A48,'Centre WR5'!$A$7:$N$160,14,FALSE),0)</f>
        <v>0</v>
      </c>
    </row>
    <row r="49" spans="1:14" hidden="1" outlineLevel="1" x14ac:dyDescent="0.2">
      <c r="A49" s="9" t="s">
        <v>101</v>
      </c>
      <c r="B49" s="1" t="s">
        <v>102</v>
      </c>
      <c r="C49" s="10">
        <f>IFERROR(VLOOKUP(A49,'Centre DW5'!$A$7:$N$161,3,FALSE),0)+
IFERROR(VLOOKUP(A49,'Centre WP5'!$A$7:$N$160,3,FALSE),0)+
IFERROR(VLOOKUP(A49,'Centre WR5'!$A$7:$N$160,3,FALSE),0)</f>
        <v>2.2999999999999998</v>
      </c>
      <c r="D49" s="10">
        <f>IFERROR(VLOOKUP(A49,'Centre DW5'!$A$7:$N$161,4,FALSE),0)+
IFERROR(VLOOKUP(A49,'Centre WP5'!$A$7:$N$160,4,FALSE),0)+
IFERROR(VLOOKUP(A49,'Centre WR5'!$A$7:$N$160,4,FALSE),0)</f>
        <v>1.8</v>
      </c>
      <c r="E49" s="10">
        <f>IFERROR(VLOOKUP(A49,'Centre DW5'!$A$7:$N$161,5,FALSE),0)+
IFERROR(VLOOKUP(A49,'Centre WP5'!$A$7:$N$160,5,FALSE),0)+
IFERROR(VLOOKUP(A49,'Centre WR5'!$A$7:$N$160,5,FALSE),0)</f>
        <v>0.1</v>
      </c>
      <c r="F49" s="10">
        <f>IFERROR(VLOOKUP(A49,'Centre DW5'!$A$7:$N$161,6,FALSE),0)+
IFERROR(VLOOKUP(A49,'Centre WP5'!$A$7:$N$160,6,FALSE),0)+
IFERROR(VLOOKUP(A49,'Centre WR5'!$A$7:$N$160,6,FALSE),0)</f>
        <v>0</v>
      </c>
      <c r="G49" s="10">
        <f>IFERROR(VLOOKUP(A49,'Centre DW5'!$A$7:$N$161,7,FALSE),0)+
IFERROR(VLOOKUP(A49,'Centre WP5'!$A$7:$N$160,7,FALSE),0)+
IFERROR(VLOOKUP(A49,'Centre WR5'!$A$7:$N$160,7,FALSE),0)</f>
        <v>1.5</v>
      </c>
      <c r="H49" s="10">
        <f>IFERROR(VLOOKUP(A49,'Centre DW5'!$A$7:$N$161,8,FALSE),0)+
IFERROR(VLOOKUP(A49,'Centre WP5'!$A$7:$N$160,8,FALSE),0)+
IFERROR(VLOOKUP(A49,'Centre WR5'!$A$7:$N$160,8,FALSE),0)</f>
        <v>0</v>
      </c>
      <c r="I49" s="10">
        <f>IFERROR(VLOOKUP(A49,'Centre DW5'!$A$7:$N$161,9,FALSE),0)+
IFERROR(VLOOKUP(A49,'Centre WP5'!$A$7:$N$160,9,FALSE),0)+
IFERROR(VLOOKUP(A49,'Centre WR5'!$A$7:$N$160,9,FALSE),0)</f>
        <v>0</v>
      </c>
      <c r="J49" s="10">
        <f>IFERROR(VLOOKUP(A49,'Centre DW5'!$A$7:$N$161,10,FALSE),0)+
IFERROR(VLOOKUP(A49,'Centre WP5'!$A$7:$N$160,10,FALSE),0)+
IFERROR(VLOOKUP(A49,'Centre WR5'!$A$7:$N$160,10,FALSE),0)</f>
        <v>0.1</v>
      </c>
      <c r="K49" s="10">
        <f>IFERROR(VLOOKUP(A49,'Centre DW5'!$A$7:$N$161,11,FALSE),0)+
IFERROR(VLOOKUP(A49,'Centre WP5'!$A$7:$N$160,11,FALSE),0)+
IFERROR(VLOOKUP(A49,'Centre WR5'!$A$7:$N$160,11,FALSE),0)</f>
        <v>0</v>
      </c>
      <c r="L49" s="10">
        <f>IFERROR(VLOOKUP(A49,'Centre DW5'!$A$7:$N$161,12,FALSE),0)+
IFERROR(VLOOKUP(A49,'Centre WP5'!$A$7:$N$160,12,FALSE),0)+
IFERROR(VLOOKUP(A49,'Centre WR5'!$A$7:$N$160,12,FALSE),0)</f>
        <v>1.5</v>
      </c>
      <c r="M49" s="10">
        <f>IFERROR(VLOOKUP(A49,'Centre DW5'!$A$7:$N$161,13,FALSE),0)+
IFERROR(VLOOKUP(A49,'Centre WP5'!$A$7:$N$160,13,FALSE),0)+
IFERROR(VLOOKUP(A49,'Centre WR5'!$A$7:$N$160,13,FALSE),0)</f>
        <v>0</v>
      </c>
      <c r="N49" s="10">
        <f>IFERROR(VLOOKUP(A49,'Centre DW5'!$A$7:$N$161,14,FALSE),0)+
IFERROR(VLOOKUP(A49,'Centre WP5'!$A$7:$N$160,14,FALSE),0)+
IFERROR(VLOOKUP(A49,'Centre WR5'!$A$7:$N$160,14,FALSE),0)</f>
        <v>0</v>
      </c>
    </row>
    <row r="50" spans="1:14" hidden="1" outlineLevel="1" x14ac:dyDescent="0.2">
      <c r="A50" s="9" t="s">
        <v>103</v>
      </c>
      <c r="B50" s="1" t="s">
        <v>104</v>
      </c>
      <c r="C50" s="10">
        <f>IFERROR(VLOOKUP(A50,'Centre DW5'!$A$7:$N$161,3,FALSE),0)+
IFERROR(VLOOKUP(A50,'Centre WP5'!$A$7:$N$160,3,FALSE),0)+
IFERROR(VLOOKUP(A50,'Centre WR5'!$A$7:$N$160,3,FALSE),0)</f>
        <v>2.2000000000000002</v>
      </c>
      <c r="D50" s="10">
        <f>IFERROR(VLOOKUP(A50,'Centre DW5'!$A$7:$N$161,4,FALSE),0)+
IFERROR(VLOOKUP(A50,'Centre WP5'!$A$7:$N$160,4,FALSE),0)+
IFERROR(VLOOKUP(A50,'Centre WR5'!$A$7:$N$160,4,FALSE),0)</f>
        <v>1.6</v>
      </c>
      <c r="E50" s="10">
        <f>IFERROR(VLOOKUP(A50,'Centre DW5'!$A$7:$N$161,5,FALSE),0)+
IFERROR(VLOOKUP(A50,'Centre WP5'!$A$7:$N$160,5,FALSE),0)+
IFERROR(VLOOKUP(A50,'Centre WR5'!$A$7:$N$160,5,FALSE),0)</f>
        <v>1.5</v>
      </c>
      <c r="F50" s="10">
        <f>IFERROR(VLOOKUP(A50,'Centre DW5'!$A$7:$N$161,6,FALSE),0)+
IFERROR(VLOOKUP(A50,'Centre WP5'!$A$7:$N$160,6,FALSE),0)+
IFERROR(VLOOKUP(A50,'Centre WR5'!$A$7:$N$160,6,FALSE),0)</f>
        <v>1.8</v>
      </c>
      <c r="G50" s="10">
        <f>IFERROR(VLOOKUP(A50,'Centre DW5'!$A$7:$N$161,7,FALSE),0)+
IFERROR(VLOOKUP(A50,'Centre WP5'!$A$7:$N$160,7,FALSE),0)+
IFERROR(VLOOKUP(A50,'Centre WR5'!$A$7:$N$160,7,FALSE),0)</f>
        <v>1.7</v>
      </c>
      <c r="H50" s="10">
        <f>IFERROR(VLOOKUP(A50,'Centre DW5'!$A$7:$N$161,8,FALSE),0)+
IFERROR(VLOOKUP(A50,'Centre WP5'!$A$7:$N$160,8,FALSE),0)+
IFERROR(VLOOKUP(A50,'Centre WR5'!$A$7:$N$160,8,FALSE),0)</f>
        <v>1.9</v>
      </c>
      <c r="I50" s="10">
        <f>IFERROR(VLOOKUP(A50,'Centre DW5'!$A$7:$N$161,9,FALSE),0)+
IFERROR(VLOOKUP(A50,'Centre WP5'!$A$7:$N$160,9,FALSE),0)+
IFERROR(VLOOKUP(A50,'Centre WR5'!$A$7:$N$160,9,FALSE),0)</f>
        <v>1.9</v>
      </c>
      <c r="J50" s="10">
        <f>IFERROR(VLOOKUP(A50,'Centre DW5'!$A$7:$N$161,10,FALSE),0)+
IFERROR(VLOOKUP(A50,'Centre WP5'!$A$7:$N$160,10,FALSE),0)+
IFERROR(VLOOKUP(A50,'Centre WR5'!$A$7:$N$160,10,FALSE),0)</f>
        <v>1.5</v>
      </c>
      <c r="K50" s="10">
        <f>IFERROR(VLOOKUP(A50,'Centre DW5'!$A$7:$N$161,11,FALSE),0)+
IFERROR(VLOOKUP(A50,'Centre WP5'!$A$7:$N$160,11,FALSE),0)+
IFERROR(VLOOKUP(A50,'Centre WR5'!$A$7:$N$160,11,FALSE),0)</f>
        <v>1.8</v>
      </c>
      <c r="L50" s="10">
        <f>IFERROR(VLOOKUP(A50,'Centre DW5'!$A$7:$N$161,12,FALSE),0)+
IFERROR(VLOOKUP(A50,'Centre WP5'!$A$7:$N$160,12,FALSE),0)+
IFERROR(VLOOKUP(A50,'Centre WR5'!$A$7:$N$160,12,FALSE),0)</f>
        <v>1.7</v>
      </c>
      <c r="M50" s="10">
        <f>IFERROR(VLOOKUP(A50,'Centre DW5'!$A$7:$N$161,13,FALSE),0)+
IFERROR(VLOOKUP(A50,'Centre WP5'!$A$7:$N$160,13,FALSE),0)+
IFERROR(VLOOKUP(A50,'Centre WR5'!$A$7:$N$160,13,FALSE),0)</f>
        <v>1.9</v>
      </c>
      <c r="N50" s="10">
        <f>IFERROR(VLOOKUP(A50,'Centre DW5'!$A$7:$N$161,14,FALSE),0)+
IFERROR(VLOOKUP(A50,'Centre WP5'!$A$7:$N$160,14,FALSE),0)+
IFERROR(VLOOKUP(A50,'Centre WR5'!$A$7:$N$160,14,FALSE),0)</f>
        <v>1.9</v>
      </c>
    </row>
    <row r="51" spans="1:14" hidden="1" outlineLevel="1" x14ac:dyDescent="0.2">
      <c r="A51" s="9" t="s">
        <v>305</v>
      </c>
      <c r="B51" s="1" t="s">
        <v>306</v>
      </c>
      <c r="C51" s="10">
        <f>IFERROR(VLOOKUP(A51,'Centre DW5'!$A$7:$N$161,3,FALSE),0)+
IFERROR(VLOOKUP(A51,'Centre WP5'!$A$7:$N$160,3,FALSE),0)+
IFERROR(VLOOKUP(A51,'Centre WR5'!$A$7:$N$160,3,FALSE),0)</f>
        <v>0</v>
      </c>
      <c r="D51" s="10">
        <f>IFERROR(VLOOKUP(A51,'Centre DW5'!$A$7:$N$161,4,FALSE),0)+
IFERROR(VLOOKUP(A51,'Centre WP5'!$A$7:$N$160,4,FALSE),0)+
IFERROR(VLOOKUP(A51,'Centre WR5'!$A$7:$N$160,4,FALSE),0)</f>
        <v>0</v>
      </c>
      <c r="E51" s="10">
        <f>IFERROR(VLOOKUP(A51,'Centre DW5'!$A$7:$N$161,5,FALSE),0)+
IFERROR(VLOOKUP(A51,'Centre WP5'!$A$7:$N$160,5,FALSE),0)+
IFERROR(VLOOKUP(A51,'Centre WR5'!$A$7:$N$160,5,FALSE),0)</f>
        <v>0</v>
      </c>
      <c r="F51" s="10">
        <f>IFERROR(VLOOKUP(A51,'Centre DW5'!$A$7:$N$161,6,FALSE),0)+
IFERROR(VLOOKUP(A51,'Centre WP5'!$A$7:$N$160,6,FALSE),0)+
IFERROR(VLOOKUP(A51,'Centre WR5'!$A$7:$N$160,6,FALSE),0)</f>
        <v>0</v>
      </c>
      <c r="G51" s="10">
        <f>IFERROR(VLOOKUP(A51,'Centre DW5'!$A$7:$N$161,7,FALSE),0)+
IFERROR(VLOOKUP(A51,'Centre WP5'!$A$7:$N$160,7,FALSE),0)+
IFERROR(VLOOKUP(A51,'Centre WR5'!$A$7:$N$160,7,FALSE),0)</f>
        <v>0.4</v>
      </c>
      <c r="H51" s="10">
        <f>IFERROR(VLOOKUP(A51,'Centre DW5'!$A$7:$N$161,8,FALSE),0)+
IFERROR(VLOOKUP(A51,'Centre WP5'!$A$7:$N$160,8,FALSE),0)+
IFERROR(VLOOKUP(A51,'Centre WR5'!$A$7:$N$160,8,FALSE),0)</f>
        <v>0</v>
      </c>
      <c r="I51" s="10">
        <f>IFERROR(VLOOKUP(A51,'Centre DW5'!$A$7:$N$161,9,FALSE),0)+
IFERROR(VLOOKUP(A51,'Centre WP5'!$A$7:$N$160,9,FALSE),0)+
IFERROR(VLOOKUP(A51,'Centre WR5'!$A$7:$N$160,9,FALSE),0)</f>
        <v>0</v>
      </c>
      <c r="J51" s="10">
        <f>IFERROR(VLOOKUP(A51,'Centre DW5'!$A$7:$N$161,10,FALSE),0)+
IFERROR(VLOOKUP(A51,'Centre WP5'!$A$7:$N$160,10,FALSE),0)+
IFERROR(VLOOKUP(A51,'Centre WR5'!$A$7:$N$160,10,FALSE),0)</f>
        <v>0</v>
      </c>
      <c r="K51" s="10">
        <f>IFERROR(VLOOKUP(A51,'Centre DW5'!$A$7:$N$161,11,FALSE),0)+
IFERROR(VLOOKUP(A51,'Centre WP5'!$A$7:$N$160,11,FALSE),0)+
IFERROR(VLOOKUP(A51,'Centre WR5'!$A$7:$N$160,11,FALSE),0)</f>
        <v>0</v>
      </c>
      <c r="L51" s="10">
        <f>IFERROR(VLOOKUP(A51,'Centre DW5'!$A$7:$N$161,12,FALSE),0)+
IFERROR(VLOOKUP(A51,'Centre WP5'!$A$7:$N$160,12,FALSE),0)+
IFERROR(VLOOKUP(A51,'Centre WR5'!$A$7:$N$160,12,FALSE),0)</f>
        <v>0.4</v>
      </c>
      <c r="M51" s="10">
        <f>IFERROR(VLOOKUP(A51,'Centre DW5'!$A$7:$N$161,13,FALSE),0)+
IFERROR(VLOOKUP(A51,'Centre WP5'!$A$7:$N$160,13,FALSE),0)+
IFERROR(VLOOKUP(A51,'Centre WR5'!$A$7:$N$160,13,FALSE),0)</f>
        <v>0</v>
      </c>
      <c r="N51" s="10">
        <f>IFERROR(VLOOKUP(A51,'Centre DW5'!$A$7:$N$161,14,FALSE),0)+
IFERROR(VLOOKUP(A51,'Centre WP5'!$A$7:$N$160,14,FALSE),0)+
IFERROR(VLOOKUP(A51,'Centre WR5'!$A$7:$N$160,14,FALSE),0)</f>
        <v>0</v>
      </c>
    </row>
    <row r="52" spans="1:14" hidden="1" outlineLevel="1" x14ac:dyDescent="0.2">
      <c r="A52" s="9" t="s">
        <v>105</v>
      </c>
      <c r="B52" s="1" t="s">
        <v>106</v>
      </c>
      <c r="C52" s="10">
        <f>IFERROR(VLOOKUP(A52,'Centre DW5'!$A$7:$N$161,3,FALSE),0)+
IFERROR(VLOOKUP(A52,'Centre WP5'!$A$7:$N$160,3,FALSE),0)+
IFERROR(VLOOKUP(A52,'Centre WR5'!$A$7:$N$160,3,FALSE),0)</f>
        <v>137.5</v>
      </c>
      <c r="D52" s="10">
        <f>IFERROR(VLOOKUP(A52,'Centre DW5'!$A$7:$N$161,4,FALSE),0)+
IFERROR(VLOOKUP(A52,'Centre WP5'!$A$7:$N$160,4,FALSE),0)+
IFERROR(VLOOKUP(A52,'Centre WR5'!$A$7:$N$160,4,FALSE),0)</f>
        <v>140.80000000000001</v>
      </c>
      <c r="E52" s="10">
        <f>IFERROR(VLOOKUP(A52,'Centre DW5'!$A$7:$N$161,5,FALSE),0)+
IFERROR(VLOOKUP(A52,'Centre WP5'!$A$7:$N$160,5,FALSE),0)+
IFERROR(VLOOKUP(A52,'Centre WR5'!$A$7:$N$160,5,FALSE),0)</f>
        <v>135</v>
      </c>
      <c r="F52" s="10">
        <f>IFERROR(VLOOKUP(A52,'Centre DW5'!$A$7:$N$161,6,FALSE),0)+
IFERROR(VLOOKUP(A52,'Centre WP5'!$A$7:$N$160,6,FALSE),0)+
IFERROR(VLOOKUP(A52,'Centre WR5'!$A$7:$N$160,6,FALSE),0)</f>
        <v>144.19999999999999</v>
      </c>
      <c r="G52" s="10">
        <f>IFERROR(VLOOKUP(A52,'Centre DW5'!$A$7:$N$161,7,FALSE),0)+
IFERROR(VLOOKUP(A52,'Centre WP5'!$A$7:$N$160,7,FALSE),0)+
IFERROR(VLOOKUP(A52,'Centre WR5'!$A$7:$N$160,7,FALSE),0)</f>
        <v>148.1</v>
      </c>
      <c r="H52" s="10">
        <f>IFERROR(VLOOKUP(A52,'Centre DW5'!$A$7:$N$161,8,FALSE),0)+
IFERROR(VLOOKUP(A52,'Centre WP5'!$A$7:$N$160,8,FALSE),0)+
IFERROR(VLOOKUP(A52,'Centre WR5'!$A$7:$N$160,8,FALSE),0)</f>
        <v>152.5</v>
      </c>
      <c r="I52" s="10">
        <f>IFERROR(VLOOKUP(A52,'Centre DW5'!$A$7:$N$161,9,FALSE),0)+
IFERROR(VLOOKUP(A52,'Centre WP5'!$A$7:$N$160,9,FALSE),0)+
IFERROR(VLOOKUP(A52,'Centre WR5'!$A$7:$N$160,9,FALSE),0)</f>
        <v>135.69999999999999</v>
      </c>
      <c r="J52" s="10">
        <f>IFERROR(VLOOKUP(A52,'Centre DW5'!$A$7:$N$161,10,FALSE),0)+
IFERROR(VLOOKUP(A52,'Centre WP5'!$A$7:$N$160,10,FALSE),0)+
IFERROR(VLOOKUP(A52,'Centre WR5'!$A$7:$N$160,10,FALSE),0)</f>
        <v>151</v>
      </c>
      <c r="K52" s="10">
        <f>IFERROR(VLOOKUP(A52,'Centre DW5'!$A$7:$N$161,11,FALSE),0)+
IFERROR(VLOOKUP(A52,'Centre WP5'!$A$7:$N$160,11,FALSE),0)+
IFERROR(VLOOKUP(A52,'Centre WR5'!$A$7:$N$160,11,FALSE),0)</f>
        <v>147</v>
      </c>
      <c r="L52" s="10">
        <f>IFERROR(VLOOKUP(A52,'Centre DW5'!$A$7:$N$161,12,FALSE),0)+
IFERROR(VLOOKUP(A52,'Centre WP5'!$A$7:$N$160,12,FALSE),0)+
IFERROR(VLOOKUP(A52,'Centre WR5'!$A$7:$N$160,12,FALSE),0)</f>
        <v>144</v>
      </c>
      <c r="M52" s="10">
        <f>IFERROR(VLOOKUP(A52,'Centre DW5'!$A$7:$N$161,13,FALSE),0)+
IFERROR(VLOOKUP(A52,'Centre WP5'!$A$7:$N$160,13,FALSE),0)+
IFERROR(VLOOKUP(A52,'Centre WR5'!$A$7:$N$160,13,FALSE),0)</f>
        <v>159</v>
      </c>
      <c r="N52" s="10">
        <f>IFERROR(VLOOKUP(A52,'Centre DW5'!$A$7:$N$161,14,FALSE),0)+
IFERROR(VLOOKUP(A52,'Centre WP5'!$A$7:$N$160,14,FALSE),0)+
IFERROR(VLOOKUP(A52,'Centre WR5'!$A$7:$N$160,14,FALSE),0)</f>
        <v>158</v>
      </c>
    </row>
    <row r="53" spans="1:14" hidden="1" outlineLevel="1" x14ac:dyDescent="0.2">
      <c r="A53" s="9" t="s">
        <v>107</v>
      </c>
      <c r="B53" s="1" t="s">
        <v>108</v>
      </c>
      <c r="C53" s="10">
        <f>IFERROR(VLOOKUP(A53,'Centre DW5'!$A$7:$N$161,3,FALSE),0)+
IFERROR(VLOOKUP(A53,'Centre WP5'!$A$7:$N$160,3,FALSE),0)+
IFERROR(VLOOKUP(A53,'Centre WR5'!$A$7:$N$160,3,FALSE),0)</f>
        <v>11.6</v>
      </c>
      <c r="D53" s="10">
        <f>IFERROR(VLOOKUP(A53,'Centre DW5'!$A$7:$N$161,4,FALSE),0)+
IFERROR(VLOOKUP(A53,'Centre WP5'!$A$7:$N$160,4,FALSE),0)+
IFERROR(VLOOKUP(A53,'Centre WR5'!$A$7:$N$160,4,FALSE),0)</f>
        <v>8.6</v>
      </c>
      <c r="E53" s="10">
        <f>IFERROR(VLOOKUP(A53,'Centre DW5'!$A$7:$N$161,5,FALSE),0)+
IFERROR(VLOOKUP(A53,'Centre WP5'!$A$7:$N$160,5,FALSE),0)+
IFERROR(VLOOKUP(A53,'Centre WR5'!$A$7:$N$160,5,FALSE),0)</f>
        <v>12.4</v>
      </c>
      <c r="F53" s="10">
        <f>IFERROR(VLOOKUP(A53,'Centre DW5'!$A$7:$N$161,6,FALSE),0)+
IFERROR(VLOOKUP(A53,'Centre WP5'!$A$7:$N$160,6,FALSE),0)+
IFERROR(VLOOKUP(A53,'Centre WR5'!$A$7:$N$160,6,FALSE),0)</f>
        <v>20.399999999999999</v>
      </c>
      <c r="G53" s="10">
        <f>IFERROR(VLOOKUP(A53,'Centre DW5'!$A$7:$N$161,7,FALSE),0)+
IFERROR(VLOOKUP(A53,'Centre WP5'!$A$7:$N$160,7,FALSE),0)+
IFERROR(VLOOKUP(A53,'Centre WR5'!$A$7:$N$160,7,FALSE),0)</f>
        <v>17.399999999999999</v>
      </c>
      <c r="H53" s="10">
        <f>IFERROR(VLOOKUP(A53,'Centre DW5'!$A$7:$N$161,8,FALSE),0)+
IFERROR(VLOOKUP(A53,'Centre WP5'!$A$7:$N$160,8,FALSE),0)+
IFERROR(VLOOKUP(A53,'Centre WR5'!$A$7:$N$160,8,FALSE),0)</f>
        <v>0.6</v>
      </c>
      <c r="I53" s="10">
        <f>IFERROR(VLOOKUP(A53,'Centre DW5'!$A$7:$N$161,9,FALSE),0)+
IFERROR(VLOOKUP(A53,'Centre WP5'!$A$7:$N$160,9,FALSE),0)+
IFERROR(VLOOKUP(A53,'Centre WR5'!$A$7:$N$160,9,FALSE),0)</f>
        <v>17.2</v>
      </c>
      <c r="J53" s="10">
        <f>IFERROR(VLOOKUP(A53,'Centre DW5'!$A$7:$N$161,10,FALSE),0)+
IFERROR(VLOOKUP(A53,'Centre WP5'!$A$7:$N$160,10,FALSE),0)+
IFERROR(VLOOKUP(A53,'Centre WR5'!$A$7:$N$160,10,FALSE),0)</f>
        <v>18</v>
      </c>
      <c r="K53" s="10">
        <f>IFERROR(VLOOKUP(A53,'Centre DW5'!$A$7:$N$161,11,FALSE),0)+
IFERROR(VLOOKUP(A53,'Centre WP5'!$A$7:$N$160,11,FALSE),0)+
IFERROR(VLOOKUP(A53,'Centre WR5'!$A$7:$N$160,11,FALSE),0)</f>
        <v>21</v>
      </c>
      <c r="L53" s="10">
        <f>IFERROR(VLOOKUP(A53,'Centre DW5'!$A$7:$N$161,12,FALSE),0)+
IFERROR(VLOOKUP(A53,'Centre WP5'!$A$7:$N$160,12,FALSE),0)+
IFERROR(VLOOKUP(A53,'Centre WR5'!$A$7:$N$160,12,FALSE),0)</f>
        <v>15</v>
      </c>
      <c r="M53" s="10">
        <f>IFERROR(VLOOKUP(A53,'Centre DW5'!$A$7:$N$161,13,FALSE),0)+
IFERROR(VLOOKUP(A53,'Centre WP5'!$A$7:$N$160,13,FALSE),0)+
IFERROR(VLOOKUP(A53,'Centre WR5'!$A$7:$N$160,13,FALSE),0)</f>
        <v>18</v>
      </c>
      <c r="N53" s="10">
        <f>IFERROR(VLOOKUP(A53,'Centre DW5'!$A$7:$N$161,14,FALSE),0)+
IFERROR(VLOOKUP(A53,'Centre WP5'!$A$7:$N$160,14,FALSE),0)+
IFERROR(VLOOKUP(A53,'Centre WR5'!$A$7:$N$160,14,FALSE),0)</f>
        <v>21</v>
      </c>
    </row>
    <row r="54" spans="1:14" hidden="1" outlineLevel="1" x14ac:dyDescent="0.2">
      <c r="A54" s="9" t="s">
        <v>109</v>
      </c>
      <c r="B54" s="1" t="s">
        <v>110</v>
      </c>
      <c r="C54" s="10">
        <f>IFERROR(VLOOKUP(A54,'Centre DW5'!$A$7:$N$161,3,FALSE),0)+
IFERROR(VLOOKUP(A54,'Centre WP5'!$A$7:$N$160,3,FALSE),0)+
IFERROR(VLOOKUP(A54,'Centre WR5'!$A$7:$N$160,3,FALSE),0)</f>
        <v>2.5</v>
      </c>
      <c r="D54" s="10">
        <f>IFERROR(VLOOKUP(A54,'Centre DW5'!$A$7:$N$161,4,FALSE),0)+
IFERROR(VLOOKUP(A54,'Centre WP5'!$A$7:$N$160,4,FALSE),0)+
IFERROR(VLOOKUP(A54,'Centre WR5'!$A$7:$N$160,4,FALSE),0)</f>
        <v>2.1</v>
      </c>
      <c r="E54" s="10">
        <f>IFERROR(VLOOKUP(A54,'Centre DW5'!$A$7:$N$161,5,FALSE),0)+
IFERROR(VLOOKUP(A54,'Centre WP5'!$A$7:$N$160,5,FALSE),0)+
IFERROR(VLOOKUP(A54,'Centre WR5'!$A$7:$N$160,5,FALSE),0)</f>
        <v>0.6</v>
      </c>
      <c r="F54" s="10">
        <f>IFERROR(VLOOKUP(A54,'Centre DW5'!$A$7:$N$161,6,FALSE),0)+
IFERROR(VLOOKUP(A54,'Centre WP5'!$A$7:$N$160,6,FALSE),0)+
IFERROR(VLOOKUP(A54,'Centre WR5'!$A$7:$N$160,6,FALSE),0)</f>
        <v>3.1</v>
      </c>
      <c r="G54" s="10">
        <f>IFERROR(VLOOKUP(A54,'Centre DW5'!$A$7:$N$161,7,FALSE),0)+
IFERROR(VLOOKUP(A54,'Centre WP5'!$A$7:$N$160,7,FALSE),0)+
IFERROR(VLOOKUP(A54,'Centre WR5'!$A$7:$N$160,7,FALSE),0)</f>
        <v>2.6</v>
      </c>
      <c r="H54" s="10">
        <f>IFERROR(VLOOKUP(A54,'Centre DW5'!$A$7:$N$161,8,FALSE),0)+
IFERROR(VLOOKUP(A54,'Centre WP5'!$A$7:$N$160,8,FALSE),0)+
IFERROR(VLOOKUP(A54,'Centre WR5'!$A$7:$N$160,8,FALSE),0)</f>
        <v>3.1</v>
      </c>
      <c r="I54" s="10">
        <f>IFERROR(VLOOKUP(A54,'Centre DW5'!$A$7:$N$161,9,FALSE),0)+
IFERROR(VLOOKUP(A54,'Centre WP5'!$A$7:$N$160,9,FALSE),0)+
IFERROR(VLOOKUP(A54,'Centre WR5'!$A$7:$N$160,9,FALSE),0)</f>
        <v>1.2</v>
      </c>
      <c r="J54" s="10">
        <f>IFERROR(VLOOKUP(A54,'Centre DW5'!$A$7:$N$161,10,FALSE),0)+
IFERROR(VLOOKUP(A54,'Centre WP5'!$A$7:$N$160,10,FALSE),0)+
IFERROR(VLOOKUP(A54,'Centre WR5'!$A$7:$N$160,10,FALSE),0)</f>
        <v>0.6</v>
      </c>
      <c r="K54" s="10">
        <f>IFERROR(VLOOKUP(A54,'Centre DW5'!$A$7:$N$161,11,FALSE),0)+
IFERROR(VLOOKUP(A54,'Centre WP5'!$A$7:$N$160,11,FALSE),0)+
IFERROR(VLOOKUP(A54,'Centre WR5'!$A$7:$N$160,11,FALSE),0)</f>
        <v>2</v>
      </c>
      <c r="L54" s="10">
        <f>IFERROR(VLOOKUP(A54,'Centre DW5'!$A$7:$N$161,12,FALSE),0)+
IFERROR(VLOOKUP(A54,'Centre WP5'!$A$7:$N$160,12,FALSE),0)+
IFERROR(VLOOKUP(A54,'Centre WR5'!$A$7:$N$160,12,FALSE),0)</f>
        <v>2.6</v>
      </c>
      <c r="M54" s="10">
        <f>IFERROR(VLOOKUP(A54,'Centre DW5'!$A$7:$N$161,13,FALSE),0)+
IFERROR(VLOOKUP(A54,'Centre WP5'!$A$7:$N$160,13,FALSE),0)+
IFERROR(VLOOKUP(A54,'Centre WR5'!$A$7:$N$160,13,FALSE),0)</f>
        <v>1.5</v>
      </c>
      <c r="N54" s="10">
        <f>IFERROR(VLOOKUP(A54,'Centre DW5'!$A$7:$N$161,14,FALSE),0)+
IFERROR(VLOOKUP(A54,'Centre WP5'!$A$7:$N$160,14,FALSE),0)+
IFERROR(VLOOKUP(A54,'Centre WR5'!$A$7:$N$160,14,FALSE),0)</f>
        <v>1.2</v>
      </c>
    </row>
    <row r="55" spans="1:14" hidden="1" outlineLevel="1" x14ac:dyDescent="0.2">
      <c r="A55" s="9" t="s">
        <v>307</v>
      </c>
      <c r="B55" s="1" t="s">
        <v>308</v>
      </c>
      <c r="C55" s="10">
        <f>IFERROR(VLOOKUP(A55,'Centre DW5'!$A$7:$N$161,3,FALSE),0)+
IFERROR(VLOOKUP(A55,'Centre WP5'!$A$7:$N$160,3,FALSE),0)+
IFERROR(VLOOKUP(A55,'Centre WR5'!$A$7:$N$160,3,FALSE),0)</f>
        <v>0</v>
      </c>
      <c r="D55" s="10">
        <f>IFERROR(VLOOKUP(A55,'Centre DW5'!$A$7:$N$161,4,FALSE),0)+
IFERROR(VLOOKUP(A55,'Centre WP5'!$A$7:$N$160,4,FALSE),0)+
IFERROR(VLOOKUP(A55,'Centre WR5'!$A$7:$N$160,4,FALSE),0)</f>
        <v>0</v>
      </c>
      <c r="E55" s="10">
        <f>IFERROR(VLOOKUP(A55,'Centre DW5'!$A$7:$N$161,5,FALSE),0)+
IFERROR(VLOOKUP(A55,'Centre WP5'!$A$7:$N$160,5,FALSE),0)+
IFERROR(VLOOKUP(A55,'Centre WR5'!$A$7:$N$160,5,FALSE),0)</f>
        <v>0</v>
      </c>
      <c r="F55" s="10">
        <f>IFERROR(VLOOKUP(A55,'Centre DW5'!$A$7:$N$161,6,FALSE),0)+
IFERROR(VLOOKUP(A55,'Centre WP5'!$A$7:$N$160,6,FALSE),0)+
IFERROR(VLOOKUP(A55,'Centre WR5'!$A$7:$N$160,6,FALSE),0)</f>
        <v>0</v>
      </c>
      <c r="G55" s="10">
        <f>IFERROR(VLOOKUP(A55,'Centre DW5'!$A$7:$N$161,7,FALSE),0)+
IFERROR(VLOOKUP(A55,'Centre WP5'!$A$7:$N$160,7,FALSE),0)+
IFERROR(VLOOKUP(A55,'Centre WR5'!$A$7:$N$160,7,FALSE),0)</f>
        <v>0.7</v>
      </c>
      <c r="H55" s="10">
        <f>IFERROR(VLOOKUP(A55,'Centre DW5'!$A$7:$N$161,8,FALSE),0)+
IFERROR(VLOOKUP(A55,'Centre WP5'!$A$7:$N$160,8,FALSE),0)+
IFERROR(VLOOKUP(A55,'Centre WR5'!$A$7:$N$160,8,FALSE),0)</f>
        <v>0</v>
      </c>
      <c r="I55" s="10">
        <f>IFERROR(VLOOKUP(A55,'Centre DW5'!$A$7:$N$161,9,FALSE),0)+
IFERROR(VLOOKUP(A55,'Centre WP5'!$A$7:$N$160,9,FALSE),0)+
IFERROR(VLOOKUP(A55,'Centre WR5'!$A$7:$N$160,9,FALSE),0)</f>
        <v>0</v>
      </c>
      <c r="J55" s="10">
        <f>IFERROR(VLOOKUP(A55,'Centre DW5'!$A$7:$N$161,10,FALSE),0)+
IFERROR(VLOOKUP(A55,'Centre WP5'!$A$7:$N$160,10,FALSE),0)+
IFERROR(VLOOKUP(A55,'Centre WR5'!$A$7:$N$160,10,FALSE),0)</f>
        <v>0</v>
      </c>
      <c r="K55" s="10">
        <f>IFERROR(VLOOKUP(A55,'Centre DW5'!$A$7:$N$161,11,FALSE),0)+
IFERROR(VLOOKUP(A55,'Centre WP5'!$A$7:$N$160,11,FALSE),0)+
IFERROR(VLOOKUP(A55,'Centre WR5'!$A$7:$N$160,11,FALSE),0)</f>
        <v>0</v>
      </c>
      <c r="L55" s="10">
        <f>IFERROR(VLOOKUP(A55,'Centre DW5'!$A$7:$N$161,12,FALSE),0)+
IFERROR(VLOOKUP(A55,'Centre WP5'!$A$7:$N$160,12,FALSE),0)+
IFERROR(VLOOKUP(A55,'Centre WR5'!$A$7:$N$160,12,FALSE),0)</f>
        <v>0.7</v>
      </c>
      <c r="M55" s="10">
        <f>IFERROR(VLOOKUP(A55,'Centre DW5'!$A$7:$N$161,13,FALSE),0)+
IFERROR(VLOOKUP(A55,'Centre WP5'!$A$7:$N$160,13,FALSE),0)+
IFERROR(VLOOKUP(A55,'Centre WR5'!$A$7:$N$160,13,FALSE),0)</f>
        <v>0</v>
      </c>
      <c r="N55" s="10">
        <f>IFERROR(VLOOKUP(A55,'Centre DW5'!$A$7:$N$161,14,FALSE),0)+
IFERROR(VLOOKUP(A55,'Centre WP5'!$A$7:$N$160,14,FALSE),0)+
IFERROR(VLOOKUP(A55,'Centre WR5'!$A$7:$N$160,14,FALSE),0)</f>
        <v>0</v>
      </c>
    </row>
    <row r="56" spans="1:14" collapsed="1" x14ac:dyDescent="0.2">
      <c r="A56" s="33" t="s">
        <v>111</v>
      </c>
      <c r="B56" s="34" t="s">
        <v>112</v>
      </c>
      <c r="C56" s="44">
        <f t="shared" ref="C56:I56" si="14">SUM(C57:C62)</f>
        <v>1.8</v>
      </c>
      <c r="D56" s="44">
        <f t="shared" si="14"/>
        <v>3.5</v>
      </c>
      <c r="E56" s="44">
        <f t="shared" si="14"/>
        <v>5.2</v>
      </c>
      <c r="F56" s="44">
        <f t="shared" si="14"/>
        <v>2.2999999999999998</v>
      </c>
      <c r="G56" s="44">
        <f t="shared" si="14"/>
        <v>12.7</v>
      </c>
      <c r="H56" s="44">
        <f t="shared" si="14"/>
        <v>0.5</v>
      </c>
      <c r="I56" s="44">
        <f t="shared" si="14"/>
        <v>3.8</v>
      </c>
      <c r="J56" s="44">
        <f>SUM(J57:J62)</f>
        <v>4.2</v>
      </c>
      <c r="K56" s="44">
        <f t="shared" ref="K56:N56" si="15">SUM(K57:K62)</f>
        <v>2.2999999999999998</v>
      </c>
      <c r="L56" s="44">
        <f t="shared" si="15"/>
        <v>12.7</v>
      </c>
      <c r="M56" s="44">
        <f t="shared" si="15"/>
        <v>2</v>
      </c>
      <c r="N56" s="44">
        <f t="shared" si="15"/>
        <v>3.8</v>
      </c>
    </row>
    <row r="57" spans="1:14" hidden="1" outlineLevel="1" x14ac:dyDescent="0.2">
      <c r="A57" s="9" t="s">
        <v>113</v>
      </c>
      <c r="B57" s="1" t="s">
        <v>114</v>
      </c>
      <c r="C57" s="10">
        <f>IFERROR(VLOOKUP(A57,'Centre DW5'!$A$7:$N$161,3,FALSE),0)+
IFERROR(VLOOKUP(A57,'Centre WP5'!$A$7:$N$160,3,FALSE),0)+
IFERROR(VLOOKUP(A57,'Centre WR5'!$A$7:$N$160,3,FALSE),0)</f>
        <v>1.3</v>
      </c>
      <c r="D57" s="10">
        <f>IFERROR(VLOOKUP(A57,'Centre DW5'!$A$7:$N$161,4,FALSE),0)+
IFERROR(VLOOKUP(A57,'Centre WP5'!$A$7:$N$160,4,FALSE),0)+
IFERROR(VLOOKUP(A57,'Centre WR5'!$A$7:$N$160,4,FALSE),0)</f>
        <v>0.1</v>
      </c>
      <c r="E57" s="10">
        <f>IFERROR(VLOOKUP(A57,'Centre DW5'!$A$7:$N$161,5,FALSE),0)+
IFERROR(VLOOKUP(A57,'Centre WP5'!$A$7:$N$160,5,FALSE),0)+
IFERROR(VLOOKUP(A57,'Centre WR5'!$A$7:$N$160,5,FALSE),0)</f>
        <v>0.1</v>
      </c>
      <c r="F57" s="10">
        <f>IFERROR(VLOOKUP(A57,'Centre DW5'!$A$7:$N$161,6,FALSE),0)+
IFERROR(VLOOKUP(A57,'Centre WP5'!$A$7:$N$160,6,FALSE),0)+
IFERROR(VLOOKUP(A57,'Centre WR5'!$A$7:$N$160,6,FALSE),0)</f>
        <v>1</v>
      </c>
      <c r="G57" s="10">
        <f>IFERROR(VLOOKUP(A57,'Centre DW5'!$A$7:$N$161,7,FALSE),0)+
IFERROR(VLOOKUP(A57,'Centre WP5'!$A$7:$N$160,7,FALSE),0)+
IFERROR(VLOOKUP(A57,'Centre WR5'!$A$7:$N$160,7,FALSE),0)</f>
        <v>1.2</v>
      </c>
      <c r="H57" s="10">
        <f>IFERROR(VLOOKUP(A57,'Centre DW5'!$A$7:$N$161,8,FALSE),0)+
IFERROR(VLOOKUP(A57,'Centre WP5'!$A$7:$N$160,8,FALSE),0)+
IFERROR(VLOOKUP(A57,'Centre WR5'!$A$7:$N$160,8,FALSE),0)</f>
        <v>0</v>
      </c>
      <c r="I57" s="10">
        <f>IFERROR(VLOOKUP(A57,'Centre DW5'!$A$7:$N$161,9,FALSE),0)+
IFERROR(VLOOKUP(A57,'Centre WP5'!$A$7:$N$160,9,FALSE),0)+
IFERROR(VLOOKUP(A57,'Centre WR5'!$A$7:$N$160,9,FALSE),0)</f>
        <v>1.3</v>
      </c>
      <c r="J57" s="10">
        <f>IFERROR(VLOOKUP(A57,'Centre DW5'!$A$7:$N$161,10,FALSE),0)+
IFERROR(VLOOKUP(A57,'Centre WP5'!$A$7:$N$160,10,FALSE),0)+
IFERROR(VLOOKUP(A57,'Centre WR5'!$A$7:$N$160,10,FALSE),0)</f>
        <v>0.1</v>
      </c>
      <c r="K57" s="10">
        <f>IFERROR(VLOOKUP(A57,'Centre DW5'!$A$7:$N$161,11,FALSE),0)+
IFERROR(VLOOKUP(A57,'Centre WP5'!$A$7:$N$160,11,FALSE),0)+
IFERROR(VLOOKUP(A57,'Centre WR5'!$A$7:$N$160,11,FALSE),0)</f>
        <v>1</v>
      </c>
      <c r="L57" s="10">
        <f>IFERROR(VLOOKUP(A57,'Centre DW5'!$A$7:$N$161,12,FALSE),0)+
IFERROR(VLOOKUP(A57,'Centre WP5'!$A$7:$N$160,12,FALSE),0)+
IFERROR(VLOOKUP(A57,'Centre WR5'!$A$7:$N$160,12,FALSE),0)</f>
        <v>1.2</v>
      </c>
      <c r="M57" s="10">
        <f>IFERROR(VLOOKUP(A57,'Centre DW5'!$A$7:$N$161,13,FALSE),0)+
IFERROR(VLOOKUP(A57,'Centre WP5'!$A$7:$N$160,13,FALSE),0)+
IFERROR(VLOOKUP(A57,'Centre WR5'!$A$7:$N$160,13,FALSE),0)</f>
        <v>0</v>
      </c>
      <c r="N57" s="10">
        <f>IFERROR(VLOOKUP(A57,'Centre DW5'!$A$7:$N$161,14,FALSE),0)+
IFERROR(VLOOKUP(A57,'Centre WP5'!$A$7:$N$160,14,FALSE),0)+
IFERROR(VLOOKUP(A57,'Centre WR5'!$A$7:$N$160,14,FALSE),0)</f>
        <v>1.3</v>
      </c>
    </row>
    <row r="58" spans="1:14" hidden="1" outlineLevel="1" x14ac:dyDescent="0.2">
      <c r="A58" s="9" t="s">
        <v>309</v>
      </c>
      <c r="B58" s="1" t="s">
        <v>310</v>
      </c>
      <c r="C58" s="10">
        <f>IFERROR(VLOOKUP(A58,'Centre DW5'!$A$7:$N$161,3,FALSE),0)+
IFERROR(VLOOKUP(A58,'Centre WP5'!$A$7:$N$160,3,FALSE),0)+
IFERROR(VLOOKUP(A58,'Centre WR5'!$A$7:$N$160,3,FALSE),0)</f>
        <v>0</v>
      </c>
      <c r="D58" s="10">
        <f>IFERROR(VLOOKUP(A58,'Centre DW5'!$A$7:$N$161,4,FALSE),0)+
IFERROR(VLOOKUP(A58,'Centre WP5'!$A$7:$N$160,4,FALSE),0)+
IFERROR(VLOOKUP(A58,'Centre WR5'!$A$7:$N$160,4,FALSE),0)</f>
        <v>0</v>
      </c>
      <c r="E58" s="10">
        <f>IFERROR(VLOOKUP(A58,'Centre DW5'!$A$7:$N$161,5,FALSE),0)+
IFERROR(VLOOKUP(A58,'Centre WP5'!$A$7:$N$160,5,FALSE),0)+
IFERROR(VLOOKUP(A58,'Centre WR5'!$A$7:$N$160,5,FALSE),0)</f>
        <v>0</v>
      </c>
      <c r="F58" s="10">
        <f>IFERROR(VLOOKUP(A58,'Centre DW5'!$A$7:$N$161,6,FALSE),0)+
IFERROR(VLOOKUP(A58,'Centre WP5'!$A$7:$N$160,6,FALSE),0)+
IFERROR(VLOOKUP(A58,'Centre WR5'!$A$7:$N$160,6,FALSE),0)</f>
        <v>0</v>
      </c>
      <c r="G58" s="10">
        <f>IFERROR(VLOOKUP(A58,'Centre DW5'!$A$7:$N$161,7,FALSE),0)+
IFERROR(VLOOKUP(A58,'Centre WP5'!$A$7:$N$160,7,FALSE),0)+
IFERROR(VLOOKUP(A58,'Centre WR5'!$A$7:$N$160,7,FALSE),0)</f>
        <v>0</v>
      </c>
      <c r="H58" s="10">
        <f>IFERROR(VLOOKUP(A58,'Centre DW5'!$A$7:$N$161,8,FALSE),0)+
IFERROR(VLOOKUP(A58,'Centre WP5'!$A$7:$N$160,8,FALSE),0)+
IFERROR(VLOOKUP(A58,'Centre WR5'!$A$7:$N$160,8,FALSE),0)</f>
        <v>0</v>
      </c>
      <c r="I58" s="10">
        <f>IFERROR(VLOOKUP(A58,'Centre DW5'!$A$7:$N$161,9,FALSE),0)+
IFERROR(VLOOKUP(A58,'Centre WP5'!$A$7:$N$160,9,FALSE),0)+
IFERROR(VLOOKUP(A58,'Centre WR5'!$A$7:$N$160,9,FALSE),0)</f>
        <v>0</v>
      </c>
      <c r="J58" s="10">
        <f>IFERROR(VLOOKUP(A58,'Centre DW5'!$A$7:$N$161,10,FALSE),0)+
IFERROR(VLOOKUP(A58,'Centre WP5'!$A$7:$N$160,10,FALSE),0)+
IFERROR(VLOOKUP(A58,'Centre WR5'!$A$7:$N$160,10,FALSE),0)</f>
        <v>0</v>
      </c>
      <c r="K58" s="10">
        <f>IFERROR(VLOOKUP(A58,'Centre DW5'!$A$7:$N$161,11,FALSE),0)+
IFERROR(VLOOKUP(A58,'Centre WP5'!$A$7:$N$160,11,FALSE),0)+
IFERROR(VLOOKUP(A58,'Centre WR5'!$A$7:$N$160,11,FALSE),0)</f>
        <v>0</v>
      </c>
      <c r="L58" s="10">
        <f>IFERROR(VLOOKUP(A58,'Centre DW5'!$A$7:$N$161,12,FALSE),0)+
IFERROR(VLOOKUP(A58,'Centre WP5'!$A$7:$N$160,12,FALSE),0)+
IFERROR(VLOOKUP(A58,'Centre WR5'!$A$7:$N$160,12,FALSE),0)</f>
        <v>0</v>
      </c>
      <c r="M58" s="10">
        <f>IFERROR(VLOOKUP(A58,'Centre DW5'!$A$7:$N$161,13,FALSE),0)+
IFERROR(VLOOKUP(A58,'Centre WP5'!$A$7:$N$160,13,FALSE),0)+
IFERROR(VLOOKUP(A58,'Centre WR5'!$A$7:$N$160,13,FALSE),0)</f>
        <v>0</v>
      </c>
      <c r="N58" s="10">
        <f>IFERROR(VLOOKUP(A58,'Centre DW5'!$A$7:$N$161,14,FALSE),0)+
IFERROR(VLOOKUP(A58,'Centre WP5'!$A$7:$N$160,14,FALSE),0)+
IFERROR(VLOOKUP(A58,'Centre WR5'!$A$7:$N$160,14,FALSE),0)</f>
        <v>0</v>
      </c>
    </row>
    <row r="59" spans="1:14" hidden="1" outlineLevel="1" x14ac:dyDescent="0.2">
      <c r="A59" s="9" t="s">
        <v>115</v>
      </c>
      <c r="B59" s="1" t="s">
        <v>116</v>
      </c>
      <c r="C59" s="10">
        <f>IFERROR(VLOOKUP(A59,'Centre DW5'!$A$7:$N$161,3,FALSE),0)+
IFERROR(VLOOKUP(A59,'Centre WP5'!$A$7:$N$160,3,FALSE),0)+
IFERROR(VLOOKUP(A59,'Centre WR5'!$A$7:$N$160,3,FALSE),0)</f>
        <v>0.5</v>
      </c>
      <c r="D59" s="10">
        <f>IFERROR(VLOOKUP(A59,'Centre DW5'!$A$7:$N$161,4,FALSE),0)+
IFERROR(VLOOKUP(A59,'Centre WP5'!$A$7:$N$160,4,FALSE),0)+
IFERROR(VLOOKUP(A59,'Centre WR5'!$A$7:$N$160,4,FALSE),0)</f>
        <v>1.3</v>
      </c>
      <c r="E59" s="10">
        <f>IFERROR(VLOOKUP(A59,'Centre DW5'!$A$7:$N$161,5,FALSE),0)+
IFERROR(VLOOKUP(A59,'Centre WP5'!$A$7:$N$160,5,FALSE),0)+
IFERROR(VLOOKUP(A59,'Centre WR5'!$A$7:$N$160,5,FALSE),0)</f>
        <v>0.4</v>
      </c>
      <c r="F59" s="10">
        <f>IFERROR(VLOOKUP(A59,'Centre DW5'!$A$7:$N$161,6,FALSE),0)+
IFERROR(VLOOKUP(A59,'Centre WP5'!$A$7:$N$160,6,FALSE),0)+
IFERROR(VLOOKUP(A59,'Centre WR5'!$A$7:$N$160,6,FALSE),0)</f>
        <v>1.3</v>
      </c>
      <c r="G59" s="10">
        <f>IFERROR(VLOOKUP(A59,'Centre DW5'!$A$7:$N$161,7,FALSE),0)+
IFERROR(VLOOKUP(A59,'Centre WP5'!$A$7:$N$160,7,FALSE),0)+
IFERROR(VLOOKUP(A59,'Centre WR5'!$A$7:$N$160,7,FALSE),0)</f>
        <v>0.4</v>
      </c>
      <c r="H59" s="10">
        <f>IFERROR(VLOOKUP(A59,'Centre DW5'!$A$7:$N$161,8,FALSE),0)+
IFERROR(VLOOKUP(A59,'Centre WP5'!$A$7:$N$160,8,FALSE),0)+
IFERROR(VLOOKUP(A59,'Centre WR5'!$A$7:$N$160,8,FALSE),0)</f>
        <v>0.5</v>
      </c>
      <c r="I59" s="10">
        <f>IFERROR(VLOOKUP(A59,'Centre DW5'!$A$7:$N$161,9,FALSE),0)+
IFERROR(VLOOKUP(A59,'Centre WP5'!$A$7:$N$160,9,FALSE),0)+
IFERROR(VLOOKUP(A59,'Centre WR5'!$A$7:$N$160,9,FALSE),0)</f>
        <v>-0.4</v>
      </c>
      <c r="J59" s="10">
        <f>IFERROR(VLOOKUP(A59,'Centre DW5'!$A$7:$N$161,10,FALSE),0)+
IFERROR(VLOOKUP(A59,'Centre WP5'!$A$7:$N$160,10,FALSE),0)+
IFERROR(VLOOKUP(A59,'Centre WR5'!$A$7:$N$160,10,FALSE),0)</f>
        <v>0.4</v>
      </c>
      <c r="K59" s="10">
        <f>IFERROR(VLOOKUP(A59,'Centre DW5'!$A$7:$N$161,11,FALSE),0)+
IFERROR(VLOOKUP(A59,'Centre WP5'!$A$7:$N$160,11,FALSE),0)+
IFERROR(VLOOKUP(A59,'Centre WR5'!$A$7:$N$160,11,FALSE),0)</f>
        <v>1.3</v>
      </c>
      <c r="L59" s="10">
        <f>IFERROR(VLOOKUP(A59,'Centre DW5'!$A$7:$N$161,12,FALSE),0)+
IFERROR(VLOOKUP(A59,'Centre WP5'!$A$7:$N$160,12,FALSE),0)+
IFERROR(VLOOKUP(A59,'Centre WR5'!$A$7:$N$160,12,FALSE),0)</f>
        <v>0.4</v>
      </c>
      <c r="M59" s="10">
        <f>IFERROR(VLOOKUP(A59,'Centre DW5'!$A$7:$N$161,13,FALSE),0)+
IFERROR(VLOOKUP(A59,'Centre WP5'!$A$7:$N$160,13,FALSE),0)+
IFERROR(VLOOKUP(A59,'Centre WR5'!$A$7:$N$160,13,FALSE),0)</f>
        <v>0.5</v>
      </c>
      <c r="N59" s="10">
        <f>IFERROR(VLOOKUP(A59,'Centre DW5'!$A$7:$N$161,14,FALSE),0)+
IFERROR(VLOOKUP(A59,'Centre WP5'!$A$7:$N$160,14,FALSE),0)+
IFERROR(VLOOKUP(A59,'Centre WR5'!$A$7:$N$160,14,FALSE),0)</f>
        <v>-0.4</v>
      </c>
    </row>
    <row r="60" spans="1:14" hidden="1" outlineLevel="1" x14ac:dyDescent="0.2">
      <c r="A60" s="9" t="s">
        <v>311</v>
      </c>
      <c r="B60" s="1" t="s">
        <v>312</v>
      </c>
      <c r="C60" s="10">
        <f>IFERROR(VLOOKUP(A60,'Centre DW5'!$A$7:$N$161,3,FALSE),0)+
IFERROR(VLOOKUP(A60,'Centre WP5'!$A$7:$N$160,3,FALSE),0)+
IFERROR(VLOOKUP(A60,'Centre WR5'!$A$7:$N$160,3,FALSE),0)</f>
        <v>0</v>
      </c>
      <c r="D60" s="10">
        <f>IFERROR(VLOOKUP(A60,'Centre DW5'!$A$7:$N$161,4,FALSE),0)+
IFERROR(VLOOKUP(A60,'Centre WP5'!$A$7:$N$160,4,FALSE),0)+
IFERROR(VLOOKUP(A60,'Centre WR5'!$A$7:$N$160,4,FALSE),0)</f>
        <v>1.3</v>
      </c>
      <c r="E60" s="10">
        <f>IFERROR(VLOOKUP(A60,'Centre DW5'!$A$7:$N$161,5,FALSE),0)+
IFERROR(VLOOKUP(A60,'Centre WP5'!$A$7:$N$160,5,FALSE),0)+
IFERROR(VLOOKUP(A60,'Centre WR5'!$A$7:$N$160,5,FALSE),0)</f>
        <v>3.2</v>
      </c>
      <c r="F60" s="10">
        <f>IFERROR(VLOOKUP(A60,'Centre DW5'!$A$7:$N$161,6,FALSE),0)+
IFERROR(VLOOKUP(A60,'Centre WP5'!$A$7:$N$160,6,FALSE),0)+
IFERROR(VLOOKUP(A60,'Centre WR5'!$A$7:$N$160,6,FALSE),0)</f>
        <v>0</v>
      </c>
      <c r="G60" s="10">
        <f>IFERROR(VLOOKUP(A60,'Centre DW5'!$A$7:$N$161,7,FALSE),0)+
IFERROR(VLOOKUP(A60,'Centre WP5'!$A$7:$N$160,7,FALSE),0)+
IFERROR(VLOOKUP(A60,'Centre WR5'!$A$7:$N$160,7,FALSE),0)</f>
        <v>1.1000000000000001</v>
      </c>
      <c r="H60" s="10">
        <f>IFERROR(VLOOKUP(A60,'Centre DW5'!$A$7:$N$161,8,FALSE),0)+
IFERROR(VLOOKUP(A60,'Centre WP5'!$A$7:$N$160,8,FALSE),0)+
IFERROR(VLOOKUP(A60,'Centre WR5'!$A$7:$N$160,8,FALSE),0)</f>
        <v>0</v>
      </c>
      <c r="I60" s="10">
        <f>IFERROR(VLOOKUP(A60,'Centre DW5'!$A$7:$N$161,9,FALSE),0)+
IFERROR(VLOOKUP(A60,'Centre WP5'!$A$7:$N$160,9,FALSE),0)+
IFERROR(VLOOKUP(A60,'Centre WR5'!$A$7:$N$160,9,FALSE),0)</f>
        <v>1.9</v>
      </c>
      <c r="J60" s="10">
        <f>IFERROR(VLOOKUP(A60,'Centre DW5'!$A$7:$N$161,10,FALSE),0)+
IFERROR(VLOOKUP(A60,'Centre WP5'!$A$7:$N$160,10,FALSE),0)+
IFERROR(VLOOKUP(A60,'Centre WR5'!$A$7:$N$160,10,FALSE),0)</f>
        <v>2.2000000000000002</v>
      </c>
      <c r="K60" s="10">
        <f>IFERROR(VLOOKUP(A60,'Centre DW5'!$A$7:$N$161,11,FALSE),0)+
IFERROR(VLOOKUP(A60,'Centre WP5'!$A$7:$N$160,11,FALSE),0)+
IFERROR(VLOOKUP(A60,'Centre WR5'!$A$7:$N$160,11,FALSE),0)</f>
        <v>0</v>
      </c>
      <c r="L60" s="10">
        <f>IFERROR(VLOOKUP(A60,'Centre DW5'!$A$7:$N$161,12,FALSE),0)+
IFERROR(VLOOKUP(A60,'Centre WP5'!$A$7:$N$160,12,FALSE),0)+
IFERROR(VLOOKUP(A60,'Centre WR5'!$A$7:$N$160,12,FALSE),0)</f>
        <v>1.1000000000000001</v>
      </c>
      <c r="M60" s="10">
        <f>IFERROR(VLOOKUP(A60,'Centre DW5'!$A$7:$N$161,13,FALSE),0)+
IFERROR(VLOOKUP(A60,'Centre WP5'!$A$7:$N$160,13,FALSE),0)+
IFERROR(VLOOKUP(A60,'Centre WR5'!$A$7:$N$160,13,FALSE),0)</f>
        <v>1.5</v>
      </c>
      <c r="N60" s="10">
        <f>IFERROR(VLOOKUP(A60,'Centre DW5'!$A$7:$N$161,14,FALSE),0)+
IFERROR(VLOOKUP(A60,'Centre WP5'!$A$7:$N$160,14,FALSE),0)+
IFERROR(VLOOKUP(A60,'Centre WR5'!$A$7:$N$160,14,FALSE),0)</f>
        <v>1.9</v>
      </c>
    </row>
    <row r="61" spans="1:14" hidden="1" outlineLevel="1" x14ac:dyDescent="0.2">
      <c r="A61" s="9" t="s">
        <v>117</v>
      </c>
      <c r="B61" s="1" t="s">
        <v>118</v>
      </c>
      <c r="C61" s="10">
        <f>IFERROR(VLOOKUP(A61,'Centre DW5'!$A$7:$N$161,3,FALSE),0)+
IFERROR(VLOOKUP(A61,'Centre WP5'!$A$7:$N$160,3,FALSE),0)+
IFERROR(VLOOKUP(A61,'Centre WR5'!$A$7:$N$160,3,FALSE),0)</f>
        <v>0</v>
      </c>
      <c r="D61" s="10">
        <f>IFERROR(VLOOKUP(A61,'Centre DW5'!$A$7:$N$161,4,FALSE),0)+
IFERROR(VLOOKUP(A61,'Centre WP5'!$A$7:$N$160,4,FALSE),0)+
IFERROR(VLOOKUP(A61,'Centre WR5'!$A$7:$N$160,4,FALSE),0)</f>
        <v>0.8</v>
      </c>
      <c r="E61" s="10">
        <f>IFERROR(VLOOKUP(A61,'Centre DW5'!$A$7:$N$161,5,FALSE),0)+
IFERROR(VLOOKUP(A61,'Centre WP5'!$A$7:$N$160,5,FALSE),0)+
IFERROR(VLOOKUP(A61,'Centre WR5'!$A$7:$N$160,5,FALSE),0)</f>
        <v>1.5</v>
      </c>
      <c r="F61" s="10">
        <f>IFERROR(VLOOKUP(A61,'Centre DW5'!$A$7:$N$161,6,FALSE),0)+
IFERROR(VLOOKUP(A61,'Centre WP5'!$A$7:$N$160,6,FALSE),0)+
IFERROR(VLOOKUP(A61,'Centre WR5'!$A$7:$N$160,6,FALSE),0)</f>
        <v>0</v>
      </c>
      <c r="G61" s="10">
        <f>IFERROR(VLOOKUP(A61,'Centre DW5'!$A$7:$N$161,7,FALSE),0)+
IFERROR(VLOOKUP(A61,'Centre WP5'!$A$7:$N$160,7,FALSE),0)+
IFERROR(VLOOKUP(A61,'Centre WR5'!$A$7:$N$160,7,FALSE),0)</f>
        <v>0</v>
      </c>
      <c r="H61" s="10">
        <f>IFERROR(VLOOKUP(A61,'Centre DW5'!$A$7:$N$161,8,FALSE),0)+
IFERROR(VLOOKUP(A61,'Centre WP5'!$A$7:$N$160,8,FALSE),0)+
IFERROR(VLOOKUP(A61,'Centre WR5'!$A$7:$N$160,8,FALSE),0)</f>
        <v>0</v>
      </c>
      <c r="I61" s="10">
        <f>IFERROR(VLOOKUP(A61,'Centre DW5'!$A$7:$N$161,9,FALSE),0)+
IFERROR(VLOOKUP(A61,'Centre WP5'!$A$7:$N$160,9,FALSE),0)+
IFERROR(VLOOKUP(A61,'Centre WR5'!$A$7:$N$160,9,FALSE),0)</f>
        <v>1</v>
      </c>
      <c r="J61" s="10">
        <f>IFERROR(VLOOKUP(A61,'Centre DW5'!$A$7:$N$161,10,FALSE),0)+
IFERROR(VLOOKUP(A61,'Centre WP5'!$A$7:$N$160,10,FALSE),0)+
IFERROR(VLOOKUP(A61,'Centre WR5'!$A$7:$N$160,10,FALSE),0)</f>
        <v>1.5</v>
      </c>
      <c r="K61" s="10">
        <f>IFERROR(VLOOKUP(A61,'Centre DW5'!$A$7:$N$161,11,FALSE),0)+
IFERROR(VLOOKUP(A61,'Centre WP5'!$A$7:$N$160,11,FALSE),0)+
IFERROR(VLOOKUP(A61,'Centre WR5'!$A$7:$N$160,11,FALSE),0)</f>
        <v>0</v>
      </c>
      <c r="L61" s="10">
        <f>IFERROR(VLOOKUP(A61,'Centre DW5'!$A$7:$N$161,12,FALSE),0)+
IFERROR(VLOOKUP(A61,'Centre WP5'!$A$7:$N$160,12,FALSE),0)+
IFERROR(VLOOKUP(A61,'Centre WR5'!$A$7:$N$160,12,FALSE),0)</f>
        <v>0</v>
      </c>
      <c r="M61" s="10">
        <f>IFERROR(VLOOKUP(A61,'Centre DW5'!$A$7:$N$161,13,FALSE),0)+
IFERROR(VLOOKUP(A61,'Centre WP5'!$A$7:$N$160,13,FALSE),0)+
IFERROR(VLOOKUP(A61,'Centre WR5'!$A$7:$N$160,13,FALSE),0)</f>
        <v>0</v>
      </c>
      <c r="N61" s="10">
        <f>IFERROR(VLOOKUP(A61,'Centre DW5'!$A$7:$N$161,14,FALSE),0)+
IFERROR(VLOOKUP(A61,'Centre WP5'!$A$7:$N$160,14,FALSE),0)+
IFERROR(VLOOKUP(A61,'Centre WR5'!$A$7:$N$160,14,FALSE),0)</f>
        <v>1</v>
      </c>
    </row>
    <row r="62" spans="1:14" hidden="1" outlineLevel="1" x14ac:dyDescent="0.2">
      <c r="A62" s="9" t="s">
        <v>313</v>
      </c>
      <c r="B62" s="1" t="s">
        <v>314</v>
      </c>
      <c r="C62" s="10">
        <f>IFERROR(VLOOKUP(A62,'Centre DW5'!$A$7:$N$161,3,FALSE),0)+
IFERROR(VLOOKUP(A62,'Centre WP5'!$A$7:$N$160,3,FALSE),0)+
IFERROR(VLOOKUP(A62,'Centre WR5'!$A$7:$N$160,3,FALSE),0)</f>
        <v>0</v>
      </c>
      <c r="D62" s="10">
        <f>IFERROR(VLOOKUP(A62,'Centre DW5'!$A$7:$N$161,4,FALSE),0)+
IFERROR(VLOOKUP(A62,'Centre WP5'!$A$7:$N$160,4,FALSE),0)+
IFERROR(VLOOKUP(A62,'Centre WR5'!$A$7:$N$160,4,FALSE),0)</f>
        <v>0</v>
      </c>
      <c r="E62" s="10">
        <f>IFERROR(VLOOKUP(A62,'Centre DW5'!$A$7:$N$161,5,FALSE),0)+
IFERROR(VLOOKUP(A62,'Centre WP5'!$A$7:$N$160,5,FALSE),0)+
IFERROR(VLOOKUP(A62,'Centre WR5'!$A$7:$N$160,5,FALSE),0)</f>
        <v>0</v>
      </c>
      <c r="F62" s="10">
        <f>IFERROR(VLOOKUP(A62,'Centre DW5'!$A$7:$N$161,6,FALSE),0)+
IFERROR(VLOOKUP(A62,'Centre WP5'!$A$7:$N$160,6,FALSE),0)+
IFERROR(VLOOKUP(A62,'Centre WR5'!$A$7:$N$160,6,FALSE),0)</f>
        <v>0</v>
      </c>
      <c r="G62" s="10">
        <f>IFERROR(VLOOKUP(A62,'Centre DW5'!$A$7:$N$161,7,FALSE),0)+
IFERROR(VLOOKUP(A62,'Centre WP5'!$A$7:$N$160,7,FALSE),0)+
IFERROR(VLOOKUP(A62,'Centre WR5'!$A$7:$N$160,7,FALSE),0)</f>
        <v>10</v>
      </c>
      <c r="H62" s="10">
        <f>IFERROR(VLOOKUP(A62,'Centre DW5'!$A$7:$N$161,8,FALSE),0)+
IFERROR(VLOOKUP(A62,'Centre WP5'!$A$7:$N$160,8,FALSE),0)+
IFERROR(VLOOKUP(A62,'Centre WR5'!$A$7:$N$160,8,FALSE),0)</f>
        <v>0</v>
      </c>
      <c r="I62" s="10">
        <f>IFERROR(VLOOKUP(A62,'Centre DW5'!$A$7:$N$161,9,FALSE),0)+
IFERROR(VLOOKUP(A62,'Centre WP5'!$A$7:$N$160,9,FALSE),0)+
IFERROR(VLOOKUP(A62,'Centre WR5'!$A$7:$N$160,9,FALSE),0)</f>
        <v>0</v>
      </c>
      <c r="J62" s="10">
        <f>IFERROR(VLOOKUP(A62,'Centre DW5'!$A$7:$N$161,10,FALSE),0)+
IFERROR(VLOOKUP(A62,'Centre WP5'!$A$7:$N$160,10,FALSE),0)+
IFERROR(VLOOKUP(A62,'Centre WR5'!$A$7:$N$160,10,FALSE),0)</f>
        <v>0</v>
      </c>
      <c r="K62" s="10">
        <f>IFERROR(VLOOKUP(A62,'Centre DW5'!$A$7:$N$161,11,FALSE),0)+
IFERROR(VLOOKUP(A62,'Centre WP5'!$A$7:$N$160,11,FALSE),0)+
IFERROR(VLOOKUP(A62,'Centre WR5'!$A$7:$N$160,11,FALSE),0)</f>
        <v>0</v>
      </c>
      <c r="L62" s="10">
        <f>IFERROR(VLOOKUP(A62,'Centre DW5'!$A$7:$N$161,12,FALSE),0)+
IFERROR(VLOOKUP(A62,'Centre WP5'!$A$7:$N$160,12,FALSE),0)+
IFERROR(VLOOKUP(A62,'Centre WR5'!$A$7:$N$160,12,FALSE),0)</f>
        <v>10</v>
      </c>
      <c r="M62" s="10">
        <f>IFERROR(VLOOKUP(A62,'Centre DW5'!$A$7:$N$161,13,FALSE),0)+
IFERROR(VLOOKUP(A62,'Centre WP5'!$A$7:$N$160,13,FALSE),0)+
IFERROR(VLOOKUP(A62,'Centre WR5'!$A$7:$N$160,13,FALSE),0)</f>
        <v>0</v>
      </c>
      <c r="N62" s="10">
        <f>IFERROR(VLOOKUP(A62,'Centre DW5'!$A$7:$N$161,14,FALSE),0)+
IFERROR(VLOOKUP(A62,'Centre WP5'!$A$7:$N$160,14,FALSE),0)+
IFERROR(VLOOKUP(A62,'Centre WR5'!$A$7:$N$160,14,FALSE),0)</f>
        <v>0</v>
      </c>
    </row>
    <row r="63" spans="1:14" collapsed="1" x14ac:dyDescent="0.2">
      <c r="A63" s="33" t="s">
        <v>119</v>
      </c>
      <c r="B63" s="34" t="s">
        <v>120</v>
      </c>
      <c r="C63" s="44">
        <f t="shared" ref="C63:I63" si="16">SUM(C64:C66)</f>
        <v>0.3</v>
      </c>
      <c r="D63" s="44">
        <f t="shared" si="16"/>
        <v>0.3</v>
      </c>
      <c r="E63" s="44">
        <f t="shared" si="16"/>
        <v>0.5</v>
      </c>
      <c r="F63" s="44">
        <f t="shared" si="16"/>
        <v>0.3</v>
      </c>
      <c r="G63" s="44">
        <f t="shared" si="16"/>
        <v>0.4</v>
      </c>
      <c r="H63" s="44">
        <f t="shared" si="16"/>
        <v>0.4</v>
      </c>
      <c r="I63" s="44">
        <f t="shared" si="16"/>
        <v>0.4</v>
      </c>
      <c r="J63" s="44">
        <f>SUM(J64:J66)</f>
        <v>0.5</v>
      </c>
      <c r="K63" s="44">
        <f t="shared" ref="K63:N63" si="17">SUM(K64:K66)</f>
        <v>0.3</v>
      </c>
      <c r="L63" s="44">
        <f t="shared" si="17"/>
        <v>0.2</v>
      </c>
      <c r="M63" s="44">
        <f t="shared" si="17"/>
        <v>0.1</v>
      </c>
      <c r="N63" s="44">
        <f t="shared" si="17"/>
        <v>0.5</v>
      </c>
    </row>
    <row r="64" spans="1:14" hidden="1" outlineLevel="1" x14ac:dyDescent="0.2">
      <c r="A64" s="9" t="s">
        <v>121</v>
      </c>
      <c r="B64" s="1" t="s">
        <v>122</v>
      </c>
      <c r="C64" s="10">
        <f>IFERROR(VLOOKUP(A64,'Centre DW5'!$A$7:$N$161,3,FALSE),0)+
IFERROR(VLOOKUP(A64,'Centre WP5'!$A$7:$N$160,3,FALSE),0)+
IFERROR(VLOOKUP(A64,'Centre WR5'!$A$7:$N$160,3,FALSE),0)</f>
        <v>0</v>
      </c>
      <c r="D64" s="10">
        <f>IFERROR(VLOOKUP(A64,'Centre DW5'!$A$7:$N$161,4,FALSE),0)+
IFERROR(VLOOKUP(A64,'Centre WP5'!$A$7:$N$160,4,FALSE),0)+
IFERROR(VLOOKUP(A64,'Centre WR5'!$A$7:$N$160,4,FALSE),0)</f>
        <v>0</v>
      </c>
      <c r="E64" s="10">
        <f>IFERROR(VLOOKUP(A64,'Centre DW5'!$A$7:$N$161,5,FALSE),0)+
IFERROR(VLOOKUP(A64,'Centre WP5'!$A$7:$N$160,5,FALSE),0)+
IFERROR(VLOOKUP(A64,'Centre WR5'!$A$7:$N$160,5,FALSE),0)</f>
        <v>0</v>
      </c>
      <c r="F64" s="10">
        <f>IFERROR(VLOOKUP(A64,'Centre DW5'!$A$7:$N$161,6,FALSE),0)+
IFERROR(VLOOKUP(A64,'Centre WP5'!$A$7:$N$160,6,FALSE),0)+
IFERROR(VLOOKUP(A64,'Centre WR5'!$A$7:$N$160,6,FALSE),0)</f>
        <v>0</v>
      </c>
      <c r="G64" s="10">
        <f>IFERROR(VLOOKUP(A64,'Centre DW5'!$A$7:$N$161,7,FALSE),0)+
IFERROR(VLOOKUP(A64,'Centre WP5'!$A$7:$N$160,7,FALSE),0)+
IFERROR(VLOOKUP(A64,'Centre WR5'!$A$7:$N$160,7,FALSE),0)</f>
        <v>0</v>
      </c>
      <c r="H64" s="10">
        <f>IFERROR(VLOOKUP(A64,'Centre DW5'!$A$7:$N$161,8,FALSE),0)+
IFERROR(VLOOKUP(A64,'Centre WP5'!$A$7:$N$160,8,FALSE),0)+
IFERROR(VLOOKUP(A64,'Centre WR5'!$A$7:$N$160,8,FALSE),0)</f>
        <v>0</v>
      </c>
      <c r="I64" s="10">
        <f>IFERROR(VLOOKUP(A64,'Centre DW5'!$A$7:$N$161,9,FALSE),0)+
IFERROR(VLOOKUP(A64,'Centre WP5'!$A$7:$N$160,9,FALSE),0)+
IFERROR(VLOOKUP(A64,'Centre WR5'!$A$7:$N$160,9,FALSE),0)</f>
        <v>0</v>
      </c>
      <c r="J64" s="10">
        <f>IFERROR(VLOOKUP(A64,'Centre DW5'!$A$7:$N$161,10,FALSE),0)+
IFERROR(VLOOKUP(A64,'Centre WP5'!$A$7:$N$160,10,FALSE),0)+
IFERROR(VLOOKUP(A64,'Centre WR5'!$A$7:$N$160,10,FALSE),0)</f>
        <v>0</v>
      </c>
      <c r="K64" s="10">
        <f>IFERROR(VLOOKUP(A64,'Centre DW5'!$A$7:$N$161,11,FALSE),0)+
IFERROR(VLOOKUP(A64,'Centre WP5'!$A$7:$N$160,11,FALSE),0)+
IFERROR(VLOOKUP(A64,'Centre WR5'!$A$7:$N$160,11,FALSE),0)</f>
        <v>0</v>
      </c>
      <c r="L64" s="10">
        <f>IFERROR(VLOOKUP(A64,'Centre DW5'!$A$7:$N$161,12,FALSE),0)+
IFERROR(VLOOKUP(A64,'Centre WP5'!$A$7:$N$160,12,FALSE),0)+
IFERROR(VLOOKUP(A64,'Centre WR5'!$A$7:$N$160,12,FALSE),0)</f>
        <v>0</v>
      </c>
      <c r="M64" s="10">
        <f>IFERROR(VLOOKUP(A64,'Centre DW5'!$A$7:$N$161,13,FALSE),0)+
IFERROR(VLOOKUP(A64,'Centre WP5'!$A$7:$N$160,13,FALSE),0)+
IFERROR(VLOOKUP(A64,'Centre WR5'!$A$7:$N$160,13,FALSE),0)</f>
        <v>0</v>
      </c>
      <c r="N64" s="10">
        <f>IFERROR(VLOOKUP(A64,'Centre DW5'!$A$7:$N$161,14,FALSE),0)+
IFERROR(VLOOKUP(A64,'Centre WP5'!$A$7:$N$160,14,FALSE),0)+
IFERROR(VLOOKUP(A64,'Centre WR5'!$A$7:$N$160,14,FALSE),0)</f>
        <v>0</v>
      </c>
    </row>
    <row r="65" spans="1:14" hidden="1" outlineLevel="1" x14ac:dyDescent="0.2">
      <c r="A65" s="9" t="s">
        <v>123</v>
      </c>
      <c r="B65" s="1" t="s">
        <v>124</v>
      </c>
      <c r="C65" s="10">
        <f>IFERROR(VLOOKUP(A65,'Centre DW5'!$A$7:$N$161,3,FALSE),0)+
IFERROR(VLOOKUP(A65,'Centre WP5'!$A$7:$N$160,3,FALSE),0)+
IFERROR(VLOOKUP(A65,'Centre WR5'!$A$7:$N$160,3,FALSE),0)</f>
        <v>0.3</v>
      </c>
      <c r="D65" s="10">
        <f>IFERROR(VLOOKUP(A65,'Centre DW5'!$A$7:$N$161,4,FALSE),0)+
IFERROR(VLOOKUP(A65,'Centre WP5'!$A$7:$N$160,4,FALSE),0)+
IFERROR(VLOOKUP(A65,'Centre WR5'!$A$7:$N$160,4,FALSE),0)</f>
        <v>0.3</v>
      </c>
      <c r="E65" s="10">
        <f>IFERROR(VLOOKUP(A65,'Centre DW5'!$A$7:$N$161,5,FALSE),0)+
IFERROR(VLOOKUP(A65,'Centre WP5'!$A$7:$N$160,5,FALSE),0)+
IFERROR(VLOOKUP(A65,'Centre WR5'!$A$7:$N$160,5,FALSE),0)</f>
        <v>0.5</v>
      </c>
      <c r="F65" s="10">
        <f>IFERROR(VLOOKUP(A65,'Centre DW5'!$A$7:$N$161,6,FALSE),0)+
IFERROR(VLOOKUP(A65,'Centre WP5'!$A$7:$N$160,6,FALSE),0)+
IFERROR(VLOOKUP(A65,'Centre WR5'!$A$7:$N$160,6,FALSE),0)</f>
        <v>0.3</v>
      </c>
      <c r="G65" s="10">
        <f>IFERROR(VLOOKUP(A65,'Centre DW5'!$A$7:$N$161,7,FALSE),0)+
IFERROR(VLOOKUP(A65,'Centre WP5'!$A$7:$N$160,7,FALSE),0)+
IFERROR(VLOOKUP(A65,'Centre WR5'!$A$7:$N$160,7,FALSE),0)</f>
        <v>0.4</v>
      </c>
      <c r="H65" s="10">
        <f>IFERROR(VLOOKUP(A65,'Centre DW5'!$A$7:$N$161,8,FALSE),0)+
IFERROR(VLOOKUP(A65,'Centre WP5'!$A$7:$N$160,8,FALSE),0)+
IFERROR(VLOOKUP(A65,'Centre WR5'!$A$7:$N$160,8,FALSE),0)</f>
        <v>0.4</v>
      </c>
      <c r="I65" s="10">
        <f>IFERROR(VLOOKUP(A65,'Centre DW5'!$A$7:$N$161,9,FALSE),0)+
IFERROR(VLOOKUP(A65,'Centre WP5'!$A$7:$N$160,9,FALSE),0)+
IFERROR(VLOOKUP(A65,'Centre WR5'!$A$7:$N$160,9,FALSE),0)</f>
        <v>0.3</v>
      </c>
      <c r="J65" s="10">
        <f>IFERROR(VLOOKUP(A65,'Centre DW5'!$A$7:$N$161,10,FALSE),0)+
IFERROR(VLOOKUP(A65,'Centre WP5'!$A$7:$N$160,10,FALSE),0)+
IFERROR(VLOOKUP(A65,'Centre WR5'!$A$7:$N$160,10,FALSE),0)</f>
        <v>0.5</v>
      </c>
      <c r="K65" s="10">
        <f>IFERROR(VLOOKUP(A65,'Centre DW5'!$A$7:$N$161,11,FALSE),0)+
IFERROR(VLOOKUP(A65,'Centre WP5'!$A$7:$N$160,11,FALSE),0)+
IFERROR(VLOOKUP(A65,'Centre WR5'!$A$7:$N$160,11,FALSE),0)</f>
        <v>0.3</v>
      </c>
      <c r="L65" s="10">
        <f>IFERROR(VLOOKUP(A65,'Centre DW5'!$A$7:$N$161,12,FALSE),0)+
IFERROR(VLOOKUP(A65,'Centre WP5'!$A$7:$N$160,12,FALSE),0)+
IFERROR(VLOOKUP(A65,'Centre WR5'!$A$7:$N$160,12,FALSE),0)</f>
        <v>0.2</v>
      </c>
      <c r="M65" s="10">
        <f>IFERROR(VLOOKUP(A65,'Centre DW5'!$A$7:$N$161,13,FALSE),0)+
IFERROR(VLOOKUP(A65,'Centre WP5'!$A$7:$N$160,13,FALSE),0)+
IFERROR(VLOOKUP(A65,'Centre WR5'!$A$7:$N$160,13,FALSE),0)</f>
        <v>0.1</v>
      </c>
      <c r="N65" s="10">
        <f>IFERROR(VLOOKUP(A65,'Centre DW5'!$A$7:$N$161,14,FALSE),0)+
IFERROR(VLOOKUP(A65,'Centre WP5'!$A$7:$N$160,14,FALSE),0)+
IFERROR(VLOOKUP(A65,'Centre WR5'!$A$7:$N$160,14,FALSE),0)</f>
        <v>0.4</v>
      </c>
    </row>
    <row r="66" spans="1:14" hidden="1" outlineLevel="1" x14ac:dyDescent="0.2">
      <c r="A66" s="9" t="s">
        <v>125</v>
      </c>
      <c r="B66" s="1" t="s">
        <v>126</v>
      </c>
      <c r="C66" s="10">
        <f>IFERROR(VLOOKUP(A66,'Centre DW5'!$A$7:$N$161,3,FALSE),0)+
IFERROR(VLOOKUP(A66,'Centre WP5'!$A$7:$N$160,3,FALSE),0)+
IFERROR(VLOOKUP(A66,'Centre WR5'!$A$7:$N$160,3,FALSE),0)</f>
        <v>0</v>
      </c>
      <c r="D66" s="10">
        <f>IFERROR(VLOOKUP(A66,'Centre DW5'!$A$7:$N$161,4,FALSE),0)+
IFERROR(VLOOKUP(A66,'Centre WP5'!$A$7:$N$160,4,FALSE),0)+
IFERROR(VLOOKUP(A66,'Centre WR5'!$A$7:$N$160,4,FALSE),0)</f>
        <v>0</v>
      </c>
      <c r="E66" s="10">
        <f>IFERROR(VLOOKUP(A66,'Centre DW5'!$A$7:$N$161,5,FALSE),0)+
IFERROR(VLOOKUP(A66,'Centre WP5'!$A$7:$N$160,5,FALSE),0)+
IFERROR(VLOOKUP(A66,'Centre WR5'!$A$7:$N$160,5,FALSE),0)</f>
        <v>0</v>
      </c>
      <c r="F66" s="10">
        <f>IFERROR(VLOOKUP(A66,'Centre DW5'!$A$7:$N$161,6,FALSE),0)+
IFERROR(VLOOKUP(A66,'Centre WP5'!$A$7:$N$160,6,FALSE),0)+
IFERROR(VLOOKUP(A66,'Centre WR5'!$A$7:$N$160,6,FALSE),0)</f>
        <v>0</v>
      </c>
      <c r="G66" s="10">
        <f>IFERROR(VLOOKUP(A66,'Centre DW5'!$A$7:$N$161,7,FALSE),0)+
IFERROR(VLOOKUP(A66,'Centre WP5'!$A$7:$N$160,7,FALSE),0)+
IFERROR(VLOOKUP(A66,'Centre WR5'!$A$7:$N$160,7,FALSE),0)</f>
        <v>0</v>
      </c>
      <c r="H66" s="10">
        <f>IFERROR(VLOOKUP(A66,'Centre DW5'!$A$7:$N$161,8,FALSE),0)+
IFERROR(VLOOKUP(A66,'Centre WP5'!$A$7:$N$160,8,FALSE),0)+
IFERROR(VLOOKUP(A66,'Centre WR5'!$A$7:$N$160,8,FALSE),0)</f>
        <v>0</v>
      </c>
      <c r="I66" s="10">
        <f>IFERROR(VLOOKUP(A66,'Centre DW5'!$A$7:$N$161,9,FALSE),0)+
IFERROR(VLOOKUP(A66,'Centre WP5'!$A$7:$N$160,9,FALSE),0)+
IFERROR(VLOOKUP(A66,'Centre WR5'!$A$7:$N$160,9,FALSE),0)</f>
        <v>0.1</v>
      </c>
      <c r="J66" s="10">
        <f>IFERROR(VLOOKUP(A66,'Centre DW5'!$A$7:$N$161,10,FALSE),0)+
IFERROR(VLOOKUP(A66,'Centre WP5'!$A$7:$N$160,10,FALSE),0)+
IFERROR(VLOOKUP(A66,'Centre WR5'!$A$7:$N$160,10,FALSE),0)</f>
        <v>0</v>
      </c>
      <c r="K66" s="10">
        <f>IFERROR(VLOOKUP(A66,'Centre DW5'!$A$7:$N$161,11,FALSE),0)+
IFERROR(VLOOKUP(A66,'Centre WP5'!$A$7:$N$160,11,FALSE),0)+
IFERROR(VLOOKUP(A66,'Centre WR5'!$A$7:$N$160,11,FALSE),0)</f>
        <v>0</v>
      </c>
      <c r="L66" s="10">
        <f>IFERROR(VLOOKUP(A66,'Centre DW5'!$A$7:$N$161,12,FALSE),0)+
IFERROR(VLOOKUP(A66,'Centre WP5'!$A$7:$N$160,12,FALSE),0)+
IFERROR(VLOOKUP(A66,'Centre WR5'!$A$7:$N$160,12,FALSE),0)</f>
        <v>0</v>
      </c>
      <c r="M66" s="10">
        <f>IFERROR(VLOOKUP(A66,'Centre DW5'!$A$7:$N$161,13,FALSE),0)+
IFERROR(VLOOKUP(A66,'Centre WP5'!$A$7:$N$160,13,FALSE),0)+
IFERROR(VLOOKUP(A66,'Centre WR5'!$A$7:$N$160,13,FALSE),0)</f>
        <v>0</v>
      </c>
      <c r="N66" s="10">
        <f>IFERROR(VLOOKUP(A66,'Centre DW5'!$A$7:$N$161,14,FALSE),0)+
IFERROR(VLOOKUP(A66,'Centre WP5'!$A$7:$N$160,14,FALSE),0)+
IFERROR(VLOOKUP(A66,'Centre WR5'!$A$7:$N$160,14,FALSE),0)</f>
        <v>0.1</v>
      </c>
    </row>
    <row r="67" spans="1:14" collapsed="1" x14ac:dyDescent="0.2">
      <c r="A67" s="33" t="s">
        <v>127</v>
      </c>
      <c r="B67" s="34" t="s">
        <v>128</v>
      </c>
      <c r="C67" s="44">
        <f t="shared" ref="C67:I67" si="18">SUM(C68:C75)</f>
        <v>18.8</v>
      </c>
      <c r="D67" s="44">
        <f t="shared" si="18"/>
        <v>23.2</v>
      </c>
      <c r="E67" s="44">
        <f t="shared" si="18"/>
        <v>23.3</v>
      </c>
      <c r="F67" s="44">
        <f t="shared" si="18"/>
        <v>10</v>
      </c>
      <c r="G67" s="44">
        <f t="shared" si="18"/>
        <v>16.899999999999999</v>
      </c>
      <c r="H67" s="44">
        <f t="shared" si="18"/>
        <v>12.600000000000001</v>
      </c>
      <c r="I67" s="44">
        <f t="shared" si="18"/>
        <v>10</v>
      </c>
      <c r="J67" s="44">
        <f>SUM(J68:J75)</f>
        <v>23.3</v>
      </c>
      <c r="K67" s="44">
        <f t="shared" ref="K67:N67" si="19">SUM(K68:K75)</f>
        <v>10</v>
      </c>
      <c r="L67" s="44">
        <f t="shared" si="19"/>
        <v>12</v>
      </c>
      <c r="M67" s="44">
        <f t="shared" si="19"/>
        <v>15</v>
      </c>
      <c r="N67" s="44">
        <f t="shared" si="19"/>
        <v>10</v>
      </c>
    </row>
    <row r="68" spans="1:14" hidden="1" outlineLevel="1" x14ac:dyDescent="0.2">
      <c r="A68" s="9" t="s">
        <v>315</v>
      </c>
      <c r="B68" s="1" t="s">
        <v>316</v>
      </c>
      <c r="C68" s="10">
        <f>IFERROR(VLOOKUP(A68,'Centre DW5'!$A$7:$N$161,3,FALSE),0)+
IFERROR(VLOOKUP(A68,'Centre WP5'!$A$7:$N$160,3,FALSE),0)+
IFERROR(VLOOKUP(A68,'Centre WR5'!$A$7:$N$160,3,FALSE),0)</f>
        <v>0</v>
      </c>
      <c r="D68" s="10">
        <f>IFERROR(VLOOKUP(A68,'Centre DW5'!$A$7:$N$161,4,FALSE),0)+
IFERROR(VLOOKUP(A68,'Centre WP5'!$A$7:$N$160,4,FALSE),0)+
IFERROR(VLOOKUP(A68,'Centre WR5'!$A$7:$N$160,4,FALSE),0)</f>
        <v>0</v>
      </c>
      <c r="E68" s="10">
        <f>IFERROR(VLOOKUP(A68,'Centre DW5'!$A$7:$N$161,5,FALSE),0)+
IFERROR(VLOOKUP(A68,'Centre WP5'!$A$7:$N$160,5,FALSE),0)+
IFERROR(VLOOKUP(A68,'Centre WR5'!$A$7:$N$160,5,FALSE),0)</f>
        <v>0</v>
      </c>
      <c r="F68" s="10">
        <f>IFERROR(VLOOKUP(A68,'Centre DW5'!$A$7:$N$161,6,FALSE),0)+
IFERROR(VLOOKUP(A68,'Centre WP5'!$A$7:$N$160,6,FALSE),0)+
IFERROR(VLOOKUP(A68,'Centre WR5'!$A$7:$N$160,6,FALSE),0)</f>
        <v>0</v>
      </c>
      <c r="G68" s="10">
        <f>IFERROR(VLOOKUP(A68,'Centre DW5'!$A$7:$N$161,7,FALSE),0)+
IFERROR(VLOOKUP(A68,'Centre WP5'!$A$7:$N$160,7,FALSE),0)+
IFERROR(VLOOKUP(A68,'Centre WR5'!$A$7:$N$160,7,FALSE),0)</f>
        <v>0</v>
      </c>
      <c r="H68" s="10">
        <f>IFERROR(VLOOKUP(A68,'Centre DW5'!$A$7:$N$161,8,FALSE),0)+
IFERROR(VLOOKUP(A68,'Centre WP5'!$A$7:$N$160,8,FALSE),0)+
IFERROR(VLOOKUP(A68,'Centre WR5'!$A$7:$N$160,8,FALSE),0)</f>
        <v>0</v>
      </c>
      <c r="I68" s="10">
        <f>IFERROR(VLOOKUP(A68,'Centre DW5'!$A$7:$N$161,9,FALSE),0)+
IFERROR(VLOOKUP(A68,'Centre WP5'!$A$7:$N$160,9,FALSE),0)+
IFERROR(VLOOKUP(A68,'Centre WR5'!$A$7:$N$160,9,FALSE),0)</f>
        <v>0</v>
      </c>
      <c r="J68" s="10">
        <f>IFERROR(VLOOKUP(A68,'Centre DW5'!$A$7:$N$161,10,FALSE),0)+
IFERROR(VLOOKUP(A68,'Centre WP5'!$A$7:$N$160,10,FALSE),0)+
IFERROR(VLOOKUP(A68,'Centre WR5'!$A$7:$N$160,10,FALSE),0)</f>
        <v>0</v>
      </c>
      <c r="K68" s="10">
        <f>IFERROR(VLOOKUP(A68,'Centre DW5'!$A$7:$N$161,11,FALSE),0)+
IFERROR(VLOOKUP(A68,'Centre WP5'!$A$7:$N$160,11,FALSE),0)+
IFERROR(VLOOKUP(A68,'Centre WR5'!$A$7:$N$160,11,FALSE),0)</f>
        <v>0</v>
      </c>
      <c r="L68" s="10">
        <f>IFERROR(VLOOKUP(A68,'Centre DW5'!$A$7:$N$161,12,FALSE),0)+
IFERROR(VLOOKUP(A68,'Centre WP5'!$A$7:$N$160,12,FALSE),0)+
IFERROR(VLOOKUP(A68,'Centre WR5'!$A$7:$N$160,12,FALSE),0)</f>
        <v>0</v>
      </c>
      <c r="M68" s="10">
        <f>IFERROR(VLOOKUP(A68,'Centre DW5'!$A$7:$N$161,13,FALSE),0)+
IFERROR(VLOOKUP(A68,'Centre WP5'!$A$7:$N$160,13,FALSE),0)+
IFERROR(VLOOKUP(A68,'Centre WR5'!$A$7:$N$160,13,FALSE),0)</f>
        <v>0</v>
      </c>
      <c r="N68" s="10">
        <f>IFERROR(VLOOKUP(A68,'Centre DW5'!$A$7:$N$161,14,FALSE),0)+
IFERROR(VLOOKUP(A68,'Centre WP5'!$A$7:$N$160,14,FALSE),0)+
IFERROR(VLOOKUP(A68,'Centre WR5'!$A$7:$N$160,14,FALSE),0)</f>
        <v>0</v>
      </c>
    </row>
    <row r="69" spans="1:14" hidden="1" outlineLevel="1" x14ac:dyDescent="0.2">
      <c r="A69" s="9" t="s">
        <v>317</v>
      </c>
      <c r="B69" s="1" t="s">
        <v>318</v>
      </c>
      <c r="C69" s="10">
        <f>IFERROR(VLOOKUP(A69,'Centre DW5'!$A$7:$N$161,3,FALSE),0)+
IFERROR(VLOOKUP(A69,'Centre WP5'!$A$7:$N$160,3,FALSE),0)+
IFERROR(VLOOKUP(A69,'Centre WR5'!$A$7:$N$160,3,FALSE),0)</f>
        <v>0</v>
      </c>
      <c r="D69" s="10">
        <f>IFERROR(VLOOKUP(A69,'Centre DW5'!$A$7:$N$161,4,FALSE),0)+
IFERROR(VLOOKUP(A69,'Centre WP5'!$A$7:$N$160,4,FALSE),0)+
IFERROR(VLOOKUP(A69,'Centre WR5'!$A$7:$N$160,4,FALSE),0)</f>
        <v>0</v>
      </c>
      <c r="E69" s="10">
        <f>IFERROR(VLOOKUP(A69,'Centre DW5'!$A$7:$N$161,5,FALSE),0)+
IFERROR(VLOOKUP(A69,'Centre WP5'!$A$7:$N$160,5,FALSE),0)+
IFERROR(VLOOKUP(A69,'Centre WR5'!$A$7:$N$160,5,FALSE),0)</f>
        <v>0</v>
      </c>
      <c r="F69" s="10">
        <f>IFERROR(VLOOKUP(A69,'Centre DW5'!$A$7:$N$161,6,FALSE),0)+
IFERROR(VLOOKUP(A69,'Centre WP5'!$A$7:$N$160,6,FALSE),0)+
IFERROR(VLOOKUP(A69,'Centre WR5'!$A$7:$N$160,6,FALSE),0)</f>
        <v>0</v>
      </c>
      <c r="G69" s="10">
        <f>IFERROR(VLOOKUP(A69,'Centre DW5'!$A$7:$N$161,7,FALSE),0)+
IFERROR(VLOOKUP(A69,'Centre WP5'!$A$7:$N$160,7,FALSE),0)+
IFERROR(VLOOKUP(A69,'Centre WR5'!$A$7:$N$160,7,FALSE),0)</f>
        <v>0</v>
      </c>
      <c r="H69" s="10">
        <f>IFERROR(VLOOKUP(A69,'Centre DW5'!$A$7:$N$161,8,FALSE),0)+
IFERROR(VLOOKUP(A69,'Centre WP5'!$A$7:$N$160,8,FALSE),0)+
IFERROR(VLOOKUP(A69,'Centre WR5'!$A$7:$N$160,8,FALSE),0)</f>
        <v>0</v>
      </c>
      <c r="I69" s="10">
        <f>IFERROR(VLOOKUP(A69,'Centre DW5'!$A$7:$N$161,9,FALSE),0)+
IFERROR(VLOOKUP(A69,'Centre WP5'!$A$7:$N$160,9,FALSE),0)+
IFERROR(VLOOKUP(A69,'Centre WR5'!$A$7:$N$160,9,FALSE),0)</f>
        <v>0</v>
      </c>
      <c r="J69" s="10">
        <f>IFERROR(VLOOKUP(A69,'Centre DW5'!$A$7:$N$161,10,FALSE),0)+
IFERROR(VLOOKUP(A69,'Centre WP5'!$A$7:$N$160,10,FALSE),0)+
IFERROR(VLOOKUP(A69,'Centre WR5'!$A$7:$N$160,10,FALSE),0)</f>
        <v>0</v>
      </c>
      <c r="K69" s="10">
        <f>IFERROR(VLOOKUP(A69,'Centre DW5'!$A$7:$N$161,11,FALSE),0)+
IFERROR(VLOOKUP(A69,'Centre WP5'!$A$7:$N$160,11,FALSE),0)+
IFERROR(VLOOKUP(A69,'Centre WR5'!$A$7:$N$160,11,FALSE),0)</f>
        <v>0</v>
      </c>
      <c r="L69" s="10">
        <f>IFERROR(VLOOKUP(A69,'Centre DW5'!$A$7:$N$161,12,FALSE),0)+
IFERROR(VLOOKUP(A69,'Centre WP5'!$A$7:$N$160,12,FALSE),0)+
IFERROR(VLOOKUP(A69,'Centre WR5'!$A$7:$N$160,12,FALSE),0)</f>
        <v>0</v>
      </c>
      <c r="M69" s="10">
        <f>IFERROR(VLOOKUP(A69,'Centre DW5'!$A$7:$N$161,13,FALSE),0)+
IFERROR(VLOOKUP(A69,'Centre WP5'!$A$7:$N$160,13,FALSE),0)+
IFERROR(VLOOKUP(A69,'Centre WR5'!$A$7:$N$160,13,FALSE),0)</f>
        <v>0</v>
      </c>
      <c r="N69" s="10">
        <f>IFERROR(VLOOKUP(A69,'Centre DW5'!$A$7:$N$161,14,FALSE),0)+
IFERROR(VLOOKUP(A69,'Centre WP5'!$A$7:$N$160,14,FALSE),0)+
IFERROR(VLOOKUP(A69,'Centre WR5'!$A$7:$N$160,14,FALSE),0)</f>
        <v>0</v>
      </c>
    </row>
    <row r="70" spans="1:14" hidden="1" outlineLevel="1" x14ac:dyDescent="0.2">
      <c r="A70" s="9" t="s">
        <v>129</v>
      </c>
      <c r="B70" s="1" t="s">
        <v>130</v>
      </c>
      <c r="C70" s="10">
        <f>IFERROR(VLOOKUP(A70,'Centre DW5'!$A$7:$N$161,3,FALSE),0)+
IFERROR(VLOOKUP(A70,'Centre WP5'!$A$7:$N$160,3,FALSE),0)+
IFERROR(VLOOKUP(A70,'Centre WR5'!$A$7:$N$160,3,FALSE),0)</f>
        <v>18.8</v>
      </c>
      <c r="D70" s="10">
        <f>IFERROR(VLOOKUP(A70,'Centre DW5'!$A$7:$N$161,4,FALSE),0)+
IFERROR(VLOOKUP(A70,'Centre WP5'!$A$7:$N$160,4,FALSE),0)+
IFERROR(VLOOKUP(A70,'Centre WR5'!$A$7:$N$160,4,FALSE),0)</f>
        <v>23.2</v>
      </c>
      <c r="E70" s="10">
        <f>IFERROR(VLOOKUP(A70,'Centre DW5'!$A$7:$N$161,5,FALSE),0)+
IFERROR(VLOOKUP(A70,'Centre WP5'!$A$7:$N$160,5,FALSE),0)+
IFERROR(VLOOKUP(A70,'Centre WR5'!$A$7:$N$160,5,FALSE),0)</f>
        <v>23.2</v>
      </c>
      <c r="F70" s="10">
        <f>IFERROR(VLOOKUP(A70,'Centre DW5'!$A$7:$N$161,6,FALSE),0)+
IFERROR(VLOOKUP(A70,'Centre WP5'!$A$7:$N$160,6,FALSE),0)+
IFERROR(VLOOKUP(A70,'Centre WR5'!$A$7:$N$160,6,FALSE),0)</f>
        <v>10</v>
      </c>
      <c r="G70" s="10">
        <f>IFERROR(VLOOKUP(A70,'Centre DW5'!$A$7:$N$161,7,FALSE),0)+
IFERROR(VLOOKUP(A70,'Centre WP5'!$A$7:$N$160,7,FALSE),0)+
IFERROR(VLOOKUP(A70,'Centre WR5'!$A$7:$N$160,7,FALSE),0)</f>
        <v>16.899999999999999</v>
      </c>
      <c r="H70" s="10">
        <f>IFERROR(VLOOKUP(A70,'Centre DW5'!$A$7:$N$161,8,FALSE),0)+
IFERROR(VLOOKUP(A70,'Centre WP5'!$A$7:$N$160,8,FALSE),0)+
IFERROR(VLOOKUP(A70,'Centre WR5'!$A$7:$N$160,8,FALSE),0)</f>
        <v>12.600000000000001</v>
      </c>
      <c r="I70" s="10">
        <f>IFERROR(VLOOKUP(A70,'Centre DW5'!$A$7:$N$161,9,FALSE),0)+
IFERROR(VLOOKUP(A70,'Centre WP5'!$A$7:$N$160,9,FALSE),0)+
IFERROR(VLOOKUP(A70,'Centre WR5'!$A$7:$N$160,9,FALSE),0)</f>
        <v>10</v>
      </c>
      <c r="J70" s="10">
        <f>IFERROR(VLOOKUP(A70,'Centre DW5'!$A$7:$N$161,10,FALSE),0)+
IFERROR(VLOOKUP(A70,'Centre WP5'!$A$7:$N$160,10,FALSE),0)+
IFERROR(VLOOKUP(A70,'Centre WR5'!$A$7:$N$160,10,FALSE),0)</f>
        <v>23.2</v>
      </c>
      <c r="K70" s="10">
        <f>IFERROR(VLOOKUP(A70,'Centre DW5'!$A$7:$N$161,11,FALSE),0)+
IFERROR(VLOOKUP(A70,'Centre WP5'!$A$7:$N$160,11,FALSE),0)+
IFERROR(VLOOKUP(A70,'Centre WR5'!$A$7:$N$160,11,FALSE),0)</f>
        <v>10</v>
      </c>
      <c r="L70" s="10">
        <f>IFERROR(VLOOKUP(A70,'Centre DW5'!$A$7:$N$161,12,FALSE),0)+
IFERROR(VLOOKUP(A70,'Centre WP5'!$A$7:$N$160,12,FALSE),0)+
IFERROR(VLOOKUP(A70,'Centre WR5'!$A$7:$N$160,12,FALSE),0)</f>
        <v>12</v>
      </c>
      <c r="M70" s="10">
        <f>IFERROR(VLOOKUP(A70,'Centre DW5'!$A$7:$N$161,13,FALSE),0)+
IFERROR(VLOOKUP(A70,'Centre WP5'!$A$7:$N$160,13,FALSE),0)+
IFERROR(VLOOKUP(A70,'Centre WR5'!$A$7:$N$160,13,FALSE),0)</f>
        <v>15</v>
      </c>
      <c r="N70" s="10">
        <f>IFERROR(VLOOKUP(A70,'Centre DW5'!$A$7:$N$161,14,FALSE),0)+
IFERROR(VLOOKUP(A70,'Centre WP5'!$A$7:$N$160,14,FALSE),0)+
IFERROR(VLOOKUP(A70,'Centre WR5'!$A$7:$N$160,14,FALSE),0)</f>
        <v>10</v>
      </c>
    </row>
    <row r="71" spans="1:14" hidden="1" outlineLevel="1" x14ac:dyDescent="0.2">
      <c r="A71" s="9" t="s">
        <v>319</v>
      </c>
      <c r="B71" s="1" t="s">
        <v>320</v>
      </c>
      <c r="C71" s="10">
        <f>IFERROR(VLOOKUP(A71,'Centre DW5'!$A$7:$N$161,3,FALSE),0)+
IFERROR(VLOOKUP(A71,'Centre WP5'!$A$7:$N$160,3,FALSE),0)+
IFERROR(VLOOKUP(A71,'Centre WR5'!$A$7:$N$160,3,FALSE),0)</f>
        <v>0</v>
      </c>
      <c r="D71" s="10">
        <f>IFERROR(VLOOKUP(A71,'Centre DW5'!$A$7:$N$161,4,FALSE),0)+
IFERROR(VLOOKUP(A71,'Centre WP5'!$A$7:$N$160,4,FALSE),0)+
IFERROR(VLOOKUP(A71,'Centre WR5'!$A$7:$N$160,4,FALSE),0)</f>
        <v>0</v>
      </c>
      <c r="E71" s="10">
        <f>IFERROR(VLOOKUP(A71,'Centre DW5'!$A$7:$N$161,5,FALSE),0)+
IFERROR(VLOOKUP(A71,'Centre WP5'!$A$7:$N$160,5,FALSE),0)+
IFERROR(VLOOKUP(A71,'Centre WR5'!$A$7:$N$160,5,FALSE),0)</f>
        <v>0</v>
      </c>
      <c r="F71" s="10">
        <f>IFERROR(VLOOKUP(A71,'Centre DW5'!$A$7:$N$161,6,FALSE),0)+
IFERROR(VLOOKUP(A71,'Centre WP5'!$A$7:$N$160,6,FALSE),0)+
IFERROR(VLOOKUP(A71,'Centre WR5'!$A$7:$N$160,6,FALSE),0)</f>
        <v>0</v>
      </c>
      <c r="G71" s="10">
        <f>IFERROR(VLOOKUP(A71,'Centre DW5'!$A$7:$N$161,7,FALSE),0)+
IFERROR(VLOOKUP(A71,'Centre WP5'!$A$7:$N$160,7,FALSE),0)+
IFERROR(VLOOKUP(A71,'Centre WR5'!$A$7:$N$160,7,FALSE),0)</f>
        <v>0</v>
      </c>
      <c r="H71" s="10">
        <f>IFERROR(VLOOKUP(A71,'Centre DW5'!$A$7:$N$161,8,FALSE),0)+
IFERROR(VLOOKUP(A71,'Centre WP5'!$A$7:$N$160,8,FALSE),0)+
IFERROR(VLOOKUP(A71,'Centre WR5'!$A$7:$N$160,8,FALSE),0)</f>
        <v>0</v>
      </c>
      <c r="I71" s="10">
        <f>IFERROR(VLOOKUP(A71,'Centre DW5'!$A$7:$N$161,9,FALSE),0)+
IFERROR(VLOOKUP(A71,'Centre WP5'!$A$7:$N$160,9,FALSE),0)+
IFERROR(VLOOKUP(A71,'Centre WR5'!$A$7:$N$160,9,FALSE),0)</f>
        <v>0</v>
      </c>
      <c r="J71" s="10">
        <f>IFERROR(VLOOKUP(A71,'Centre DW5'!$A$7:$N$161,10,FALSE),0)+
IFERROR(VLOOKUP(A71,'Centre WP5'!$A$7:$N$160,10,FALSE),0)+
IFERROR(VLOOKUP(A71,'Centre WR5'!$A$7:$N$160,10,FALSE),0)</f>
        <v>0</v>
      </c>
      <c r="K71" s="10">
        <f>IFERROR(VLOOKUP(A71,'Centre DW5'!$A$7:$N$161,11,FALSE),0)+
IFERROR(VLOOKUP(A71,'Centre WP5'!$A$7:$N$160,11,FALSE),0)+
IFERROR(VLOOKUP(A71,'Centre WR5'!$A$7:$N$160,11,FALSE),0)</f>
        <v>0</v>
      </c>
      <c r="L71" s="10">
        <f>IFERROR(VLOOKUP(A71,'Centre DW5'!$A$7:$N$161,12,FALSE),0)+
IFERROR(VLOOKUP(A71,'Centre WP5'!$A$7:$N$160,12,FALSE),0)+
IFERROR(VLOOKUP(A71,'Centre WR5'!$A$7:$N$160,12,FALSE),0)</f>
        <v>0</v>
      </c>
      <c r="M71" s="10">
        <f>IFERROR(VLOOKUP(A71,'Centre DW5'!$A$7:$N$161,13,FALSE),0)+
IFERROR(VLOOKUP(A71,'Centre WP5'!$A$7:$N$160,13,FALSE),0)+
IFERROR(VLOOKUP(A71,'Centre WR5'!$A$7:$N$160,13,FALSE),0)</f>
        <v>0</v>
      </c>
      <c r="N71" s="10">
        <f>IFERROR(VLOOKUP(A71,'Centre DW5'!$A$7:$N$161,14,FALSE),0)+
IFERROR(VLOOKUP(A71,'Centre WP5'!$A$7:$N$160,14,FALSE),0)+
IFERROR(VLOOKUP(A71,'Centre WR5'!$A$7:$N$160,14,FALSE),0)</f>
        <v>0</v>
      </c>
    </row>
    <row r="72" spans="1:14" hidden="1" outlineLevel="1" x14ac:dyDescent="0.2">
      <c r="A72" s="9" t="s">
        <v>131</v>
      </c>
      <c r="B72" s="1" t="s">
        <v>132</v>
      </c>
      <c r="C72" s="10">
        <f>IFERROR(VLOOKUP(A72,'Centre DW5'!$A$7:$N$161,3,FALSE),0)+
IFERROR(VLOOKUP(A72,'Centre WP5'!$A$7:$N$160,3,FALSE),0)+
IFERROR(VLOOKUP(A72,'Centre WR5'!$A$7:$N$160,3,FALSE),0)</f>
        <v>0</v>
      </c>
      <c r="D72" s="10">
        <f>IFERROR(VLOOKUP(A72,'Centre DW5'!$A$7:$N$161,4,FALSE),0)+
IFERROR(VLOOKUP(A72,'Centre WP5'!$A$7:$N$160,4,FALSE),0)+
IFERROR(VLOOKUP(A72,'Centre WR5'!$A$7:$N$160,4,FALSE),0)</f>
        <v>0</v>
      </c>
      <c r="E72" s="10">
        <f>IFERROR(VLOOKUP(A72,'Centre DW5'!$A$7:$N$161,5,FALSE),0)+
IFERROR(VLOOKUP(A72,'Centre WP5'!$A$7:$N$160,5,FALSE),0)+
IFERROR(VLOOKUP(A72,'Centre WR5'!$A$7:$N$160,5,FALSE),0)</f>
        <v>0</v>
      </c>
      <c r="F72" s="10">
        <f>IFERROR(VLOOKUP(A72,'Centre DW5'!$A$7:$N$161,6,FALSE),0)+
IFERROR(VLOOKUP(A72,'Centre WP5'!$A$7:$N$160,6,FALSE),0)+
IFERROR(VLOOKUP(A72,'Centre WR5'!$A$7:$N$160,6,FALSE),0)</f>
        <v>0</v>
      </c>
      <c r="G72" s="10">
        <f>IFERROR(VLOOKUP(A72,'Centre DW5'!$A$7:$N$161,7,FALSE),0)+
IFERROR(VLOOKUP(A72,'Centre WP5'!$A$7:$N$160,7,FALSE),0)+
IFERROR(VLOOKUP(A72,'Centre WR5'!$A$7:$N$160,7,FALSE),0)</f>
        <v>0</v>
      </c>
      <c r="H72" s="10">
        <f>IFERROR(VLOOKUP(A72,'Centre DW5'!$A$7:$N$161,8,FALSE),0)+
IFERROR(VLOOKUP(A72,'Centre WP5'!$A$7:$N$160,8,FALSE),0)+
IFERROR(VLOOKUP(A72,'Centre WR5'!$A$7:$N$160,8,FALSE),0)</f>
        <v>0</v>
      </c>
      <c r="I72" s="10">
        <f>IFERROR(VLOOKUP(A72,'Centre DW5'!$A$7:$N$161,9,FALSE),0)+
IFERROR(VLOOKUP(A72,'Centre WP5'!$A$7:$N$160,9,FALSE),0)+
IFERROR(VLOOKUP(A72,'Centre WR5'!$A$7:$N$160,9,FALSE),0)</f>
        <v>0</v>
      </c>
      <c r="J72" s="10">
        <f>IFERROR(VLOOKUP(A72,'Centre DW5'!$A$7:$N$161,10,FALSE),0)+
IFERROR(VLOOKUP(A72,'Centre WP5'!$A$7:$N$160,10,FALSE),0)+
IFERROR(VLOOKUP(A72,'Centre WR5'!$A$7:$N$160,10,FALSE),0)</f>
        <v>0</v>
      </c>
      <c r="K72" s="10">
        <f>IFERROR(VLOOKUP(A72,'Centre DW5'!$A$7:$N$161,11,FALSE),0)+
IFERROR(VLOOKUP(A72,'Centre WP5'!$A$7:$N$160,11,FALSE),0)+
IFERROR(VLOOKUP(A72,'Centre WR5'!$A$7:$N$160,11,FALSE),0)</f>
        <v>0</v>
      </c>
      <c r="L72" s="10">
        <f>IFERROR(VLOOKUP(A72,'Centre DW5'!$A$7:$N$161,12,FALSE),0)+
IFERROR(VLOOKUP(A72,'Centre WP5'!$A$7:$N$160,12,FALSE),0)+
IFERROR(VLOOKUP(A72,'Centre WR5'!$A$7:$N$160,12,FALSE),0)</f>
        <v>0</v>
      </c>
      <c r="M72" s="10">
        <f>IFERROR(VLOOKUP(A72,'Centre DW5'!$A$7:$N$161,13,FALSE),0)+
IFERROR(VLOOKUP(A72,'Centre WP5'!$A$7:$N$160,13,FALSE),0)+
IFERROR(VLOOKUP(A72,'Centre WR5'!$A$7:$N$160,13,FALSE),0)</f>
        <v>0</v>
      </c>
      <c r="N72" s="10">
        <f>IFERROR(VLOOKUP(A72,'Centre DW5'!$A$7:$N$161,14,FALSE),0)+
IFERROR(VLOOKUP(A72,'Centre WP5'!$A$7:$N$160,14,FALSE),0)+
IFERROR(VLOOKUP(A72,'Centre WR5'!$A$7:$N$160,14,FALSE),0)</f>
        <v>0</v>
      </c>
    </row>
    <row r="73" spans="1:14" hidden="1" outlineLevel="1" x14ac:dyDescent="0.2">
      <c r="A73" s="9" t="s">
        <v>321</v>
      </c>
      <c r="B73" s="1" t="s">
        <v>322</v>
      </c>
      <c r="C73" s="10">
        <f>IFERROR(VLOOKUP(A73,'Centre DW5'!$A$7:$N$161,3,FALSE),0)+
IFERROR(VLOOKUP(A73,'Centre WP5'!$A$7:$N$160,3,FALSE),0)+
IFERROR(VLOOKUP(A73,'Centre WR5'!$A$7:$N$160,3,FALSE),0)</f>
        <v>0</v>
      </c>
      <c r="D73" s="10">
        <f>IFERROR(VLOOKUP(A73,'Centre DW5'!$A$7:$N$161,4,FALSE),0)+
IFERROR(VLOOKUP(A73,'Centre WP5'!$A$7:$N$160,4,FALSE),0)+
IFERROR(VLOOKUP(A73,'Centre WR5'!$A$7:$N$160,4,FALSE),0)</f>
        <v>0</v>
      </c>
      <c r="E73" s="10">
        <f>IFERROR(VLOOKUP(A73,'Centre DW5'!$A$7:$N$161,5,FALSE),0)+
IFERROR(VLOOKUP(A73,'Centre WP5'!$A$7:$N$160,5,FALSE),0)+
IFERROR(VLOOKUP(A73,'Centre WR5'!$A$7:$N$160,5,FALSE),0)</f>
        <v>0.1</v>
      </c>
      <c r="F73" s="10">
        <f>IFERROR(VLOOKUP(A73,'Centre DW5'!$A$7:$N$161,6,FALSE),0)+
IFERROR(VLOOKUP(A73,'Centre WP5'!$A$7:$N$160,6,FALSE),0)+
IFERROR(VLOOKUP(A73,'Centre WR5'!$A$7:$N$160,6,FALSE),0)</f>
        <v>0</v>
      </c>
      <c r="G73" s="10">
        <f>IFERROR(VLOOKUP(A73,'Centre DW5'!$A$7:$N$161,7,FALSE),0)+
IFERROR(VLOOKUP(A73,'Centre WP5'!$A$7:$N$160,7,FALSE),0)+
IFERROR(VLOOKUP(A73,'Centre WR5'!$A$7:$N$160,7,FALSE),0)</f>
        <v>0</v>
      </c>
      <c r="H73" s="10">
        <f>IFERROR(VLOOKUP(A73,'Centre DW5'!$A$7:$N$161,8,FALSE),0)+
IFERROR(VLOOKUP(A73,'Centre WP5'!$A$7:$N$160,8,FALSE),0)+
IFERROR(VLOOKUP(A73,'Centre WR5'!$A$7:$N$160,8,FALSE),0)</f>
        <v>0</v>
      </c>
      <c r="I73" s="10">
        <f>IFERROR(VLOOKUP(A73,'Centre DW5'!$A$7:$N$161,9,FALSE),0)+
IFERROR(VLOOKUP(A73,'Centre WP5'!$A$7:$N$160,9,FALSE),0)+
IFERROR(VLOOKUP(A73,'Centre WR5'!$A$7:$N$160,9,FALSE),0)</f>
        <v>0</v>
      </c>
      <c r="J73" s="10">
        <f>IFERROR(VLOOKUP(A73,'Centre DW5'!$A$7:$N$161,10,FALSE),0)+
IFERROR(VLOOKUP(A73,'Centre WP5'!$A$7:$N$160,10,FALSE),0)+
IFERROR(VLOOKUP(A73,'Centre WR5'!$A$7:$N$160,10,FALSE),0)</f>
        <v>0.1</v>
      </c>
      <c r="K73" s="10">
        <f>IFERROR(VLOOKUP(A73,'Centre DW5'!$A$7:$N$161,11,FALSE),0)+
IFERROR(VLOOKUP(A73,'Centre WP5'!$A$7:$N$160,11,FALSE),0)+
IFERROR(VLOOKUP(A73,'Centre WR5'!$A$7:$N$160,11,FALSE),0)</f>
        <v>0</v>
      </c>
      <c r="L73" s="10">
        <f>IFERROR(VLOOKUP(A73,'Centre DW5'!$A$7:$N$161,12,FALSE),0)+
IFERROR(VLOOKUP(A73,'Centre WP5'!$A$7:$N$160,12,FALSE),0)+
IFERROR(VLOOKUP(A73,'Centre WR5'!$A$7:$N$160,12,FALSE),0)</f>
        <v>0</v>
      </c>
      <c r="M73" s="10">
        <f>IFERROR(VLOOKUP(A73,'Centre DW5'!$A$7:$N$161,13,FALSE),0)+
IFERROR(VLOOKUP(A73,'Centre WP5'!$A$7:$N$160,13,FALSE),0)+
IFERROR(VLOOKUP(A73,'Centre WR5'!$A$7:$N$160,13,FALSE),0)</f>
        <v>0</v>
      </c>
      <c r="N73" s="10">
        <f>IFERROR(VLOOKUP(A73,'Centre DW5'!$A$7:$N$161,14,FALSE),0)+
IFERROR(VLOOKUP(A73,'Centre WP5'!$A$7:$N$160,14,FALSE),0)+
IFERROR(VLOOKUP(A73,'Centre WR5'!$A$7:$N$160,14,FALSE),0)</f>
        <v>0</v>
      </c>
    </row>
    <row r="74" spans="1:14" hidden="1" outlineLevel="1" x14ac:dyDescent="0.2">
      <c r="A74" s="9" t="s">
        <v>323</v>
      </c>
      <c r="B74" s="1" t="s">
        <v>324</v>
      </c>
      <c r="C74" s="10">
        <f>IFERROR(VLOOKUP(A74,'Centre DW5'!$A$7:$N$161,3,FALSE),0)+
IFERROR(VLOOKUP(A74,'Centre WP5'!$A$7:$N$160,3,FALSE),0)+
IFERROR(VLOOKUP(A74,'Centre WR5'!$A$7:$N$160,3,FALSE),0)</f>
        <v>0</v>
      </c>
      <c r="D74" s="10">
        <f>IFERROR(VLOOKUP(A74,'Centre DW5'!$A$7:$N$161,4,FALSE),0)+
IFERROR(VLOOKUP(A74,'Centre WP5'!$A$7:$N$160,4,FALSE),0)+
IFERROR(VLOOKUP(A74,'Centre WR5'!$A$7:$N$160,4,FALSE),0)</f>
        <v>0</v>
      </c>
      <c r="E74" s="10">
        <f>IFERROR(VLOOKUP(A74,'Centre DW5'!$A$7:$N$161,5,FALSE),0)+
IFERROR(VLOOKUP(A74,'Centre WP5'!$A$7:$N$160,5,FALSE),0)+
IFERROR(VLOOKUP(A74,'Centre WR5'!$A$7:$N$160,5,FALSE),0)</f>
        <v>0</v>
      </c>
      <c r="F74" s="10">
        <f>IFERROR(VLOOKUP(A74,'Centre DW5'!$A$7:$N$161,6,FALSE),0)+
IFERROR(VLOOKUP(A74,'Centre WP5'!$A$7:$N$160,6,FALSE),0)+
IFERROR(VLOOKUP(A74,'Centre WR5'!$A$7:$N$160,6,FALSE),0)</f>
        <v>0</v>
      </c>
      <c r="G74" s="10">
        <f>IFERROR(VLOOKUP(A74,'Centre DW5'!$A$7:$N$161,7,FALSE),0)+
IFERROR(VLOOKUP(A74,'Centre WP5'!$A$7:$N$160,7,FALSE),0)+
IFERROR(VLOOKUP(A74,'Centre WR5'!$A$7:$N$160,7,FALSE),0)</f>
        <v>0</v>
      </c>
      <c r="H74" s="10">
        <f>IFERROR(VLOOKUP(A74,'Centre DW5'!$A$7:$N$161,8,FALSE),0)+
IFERROR(VLOOKUP(A74,'Centre WP5'!$A$7:$N$160,8,FALSE),0)+
IFERROR(VLOOKUP(A74,'Centre WR5'!$A$7:$N$160,8,FALSE),0)</f>
        <v>0</v>
      </c>
      <c r="I74" s="10">
        <f>IFERROR(VLOOKUP(A74,'Centre DW5'!$A$7:$N$161,9,FALSE),0)+
IFERROR(VLOOKUP(A74,'Centre WP5'!$A$7:$N$160,9,FALSE),0)+
IFERROR(VLOOKUP(A74,'Centre WR5'!$A$7:$N$160,9,FALSE),0)</f>
        <v>0</v>
      </c>
      <c r="J74" s="10">
        <f>IFERROR(VLOOKUP(A74,'Centre DW5'!$A$7:$N$161,10,FALSE),0)+
IFERROR(VLOOKUP(A74,'Centre WP5'!$A$7:$N$160,10,FALSE),0)+
IFERROR(VLOOKUP(A74,'Centre WR5'!$A$7:$N$160,10,FALSE),0)</f>
        <v>0</v>
      </c>
      <c r="K74" s="10">
        <f>IFERROR(VLOOKUP(A74,'Centre DW5'!$A$7:$N$161,11,FALSE),0)+
IFERROR(VLOOKUP(A74,'Centre WP5'!$A$7:$N$160,11,FALSE),0)+
IFERROR(VLOOKUP(A74,'Centre WR5'!$A$7:$N$160,11,FALSE),0)</f>
        <v>0</v>
      </c>
      <c r="L74" s="10">
        <f>IFERROR(VLOOKUP(A74,'Centre DW5'!$A$7:$N$161,12,FALSE),0)+
IFERROR(VLOOKUP(A74,'Centre WP5'!$A$7:$N$160,12,FALSE),0)+
IFERROR(VLOOKUP(A74,'Centre WR5'!$A$7:$N$160,12,FALSE),0)</f>
        <v>0</v>
      </c>
      <c r="M74" s="10">
        <f>IFERROR(VLOOKUP(A74,'Centre DW5'!$A$7:$N$161,13,FALSE),0)+
IFERROR(VLOOKUP(A74,'Centre WP5'!$A$7:$N$160,13,FALSE),0)+
IFERROR(VLOOKUP(A74,'Centre WR5'!$A$7:$N$160,13,FALSE),0)</f>
        <v>0</v>
      </c>
      <c r="N74" s="10">
        <f>IFERROR(VLOOKUP(A74,'Centre DW5'!$A$7:$N$161,14,FALSE),0)+
IFERROR(VLOOKUP(A74,'Centre WP5'!$A$7:$N$160,14,FALSE),0)+
IFERROR(VLOOKUP(A74,'Centre WR5'!$A$7:$N$160,14,FALSE),0)</f>
        <v>0</v>
      </c>
    </row>
    <row r="75" spans="1:14" hidden="1" outlineLevel="1" x14ac:dyDescent="0.2">
      <c r="A75" s="9" t="s">
        <v>325</v>
      </c>
      <c r="B75" s="1" t="s">
        <v>326</v>
      </c>
      <c r="C75" s="10">
        <f>IFERROR(VLOOKUP(A75,'Centre DW5'!$A$7:$N$161,3,FALSE),0)+
IFERROR(VLOOKUP(A75,'Centre WP5'!$A$7:$N$160,3,FALSE),0)+
IFERROR(VLOOKUP(A75,'Centre WR5'!$A$7:$N$160,3,FALSE),0)</f>
        <v>0</v>
      </c>
      <c r="D75" s="10">
        <f>IFERROR(VLOOKUP(A75,'Centre DW5'!$A$7:$N$161,4,FALSE),0)+
IFERROR(VLOOKUP(A75,'Centre WP5'!$A$7:$N$160,4,FALSE),0)+
IFERROR(VLOOKUP(A75,'Centre WR5'!$A$7:$N$160,4,FALSE),0)</f>
        <v>0</v>
      </c>
      <c r="E75" s="10">
        <f>IFERROR(VLOOKUP(A75,'Centre DW5'!$A$7:$N$161,5,FALSE),0)+
IFERROR(VLOOKUP(A75,'Centre WP5'!$A$7:$N$160,5,FALSE),0)+
IFERROR(VLOOKUP(A75,'Centre WR5'!$A$7:$N$160,5,FALSE),0)</f>
        <v>0</v>
      </c>
      <c r="F75" s="10">
        <f>IFERROR(VLOOKUP(A75,'Centre DW5'!$A$7:$N$161,6,FALSE),0)+
IFERROR(VLOOKUP(A75,'Centre WP5'!$A$7:$N$160,6,FALSE),0)+
IFERROR(VLOOKUP(A75,'Centre WR5'!$A$7:$N$160,6,FALSE),0)</f>
        <v>0</v>
      </c>
      <c r="G75" s="10">
        <f>IFERROR(VLOOKUP(A75,'Centre DW5'!$A$7:$N$161,7,FALSE),0)+
IFERROR(VLOOKUP(A75,'Centre WP5'!$A$7:$N$160,7,FALSE),0)+
IFERROR(VLOOKUP(A75,'Centre WR5'!$A$7:$N$160,7,FALSE),0)</f>
        <v>0</v>
      </c>
      <c r="H75" s="10">
        <f>IFERROR(VLOOKUP(A75,'Centre DW5'!$A$7:$N$161,8,FALSE),0)+
IFERROR(VLOOKUP(A75,'Centre WP5'!$A$7:$N$160,8,FALSE),0)+
IFERROR(VLOOKUP(A75,'Centre WR5'!$A$7:$N$160,8,FALSE),0)</f>
        <v>0</v>
      </c>
      <c r="I75" s="10">
        <f>IFERROR(VLOOKUP(A75,'Centre DW5'!$A$7:$N$161,9,FALSE),0)+
IFERROR(VLOOKUP(A75,'Centre WP5'!$A$7:$N$160,9,FALSE),0)+
IFERROR(VLOOKUP(A75,'Centre WR5'!$A$7:$N$160,9,FALSE),0)</f>
        <v>0</v>
      </c>
      <c r="J75" s="10">
        <f>IFERROR(VLOOKUP(A75,'Centre DW5'!$A$7:$N$161,10,FALSE),0)+
IFERROR(VLOOKUP(A75,'Centre WP5'!$A$7:$N$160,10,FALSE),0)+
IFERROR(VLOOKUP(A75,'Centre WR5'!$A$7:$N$160,10,FALSE),0)</f>
        <v>0</v>
      </c>
      <c r="K75" s="10">
        <f>IFERROR(VLOOKUP(A75,'Centre DW5'!$A$7:$N$161,11,FALSE),0)+
IFERROR(VLOOKUP(A75,'Centre WP5'!$A$7:$N$160,11,FALSE),0)+
IFERROR(VLOOKUP(A75,'Centre WR5'!$A$7:$N$160,11,FALSE),0)</f>
        <v>0</v>
      </c>
      <c r="L75" s="10">
        <f>IFERROR(VLOOKUP(A75,'Centre DW5'!$A$7:$N$161,12,FALSE),0)+
IFERROR(VLOOKUP(A75,'Centre WP5'!$A$7:$N$160,12,FALSE),0)+
IFERROR(VLOOKUP(A75,'Centre WR5'!$A$7:$N$160,12,FALSE),0)</f>
        <v>0</v>
      </c>
      <c r="M75" s="10">
        <f>IFERROR(VLOOKUP(A75,'Centre DW5'!$A$7:$N$161,13,FALSE),0)+
IFERROR(VLOOKUP(A75,'Centre WP5'!$A$7:$N$160,13,FALSE),0)+
IFERROR(VLOOKUP(A75,'Centre WR5'!$A$7:$N$160,13,FALSE),0)</f>
        <v>0</v>
      </c>
      <c r="N75" s="10">
        <f>IFERROR(VLOOKUP(A75,'Centre DW5'!$A$7:$N$161,14,FALSE),0)+
IFERROR(VLOOKUP(A75,'Centre WP5'!$A$7:$N$160,14,FALSE),0)+
IFERROR(VLOOKUP(A75,'Centre WR5'!$A$7:$N$160,14,FALSE),0)</f>
        <v>0</v>
      </c>
    </row>
    <row r="76" spans="1:14" collapsed="1" x14ac:dyDescent="0.2">
      <c r="A76" s="33" t="s">
        <v>133</v>
      </c>
      <c r="B76" s="34" t="s">
        <v>134</v>
      </c>
      <c r="C76" s="44">
        <f t="shared" ref="C76:I76" si="20">SUM(C77:C83)</f>
        <v>28.700000000000003</v>
      </c>
      <c r="D76" s="44">
        <f t="shared" si="20"/>
        <v>19.100000000000001</v>
      </c>
      <c r="E76" s="44">
        <f t="shared" si="20"/>
        <v>25.400000000000002</v>
      </c>
      <c r="F76" s="44">
        <f t="shared" si="20"/>
        <v>24.400000000000002</v>
      </c>
      <c r="G76" s="44">
        <f t="shared" si="20"/>
        <v>19</v>
      </c>
      <c r="H76" s="44">
        <f t="shared" si="20"/>
        <v>18.299999999999997</v>
      </c>
      <c r="I76" s="44">
        <f t="shared" si="20"/>
        <v>18.5</v>
      </c>
      <c r="J76" s="44">
        <f>SUM(J77:J83)</f>
        <v>25.400000000000002</v>
      </c>
      <c r="K76" s="44">
        <f t="shared" ref="K76:N76" si="21">SUM(K77:K83)</f>
        <v>24.400000000000002</v>
      </c>
      <c r="L76" s="44">
        <f t="shared" si="21"/>
        <v>19</v>
      </c>
      <c r="M76" s="44">
        <f t="shared" si="21"/>
        <v>23.799999999999997</v>
      </c>
      <c r="N76" s="44">
        <f t="shared" si="21"/>
        <v>23.2</v>
      </c>
    </row>
    <row r="77" spans="1:14" hidden="1" outlineLevel="1" x14ac:dyDescent="0.2">
      <c r="A77" s="9" t="s">
        <v>327</v>
      </c>
      <c r="B77" s="1" t="s">
        <v>328</v>
      </c>
      <c r="C77" s="10">
        <f>IFERROR(VLOOKUP(A77,'Centre DW5'!$A$7:$N$161,3,FALSE),0)+
IFERROR(VLOOKUP(A77,'Centre WP5'!$A$7:$N$160,3,FALSE),0)+
IFERROR(VLOOKUP(A77,'Centre WR5'!$A$7:$N$160,3,FALSE),0)</f>
        <v>0</v>
      </c>
      <c r="D77" s="10">
        <f>IFERROR(VLOOKUP(A77,'Centre DW5'!$A$7:$N$161,4,FALSE),0)+
IFERROR(VLOOKUP(A77,'Centre WP5'!$A$7:$N$160,4,FALSE),0)+
IFERROR(VLOOKUP(A77,'Centre WR5'!$A$7:$N$160,4,FALSE),0)</f>
        <v>0</v>
      </c>
      <c r="E77" s="10">
        <f>IFERROR(VLOOKUP(A77,'Centre DW5'!$A$7:$N$161,5,FALSE),0)+
IFERROR(VLOOKUP(A77,'Centre WP5'!$A$7:$N$160,5,FALSE),0)+
IFERROR(VLOOKUP(A77,'Centre WR5'!$A$7:$N$160,5,FALSE),0)</f>
        <v>0</v>
      </c>
      <c r="F77" s="10">
        <f>IFERROR(VLOOKUP(A77,'Centre DW5'!$A$7:$N$161,6,FALSE),0)+
IFERROR(VLOOKUP(A77,'Centre WP5'!$A$7:$N$160,6,FALSE),0)+
IFERROR(VLOOKUP(A77,'Centre WR5'!$A$7:$N$160,6,FALSE),0)</f>
        <v>0</v>
      </c>
      <c r="G77" s="10">
        <f>IFERROR(VLOOKUP(A77,'Centre DW5'!$A$7:$N$161,7,FALSE),0)+
IFERROR(VLOOKUP(A77,'Centre WP5'!$A$7:$N$160,7,FALSE),0)+
IFERROR(VLOOKUP(A77,'Centre WR5'!$A$7:$N$160,7,FALSE),0)</f>
        <v>0</v>
      </c>
      <c r="H77" s="10">
        <f>IFERROR(VLOOKUP(A77,'Centre DW5'!$A$7:$N$161,8,FALSE),0)+
IFERROR(VLOOKUP(A77,'Centre WP5'!$A$7:$N$160,8,FALSE),0)+
IFERROR(VLOOKUP(A77,'Centre WR5'!$A$7:$N$160,8,FALSE),0)</f>
        <v>0</v>
      </c>
      <c r="I77" s="10">
        <f>IFERROR(VLOOKUP(A77,'Centre DW5'!$A$7:$N$161,9,FALSE),0)+
IFERROR(VLOOKUP(A77,'Centre WP5'!$A$7:$N$160,9,FALSE),0)+
IFERROR(VLOOKUP(A77,'Centre WR5'!$A$7:$N$160,9,FALSE),0)</f>
        <v>0</v>
      </c>
      <c r="J77" s="10">
        <f>IFERROR(VLOOKUP(A77,'Centre DW5'!$A$7:$N$161,10,FALSE),0)+
IFERROR(VLOOKUP(A77,'Centre WP5'!$A$7:$N$160,10,FALSE),0)+
IFERROR(VLOOKUP(A77,'Centre WR5'!$A$7:$N$160,10,FALSE),0)</f>
        <v>0</v>
      </c>
      <c r="K77" s="10">
        <f>IFERROR(VLOOKUP(A77,'Centre DW5'!$A$7:$N$161,11,FALSE),0)+
IFERROR(VLOOKUP(A77,'Centre WP5'!$A$7:$N$160,11,FALSE),0)+
IFERROR(VLOOKUP(A77,'Centre WR5'!$A$7:$N$160,11,FALSE),0)</f>
        <v>0</v>
      </c>
      <c r="L77" s="10">
        <f>IFERROR(VLOOKUP(A77,'Centre DW5'!$A$7:$N$161,12,FALSE),0)+
IFERROR(VLOOKUP(A77,'Centre WP5'!$A$7:$N$160,12,FALSE),0)+
IFERROR(VLOOKUP(A77,'Centre WR5'!$A$7:$N$160,12,FALSE),0)</f>
        <v>0</v>
      </c>
      <c r="M77" s="10">
        <f>IFERROR(VLOOKUP(A77,'Centre DW5'!$A$7:$N$161,13,FALSE),0)+
IFERROR(VLOOKUP(A77,'Centre WP5'!$A$7:$N$160,13,FALSE),0)+
IFERROR(VLOOKUP(A77,'Centre WR5'!$A$7:$N$160,13,FALSE),0)</f>
        <v>0</v>
      </c>
      <c r="N77" s="10">
        <f>IFERROR(VLOOKUP(A77,'Centre DW5'!$A$7:$N$161,14,FALSE),0)+
IFERROR(VLOOKUP(A77,'Centre WP5'!$A$7:$N$160,14,FALSE),0)+
IFERROR(VLOOKUP(A77,'Centre WR5'!$A$7:$N$160,14,FALSE),0)</f>
        <v>0</v>
      </c>
    </row>
    <row r="78" spans="1:14" hidden="1" outlineLevel="1" x14ac:dyDescent="0.2">
      <c r="A78" s="9" t="s">
        <v>329</v>
      </c>
      <c r="B78" s="1" t="s">
        <v>330</v>
      </c>
      <c r="C78" s="10">
        <f>IFERROR(VLOOKUP(A78,'Centre DW5'!$A$7:$N$161,3,FALSE),0)+
IFERROR(VLOOKUP(A78,'Centre WP5'!$A$7:$N$160,3,FALSE),0)+
IFERROR(VLOOKUP(A78,'Centre WR5'!$A$7:$N$160,3,FALSE),0)</f>
        <v>18.3</v>
      </c>
      <c r="D78" s="10">
        <f>IFERROR(VLOOKUP(A78,'Centre DW5'!$A$7:$N$161,4,FALSE),0)+
IFERROR(VLOOKUP(A78,'Centre WP5'!$A$7:$N$160,4,FALSE),0)+
IFERROR(VLOOKUP(A78,'Centre WR5'!$A$7:$N$160,4,FALSE),0)</f>
        <v>12.7</v>
      </c>
      <c r="E78" s="10">
        <f>IFERROR(VLOOKUP(A78,'Centre DW5'!$A$7:$N$161,5,FALSE),0)+
IFERROR(VLOOKUP(A78,'Centre WP5'!$A$7:$N$160,5,FALSE),0)+
IFERROR(VLOOKUP(A78,'Centre WR5'!$A$7:$N$160,5,FALSE),0)</f>
        <v>18.600000000000001</v>
      </c>
      <c r="F78" s="10">
        <f>IFERROR(VLOOKUP(A78,'Centre DW5'!$A$7:$N$161,6,FALSE),0)+
IFERROR(VLOOKUP(A78,'Centre WP5'!$A$7:$N$160,6,FALSE),0)+
IFERROR(VLOOKUP(A78,'Centre WR5'!$A$7:$N$160,6,FALSE),0)</f>
        <v>22.8</v>
      </c>
      <c r="G78" s="10">
        <f>IFERROR(VLOOKUP(A78,'Centre DW5'!$A$7:$N$161,7,FALSE),0)+
IFERROR(VLOOKUP(A78,'Centre WP5'!$A$7:$N$160,7,FALSE),0)+
IFERROR(VLOOKUP(A78,'Centre WR5'!$A$7:$N$160,7,FALSE),0)</f>
        <v>18.5</v>
      </c>
      <c r="H78" s="10">
        <f>IFERROR(VLOOKUP(A78,'Centre DW5'!$A$7:$N$161,8,FALSE),0)+
IFERROR(VLOOKUP(A78,'Centre WP5'!$A$7:$N$160,8,FALSE),0)+
IFERROR(VLOOKUP(A78,'Centre WR5'!$A$7:$N$160,8,FALSE),0)</f>
        <v>17.799999999999997</v>
      </c>
      <c r="I78" s="10">
        <f>IFERROR(VLOOKUP(A78,'Centre DW5'!$A$7:$N$161,9,FALSE),0)+
IFERROR(VLOOKUP(A78,'Centre WP5'!$A$7:$N$160,9,FALSE),0)+
IFERROR(VLOOKUP(A78,'Centre WR5'!$A$7:$N$160,9,FALSE),0)</f>
        <v>18</v>
      </c>
      <c r="J78" s="10">
        <f>IFERROR(VLOOKUP(A78,'Centre DW5'!$A$7:$N$161,10,FALSE),0)+
IFERROR(VLOOKUP(A78,'Centre WP5'!$A$7:$N$160,10,FALSE),0)+
IFERROR(VLOOKUP(A78,'Centre WR5'!$A$7:$N$160,10,FALSE),0)</f>
        <v>18.600000000000001</v>
      </c>
      <c r="K78" s="10">
        <f>IFERROR(VLOOKUP(A78,'Centre DW5'!$A$7:$N$161,11,FALSE),0)+
IFERROR(VLOOKUP(A78,'Centre WP5'!$A$7:$N$160,11,FALSE),0)+
IFERROR(VLOOKUP(A78,'Centre WR5'!$A$7:$N$160,11,FALSE),0)</f>
        <v>22.8</v>
      </c>
      <c r="L78" s="10">
        <f>IFERROR(VLOOKUP(A78,'Centre DW5'!$A$7:$N$161,12,FALSE),0)+
IFERROR(VLOOKUP(A78,'Centre WP5'!$A$7:$N$160,12,FALSE),0)+
IFERROR(VLOOKUP(A78,'Centre WR5'!$A$7:$N$160,12,FALSE),0)</f>
        <v>18.5</v>
      </c>
      <c r="M78" s="10">
        <f>IFERROR(VLOOKUP(A78,'Centre DW5'!$A$7:$N$161,13,FALSE),0)+
IFERROR(VLOOKUP(A78,'Centre WP5'!$A$7:$N$160,13,FALSE),0)+
IFERROR(VLOOKUP(A78,'Centre WR5'!$A$7:$N$160,13,FALSE),0)</f>
        <v>17.799999999999997</v>
      </c>
      <c r="N78" s="10">
        <f>IFERROR(VLOOKUP(A78,'Centre DW5'!$A$7:$N$161,14,FALSE),0)+
IFERROR(VLOOKUP(A78,'Centre WP5'!$A$7:$N$160,14,FALSE),0)+
IFERROR(VLOOKUP(A78,'Centre WR5'!$A$7:$N$160,14,FALSE),0)</f>
        <v>18</v>
      </c>
    </row>
    <row r="79" spans="1:14" hidden="1" outlineLevel="1" x14ac:dyDescent="0.2">
      <c r="A79" s="9" t="s">
        <v>331</v>
      </c>
      <c r="B79" s="1" t="s">
        <v>332</v>
      </c>
      <c r="C79" s="10">
        <f>IFERROR(VLOOKUP(A79,'Centre DW5'!$A$7:$N$161,3,FALSE),0)+
IFERROR(VLOOKUP(A79,'Centre WP5'!$A$7:$N$160,3,FALSE),0)+
IFERROR(VLOOKUP(A79,'Centre WR5'!$A$7:$N$160,3,FALSE),0)</f>
        <v>1.5</v>
      </c>
      <c r="D79" s="10">
        <f>IFERROR(VLOOKUP(A79,'Centre DW5'!$A$7:$N$161,4,FALSE),0)+
IFERROR(VLOOKUP(A79,'Centre WP5'!$A$7:$N$160,4,FALSE),0)+
IFERROR(VLOOKUP(A79,'Centre WR5'!$A$7:$N$160,4,FALSE),0)</f>
        <v>0</v>
      </c>
      <c r="E79" s="10">
        <f>IFERROR(VLOOKUP(A79,'Centre DW5'!$A$7:$N$161,5,FALSE),0)+
IFERROR(VLOOKUP(A79,'Centre WP5'!$A$7:$N$160,5,FALSE),0)+
IFERROR(VLOOKUP(A79,'Centre WR5'!$A$7:$N$160,5,FALSE),0)</f>
        <v>0</v>
      </c>
      <c r="F79" s="10">
        <f>IFERROR(VLOOKUP(A79,'Centre DW5'!$A$7:$N$161,6,FALSE),0)+
IFERROR(VLOOKUP(A79,'Centre WP5'!$A$7:$N$160,6,FALSE),0)+
IFERROR(VLOOKUP(A79,'Centre WR5'!$A$7:$N$160,6,FALSE),0)</f>
        <v>0</v>
      </c>
      <c r="G79" s="10">
        <f>IFERROR(VLOOKUP(A79,'Centre DW5'!$A$7:$N$161,7,FALSE),0)+
IFERROR(VLOOKUP(A79,'Centre WP5'!$A$7:$N$160,7,FALSE),0)+
IFERROR(VLOOKUP(A79,'Centre WR5'!$A$7:$N$160,7,FALSE),0)</f>
        <v>0</v>
      </c>
      <c r="H79" s="10">
        <f>IFERROR(VLOOKUP(A79,'Centre DW5'!$A$7:$N$161,8,FALSE),0)+
IFERROR(VLOOKUP(A79,'Centre WP5'!$A$7:$N$160,8,FALSE),0)+
IFERROR(VLOOKUP(A79,'Centre WR5'!$A$7:$N$160,8,FALSE),0)</f>
        <v>0</v>
      </c>
      <c r="I79" s="10">
        <f>IFERROR(VLOOKUP(A79,'Centre DW5'!$A$7:$N$161,9,FALSE),0)+
IFERROR(VLOOKUP(A79,'Centre WP5'!$A$7:$N$160,9,FALSE),0)+
IFERROR(VLOOKUP(A79,'Centre WR5'!$A$7:$N$160,9,FALSE),0)</f>
        <v>0</v>
      </c>
      <c r="J79" s="10">
        <f>IFERROR(VLOOKUP(A79,'Centre DW5'!$A$7:$N$161,10,FALSE),0)+
IFERROR(VLOOKUP(A79,'Centre WP5'!$A$7:$N$160,10,FALSE),0)+
IFERROR(VLOOKUP(A79,'Centre WR5'!$A$7:$N$160,10,FALSE),0)</f>
        <v>0</v>
      </c>
      <c r="K79" s="10">
        <f>IFERROR(VLOOKUP(A79,'Centre DW5'!$A$7:$N$161,11,FALSE),0)+
IFERROR(VLOOKUP(A79,'Centre WP5'!$A$7:$N$160,11,FALSE),0)+
IFERROR(VLOOKUP(A79,'Centre WR5'!$A$7:$N$160,11,FALSE),0)</f>
        <v>0</v>
      </c>
      <c r="L79" s="10">
        <f>IFERROR(VLOOKUP(A79,'Centre DW5'!$A$7:$N$161,12,FALSE),0)+
IFERROR(VLOOKUP(A79,'Centre WP5'!$A$7:$N$160,12,FALSE),0)+
IFERROR(VLOOKUP(A79,'Centre WR5'!$A$7:$N$160,12,FALSE),0)</f>
        <v>0</v>
      </c>
      <c r="M79" s="10">
        <f>IFERROR(VLOOKUP(A79,'Centre DW5'!$A$7:$N$161,13,FALSE),0)+
IFERROR(VLOOKUP(A79,'Centre WP5'!$A$7:$N$160,13,FALSE),0)+
IFERROR(VLOOKUP(A79,'Centre WR5'!$A$7:$N$160,13,FALSE),0)</f>
        <v>0</v>
      </c>
      <c r="N79" s="10">
        <f>IFERROR(VLOOKUP(A79,'Centre DW5'!$A$7:$N$161,14,FALSE),0)+
IFERROR(VLOOKUP(A79,'Centre WP5'!$A$7:$N$160,14,FALSE),0)+
IFERROR(VLOOKUP(A79,'Centre WR5'!$A$7:$N$160,14,FALSE),0)</f>
        <v>0</v>
      </c>
    </row>
    <row r="80" spans="1:14" hidden="1" outlineLevel="1" x14ac:dyDescent="0.2">
      <c r="A80" s="9" t="s">
        <v>135</v>
      </c>
      <c r="B80" s="1" t="s">
        <v>136</v>
      </c>
      <c r="C80" s="10">
        <f>IFERROR(VLOOKUP(A80,'Centre DW5'!$A$7:$N$161,3,FALSE),0)+
IFERROR(VLOOKUP(A80,'Centre WP5'!$A$7:$N$160,3,FALSE),0)+
IFERROR(VLOOKUP(A80,'Centre WR5'!$A$7:$N$160,3,FALSE),0)</f>
        <v>0</v>
      </c>
      <c r="D80" s="10">
        <f>IFERROR(VLOOKUP(A80,'Centre DW5'!$A$7:$N$161,4,FALSE),0)+
IFERROR(VLOOKUP(A80,'Centre WP5'!$A$7:$N$160,4,FALSE),0)+
IFERROR(VLOOKUP(A80,'Centre WR5'!$A$7:$N$160,4,FALSE),0)</f>
        <v>0</v>
      </c>
      <c r="E80" s="10">
        <f>IFERROR(VLOOKUP(A80,'Centre DW5'!$A$7:$N$161,5,FALSE),0)+
IFERROR(VLOOKUP(A80,'Centre WP5'!$A$7:$N$160,5,FALSE),0)+
IFERROR(VLOOKUP(A80,'Centre WR5'!$A$7:$N$160,5,FALSE),0)</f>
        <v>0</v>
      </c>
      <c r="F80" s="10">
        <f>IFERROR(VLOOKUP(A80,'Centre DW5'!$A$7:$N$161,6,FALSE),0)+
IFERROR(VLOOKUP(A80,'Centre WP5'!$A$7:$N$160,6,FALSE),0)+
IFERROR(VLOOKUP(A80,'Centre WR5'!$A$7:$N$160,6,FALSE),0)</f>
        <v>0</v>
      </c>
      <c r="G80" s="10">
        <f>IFERROR(VLOOKUP(A80,'Centre DW5'!$A$7:$N$161,7,FALSE),0)+
IFERROR(VLOOKUP(A80,'Centre WP5'!$A$7:$N$160,7,FALSE),0)+
IFERROR(VLOOKUP(A80,'Centre WR5'!$A$7:$N$160,7,FALSE),0)</f>
        <v>0</v>
      </c>
      <c r="H80" s="10">
        <f>IFERROR(VLOOKUP(A80,'Centre DW5'!$A$7:$N$161,8,FALSE),0)+
IFERROR(VLOOKUP(A80,'Centre WP5'!$A$7:$N$160,8,FALSE),0)+
IFERROR(VLOOKUP(A80,'Centre WR5'!$A$7:$N$160,8,FALSE),0)</f>
        <v>0</v>
      </c>
      <c r="I80" s="10">
        <f>IFERROR(VLOOKUP(A80,'Centre DW5'!$A$7:$N$161,9,FALSE),0)+
IFERROR(VLOOKUP(A80,'Centre WP5'!$A$7:$N$160,9,FALSE),0)+
IFERROR(VLOOKUP(A80,'Centre WR5'!$A$7:$N$160,9,FALSE),0)</f>
        <v>0</v>
      </c>
      <c r="J80" s="10">
        <f>IFERROR(VLOOKUP(A80,'Centre DW5'!$A$7:$N$161,10,FALSE),0)+
IFERROR(VLOOKUP(A80,'Centre WP5'!$A$7:$N$160,10,FALSE),0)+
IFERROR(VLOOKUP(A80,'Centre WR5'!$A$7:$N$160,10,FALSE),0)</f>
        <v>0</v>
      </c>
      <c r="K80" s="10">
        <f>IFERROR(VLOOKUP(A80,'Centre DW5'!$A$7:$N$161,11,FALSE),0)+
IFERROR(VLOOKUP(A80,'Centre WP5'!$A$7:$N$160,11,FALSE),0)+
IFERROR(VLOOKUP(A80,'Centre WR5'!$A$7:$N$160,11,FALSE),0)</f>
        <v>0</v>
      </c>
      <c r="L80" s="10">
        <f>IFERROR(VLOOKUP(A80,'Centre DW5'!$A$7:$N$161,12,FALSE),0)+
IFERROR(VLOOKUP(A80,'Centre WP5'!$A$7:$N$160,12,FALSE),0)+
IFERROR(VLOOKUP(A80,'Centre WR5'!$A$7:$N$160,12,FALSE),0)</f>
        <v>0</v>
      </c>
      <c r="M80" s="10">
        <f>IFERROR(VLOOKUP(A80,'Centre DW5'!$A$7:$N$161,13,FALSE),0)+
IFERROR(VLOOKUP(A80,'Centre WP5'!$A$7:$N$160,13,FALSE),0)+
IFERROR(VLOOKUP(A80,'Centre WR5'!$A$7:$N$160,13,FALSE),0)</f>
        <v>0</v>
      </c>
      <c r="N80" s="10">
        <f>IFERROR(VLOOKUP(A80,'Centre DW5'!$A$7:$N$161,14,FALSE),0)+
IFERROR(VLOOKUP(A80,'Centre WP5'!$A$7:$N$160,14,FALSE),0)+
IFERROR(VLOOKUP(A80,'Centre WR5'!$A$7:$N$160,14,FALSE),0)</f>
        <v>0</v>
      </c>
    </row>
    <row r="81" spans="1:14" hidden="1" outlineLevel="1" x14ac:dyDescent="0.2">
      <c r="A81" s="9" t="s">
        <v>333</v>
      </c>
      <c r="B81" s="1" t="s">
        <v>334</v>
      </c>
      <c r="C81" s="10">
        <f>IFERROR(VLOOKUP(A81,'Centre DW5'!$A$7:$N$161,3,FALSE),0)+
IFERROR(VLOOKUP(A81,'Centre WP5'!$A$7:$N$160,3,FALSE),0)+
IFERROR(VLOOKUP(A81,'Centre WR5'!$A$7:$N$160,3,FALSE),0)</f>
        <v>0.5</v>
      </c>
      <c r="D81" s="10">
        <f>IFERROR(VLOOKUP(A81,'Centre DW5'!$A$7:$N$161,4,FALSE),0)+
IFERROR(VLOOKUP(A81,'Centre WP5'!$A$7:$N$160,4,FALSE),0)+
IFERROR(VLOOKUP(A81,'Centre WR5'!$A$7:$N$160,4,FALSE),0)</f>
        <v>-0.5</v>
      </c>
      <c r="E81" s="10">
        <f>IFERROR(VLOOKUP(A81,'Centre DW5'!$A$7:$N$161,5,FALSE),0)+
IFERROR(VLOOKUP(A81,'Centre WP5'!$A$7:$N$160,5,FALSE),0)+
IFERROR(VLOOKUP(A81,'Centre WR5'!$A$7:$N$160,5,FALSE),0)</f>
        <v>0</v>
      </c>
      <c r="F81" s="10">
        <f>IFERROR(VLOOKUP(A81,'Centre DW5'!$A$7:$N$161,6,FALSE),0)+
IFERROR(VLOOKUP(A81,'Centre WP5'!$A$7:$N$160,6,FALSE),0)+
IFERROR(VLOOKUP(A81,'Centre WR5'!$A$7:$N$160,6,FALSE),0)</f>
        <v>0</v>
      </c>
      <c r="G81" s="10">
        <f>IFERROR(VLOOKUP(A81,'Centre DW5'!$A$7:$N$161,7,FALSE),0)+
IFERROR(VLOOKUP(A81,'Centre WP5'!$A$7:$N$160,7,FALSE),0)+
IFERROR(VLOOKUP(A81,'Centre WR5'!$A$7:$N$160,7,FALSE),0)</f>
        <v>0</v>
      </c>
      <c r="H81" s="10">
        <f>IFERROR(VLOOKUP(A81,'Centre DW5'!$A$7:$N$161,8,FALSE),0)+
IFERROR(VLOOKUP(A81,'Centre WP5'!$A$7:$N$160,8,FALSE),0)+
IFERROR(VLOOKUP(A81,'Centre WR5'!$A$7:$N$160,8,FALSE),0)</f>
        <v>0</v>
      </c>
      <c r="I81" s="10">
        <f>IFERROR(VLOOKUP(A81,'Centre DW5'!$A$7:$N$161,9,FALSE),0)+
IFERROR(VLOOKUP(A81,'Centre WP5'!$A$7:$N$160,9,FALSE),0)+
IFERROR(VLOOKUP(A81,'Centre WR5'!$A$7:$N$160,9,FALSE),0)</f>
        <v>0</v>
      </c>
      <c r="J81" s="10">
        <f>IFERROR(VLOOKUP(A81,'Centre DW5'!$A$7:$N$161,10,FALSE),0)+
IFERROR(VLOOKUP(A81,'Centre WP5'!$A$7:$N$160,10,FALSE),0)+
IFERROR(VLOOKUP(A81,'Centre WR5'!$A$7:$N$160,10,FALSE),0)</f>
        <v>0</v>
      </c>
      <c r="K81" s="10">
        <f>IFERROR(VLOOKUP(A81,'Centre DW5'!$A$7:$N$161,11,FALSE),0)+
IFERROR(VLOOKUP(A81,'Centre WP5'!$A$7:$N$160,11,FALSE),0)+
IFERROR(VLOOKUP(A81,'Centre WR5'!$A$7:$N$160,11,FALSE),0)</f>
        <v>0</v>
      </c>
      <c r="L81" s="10">
        <f>IFERROR(VLOOKUP(A81,'Centre DW5'!$A$7:$N$161,12,FALSE),0)+
IFERROR(VLOOKUP(A81,'Centre WP5'!$A$7:$N$160,12,FALSE),0)+
IFERROR(VLOOKUP(A81,'Centre WR5'!$A$7:$N$160,12,FALSE),0)</f>
        <v>0</v>
      </c>
      <c r="M81" s="10">
        <f>IFERROR(VLOOKUP(A81,'Centre DW5'!$A$7:$N$161,13,FALSE),0)+
IFERROR(VLOOKUP(A81,'Centre WP5'!$A$7:$N$160,13,FALSE),0)+
IFERROR(VLOOKUP(A81,'Centre WR5'!$A$7:$N$160,13,FALSE),0)</f>
        <v>0</v>
      </c>
      <c r="N81" s="10">
        <f>IFERROR(VLOOKUP(A81,'Centre DW5'!$A$7:$N$161,14,FALSE),0)+
IFERROR(VLOOKUP(A81,'Centre WP5'!$A$7:$N$160,14,FALSE),0)+
IFERROR(VLOOKUP(A81,'Centre WR5'!$A$7:$N$160,14,FALSE),0)</f>
        <v>0</v>
      </c>
    </row>
    <row r="82" spans="1:14" hidden="1" outlineLevel="1" x14ac:dyDescent="0.2">
      <c r="A82" s="9" t="s">
        <v>335</v>
      </c>
      <c r="B82" s="1" t="s">
        <v>336</v>
      </c>
      <c r="C82" s="10">
        <f>IFERROR(VLOOKUP(A82,'Centre DW5'!$A$7:$N$161,3,FALSE),0)+
IFERROR(VLOOKUP(A82,'Centre WP5'!$A$7:$N$160,3,FALSE),0)+
IFERROR(VLOOKUP(A82,'Centre WR5'!$A$7:$N$160,3,FALSE),0)</f>
        <v>7.9</v>
      </c>
      <c r="D82" s="10">
        <f>IFERROR(VLOOKUP(A82,'Centre DW5'!$A$7:$N$161,4,FALSE),0)+
IFERROR(VLOOKUP(A82,'Centre WP5'!$A$7:$N$160,4,FALSE),0)+
IFERROR(VLOOKUP(A82,'Centre WR5'!$A$7:$N$160,4,FALSE),0)</f>
        <v>6.4</v>
      </c>
      <c r="E82" s="10">
        <f>IFERROR(VLOOKUP(A82,'Centre DW5'!$A$7:$N$161,5,FALSE),0)+
IFERROR(VLOOKUP(A82,'Centre WP5'!$A$7:$N$160,5,FALSE),0)+
IFERROR(VLOOKUP(A82,'Centre WR5'!$A$7:$N$160,5,FALSE),0)</f>
        <v>6.3</v>
      </c>
      <c r="F82" s="10">
        <f>IFERROR(VLOOKUP(A82,'Centre DW5'!$A$7:$N$161,6,FALSE),0)+
IFERROR(VLOOKUP(A82,'Centre WP5'!$A$7:$N$160,6,FALSE),0)+
IFERROR(VLOOKUP(A82,'Centre WR5'!$A$7:$N$160,6,FALSE),0)</f>
        <v>1.1000000000000001</v>
      </c>
      <c r="G82" s="10">
        <f>IFERROR(VLOOKUP(A82,'Centre DW5'!$A$7:$N$161,7,FALSE),0)+
IFERROR(VLOOKUP(A82,'Centre WP5'!$A$7:$N$160,7,FALSE),0)+
IFERROR(VLOOKUP(A82,'Centre WR5'!$A$7:$N$160,7,FALSE),0)</f>
        <v>0</v>
      </c>
      <c r="H82" s="10">
        <f>IFERROR(VLOOKUP(A82,'Centre DW5'!$A$7:$N$161,8,FALSE),0)+
IFERROR(VLOOKUP(A82,'Centre WP5'!$A$7:$N$160,8,FALSE),0)+
IFERROR(VLOOKUP(A82,'Centre WR5'!$A$7:$N$160,8,FALSE),0)</f>
        <v>0</v>
      </c>
      <c r="I82" s="10">
        <f>IFERROR(VLOOKUP(A82,'Centre DW5'!$A$7:$N$161,9,FALSE),0)+
IFERROR(VLOOKUP(A82,'Centre WP5'!$A$7:$N$160,9,FALSE),0)+
IFERROR(VLOOKUP(A82,'Centre WR5'!$A$7:$N$160,9,FALSE),0)</f>
        <v>0</v>
      </c>
      <c r="J82" s="10">
        <f>IFERROR(VLOOKUP(A82,'Centre DW5'!$A$7:$N$161,10,FALSE),0)+
IFERROR(VLOOKUP(A82,'Centre WP5'!$A$7:$N$160,10,FALSE),0)+
IFERROR(VLOOKUP(A82,'Centre WR5'!$A$7:$N$160,10,FALSE),0)</f>
        <v>6.3</v>
      </c>
      <c r="K82" s="10">
        <f>IFERROR(VLOOKUP(A82,'Centre DW5'!$A$7:$N$161,11,FALSE),0)+
IFERROR(VLOOKUP(A82,'Centre WP5'!$A$7:$N$160,11,FALSE),0)+
IFERROR(VLOOKUP(A82,'Centre WR5'!$A$7:$N$160,11,FALSE),0)</f>
        <v>1.1000000000000001</v>
      </c>
      <c r="L82" s="10">
        <f>IFERROR(VLOOKUP(A82,'Centre DW5'!$A$7:$N$161,12,FALSE),0)+
IFERROR(VLOOKUP(A82,'Centre WP5'!$A$7:$N$160,12,FALSE),0)+
IFERROR(VLOOKUP(A82,'Centre WR5'!$A$7:$N$160,12,FALSE),0)</f>
        <v>0</v>
      </c>
      <c r="M82" s="10">
        <f>IFERROR(VLOOKUP(A82,'Centre DW5'!$A$7:$N$161,13,FALSE),0)+
IFERROR(VLOOKUP(A82,'Centre WP5'!$A$7:$N$160,13,FALSE),0)+
IFERROR(VLOOKUP(A82,'Centre WR5'!$A$7:$N$160,13,FALSE),0)</f>
        <v>5.5</v>
      </c>
      <c r="N82" s="10">
        <f>IFERROR(VLOOKUP(A82,'Centre DW5'!$A$7:$N$161,14,FALSE),0)+
IFERROR(VLOOKUP(A82,'Centre WP5'!$A$7:$N$160,14,FALSE),0)+
IFERROR(VLOOKUP(A82,'Centre WR5'!$A$7:$N$160,14,FALSE),0)</f>
        <v>4.7</v>
      </c>
    </row>
    <row r="83" spans="1:14" hidden="1" outlineLevel="1" x14ac:dyDescent="0.2">
      <c r="A83" s="9" t="s">
        <v>337</v>
      </c>
      <c r="B83" s="1" t="s">
        <v>338</v>
      </c>
      <c r="C83" s="10">
        <f>IFERROR(VLOOKUP(A83,'Centre DW5'!$A$7:$N$161,3,FALSE),0)+
IFERROR(VLOOKUP(A83,'Centre WP5'!$A$7:$N$160,3,FALSE),0)+
IFERROR(VLOOKUP(A83,'Centre WR5'!$A$7:$N$160,3,FALSE),0)</f>
        <v>0.5</v>
      </c>
      <c r="D83" s="10">
        <f>IFERROR(VLOOKUP(A83,'Centre DW5'!$A$7:$N$161,4,FALSE),0)+
IFERROR(VLOOKUP(A83,'Centre WP5'!$A$7:$N$160,4,FALSE),0)+
IFERROR(VLOOKUP(A83,'Centre WR5'!$A$7:$N$160,4,FALSE),0)</f>
        <v>0.5</v>
      </c>
      <c r="E83" s="10">
        <f>IFERROR(VLOOKUP(A83,'Centre DW5'!$A$7:$N$161,5,FALSE),0)+
IFERROR(VLOOKUP(A83,'Centre WP5'!$A$7:$N$160,5,FALSE),0)+
IFERROR(VLOOKUP(A83,'Centre WR5'!$A$7:$N$160,5,FALSE),0)</f>
        <v>0.5</v>
      </c>
      <c r="F83" s="10">
        <f>IFERROR(VLOOKUP(A83,'Centre DW5'!$A$7:$N$161,6,FALSE),0)+
IFERROR(VLOOKUP(A83,'Centre WP5'!$A$7:$N$160,6,FALSE),0)+
IFERROR(VLOOKUP(A83,'Centre WR5'!$A$7:$N$160,6,FALSE),0)</f>
        <v>0.5</v>
      </c>
      <c r="G83" s="10">
        <f>IFERROR(VLOOKUP(A83,'Centre DW5'!$A$7:$N$161,7,FALSE),0)+
IFERROR(VLOOKUP(A83,'Centre WP5'!$A$7:$N$160,7,FALSE),0)+
IFERROR(VLOOKUP(A83,'Centre WR5'!$A$7:$N$160,7,FALSE),0)</f>
        <v>0.5</v>
      </c>
      <c r="H83" s="10">
        <f>IFERROR(VLOOKUP(A83,'Centre DW5'!$A$7:$N$161,8,FALSE),0)+
IFERROR(VLOOKUP(A83,'Centre WP5'!$A$7:$N$160,8,FALSE),0)+
IFERROR(VLOOKUP(A83,'Centre WR5'!$A$7:$N$160,8,FALSE),0)</f>
        <v>0.5</v>
      </c>
      <c r="I83" s="10">
        <f>IFERROR(VLOOKUP(A83,'Centre DW5'!$A$7:$N$161,9,FALSE),0)+
IFERROR(VLOOKUP(A83,'Centre WP5'!$A$7:$N$160,9,FALSE),0)+
IFERROR(VLOOKUP(A83,'Centre WR5'!$A$7:$N$160,9,FALSE),0)</f>
        <v>0.5</v>
      </c>
      <c r="J83" s="10">
        <f>IFERROR(VLOOKUP(A83,'Centre DW5'!$A$7:$N$161,10,FALSE),0)+
IFERROR(VLOOKUP(A83,'Centre WP5'!$A$7:$N$160,10,FALSE),0)+
IFERROR(VLOOKUP(A83,'Centre WR5'!$A$7:$N$160,10,FALSE),0)</f>
        <v>0.5</v>
      </c>
      <c r="K83" s="10">
        <f>IFERROR(VLOOKUP(A83,'Centre DW5'!$A$7:$N$161,11,FALSE),0)+
IFERROR(VLOOKUP(A83,'Centre WP5'!$A$7:$N$160,11,FALSE),0)+
IFERROR(VLOOKUP(A83,'Centre WR5'!$A$7:$N$160,11,FALSE),0)</f>
        <v>0.5</v>
      </c>
      <c r="L83" s="10">
        <f>IFERROR(VLOOKUP(A83,'Centre DW5'!$A$7:$N$161,12,FALSE),0)+
IFERROR(VLOOKUP(A83,'Centre WP5'!$A$7:$N$160,12,FALSE),0)+
IFERROR(VLOOKUP(A83,'Centre WR5'!$A$7:$N$160,12,FALSE),0)</f>
        <v>0.5</v>
      </c>
      <c r="M83" s="10">
        <f>IFERROR(VLOOKUP(A83,'Centre DW5'!$A$7:$N$161,13,FALSE),0)+
IFERROR(VLOOKUP(A83,'Centre WP5'!$A$7:$N$160,13,FALSE),0)+
IFERROR(VLOOKUP(A83,'Centre WR5'!$A$7:$N$160,13,FALSE),0)</f>
        <v>0.5</v>
      </c>
      <c r="N83" s="10">
        <f>IFERROR(VLOOKUP(A83,'Centre DW5'!$A$7:$N$161,14,FALSE),0)+
IFERROR(VLOOKUP(A83,'Centre WP5'!$A$7:$N$160,14,FALSE),0)+
IFERROR(VLOOKUP(A83,'Centre WR5'!$A$7:$N$160,14,FALSE),0)</f>
        <v>0.5</v>
      </c>
    </row>
    <row r="84" spans="1:14" collapsed="1" x14ac:dyDescent="0.2">
      <c r="A84" s="33" t="s">
        <v>137</v>
      </c>
      <c r="B84" s="34" t="s">
        <v>138</v>
      </c>
      <c r="C84" s="44">
        <f t="shared" ref="C84:I84" si="22">SUM(C85:C91)</f>
        <v>5.8999999999999995</v>
      </c>
      <c r="D84" s="44">
        <f t="shared" si="22"/>
        <v>5.8999999999999995</v>
      </c>
      <c r="E84" s="44">
        <f t="shared" si="22"/>
        <v>6.8999999999999995</v>
      </c>
      <c r="F84" s="44">
        <f t="shared" si="22"/>
        <v>7.1</v>
      </c>
      <c r="G84" s="44">
        <f t="shared" si="22"/>
        <v>7.3999999999999995</v>
      </c>
      <c r="H84" s="44">
        <f t="shared" si="22"/>
        <v>7.1</v>
      </c>
      <c r="I84" s="44">
        <f t="shared" si="22"/>
        <v>7.1</v>
      </c>
      <c r="J84" s="44">
        <f>SUM(J85:J91)</f>
        <v>5.8999999999999995</v>
      </c>
      <c r="K84" s="44">
        <f t="shared" ref="K84:N84" si="23">SUM(K85:K91)</f>
        <v>7.1</v>
      </c>
      <c r="L84" s="44">
        <f t="shared" si="23"/>
        <v>7.1</v>
      </c>
      <c r="M84" s="44">
        <f t="shared" si="23"/>
        <v>7.1</v>
      </c>
      <c r="N84" s="44">
        <f t="shared" si="23"/>
        <v>7.1</v>
      </c>
    </row>
    <row r="85" spans="1:14" hidden="1" outlineLevel="1" x14ac:dyDescent="0.2">
      <c r="A85" s="9" t="s">
        <v>339</v>
      </c>
      <c r="B85" s="1" t="s">
        <v>340</v>
      </c>
      <c r="C85" s="10">
        <f>IFERROR(VLOOKUP(A85,'Centre DW5'!$A$7:$N$161,3,FALSE),0)+
IFERROR(VLOOKUP(A85,'Centre WP5'!$A$7:$N$160,3,FALSE),0)+
IFERROR(VLOOKUP(A85,'Centre WR5'!$A$7:$N$160,3,FALSE),0)</f>
        <v>3</v>
      </c>
      <c r="D85" s="10">
        <f>IFERROR(VLOOKUP(A85,'Centre DW5'!$A$7:$N$161,4,FALSE),0)+
IFERROR(VLOOKUP(A85,'Centre WP5'!$A$7:$N$160,4,FALSE),0)+
IFERROR(VLOOKUP(A85,'Centre WR5'!$A$7:$N$160,4,FALSE),0)</f>
        <v>3</v>
      </c>
      <c r="E85" s="10">
        <f>IFERROR(VLOOKUP(A85,'Centre DW5'!$A$7:$N$161,5,FALSE),0)+
IFERROR(VLOOKUP(A85,'Centre WP5'!$A$7:$N$160,5,FALSE),0)+
IFERROR(VLOOKUP(A85,'Centre WR5'!$A$7:$N$160,5,FALSE),0)</f>
        <v>3</v>
      </c>
      <c r="F85" s="10">
        <f>IFERROR(VLOOKUP(A85,'Centre DW5'!$A$7:$N$161,6,FALSE),0)+
IFERROR(VLOOKUP(A85,'Centre WP5'!$A$7:$N$160,6,FALSE),0)+
IFERROR(VLOOKUP(A85,'Centre WR5'!$A$7:$N$160,6,FALSE),0)</f>
        <v>3</v>
      </c>
      <c r="G85" s="10">
        <f>IFERROR(VLOOKUP(A85,'Centre DW5'!$A$7:$N$161,7,FALSE),0)+
IFERROR(VLOOKUP(A85,'Centre WP5'!$A$7:$N$160,7,FALSE),0)+
IFERROR(VLOOKUP(A85,'Centre WR5'!$A$7:$N$160,7,FALSE),0)</f>
        <v>3</v>
      </c>
      <c r="H85" s="10">
        <f>IFERROR(VLOOKUP(A85,'Centre DW5'!$A$7:$N$161,8,FALSE),0)+
IFERROR(VLOOKUP(A85,'Centre WP5'!$A$7:$N$160,8,FALSE),0)+
IFERROR(VLOOKUP(A85,'Centre WR5'!$A$7:$N$160,8,FALSE),0)</f>
        <v>3</v>
      </c>
      <c r="I85" s="10">
        <f>IFERROR(VLOOKUP(A85,'Centre DW5'!$A$7:$N$161,9,FALSE),0)+
IFERROR(VLOOKUP(A85,'Centre WP5'!$A$7:$N$160,9,FALSE),0)+
IFERROR(VLOOKUP(A85,'Centre WR5'!$A$7:$N$160,9,FALSE),0)</f>
        <v>3</v>
      </c>
      <c r="J85" s="10">
        <f>IFERROR(VLOOKUP(A85,'Centre DW5'!$A$7:$N$161,10,FALSE),0)+
IFERROR(VLOOKUP(A85,'Centre WP5'!$A$7:$N$160,10,FALSE),0)+
IFERROR(VLOOKUP(A85,'Centre WR5'!$A$7:$N$160,10,FALSE),0)</f>
        <v>3</v>
      </c>
      <c r="K85" s="10">
        <f>IFERROR(VLOOKUP(A85,'Centre DW5'!$A$7:$N$161,11,FALSE),0)+
IFERROR(VLOOKUP(A85,'Centre WP5'!$A$7:$N$160,11,FALSE),0)+
IFERROR(VLOOKUP(A85,'Centre WR5'!$A$7:$N$160,11,FALSE),0)</f>
        <v>3</v>
      </c>
      <c r="L85" s="10">
        <f>IFERROR(VLOOKUP(A85,'Centre DW5'!$A$7:$N$161,12,FALSE),0)+
IFERROR(VLOOKUP(A85,'Centre WP5'!$A$7:$N$160,12,FALSE),0)+
IFERROR(VLOOKUP(A85,'Centre WR5'!$A$7:$N$160,12,FALSE),0)</f>
        <v>3</v>
      </c>
      <c r="M85" s="10">
        <f>IFERROR(VLOOKUP(A85,'Centre DW5'!$A$7:$N$161,13,FALSE),0)+
IFERROR(VLOOKUP(A85,'Centre WP5'!$A$7:$N$160,13,FALSE),0)+
IFERROR(VLOOKUP(A85,'Centre WR5'!$A$7:$N$160,13,FALSE),0)</f>
        <v>3</v>
      </c>
      <c r="N85" s="10">
        <f>IFERROR(VLOOKUP(A85,'Centre DW5'!$A$7:$N$161,14,FALSE),0)+
IFERROR(VLOOKUP(A85,'Centre WP5'!$A$7:$N$160,14,FALSE),0)+
IFERROR(VLOOKUP(A85,'Centre WR5'!$A$7:$N$160,14,FALSE),0)</f>
        <v>3</v>
      </c>
    </row>
    <row r="86" spans="1:14" hidden="1" outlineLevel="1" x14ac:dyDescent="0.2">
      <c r="A86" s="9" t="s">
        <v>341</v>
      </c>
      <c r="B86" s="1" t="s">
        <v>342</v>
      </c>
      <c r="C86" s="10">
        <f>IFERROR(VLOOKUP(A86,'Centre DW5'!$A$7:$N$161,3,FALSE),0)+
IFERROR(VLOOKUP(A86,'Centre WP5'!$A$7:$N$160,3,FALSE),0)+
IFERROR(VLOOKUP(A86,'Centre WR5'!$A$7:$N$160,3,FALSE),0)</f>
        <v>1.1000000000000001</v>
      </c>
      <c r="D86" s="10">
        <f>IFERROR(VLOOKUP(A86,'Centre DW5'!$A$7:$N$161,4,FALSE),0)+
IFERROR(VLOOKUP(A86,'Centre WP5'!$A$7:$N$160,4,FALSE),0)+
IFERROR(VLOOKUP(A86,'Centre WR5'!$A$7:$N$160,4,FALSE),0)</f>
        <v>1.1000000000000001</v>
      </c>
      <c r="E86" s="10">
        <f>IFERROR(VLOOKUP(A86,'Centre DW5'!$A$7:$N$161,5,FALSE),0)+
IFERROR(VLOOKUP(A86,'Centre WP5'!$A$7:$N$160,5,FALSE),0)+
IFERROR(VLOOKUP(A86,'Centre WR5'!$A$7:$N$160,5,FALSE),0)</f>
        <v>1.1000000000000001</v>
      </c>
      <c r="F86" s="10">
        <f>IFERROR(VLOOKUP(A86,'Centre DW5'!$A$7:$N$161,6,FALSE),0)+
IFERROR(VLOOKUP(A86,'Centre WP5'!$A$7:$N$160,6,FALSE),0)+
IFERROR(VLOOKUP(A86,'Centre WR5'!$A$7:$N$160,6,FALSE),0)</f>
        <v>2.2999999999999998</v>
      </c>
      <c r="G86" s="10">
        <f>IFERROR(VLOOKUP(A86,'Centre DW5'!$A$7:$N$161,7,FALSE),0)+
IFERROR(VLOOKUP(A86,'Centre WP5'!$A$7:$N$160,7,FALSE),0)+
IFERROR(VLOOKUP(A86,'Centre WR5'!$A$7:$N$160,7,FALSE),0)</f>
        <v>2.2999999999999998</v>
      </c>
      <c r="H86" s="10">
        <f>IFERROR(VLOOKUP(A86,'Centre DW5'!$A$7:$N$161,8,FALSE),0)+
IFERROR(VLOOKUP(A86,'Centre WP5'!$A$7:$N$160,8,FALSE),0)+
IFERROR(VLOOKUP(A86,'Centre WR5'!$A$7:$N$160,8,FALSE),0)</f>
        <v>2.2999999999999998</v>
      </c>
      <c r="I86" s="10">
        <f>IFERROR(VLOOKUP(A86,'Centre DW5'!$A$7:$N$161,9,FALSE),0)+
IFERROR(VLOOKUP(A86,'Centre WP5'!$A$7:$N$160,9,FALSE),0)+
IFERROR(VLOOKUP(A86,'Centre WR5'!$A$7:$N$160,9,FALSE),0)</f>
        <v>2.2999999999999998</v>
      </c>
      <c r="J86" s="10">
        <f>IFERROR(VLOOKUP(A86,'Centre DW5'!$A$7:$N$161,10,FALSE),0)+
IFERROR(VLOOKUP(A86,'Centre WP5'!$A$7:$N$160,10,FALSE),0)+
IFERROR(VLOOKUP(A86,'Centre WR5'!$A$7:$N$160,10,FALSE),0)</f>
        <v>1.1000000000000001</v>
      </c>
      <c r="K86" s="10">
        <f>IFERROR(VLOOKUP(A86,'Centre DW5'!$A$7:$N$161,11,FALSE),0)+
IFERROR(VLOOKUP(A86,'Centre WP5'!$A$7:$N$160,11,FALSE),0)+
IFERROR(VLOOKUP(A86,'Centre WR5'!$A$7:$N$160,11,FALSE),0)</f>
        <v>2.2999999999999998</v>
      </c>
      <c r="L86" s="10">
        <f>IFERROR(VLOOKUP(A86,'Centre DW5'!$A$7:$N$161,12,FALSE),0)+
IFERROR(VLOOKUP(A86,'Centre WP5'!$A$7:$N$160,12,FALSE),0)+
IFERROR(VLOOKUP(A86,'Centre WR5'!$A$7:$N$160,12,FALSE),0)</f>
        <v>2.2999999999999998</v>
      </c>
      <c r="M86" s="10">
        <f>IFERROR(VLOOKUP(A86,'Centre DW5'!$A$7:$N$161,13,FALSE),0)+
IFERROR(VLOOKUP(A86,'Centre WP5'!$A$7:$N$160,13,FALSE),0)+
IFERROR(VLOOKUP(A86,'Centre WR5'!$A$7:$N$160,13,FALSE),0)</f>
        <v>2.2999999999999998</v>
      </c>
      <c r="N86" s="10">
        <f>IFERROR(VLOOKUP(A86,'Centre DW5'!$A$7:$N$161,14,FALSE),0)+
IFERROR(VLOOKUP(A86,'Centre WP5'!$A$7:$N$160,14,FALSE),0)+
IFERROR(VLOOKUP(A86,'Centre WR5'!$A$7:$N$160,14,FALSE),0)</f>
        <v>2.2999999999999998</v>
      </c>
    </row>
    <row r="87" spans="1:14" hidden="1" outlineLevel="1" x14ac:dyDescent="0.2">
      <c r="A87" s="9" t="s">
        <v>343</v>
      </c>
      <c r="B87" s="1" t="s">
        <v>344</v>
      </c>
      <c r="C87" s="10">
        <f>IFERROR(VLOOKUP(A87,'Centre DW5'!$A$7:$N$161,3,FALSE),0)+
IFERROR(VLOOKUP(A87,'Centre WP5'!$A$7:$N$160,3,FALSE),0)+
IFERROR(VLOOKUP(A87,'Centre WR5'!$A$7:$N$160,3,FALSE),0)</f>
        <v>0.5</v>
      </c>
      <c r="D87" s="10">
        <f>IFERROR(VLOOKUP(A87,'Centre DW5'!$A$7:$N$161,4,FALSE),0)+
IFERROR(VLOOKUP(A87,'Centre WP5'!$A$7:$N$160,4,FALSE),0)+
IFERROR(VLOOKUP(A87,'Centre WR5'!$A$7:$N$160,4,FALSE),0)</f>
        <v>0.5</v>
      </c>
      <c r="E87" s="10">
        <f>IFERROR(VLOOKUP(A87,'Centre DW5'!$A$7:$N$161,5,FALSE),0)+
IFERROR(VLOOKUP(A87,'Centre WP5'!$A$7:$N$160,5,FALSE),0)+
IFERROR(VLOOKUP(A87,'Centre WR5'!$A$7:$N$160,5,FALSE),0)</f>
        <v>0.5</v>
      </c>
      <c r="F87" s="10">
        <f>IFERROR(VLOOKUP(A87,'Centre DW5'!$A$7:$N$161,6,FALSE),0)+
IFERROR(VLOOKUP(A87,'Centre WP5'!$A$7:$N$160,6,FALSE),0)+
IFERROR(VLOOKUP(A87,'Centre WR5'!$A$7:$N$160,6,FALSE),0)</f>
        <v>0.5</v>
      </c>
      <c r="G87" s="10">
        <f>IFERROR(VLOOKUP(A87,'Centre DW5'!$A$7:$N$161,7,FALSE),0)+
IFERROR(VLOOKUP(A87,'Centre WP5'!$A$7:$N$160,7,FALSE),0)+
IFERROR(VLOOKUP(A87,'Centre WR5'!$A$7:$N$160,7,FALSE),0)</f>
        <v>0.5</v>
      </c>
      <c r="H87" s="10">
        <f>IFERROR(VLOOKUP(A87,'Centre DW5'!$A$7:$N$161,8,FALSE),0)+
IFERROR(VLOOKUP(A87,'Centre WP5'!$A$7:$N$160,8,FALSE),0)+
IFERROR(VLOOKUP(A87,'Centre WR5'!$A$7:$N$160,8,FALSE),0)</f>
        <v>0.5</v>
      </c>
      <c r="I87" s="10">
        <f>IFERROR(VLOOKUP(A87,'Centre DW5'!$A$7:$N$161,9,FALSE),0)+
IFERROR(VLOOKUP(A87,'Centre WP5'!$A$7:$N$160,9,FALSE),0)+
IFERROR(VLOOKUP(A87,'Centre WR5'!$A$7:$N$160,9,FALSE),0)</f>
        <v>0.5</v>
      </c>
      <c r="J87" s="10">
        <f>IFERROR(VLOOKUP(A87,'Centre DW5'!$A$7:$N$161,10,FALSE),0)+
IFERROR(VLOOKUP(A87,'Centre WP5'!$A$7:$N$160,10,FALSE),0)+
IFERROR(VLOOKUP(A87,'Centre WR5'!$A$7:$N$160,10,FALSE),0)</f>
        <v>0.5</v>
      </c>
      <c r="K87" s="10">
        <f>IFERROR(VLOOKUP(A87,'Centre DW5'!$A$7:$N$161,11,FALSE),0)+
IFERROR(VLOOKUP(A87,'Centre WP5'!$A$7:$N$160,11,FALSE),0)+
IFERROR(VLOOKUP(A87,'Centre WR5'!$A$7:$N$160,11,FALSE),0)</f>
        <v>0.5</v>
      </c>
      <c r="L87" s="10">
        <f>IFERROR(VLOOKUP(A87,'Centre DW5'!$A$7:$N$161,12,FALSE),0)+
IFERROR(VLOOKUP(A87,'Centre WP5'!$A$7:$N$160,12,FALSE),0)+
IFERROR(VLOOKUP(A87,'Centre WR5'!$A$7:$N$160,12,FALSE),0)</f>
        <v>0.5</v>
      </c>
      <c r="M87" s="10">
        <f>IFERROR(VLOOKUP(A87,'Centre DW5'!$A$7:$N$161,13,FALSE),0)+
IFERROR(VLOOKUP(A87,'Centre WP5'!$A$7:$N$160,13,FALSE),0)+
IFERROR(VLOOKUP(A87,'Centre WR5'!$A$7:$N$160,13,FALSE),0)</f>
        <v>0.5</v>
      </c>
      <c r="N87" s="10">
        <f>IFERROR(VLOOKUP(A87,'Centre DW5'!$A$7:$N$161,14,FALSE),0)+
IFERROR(VLOOKUP(A87,'Centre WP5'!$A$7:$N$160,14,FALSE),0)+
IFERROR(VLOOKUP(A87,'Centre WR5'!$A$7:$N$160,14,FALSE),0)</f>
        <v>0.5</v>
      </c>
    </row>
    <row r="88" spans="1:14" hidden="1" outlineLevel="1" x14ac:dyDescent="0.2">
      <c r="A88" s="9" t="s">
        <v>345</v>
      </c>
      <c r="B88" s="1" t="s">
        <v>346</v>
      </c>
      <c r="C88" s="10">
        <f>IFERROR(VLOOKUP(A88,'Centre DW5'!$A$7:$N$161,3,FALSE),0)+
IFERROR(VLOOKUP(A88,'Centre WP5'!$A$7:$N$160,3,FALSE),0)+
IFERROR(VLOOKUP(A88,'Centre WR5'!$A$7:$N$160,3,FALSE),0)</f>
        <v>0</v>
      </c>
      <c r="D88" s="10">
        <f>IFERROR(VLOOKUP(A88,'Centre DW5'!$A$7:$N$161,4,FALSE),0)+
IFERROR(VLOOKUP(A88,'Centre WP5'!$A$7:$N$160,4,FALSE),0)+
IFERROR(VLOOKUP(A88,'Centre WR5'!$A$7:$N$160,4,FALSE),0)</f>
        <v>0</v>
      </c>
      <c r="E88" s="10">
        <f>IFERROR(VLOOKUP(A88,'Centre DW5'!$A$7:$N$161,5,FALSE),0)+
IFERROR(VLOOKUP(A88,'Centre WP5'!$A$7:$N$160,5,FALSE),0)+
IFERROR(VLOOKUP(A88,'Centre WR5'!$A$7:$N$160,5,FALSE),0)</f>
        <v>0</v>
      </c>
      <c r="F88" s="10">
        <f>IFERROR(VLOOKUP(A88,'Centre DW5'!$A$7:$N$161,6,FALSE),0)+
IFERROR(VLOOKUP(A88,'Centre WP5'!$A$7:$N$160,6,FALSE),0)+
IFERROR(VLOOKUP(A88,'Centre WR5'!$A$7:$N$160,6,FALSE),0)</f>
        <v>0</v>
      </c>
      <c r="G88" s="10">
        <f>IFERROR(VLOOKUP(A88,'Centre DW5'!$A$7:$N$161,7,FALSE),0)+
IFERROR(VLOOKUP(A88,'Centre WP5'!$A$7:$N$160,7,FALSE),0)+
IFERROR(VLOOKUP(A88,'Centre WR5'!$A$7:$N$160,7,FALSE),0)</f>
        <v>0</v>
      </c>
      <c r="H88" s="10">
        <f>IFERROR(VLOOKUP(A88,'Centre DW5'!$A$7:$N$161,8,FALSE),0)+
IFERROR(VLOOKUP(A88,'Centre WP5'!$A$7:$N$160,8,FALSE),0)+
IFERROR(VLOOKUP(A88,'Centre WR5'!$A$7:$N$160,8,FALSE),0)</f>
        <v>0</v>
      </c>
      <c r="I88" s="10">
        <f>IFERROR(VLOOKUP(A88,'Centre DW5'!$A$7:$N$161,9,FALSE),0)+
IFERROR(VLOOKUP(A88,'Centre WP5'!$A$7:$N$160,9,FALSE),0)+
IFERROR(VLOOKUP(A88,'Centre WR5'!$A$7:$N$160,9,FALSE),0)</f>
        <v>0</v>
      </c>
      <c r="J88" s="10">
        <f>IFERROR(VLOOKUP(A88,'Centre DW5'!$A$7:$N$161,10,FALSE),0)+
IFERROR(VLOOKUP(A88,'Centre WP5'!$A$7:$N$160,10,FALSE),0)+
IFERROR(VLOOKUP(A88,'Centre WR5'!$A$7:$N$160,10,FALSE),0)</f>
        <v>0</v>
      </c>
      <c r="K88" s="10">
        <f>IFERROR(VLOOKUP(A88,'Centre DW5'!$A$7:$N$161,11,FALSE),0)+
IFERROR(VLOOKUP(A88,'Centre WP5'!$A$7:$N$160,11,FALSE),0)+
IFERROR(VLOOKUP(A88,'Centre WR5'!$A$7:$N$160,11,FALSE),0)</f>
        <v>0</v>
      </c>
      <c r="L88" s="10">
        <f>IFERROR(VLOOKUP(A88,'Centre DW5'!$A$7:$N$161,12,FALSE),0)+
IFERROR(VLOOKUP(A88,'Centre WP5'!$A$7:$N$160,12,FALSE),0)+
IFERROR(VLOOKUP(A88,'Centre WR5'!$A$7:$N$160,12,FALSE),0)</f>
        <v>0</v>
      </c>
      <c r="M88" s="10">
        <f>IFERROR(VLOOKUP(A88,'Centre DW5'!$A$7:$N$161,13,FALSE),0)+
IFERROR(VLOOKUP(A88,'Centre WP5'!$A$7:$N$160,13,FALSE),0)+
IFERROR(VLOOKUP(A88,'Centre WR5'!$A$7:$N$160,13,FALSE),0)</f>
        <v>0</v>
      </c>
      <c r="N88" s="10">
        <f>IFERROR(VLOOKUP(A88,'Centre DW5'!$A$7:$N$161,14,FALSE),0)+
IFERROR(VLOOKUP(A88,'Centre WP5'!$A$7:$N$160,14,FALSE),0)+
IFERROR(VLOOKUP(A88,'Centre WR5'!$A$7:$N$160,14,FALSE),0)</f>
        <v>0</v>
      </c>
    </row>
    <row r="89" spans="1:14" hidden="1" outlineLevel="1" x14ac:dyDescent="0.2">
      <c r="A89" s="9" t="s">
        <v>347</v>
      </c>
      <c r="B89" s="1" t="s">
        <v>348</v>
      </c>
      <c r="C89" s="10">
        <f>IFERROR(VLOOKUP(A89,'Centre DW5'!$A$7:$N$161,3,FALSE),0)+
IFERROR(VLOOKUP(A89,'Centre WP5'!$A$7:$N$160,3,FALSE),0)+
IFERROR(VLOOKUP(A89,'Centre WR5'!$A$7:$N$160,3,FALSE),0)</f>
        <v>1.3</v>
      </c>
      <c r="D89" s="10">
        <f>IFERROR(VLOOKUP(A89,'Centre DW5'!$A$7:$N$161,4,FALSE),0)+
IFERROR(VLOOKUP(A89,'Centre WP5'!$A$7:$N$160,4,FALSE),0)+
IFERROR(VLOOKUP(A89,'Centre WR5'!$A$7:$N$160,4,FALSE),0)</f>
        <v>1.3</v>
      </c>
      <c r="E89" s="10">
        <f>IFERROR(VLOOKUP(A89,'Centre DW5'!$A$7:$N$161,5,FALSE),0)+
IFERROR(VLOOKUP(A89,'Centre WP5'!$A$7:$N$160,5,FALSE),0)+
IFERROR(VLOOKUP(A89,'Centre WR5'!$A$7:$N$160,5,FALSE),0)</f>
        <v>1.3</v>
      </c>
      <c r="F89" s="10">
        <f>IFERROR(VLOOKUP(A89,'Centre DW5'!$A$7:$N$161,6,FALSE),0)+
IFERROR(VLOOKUP(A89,'Centre WP5'!$A$7:$N$160,6,FALSE),0)+
IFERROR(VLOOKUP(A89,'Centre WR5'!$A$7:$N$160,6,FALSE),0)</f>
        <v>1.3</v>
      </c>
      <c r="G89" s="10">
        <f>IFERROR(VLOOKUP(A89,'Centre DW5'!$A$7:$N$161,7,FALSE),0)+
IFERROR(VLOOKUP(A89,'Centre WP5'!$A$7:$N$160,7,FALSE),0)+
IFERROR(VLOOKUP(A89,'Centre WR5'!$A$7:$N$160,7,FALSE),0)</f>
        <v>1.3</v>
      </c>
      <c r="H89" s="10">
        <f>IFERROR(VLOOKUP(A89,'Centre DW5'!$A$7:$N$161,8,FALSE),0)+
IFERROR(VLOOKUP(A89,'Centre WP5'!$A$7:$N$160,8,FALSE),0)+
IFERROR(VLOOKUP(A89,'Centre WR5'!$A$7:$N$160,8,FALSE),0)</f>
        <v>1.3</v>
      </c>
      <c r="I89" s="10">
        <f>IFERROR(VLOOKUP(A89,'Centre DW5'!$A$7:$N$161,9,FALSE),0)+
IFERROR(VLOOKUP(A89,'Centre WP5'!$A$7:$N$160,9,FALSE),0)+
IFERROR(VLOOKUP(A89,'Centre WR5'!$A$7:$N$160,9,FALSE),0)</f>
        <v>1.3</v>
      </c>
      <c r="J89" s="10">
        <f>IFERROR(VLOOKUP(A89,'Centre DW5'!$A$7:$N$161,10,FALSE),0)+
IFERROR(VLOOKUP(A89,'Centre WP5'!$A$7:$N$160,10,FALSE),0)+
IFERROR(VLOOKUP(A89,'Centre WR5'!$A$7:$N$160,10,FALSE),0)</f>
        <v>1.3</v>
      </c>
      <c r="K89" s="10">
        <f>IFERROR(VLOOKUP(A89,'Centre DW5'!$A$7:$N$161,11,FALSE),0)+
IFERROR(VLOOKUP(A89,'Centre WP5'!$A$7:$N$160,11,FALSE),0)+
IFERROR(VLOOKUP(A89,'Centre WR5'!$A$7:$N$160,11,FALSE),0)</f>
        <v>1.3</v>
      </c>
      <c r="L89" s="10">
        <f>IFERROR(VLOOKUP(A89,'Centre DW5'!$A$7:$N$161,12,FALSE),0)+
IFERROR(VLOOKUP(A89,'Centre WP5'!$A$7:$N$160,12,FALSE),0)+
IFERROR(VLOOKUP(A89,'Centre WR5'!$A$7:$N$160,12,FALSE),0)</f>
        <v>1.3</v>
      </c>
      <c r="M89" s="10">
        <f>IFERROR(VLOOKUP(A89,'Centre DW5'!$A$7:$N$161,13,FALSE),0)+
IFERROR(VLOOKUP(A89,'Centre WP5'!$A$7:$N$160,13,FALSE),0)+
IFERROR(VLOOKUP(A89,'Centre WR5'!$A$7:$N$160,13,FALSE),0)</f>
        <v>1.3</v>
      </c>
      <c r="N89" s="10">
        <f>IFERROR(VLOOKUP(A89,'Centre DW5'!$A$7:$N$161,14,FALSE),0)+
IFERROR(VLOOKUP(A89,'Centre WP5'!$A$7:$N$160,14,FALSE),0)+
IFERROR(VLOOKUP(A89,'Centre WR5'!$A$7:$N$160,14,FALSE),0)</f>
        <v>1.3</v>
      </c>
    </row>
    <row r="90" spans="1:14" hidden="1" outlineLevel="1" x14ac:dyDescent="0.2">
      <c r="A90" s="9" t="s">
        <v>349</v>
      </c>
      <c r="B90" s="1" t="s">
        <v>350</v>
      </c>
      <c r="C90" s="10">
        <f>IFERROR(VLOOKUP(A90,'Centre DW5'!$A$7:$N$161,3,FALSE),0)+
IFERROR(VLOOKUP(A90,'Centre WP5'!$A$7:$N$160,3,FALSE),0)+
IFERROR(VLOOKUP(A90,'Centre WR5'!$A$7:$N$160,3,FALSE),0)</f>
        <v>0</v>
      </c>
      <c r="D90" s="10">
        <f>IFERROR(VLOOKUP(A90,'Centre DW5'!$A$7:$N$161,4,FALSE),0)+
IFERROR(VLOOKUP(A90,'Centre WP5'!$A$7:$N$160,4,FALSE),0)+
IFERROR(VLOOKUP(A90,'Centre WR5'!$A$7:$N$160,4,FALSE),0)</f>
        <v>0</v>
      </c>
      <c r="E90" s="10">
        <f>IFERROR(VLOOKUP(A90,'Centre DW5'!$A$7:$N$161,5,FALSE),0)+
IFERROR(VLOOKUP(A90,'Centre WP5'!$A$7:$N$160,5,FALSE),0)+
IFERROR(VLOOKUP(A90,'Centre WR5'!$A$7:$N$160,5,FALSE),0)</f>
        <v>0</v>
      </c>
      <c r="F90" s="10">
        <f>IFERROR(VLOOKUP(A90,'Centre DW5'!$A$7:$N$161,6,FALSE),0)+
IFERROR(VLOOKUP(A90,'Centre WP5'!$A$7:$N$160,6,FALSE),0)+
IFERROR(VLOOKUP(A90,'Centre WR5'!$A$7:$N$160,6,FALSE),0)</f>
        <v>0</v>
      </c>
      <c r="G90" s="10">
        <f>IFERROR(VLOOKUP(A90,'Centre DW5'!$A$7:$N$161,7,FALSE),0)+
IFERROR(VLOOKUP(A90,'Centre WP5'!$A$7:$N$160,7,FALSE),0)+
IFERROR(VLOOKUP(A90,'Centre WR5'!$A$7:$N$160,7,FALSE),0)</f>
        <v>0</v>
      </c>
      <c r="H90" s="10">
        <f>IFERROR(VLOOKUP(A90,'Centre DW5'!$A$7:$N$161,8,FALSE),0)+
IFERROR(VLOOKUP(A90,'Centre WP5'!$A$7:$N$160,8,FALSE),0)+
IFERROR(VLOOKUP(A90,'Centre WR5'!$A$7:$N$160,8,FALSE),0)</f>
        <v>0</v>
      </c>
      <c r="I90" s="10">
        <f>IFERROR(VLOOKUP(A90,'Centre DW5'!$A$7:$N$161,9,FALSE),0)+
IFERROR(VLOOKUP(A90,'Centre WP5'!$A$7:$N$160,9,FALSE),0)+
IFERROR(VLOOKUP(A90,'Centre WR5'!$A$7:$N$160,9,FALSE),0)</f>
        <v>0</v>
      </c>
      <c r="J90" s="10">
        <f>IFERROR(VLOOKUP(A90,'Centre DW5'!$A$7:$N$161,10,FALSE),0)+
IFERROR(VLOOKUP(A90,'Centre WP5'!$A$7:$N$160,10,FALSE),0)+
IFERROR(VLOOKUP(A90,'Centre WR5'!$A$7:$N$160,10,FALSE),0)</f>
        <v>0</v>
      </c>
      <c r="K90" s="10">
        <f>IFERROR(VLOOKUP(A90,'Centre DW5'!$A$7:$N$161,11,FALSE),0)+
IFERROR(VLOOKUP(A90,'Centre WP5'!$A$7:$N$160,11,FALSE),0)+
IFERROR(VLOOKUP(A90,'Centre WR5'!$A$7:$N$160,11,FALSE),0)</f>
        <v>0</v>
      </c>
      <c r="L90" s="10">
        <f>IFERROR(VLOOKUP(A90,'Centre DW5'!$A$7:$N$161,12,FALSE),0)+
IFERROR(VLOOKUP(A90,'Centre WP5'!$A$7:$N$160,12,FALSE),0)+
IFERROR(VLOOKUP(A90,'Centre WR5'!$A$7:$N$160,12,FALSE),0)</f>
        <v>0</v>
      </c>
      <c r="M90" s="10">
        <f>IFERROR(VLOOKUP(A90,'Centre DW5'!$A$7:$N$161,13,FALSE),0)+
IFERROR(VLOOKUP(A90,'Centre WP5'!$A$7:$N$160,13,FALSE),0)+
IFERROR(VLOOKUP(A90,'Centre WR5'!$A$7:$N$160,13,FALSE),0)</f>
        <v>0</v>
      </c>
      <c r="N90" s="10">
        <f>IFERROR(VLOOKUP(A90,'Centre DW5'!$A$7:$N$161,14,FALSE),0)+
IFERROR(VLOOKUP(A90,'Centre WP5'!$A$7:$N$160,14,FALSE),0)+
IFERROR(VLOOKUP(A90,'Centre WR5'!$A$7:$N$160,14,FALSE),0)</f>
        <v>0</v>
      </c>
    </row>
    <row r="91" spans="1:14" hidden="1" outlineLevel="1" x14ac:dyDescent="0.2">
      <c r="A91" s="9" t="s">
        <v>351</v>
      </c>
      <c r="B91" s="1" t="s">
        <v>352</v>
      </c>
      <c r="C91" s="10">
        <f>IFERROR(VLOOKUP(A91,'Centre DW5'!$A$7:$N$161,3,FALSE),0)+
IFERROR(VLOOKUP(A91,'Centre WP5'!$A$7:$N$160,3,FALSE),0)+
IFERROR(VLOOKUP(A91,'Centre WR5'!$A$7:$N$160,3,FALSE),0)</f>
        <v>0</v>
      </c>
      <c r="D91" s="10">
        <f>IFERROR(VLOOKUP(A91,'Centre DW5'!$A$7:$N$161,4,FALSE),0)+
IFERROR(VLOOKUP(A91,'Centre WP5'!$A$7:$N$160,4,FALSE),0)+
IFERROR(VLOOKUP(A91,'Centre WR5'!$A$7:$N$160,4,FALSE),0)</f>
        <v>0</v>
      </c>
      <c r="E91" s="10">
        <f>IFERROR(VLOOKUP(A91,'Centre DW5'!$A$7:$N$161,5,FALSE),0)+
IFERROR(VLOOKUP(A91,'Centre WP5'!$A$7:$N$160,5,FALSE),0)+
IFERROR(VLOOKUP(A91,'Centre WR5'!$A$7:$N$160,5,FALSE),0)</f>
        <v>1</v>
      </c>
      <c r="F91" s="10">
        <f>IFERROR(VLOOKUP(A91,'Centre DW5'!$A$7:$N$161,6,FALSE),0)+
IFERROR(VLOOKUP(A91,'Centre WP5'!$A$7:$N$160,6,FALSE),0)+
IFERROR(VLOOKUP(A91,'Centre WR5'!$A$7:$N$160,6,FALSE),0)</f>
        <v>0</v>
      </c>
      <c r="G91" s="10">
        <f>IFERROR(VLOOKUP(A91,'Centre DW5'!$A$7:$N$161,7,FALSE),0)+
IFERROR(VLOOKUP(A91,'Centre WP5'!$A$7:$N$160,7,FALSE),0)+
IFERROR(VLOOKUP(A91,'Centre WR5'!$A$7:$N$160,7,FALSE),0)</f>
        <v>0.3</v>
      </c>
      <c r="H91" s="10">
        <f>IFERROR(VLOOKUP(A91,'Centre DW5'!$A$7:$N$161,8,FALSE),0)+
IFERROR(VLOOKUP(A91,'Centre WP5'!$A$7:$N$160,8,FALSE),0)+
IFERROR(VLOOKUP(A91,'Centre WR5'!$A$7:$N$160,8,FALSE),0)</f>
        <v>0</v>
      </c>
      <c r="I91" s="10">
        <f>IFERROR(VLOOKUP(A91,'Centre DW5'!$A$7:$N$161,9,FALSE),0)+
IFERROR(VLOOKUP(A91,'Centre WP5'!$A$7:$N$160,9,FALSE),0)+
IFERROR(VLOOKUP(A91,'Centre WR5'!$A$7:$N$160,9,FALSE),0)</f>
        <v>0</v>
      </c>
      <c r="J91" s="10">
        <f>IFERROR(VLOOKUP(A91,'Centre DW5'!$A$7:$N$161,10,FALSE),0)+
IFERROR(VLOOKUP(A91,'Centre WP5'!$A$7:$N$160,10,FALSE),0)+
IFERROR(VLOOKUP(A91,'Centre WR5'!$A$7:$N$160,10,FALSE),0)</f>
        <v>0</v>
      </c>
      <c r="K91" s="10">
        <f>IFERROR(VLOOKUP(A91,'Centre DW5'!$A$7:$N$161,11,FALSE),0)+
IFERROR(VLOOKUP(A91,'Centre WP5'!$A$7:$N$160,11,FALSE),0)+
IFERROR(VLOOKUP(A91,'Centre WR5'!$A$7:$N$160,11,FALSE),0)</f>
        <v>0</v>
      </c>
      <c r="L91" s="10">
        <f>IFERROR(VLOOKUP(A91,'Centre DW5'!$A$7:$N$161,12,FALSE),0)+
IFERROR(VLOOKUP(A91,'Centre WP5'!$A$7:$N$160,12,FALSE),0)+
IFERROR(VLOOKUP(A91,'Centre WR5'!$A$7:$N$160,12,FALSE),0)</f>
        <v>0</v>
      </c>
      <c r="M91" s="10">
        <f>IFERROR(VLOOKUP(A91,'Centre DW5'!$A$7:$N$161,13,FALSE),0)+
IFERROR(VLOOKUP(A91,'Centre WP5'!$A$7:$N$160,13,FALSE),0)+
IFERROR(VLOOKUP(A91,'Centre WR5'!$A$7:$N$160,13,FALSE),0)</f>
        <v>0</v>
      </c>
      <c r="N91" s="10">
        <f>IFERROR(VLOOKUP(A91,'Centre DW5'!$A$7:$N$161,14,FALSE),0)+
IFERROR(VLOOKUP(A91,'Centre WP5'!$A$7:$N$160,14,FALSE),0)+
IFERROR(VLOOKUP(A91,'Centre WR5'!$A$7:$N$160,14,FALSE),0)</f>
        <v>0</v>
      </c>
    </row>
    <row r="92" spans="1:14" collapsed="1" x14ac:dyDescent="0.2">
      <c r="A92" s="33" t="s">
        <v>139</v>
      </c>
      <c r="B92" s="34" t="s">
        <v>140</v>
      </c>
      <c r="C92" s="44">
        <f t="shared" ref="C92:I92" si="24">+C93</f>
        <v>0</v>
      </c>
      <c r="D92" s="44">
        <f t="shared" si="24"/>
        <v>0</v>
      </c>
      <c r="E92" s="44">
        <f t="shared" si="24"/>
        <v>0</v>
      </c>
      <c r="F92" s="44">
        <f t="shared" si="24"/>
        <v>0</v>
      </c>
      <c r="G92" s="44">
        <f t="shared" si="24"/>
        <v>0</v>
      </c>
      <c r="H92" s="44">
        <f t="shared" si="24"/>
        <v>0</v>
      </c>
      <c r="I92" s="44">
        <f t="shared" si="24"/>
        <v>0</v>
      </c>
      <c r="J92" s="44">
        <f>+J93</f>
        <v>0</v>
      </c>
      <c r="K92" s="44">
        <f t="shared" ref="K92:N92" si="25">+K93</f>
        <v>0</v>
      </c>
      <c r="L92" s="44">
        <f t="shared" si="25"/>
        <v>0</v>
      </c>
      <c r="M92" s="44">
        <f t="shared" si="25"/>
        <v>0</v>
      </c>
      <c r="N92" s="44">
        <f t="shared" si="25"/>
        <v>0</v>
      </c>
    </row>
    <row r="93" spans="1:14" hidden="1" outlineLevel="1" x14ac:dyDescent="0.2">
      <c r="A93" s="9" t="s">
        <v>353</v>
      </c>
      <c r="B93" s="1" t="s">
        <v>354</v>
      </c>
      <c r="C93" s="10">
        <f>IFERROR(VLOOKUP(A93,'Centre DW5'!$A$7:$N$161,3,FALSE),0)+
IFERROR(VLOOKUP(A93,'Centre WP5'!$A$7:$N$160,3,FALSE),0)+
IFERROR(VLOOKUP(A93,'Centre WR5'!$A$7:$N$160,3,FALSE),0)</f>
        <v>0</v>
      </c>
      <c r="D93" s="10">
        <f>IFERROR(VLOOKUP(A93,'Centre DW5'!$A$7:$N$161,4,FALSE),0)+
IFERROR(VLOOKUP(A93,'Centre WP5'!$A$7:$N$160,4,FALSE),0)+
IFERROR(VLOOKUP(A93,'Centre WR5'!$A$7:$N$160,4,FALSE),0)</f>
        <v>0</v>
      </c>
      <c r="E93" s="10">
        <f>IFERROR(VLOOKUP(A93,'Centre DW5'!$A$7:$N$161,5,FALSE),0)+
IFERROR(VLOOKUP(A93,'Centre WP5'!$A$7:$N$160,5,FALSE),0)+
IFERROR(VLOOKUP(A93,'Centre WR5'!$A$7:$N$160,5,FALSE),0)</f>
        <v>0</v>
      </c>
      <c r="F93" s="10">
        <f>IFERROR(VLOOKUP(A93,'Centre DW5'!$A$7:$N$161,6,FALSE),0)+
IFERROR(VLOOKUP(A93,'Centre WP5'!$A$7:$N$160,6,FALSE),0)+
IFERROR(VLOOKUP(A93,'Centre WR5'!$A$7:$N$160,6,FALSE),0)</f>
        <v>0</v>
      </c>
      <c r="G93" s="10">
        <f>IFERROR(VLOOKUP(A93,'Centre DW5'!$A$7:$N$161,7,FALSE),0)+
IFERROR(VLOOKUP(A93,'Centre WP5'!$A$7:$N$160,7,FALSE),0)+
IFERROR(VLOOKUP(A93,'Centre WR5'!$A$7:$N$160,7,FALSE),0)</f>
        <v>0</v>
      </c>
      <c r="H93" s="10">
        <f>IFERROR(VLOOKUP(A93,'Centre DW5'!$A$7:$N$161,8,FALSE),0)+
IFERROR(VLOOKUP(A93,'Centre WP5'!$A$7:$N$160,8,FALSE),0)+
IFERROR(VLOOKUP(A93,'Centre WR5'!$A$7:$N$160,8,FALSE),0)</f>
        <v>0</v>
      </c>
      <c r="I93" s="10">
        <f>IFERROR(VLOOKUP(A93,'Centre DW5'!$A$7:$N$161,9,FALSE),0)+
IFERROR(VLOOKUP(A93,'Centre WP5'!$A$7:$N$160,9,FALSE),0)+
IFERROR(VLOOKUP(A93,'Centre WR5'!$A$7:$N$160,9,FALSE),0)</f>
        <v>0</v>
      </c>
      <c r="J93" s="10">
        <f>IFERROR(VLOOKUP(A93,'Centre DW5'!$A$7:$N$161,10,FALSE),0)+
IFERROR(VLOOKUP(A93,'Centre WP5'!$A$7:$N$160,10,FALSE),0)+
IFERROR(VLOOKUP(A93,'Centre WR5'!$A$7:$N$160,10,FALSE),0)</f>
        <v>0</v>
      </c>
      <c r="K93" s="10">
        <f>IFERROR(VLOOKUP(A93,'Centre DW5'!$A$7:$N$161,11,FALSE),0)+
IFERROR(VLOOKUP(A93,'Centre WP5'!$A$7:$N$160,11,FALSE),0)+
IFERROR(VLOOKUP(A93,'Centre WR5'!$A$7:$N$160,11,FALSE),0)</f>
        <v>0</v>
      </c>
      <c r="L93" s="10">
        <f>IFERROR(VLOOKUP(A93,'Centre DW5'!$A$7:$N$161,12,FALSE),0)+
IFERROR(VLOOKUP(A93,'Centre WP5'!$A$7:$N$160,12,FALSE),0)+
IFERROR(VLOOKUP(A93,'Centre WR5'!$A$7:$N$160,12,FALSE),0)</f>
        <v>0</v>
      </c>
      <c r="M93" s="10">
        <f>IFERROR(VLOOKUP(A93,'Centre DW5'!$A$7:$N$161,13,FALSE),0)+
IFERROR(VLOOKUP(A93,'Centre WP5'!$A$7:$N$160,13,FALSE),0)+
IFERROR(VLOOKUP(A93,'Centre WR5'!$A$7:$N$160,13,FALSE),0)</f>
        <v>0</v>
      </c>
      <c r="N93" s="10">
        <f>IFERROR(VLOOKUP(A93,'Centre DW5'!$A$7:$N$161,14,FALSE),0)+
IFERROR(VLOOKUP(A93,'Centre WP5'!$A$7:$N$160,14,FALSE),0)+
IFERROR(VLOOKUP(A93,'Centre WR5'!$A$7:$N$160,14,FALSE),0)</f>
        <v>0</v>
      </c>
    </row>
    <row r="94" spans="1:14" collapsed="1" x14ac:dyDescent="0.2">
      <c r="A94" s="33" t="s">
        <v>141</v>
      </c>
      <c r="B94" s="34" t="s">
        <v>142</v>
      </c>
      <c r="C94" s="44">
        <f>IFERROR(VLOOKUP(A94,'Centre DW5'!$A$7:$N$161,3,FALSE),0)+
IFERROR(VLOOKUP(A94,'Centre WP5'!$A$7:$N$160,3,FALSE),0)+
IFERROR(VLOOKUP(A94,'Centre WR5'!$A$7:$N$160,3,FALSE),0)</f>
        <v>0</v>
      </c>
      <c r="D94" s="44">
        <f>IFERROR(VLOOKUP(A94,'Centre DW5'!$A$7:$N$161,4,FALSE),0)+
IFERROR(VLOOKUP(A94,'Centre WP5'!$A$7:$N$160,4,FALSE),0)+
IFERROR(VLOOKUP(A94,'Centre WR5'!$A$7:$N$160,4,FALSE),0)</f>
        <v>0</v>
      </c>
      <c r="E94" s="44">
        <f>IFERROR(VLOOKUP(A94,'Centre DW5'!$A$7:$N$161,5,FALSE),0)+
IFERROR(VLOOKUP(A94,'Centre WP5'!$A$7:$N$160,5,FALSE),0)+
IFERROR(VLOOKUP(A94,'Centre WR5'!$A$7:$N$160,5,FALSE),0)</f>
        <v>0</v>
      </c>
      <c r="F94" s="44">
        <f>IFERROR(VLOOKUP(A94,'Centre DW5'!$A$7:$N$161,6,FALSE),0)+
IFERROR(VLOOKUP(A94,'Centre WP5'!$A$7:$N$160,6,FALSE),0)+
IFERROR(VLOOKUP(A94,'Centre WR5'!$A$7:$N$160,6,FALSE),0)</f>
        <v>0</v>
      </c>
      <c r="G94" s="44">
        <f>IFERROR(VLOOKUP(A94,'Centre DW5'!$A$7:$N$161,7,FALSE),0)+
IFERROR(VLOOKUP(A94,'Centre WP5'!$A$7:$N$160,7,FALSE),0)+
IFERROR(VLOOKUP(A94,'Centre WR5'!$A$7:$N$160,7,FALSE),0)</f>
        <v>0</v>
      </c>
      <c r="H94" s="44">
        <f>IFERROR(VLOOKUP(A94,'Centre DW5'!$A$7:$N$161,8,FALSE),0)+
IFERROR(VLOOKUP(A94,'Centre WP5'!$A$7:$N$160,8,FALSE),0)+
IFERROR(VLOOKUP(A94,'Centre WR5'!$A$7:$N$160,8,FALSE),0)</f>
        <v>0</v>
      </c>
      <c r="I94" s="44">
        <f>IFERROR(VLOOKUP(A94,'Centre DW5'!$A$7:$N$161,9,FALSE),0)+
IFERROR(VLOOKUP(A94,'Centre WP5'!$A$7:$N$160,9,FALSE),0)+
IFERROR(VLOOKUP(A94,'Centre WR5'!$A$7:$N$160,9,FALSE),0)</f>
        <v>0</v>
      </c>
      <c r="J94" s="44">
        <f>IFERROR(VLOOKUP(A94,'Centre DW5'!$A$7:$N$161,10,FALSE),0)+
IFERROR(VLOOKUP(A94,'Centre WP5'!$A$7:$N$160,10,FALSE),0)+
IFERROR(VLOOKUP(A94,'Centre WR5'!$A$7:$N$160,10,FALSE),0)</f>
        <v>0</v>
      </c>
      <c r="K94" s="44">
        <f>IFERROR(VLOOKUP(A94,'Centre DW5'!$A$7:$N$161,11,FALSE),0)+
IFERROR(VLOOKUP(A94,'Centre WP5'!$A$7:$N$160,11,FALSE),0)+
IFERROR(VLOOKUP(A94,'Centre WR5'!$A$7:$N$160,11,FALSE),0)</f>
        <v>0</v>
      </c>
      <c r="L94" s="44">
        <f>IFERROR(VLOOKUP(A94,'Centre DW5'!$A$7:$N$161,12,FALSE),0)+
IFERROR(VLOOKUP(A94,'Centre WP5'!$A$7:$N$160,12,FALSE),0)+
IFERROR(VLOOKUP(A94,'Centre WR5'!$A$7:$N$160,12,FALSE),0)</f>
        <v>0</v>
      </c>
      <c r="M94" s="44">
        <f>IFERROR(VLOOKUP(A94,'Centre DW5'!$A$7:$N$161,13,FALSE),0)+
IFERROR(VLOOKUP(A94,'Centre WP5'!$A$7:$N$160,13,FALSE),0)+
IFERROR(VLOOKUP(A94,'Centre WR5'!$A$7:$N$160,13,FALSE),0)</f>
        <v>0</v>
      </c>
      <c r="N94" s="44">
        <f>IFERROR(VLOOKUP(A94,'Centre DW5'!$A$7:$N$161,14,FALSE),0)+
IFERROR(VLOOKUP(A94,'Centre WP5'!$A$7:$N$160,14,FALSE),0)+
IFERROR(VLOOKUP(A94,'Centre WR5'!$A$7:$N$160,14,FALSE),0)</f>
        <v>0</v>
      </c>
    </row>
    <row r="95" spans="1:14" x14ac:dyDescent="0.2">
      <c r="A95" s="33" t="s">
        <v>143</v>
      </c>
      <c r="B95" s="34" t="s">
        <v>144</v>
      </c>
      <c r="C95" s="44">
        <f t="shared" ref="C95:I95" si="26">SUM(C96:C102)</f>
        <v>143.30000000000001</v>
      </c>
      <c r="D95" s="44">
        <f t="shared" si="26"/>
        <v>151.69999999999999</v>
      </c>
      <c r="E95" s="44">
        <f t="shared" si="26"/>
        <v>142.5</v>
      </c>
      <c r="F95" s="44">
        <f t="shared" si="26"/>
        <v>141.80000000000001</v>
      </c>
      <c r="G95" s="44">
        <f t="shared" si="26"/>
        <v>127.29999999999998</v>
      </c>
      <c r="H95" s="44">
        <f t="shared" si="26"/>
        <v>146.20000000000002</v>
      </c>
      <c r="I95" s="44">
        <f t="shared" si="26"/>
        <v>141.5</v>
      </c>
      <c r="J95" s="44">
        <f>SUM(J96:J102)</f>
        <v>135.10000000000002</v>
      </c>
      <c r="K95" s="44">
        <f t="shared" ref="K95:N95" si="27">SUM(K96:K102)</f>
        <v>171.60000000000002</v>
      </c>
      <c r="L95" s="44">
        <f t="shared" si="27"/>
        <v>123.7</v>
      </c>
      <c r="M95" s="44">
        <f t="shared" si="27"/>
        <v>138.1</v>
      </c>
      <c r="N95" s="44">
        <f t="shared" si="27"/>
        <v>135</v>
      </c>
    </row>
    <row r="96" spans="1:14" hidden="1" outlineLevel="1" x14ac:dyDescent="0.2">
      <c r="A96" s="9" t="s">
        <v>145</v>
      </c>
      <c r="B96" s="1" t="s">
        <v>146</v>
      </c>
      <c r="C96" s="10">
        <f>IFERROR(VLOOKUP(A96,'Centre DW5'!$A$7:$N$161,3,FALSE),0)+
IFERROR(VLOOKUP(A96,'Centre WP5'!$A$7:$N$160,3,FALSE),0)+
IFERROR(VLOOKUP(A96,'Centre WR5'!$A$7:$N$160,3,FALSE),0)</f>
        <v>86.1</v>
      </c>
      <c r="D96" s="10">
        <f>IFERROR(VLOOKUP(A96,'Centre DW5'!$A$7:$N$161,4,FALSE),0)+
IFERROR(VLOOKUP(A96,'Centre WP5'!$A$7:$N$160,4,FALSE),0)+
IFERROR(VLOOKUP(A96,'Centre WR5'!$A$7:$N$160,4,FALSE),0)</f>
        <v>86.8</v>
      </c>
      <c r="E96" s="10">
        <f>IFERROR(VLOOKUP(A96,'Centre DW5'!$A$7:$N$161,5,FALSE),0)+
IFERROR(VLOOKUP(A96,'Centre WP5'!$A$7:$N$160,5,FALSE),0)+
IFERROR(VLOOKUP(A96,'Centre WR5'!$A$7:$N$160,5,FALSE),0)</f>
        <v>85.3</v>
      </c>
      <c r="F96" s="10">
        <f>IFERROR(VLOOKUP(A96,'Centre DW5'!$A$7:$N$161,6,FALSE),0)+
IFERROR(VLOOKUP(A96,'Centre WP5'!$A$7:$N$160,6,FALSE),0)+
IFERROR(VLOOKUP(A96,'Centre WR5'!$A$7:$N$160,6,FALSE),0)</f>
        <v>86</v>
      </c>
      <c r="G96" s="10">
        <f>IFERROR(VLOOKUP(A96,'Centre DW5'!$A$7:$N$161,7,FALSE),0)+
IFERROR(VLOOKUP(A96,'Centre WP5'!$A$7:$N$160,7,FALSE),0)+
IFERROR(VLOOKUP(A96,'Centre WR5'!$A$7:$N$160,7,FALSE),0)</f>
        <v>86</v>
      </c>
      <c r="H96" s="10">
        <f>IFERROR(VLOOKUP(A96,'Centre DW5'!$A$7:$N$161,8,FALSE),0)+
IFERROR(VLOOKUP(A96,'Centre WP5'!$A$7:$N$160,8,FALSE),0)+
IFERROR(VLOOKUP(A96,'Centre WR5'!$A$7:$N$160,8,FALSE),0)</f>
        <v>84.9</v>
      </c>
      <c r="I96" s="10">
        <f>IFERROR(VLOOKUP(A96,'Centre DW5'!$A$7:$N$161,9,FALSE),0)+
IFERROR(VLOOKUP(A96,'Centre WP5'!$A$7:$N$160,9,FALSE),0)+
IFERROR(VLOOKUP(A96,'Centre WR5'!$A$7:$N$160,9,FALSE),0)</f>
        <v>85.8</v>
      </c>
      <c r="J96" s="10">
        <f>IFERROR(VLOOKUP(A96,'Centre DW5'!$A$7:$N$161,10,FALSE),0)+
IFERROR(VLOOKUP(A96,'Centre WP5'!$A$7:$N$160,10,FALSE),0)+
IFERROR(VLOOKUP(A96,'Centre WR5'!$A$7:$N$160,10,FALSE),0)</f>
        <v>86</v>
      </c>
      <c r="K96" s="10">
        <f>IFERROR(VLOOKUP(A96,'Centre DW5'!$A$7:$N$161,11,FALSE),0)+
IFERROR(VLOOKUP(A96,'Centre WP5'!$A$7:$N$160,11,FALSE),0)+
IFERROR(VLOOKUP(A96,'Centre WR5'!$A$7:$N$160,11,FALSE),0)</f>
        <v>84</v>
      </c>
      <c r="L96" s="10">
        <f>IFERROR(VLOOKUP(A96,'Centre DW5'!$A$7:$N$161,12,FALSE),0)+
IFERROR(VLOOKUP(A96,'Centre WP5'!$A$7:$N$160,12,FALSE),0)+
IFERROR(VLOOKUP(A96,'Centre WR5'!$A$7:$N$160,12,FALSE),0)</f>
        <v>87</v>
      </c>
      <c r="M96" s="10">
        <f>IFERROR(VLOOKUP(A96,'Centre DW5'!$A$7:$N$161,13,FALSE),0)+
IFERROR(VLOOKUP(A96,'Centre WP5'!$A$7:$N$160,13,FALSE),0)+
IFERROR(VLOOKUP(A96,'Centre WR5'!$A$7:$N$160,13,FALSE),0)</f>
        <v>85</v>
      </c>
      <c r="N96" s="10">
        <f>IFERROR(VLOOKUP(A96,'Centre DW5'!$A$7:$N$161,14,FALSE),0)+
IFERROR(VLOOKUP(A96,'Centre WP5'!$A$7:$N$160,14,FALSE),0)+
IFERROR(VLOOKUP(A96,'Centre WR5'!$A$7:$N$160,14,FALSE),0)</f>
        <v>84</v>
      </c>
    </row>
    <row r="97" spans="1:14" hidden="1" outlineLevel="1" x14ac:dyDescent="0.2">
      <c r="A97" s="9" t="s">
        <v>147</v>
      </c>
      <c r="B97" s="1" t="s">
        <v>148</v>
      </c>
      <c r="C97" s="10">
        <f>IFERROR(VLOOKUP(A97,'Centre DW5'!$A$7:$N$161,3,FALSE),0)+
IFERROR(VLOOKUP(A97,'Centre WP5'!$A$7:$N$160,3,FALSE),0)+
IFERROR(VLOOKUP(A97,'Centre WR5'!$A$7:$N$160,3,FALSE),0)</f>
        <v>0.2</v>
      </c>
      <c r="D97" s="10">
        <f>IFERROR(VLOOKUP(A97,'Centre DW5'!$A$7:$N$161,4,FALSE),0)+
IFERROR(VLOOKUP(A97,'Centre WP5'!$A$7:$N$160,4,FALSE),0)+
IFERROR(VLOOKUP(A97,'Centre WR5'!$A$7:$N$160,4,FALSE),0)</f>
        <v>0</v>
      </c>
      <c r="E97" s="10">
        <f>IFERROR(VLOOKUP(A97,'Centre DW5'!$A$7:$N$161,5,FALSE),0)+
IFERROR(VLOOKUP(A97,'Centre WP5'!$A$7:$N$160,5,FALSE),0)+
IFERROR(VLOOKUP(A97,'Centre WR5'!$A$7:$N$160,5,FALSE),0)</f>
        <v>0.2</v>
      </c>
      <c r="F97" s="10">
        <f>IFERROR(VLOOKUP(A97,'Centre DW5'!$A$7:$N$161,6,FALSE),0)+
IFERROR(VLOOKUP(A97,'Centre WP5'!$A$7:$N$160,6,FALSE),0)+
IFERROR(VLOOKUP(A97,'Centre WR5'!$A$7:$N$160,6,FALSE),0)</f>
        <v>0</v>
      </c>
      <c r="G97" s="10">
        <f>IFERROR(VLOOKUP(A97,'Centre DW5'!$A$7:$N$161,7,FALSE),0)+
IFERROR(VLOOKUP(A97,'Centre WP5'!$A$7:$N$160,7,FALSE),0)+
IFERROR(VLOOKUP(A97,'Centre WR5'!$A$7:$N$160,7,FALSE),0)</f>
        <v>0.2</v>
      </c>
      <c r="H97" s="10">
        <f>IFERROR(VLOOKUP(A97,'Centre DW5'!$A$7:$N$161,8,FALSE),0)+
IFERROR(VLOOKUP(A97,'Centre WP5'!$A$7:$N$160,8,FALSE),0)+
IFERROR(VLOOKUP(A97,'Centre WR5'!$A$7:$N$160,8,FALSE),0)</f>
        <v>2</v>
      </c>
      <c r="I97" s="10">
        <f>IFERROR(VLOOKUP(A97,'Centre DW5'!$A$7:$N$161,9,FALSE),0)+
IFERROR(VLOOKUP(A97,'Centre WP5'!$A$7:$N$160,9,FALSE),0)+
IFERROR(VLOOKUP(A97,'Centre WR5'!$A$7:$N$160,9,FALSE),0)</f>
        <v>0.2</v>
      </c>
      <c r="J97" s="10">
        <f>IFERROR(VLOOKUP(A97,'Centre DW5'!$A$7:$N$161,10,FALSE),0)+
IFERROR(VLOOKUP(A97,'Centre WP5'!$A$7:$N$160,10,FALSE),0)+
IFERROR(VLOOKUP(A97,'Centre WR5'!$A$7:$N$160,10,FALSE),0)</f>
        <v>0.2</v>
      </c>
      <c r="K97" s="10">
        <f>IFERROR(VLOOKUP(A97,'Centre DW5'!$A$7:$N$161,11,FALSE),0)+
IFERROR(VLOOKUP(A97,'Centre WP5'!$A$7:$N$160,11,FALSE),0)+
IFERROR(VLOOKUP(A97,'Centre WR5'!$A$7:$N$160,11,FALSE),0)</f>
        <v>0</v>
      </c>
      <c r="L97" s="10">
        <f>IFERROR(VLOOKUP(A97,'Centre DW5'!$A$7:$N$161,12,FALSE),0)+
IFERROR(VLOOKUP(A97,'Centre WP5'!$A$7:$N$160,12,FALSE),0)+
IFERROR(VLOOKUP(A97,'Centre WR5'!$A$7:$N$160,12,FALSE),0)</f>
        <v>0.2</v>
      </c>
      <c r="M97" s="10">
        <f>IFERROR(VLOOKUP(A97,'Centre DW5'!$A$7:$N$161,13,FALSE),0)+
IFERROR(VLOOKUP(A97,'Centre WP5'!$A$7:$N$160,13,FALSE),0)+
IFERROR(VLOOKUP(A97,'Centre WR5'!$A$7:$N$160,13,FALSE),0)</f>
        <v>2</v>
      </c>
      <c r="N97" s="10">
        <f>IFERROR(VLOOKUP(A97,'Centre DW5'!$A$7:$N$161,14,FALSE),0)+
IFERROR(VLOOKUP(A97,'Centre WP5'!$A$7:$N$160,14,FALSE),0)+
IFERROR(VLOOKUP(A97,'Centre WR5'!$A$7:$N$160,14,FALSE),0)</f>
        <v>0.2</v>
      </c>
    </row>
    <row r="98" spans="1:14" hidden="1" outlineLevel="1" x14ac:dyDescent="0.2">
      <c r="A98" s="9" t="s">
        <v>149</v>
      </c>
      <c r="B98" s="1" t="s">
        <v>150</v>
      </c>
      <c r="C98" s="10">
        <f>IFERROR(VLOOKUP(A98,'Centre DW5'!$A$7:$N$161,3,FALSE),0)+
IFERROR(VLOOKUP(A98,'Centre WP5'!$A$7:$N$160,3,FALSE),0)+
IFERROR(VLOOKUP(A98,'Centre WR5'!$A$7:$N$160,3,FALSE),0)</f>
        <v>16.7</v>
      </c>
      <c r="D98" s="10">
        <f>IFERROR(VLOOKUP(A98,'Centre DW5'!$A$7:$N$161,4,FALSE),0)+
IFERROR(VLOOKUP(A98,'Centre WP5'!$A$7:$N$160,4,FALSE),0)+
IFERROR(VLOOKUP(A98,'Centre WR5'!$A$7:$N$160,4,FALSE),0)</f>
        <v>28.5</v>
      </c>
      <c r="E98" s="10">
        <f>IFERROR(VLOOKUP(A98,'Centre DW5'!$A$7:$N$161,5,FALSE),0)+
IFERROR(VLOOKUP(A98,'Centre WP5'!$A$7:$N$160,5,FALSE),0)+
IFERROR(VLOOKUP(A98,'Centre WR5'!$A$7:$N$160,5,FALSE),0)</f>
        <v>13.7</v>
      </c>
      <c r="F98" s="10">
        <f>IFERROR(VLOOKUP(A98,'Centre DW5'!$A$7:$N$161,6,FALSE),0)+
IFERROR(VLOOKUP(A98,'Centre WP5'!$A$7:$N$160,6,FALSE),0)+
IFERROR(VLOOKUP(A98,'Centre WR5'!$A$7:$N$160,6,FALSE),0)</f>
        <v>27.9</v>
      </c>
      <c r="G98" s="10">
        <f>IFERROR(VLOOKUP(A98,'Centre DW5'!$A$7:$N$161,7,FALSE),0)+
IFERROR(VLOOKUP(A98,'Centre WP5'!$A$7:$N$160,7,FALSE),0)+
IFERROR(VLOOKUP(A98,'Centre WR5'!$A$7:$N$160,7,FALSE),0)</f>
        <v>12.1</v>
      </c>
      <c r="H98" s="10">
        <f>IFERROR(VLOOKUP(A98,'Centre DW5'!$A$7:$N$161,8,FALSE),0)+
IFERROR(VLOOKUP(A98,'Centre WP5'!$A$7:$N$160,8,FALSE),0)+
IFERROR(VLOOKUP(A98,'Centre WR5'!$A$7:$N$160,8,FALSE),0)</f>
        <v>21.1</v>
      </c>
      <c r="I98" s="10">
        <f>IFERROR(VLOOKUP(A98,'Centre DW5'!$A$7:$N$161,9,FALSE),0)+
IFERROR(VLOOKUP(A98,'Centre WP5'!$A$7:$N$160,9,FALSE),0)+
IFERROR(VLOOKUP(A98,'Centre WR5'!$A$7:$N$160,9,FALSE),0)</f>
        <v>19.899999999999999</v>
      </c>
      <c r="J98" s="10">
        <f>IFERROR(VLOOKUP(A98,'Centre DW5'!$A$7:$N$161,10,FALSE),0)+
IFERROR(VLOOKUP(A98,'Centre WP5'!$A$7:$N$160,10,FALSE),0)+
IFERROR(VLOOKUP(A98,'Centre WR5'!$A$7:$N$160,10,FALSE),0)</f>
        <v>18</v>
      </c>
      <c r="K98" s="10">
        <f>IFERROR(VLOOKUP(A98,'Centre DW5'!$A$7:$N$161,11,FALSE),0)+
IFERROR(VLOOKUP(A98,'Centre WP5'!$A$7:$N$160,11,FALSE),0)+
IFERROR(VLOOKUP(A98,'Centre WR5'!$A$7:$N$160,11,FALSE),0)</f>
        <v>36.9</v>
      </c>
      <c r="L98" s="10">
        <f>IFERROR(VLOOKUP(A98,'Centre DW5'!$A$7:$N$161,12,FALSE),0)+
IFERROR(VLOOKUP(A98,'Centre WP5'!$A$7:$N$160,12,FALSE),0)+
IFERROR(VLOOKUP(A98,'Centre WR5'!$A$7:$N$160,12,FALSE),0)</f>
        <v>14</v>
      </c>
      <c r="M98" s="10">
        <f>IFERROR(VLOOKUP(A98,'Centre DW5'!$A$7:$N$161,13,FALSE),0)+
IFERROR(VLOOKUP(A98,'Centre WP5'!$A$7:$N$160,13,FALSE),0)+
IFERROR(VLOOKUP(A98,'Centre WR5'!$A$7:$N$160,13,FALSE),0)</f>
        <v>20</v>
      </c>
      <c r="N98" s="10">
        <f>IFERROR(VLOOKUP(A98,'Centre DW5'!$A$7:$N$161,14,FALSE),0)+
IFERROR(VLOOKUP(A98,'Centre WP5'!$A$7:$N$160,14,FALSE),0)+
IFERROR(VLOOKUP(A98,'Centre WR5'!$A$7:$N$160,14,FALSE),0)</f>
        <v>16</v>
      </c>
    </row>
    <row r="99" spans="1:14" hidden="1" outlineLevel="1" x14ac:dyDescent="0.2">
      <c r="A99" s="9" t="s">
        <v>151</v>
      </c>
      <c r="B99" s="1" t="s">
        <v>152</v>
      </c>
      <c r="C99" s="10">
        <f>IFERROR(VLOOKUP(A99,'Centre DW5'!$A$7:$N$161,3,FALSE),0)+
IFERROR(VLOOKUP(A99,'Centre WP5'!$A$7:$N$160,3,FALSE),0)+
IFERROR(VLOOKUP(A99,'Centre WR5'!$A$7:$N$160,3,FALSE),0)</f>
        <v>1.2</v>
      </c>
      <c r="D99" s="10">
        <f>IFERROR(VLOOKUP(A99,'Centre DW5'!$A$7:$N$161,4,FALSE),0)+
IFERROR(VLOOKUP(A99,'Centre WP5'!$A$7:$N$160,4,FALSE),0)+
IFERROR(VLOOKUP(A99,'Centre WR5'!$A$7:$N$160,4,FALSE),0)</f>
        <v>1.7</v>
      </c>
      <c r="E99" s="10">
        <f>IFERROR(VLOOKUP(A99,'Centre DW5'!$A$7:$N$161,5,FALSE),0)+
IFERROR(VLOOKUP(A99,'Centre WP5'!$A$7:$N$160,5,FALSE),0)+
IFERROR(VLOOKUP(A99,'Centre WR5'!$A$7:$N$160,5,FALSE),0)</f>
        <v>1.3</v>
      </c>
      <c r="F99" s="10">
        <f>IFERROR(VLOOKUP(A99,'Centre DW5'!$A$7:$N$161,6,FALSE),0)+
IFERROR(VLOOKUP(A99,'Centre WP5'!$A$7:$N$160,6,FALSE),0)+
IFERROR(VLOOKUP(A99,'Centre WR5'!$A$7:$N$160,6,FALSE),0)</f>
        <v>0.70000000000000007</v>
      </c>
      <c r="G99" s="10">
        <f>IFERROR(VLOOKUP(A99,'Centre DW5'!$A$7:$N$161,7,FALSE),0)+
IFERROR(VLOOKUP(A99,'Centre WP5'!$A$7:$N$160,7,FALSE),0)+
IFERROR(VLOOKUP(A99,'Centre WR5'!$A$7:$N$160,7,FALSE),0)</f>
        <v>-0.4</v>
      </c>
      <c r="H99" s="10">
        <f>IFERROR(VLOOKUP(A99,'Centre DW5'!$A$7:$N$161,8,FALSE),0)+
IFERROR(VLOOKUP(A99,'Centre WP5'!$A$7:$N$160,8,FALSE),0)+
IFERROR(VLOOKUP(A99,'Centre WR5'!$A$7:$N$160,8,FALSE),0)</f>
        <v>0.5</v>
      </c>
      <c r="I99" s="10">
        <f>IFERROR(VLOOKUP(A99,'Centre DW5'!$A$7:$N$161,9,FALSE),0)+
IFERROR(VLOOKUP(A99,'Centre WP5'!$A$7:$N$160,9,FALSE),0)+
IFERROR(VLOOKUP(A99,'Centre WR5'!$A$7:$N$160,9,FALSE),0)</f>
        <v>0.2</v>
      </c>
      <c r="J99" s="10">
        <f>IFERROR(VLOOKUP(A99,'Centre DW5'!$A$7:$N$161,10,FALSE),0)+
IFERROR(VLOOKUP(A99,'Centre WP5'!$A$7:$N$160,10,FALSE),0)+
IFERROR(VLOOKUP(A99,'Centre WR5'!$A$7:$N$160,10,FALSE),0)</f>
        <v>-0.1</v>
      </c>
      <c r="K99" s="10">
        <f>IFERROR(VLOOKUP(A99,'Centre DW5'!$A$7:$N$161,11,FALSE),0)+
IFERROR(VLOOKUP(A99,'Centre WP5'!$A$7:$N$160,11,FALSE),0)+
IFERROR(VLOOKUP(A99,'Centre WR5'!$A$7:$N$160,11,FALSE),0)</f>
        <v>0.70000000000000007</v>
      </c>
      <c r="L99" s="10">
        <f>IFERROR(VLOOKUP(A99,'Centre DW5'!$A$7:$N$161,12,FALSE),0)+
IFERROR(VLOOKUP(A99,'Centre WP5'!$A$7:$N$160,12,FALSE),0)+
IFERROR(VLOOKUP(A99,'Centre WR5'!$A$7:$N$160,12,FALSE),0)</f>
        <v>-0.4</v>
      </c>
      <c r="M99" s="10">
        <f>IFERROR(VLOOKUP(A99,'Centre DW5'!$A$7:$N$161,13,FALSE),0)+
IFERROR(VLOOKUP(A99,'Centre WP5'!$A$7:$N$160,13,FALSE),0)+
IFERROR(VLOOKUP(A99,'Centre WR5'!$A$7:$N$160,13,FALSE),0)</f>
        <v>0.5</v>
      </c>
      <c r="N99" s="10">
        <f>IFERROR(VLOOKUP(A99,'Centre DW5'!$A$7:$N$161,14,FALSE),0)+
IFERROR(VLOOKUP(A99,'Centre WP5'!$A$7:$N$160,14,FALSE),0)+
IFERROR(VLOOKUP(A99,'Centre WR5'!$A$7:$N$160,14,FALSE),0)</f>
        <v>0.2</v>
      </c>
    </row>
    <row r="100" spans="1:14" hidden="1" outlineLevel="1" x14ac:dyDescent="0.2">
      <c r="A100" s="9" t="s">
        <v>355</v>
      </c>
      <c r="B100" s="1" t="s">
        <v>356</v>
      </c>
      <c r="C100" s="10">
        <f>IFERROR(VLOOKUP(A100,'Centre DW5'!$A$7:$N$161,3,FALSE),0)+
IFERROR(VLOOKUP(A100,'Centre WP5'!$A$7:$N$160,3,FALSE),0)+
IFERROR(VLOOKUP(A100,'Centre WR5'!$A$7:$N$160,3,FALSE),0)</f>
        <v>5.7</v>
      </c>
      <c r="D100" s="10">
        <f>IFERROR(VLOOKUP(A100,'Centre DW5'!$A$7:$N$161,4,FALSE),0)+
IFERROR(VLOOKUP(A100,'Centre WP5'!$A$7:$N$160,4,FALSE),0)+
IFERROR(VLOOKUP(A100,'Centre WR5'!$A$7:$N$160,4,FALSE),0)</f>
        <v>9.6999999999999993</v>
      </c>
      <c r="E100" s="10">
        <f>IFERROR(VLOOKUP(A100,'Centre DW5'!$A$7:$N$161,5,FALSE),0)+
IFERROR(VLOOKUP(A100,'Centre WP5'!$A$7:$N$160,5,FALSE),0)+
IFERROR(VLOOKUP(A100,'Centre WR5'!$A$7:$N$160,5,FALSE),0)</f>
        <v>7</v>
      </c>
      <c r="F100" s="10">
        <f>IFERROR(VLOOKUP(A100,'Centre DW5'!$A$7:$N$161,6,FALSE),0)+
IFERROR(VLOOKUP(A100,'Centre WP5'!$A$7:$N$160,6,FALSE),0)+
IFERROR(VLOOKUP(A100,'Centre WR5'!$A$7:$N$160,6,FALSE),0)</f>
        <v>4.7</v>
      </c>
      <c r="G100" s="10">
        <f>IFERROR(VLOOKUP(A100,'Centre DW5'!$A$7:$N$161,7,FALSE),0)+
IFERROR(VLOOKUP(A100,'Centre WP5'!$A$7:$N$160,7,FALSE),0)+
IFERROR(VLOOKUP(A100,'Centre WR5'!$A$7:$N$160,7,FALSE),0)</f>
        <v>7.5</v>
      </c>
      <c r="H100" s="10">
        <f>IFERROR(VLOOKUP(A100,'Centre DW5'!$A$7:$N$161,8,FALSE),0)+
IFERROR(VLOOKUP(A100,'Centre WP5'!$A$7:$N$160,8,FALSE),0)+
IFERROR(VLOOKUP(A100,'Centre WR5'!$A$7:$N$160,8,FALSE),0)</f>
        <v>7.9</v>
      </c>
      <c r="I100" s="10">
        <f>IFERROR(VLOOKUP(A100,'Centre DW5'!$A$7:$N$161,9,FALSE),0)+
IFERROR(VLOOKUP(A100,'Centre WP5'!$A$7:$N$160,9,FALSE),0)+
IFERROR(VLOOKUP(A100,'Centre WR5'!$A$7:$N$160,9,FALSE),0)</f>
        <v>7.5</v>
      </c>
      <c r="J100" s="10">
        <f>IFERROR(VLOOKUP(A100,'Centre DW5'!$A$7:$N$161,10,FALSE),0)+
IFERROR(VLOOKUP(A100,'Centre WP5'!$A$7:$N$160,10,FALSE),0)+
IFERROR(VLOOKUP(A100,'Centre WR5'!$A$7:$N$160,10,FALSE),0)</f>
        <v>3.5</v>
      </c>
      <c r="K100" s="10">
        <f>IFERROR(VLOOKUP(A100,'Centre DW5'!$A$7:$N$161,11,FALSE),0)+
IFERROR(VLOOKUP(A100,'Centre WP5'!$A$7:$N$160,11,FALSE),0)+
IFERROR(VLOOKUP(A100,'Centre WR5'!$A$7:$N$160,11,FALSE),0)</f>
        <v>5.5</v>
      </c>
      <c r="L100" s="10">
        <f>IFERROR(VLOOKUP(A100,'Centre DW5'!$A$7:$N$161,12,FALSE),0)+
IFERROR(VLOOKUP(A100,'Centre WP5'!$A$7:$N$160,12,FALSE),0)+
IFERROR(VLOOKUP(A100,'Centre WR5'!$A$7:$N$160,12,FALSE),0)</f>
        <v>2.5</v>
      </c>
      <c r="M100" s="10">
        <f>IFERROR(VLOOKUP(A100,'Centre DW5'!$A$7:$N$161,13,FALSE),0)+
IFERROR(VLOOKUP(A100,'Centre WP5'!$A$7:$N$160,13,FALSE),0)+
IFERROR(VLOOKUP(A100,'Centre WR5'!$A$7:$N$160,13,FALSE),0)</f>
        <v>8.5</v>
      </c>
      <c r="N100" s="10">
        <f>IFERROR(VLOOKUP(A100,'Centre DW5'!$A$7:$N$161,14,FALSE),0)+
IFERROR(VLOOKUP(A100,'Centre WP5'!$A$7:$N$160,14,FALSE),0)+
IFERROR(VLOOKUP(A100,'Centre WR5'!$A$7:$N$160,14,FALSE),0)</f>
        <v>2.5</v>
      </c>
    </row>
    <row r="101" spans="1:14" hidden="1" outlineLevel="1" x14ac:dyDescent="0.2">
      <c r="A101" s="9" t="s">
        <v>153</v>
      </c>
      <c r="B101" s="1" t="s">
        <v>154</v>
      </c>
      <c r="C101" s="10">
        <f>IFERROR(VLOOKUP(A101,'Centre DW5'!$A$7:$N$161,3,FALSE),0)+
IFERROR(VLOOKUP(A101,'Centre WP5'!$A$7:$N$160,3,FALSE),0)+
IFERROR(VLOOKUP(A101,'Centre WR5'!$A$7:$N$160,3,FALSE),0)</f>
        <v>19.899999999999999</v>
      </c>
      <c r="D101" s="10">
        <f>IFERROR(VLOOKUP(A101,'Centre DW5'!$A$7:$N$161,4,FALSE),0)+
IFERROR(VLOOKUP(A101,'Centre WP5'!$A$7:$N$160,4,FALSE),0)+
IFERROR(VLOOKUP(A101,'Centre WR5'!$A$7:$N$160,4,FALSE),0)</f>
        <v>21.5</v>
      </c>
      <c r="E101" s="10">
        <f>IFERROR(VLOOKUP(A101,'Centre DW5'!$A$7:$N$161,5,FALSE),0)+
IFERROR(VLOOKUP(A101,'Centre WP5'!$A$7:$N$160,5,FALSE),0)+
IFERROR(VLOOKUP(A101,'Centre WR5'!$A$7:$N$160,5,FALSE),0)</f>
        <v>21.5</v>
      </c>
      <c r="F101" s="10">
        <f>IFERROR(VLOOKUP(A101,'Centre DW5'!$A$7:$N$161,6,FALSE),0)+
IFERROR(VLOOKUP(A101,'Centre WP5'!$A$7:$N$160,6,FALSE),0)+
IFERROR(VLOOKUP(A101,'Centre WR5'!$A$7:$N$160,6,FALSE),0)</f>
        <v>21.6</v>
      </c>
      <c r="G101" s="10">
        <f>IFERROR(VLOOKUP(A101,'Centre DW5'!$A$7:$N$161,7,FALSE),0)+
IFERROR(VLOOKUP(A101,'Centre WP5'!$A$7:$N$160,7,FALSE),0)+
IFERROR(VLOOKUP(A101,'Centre WR5'!$A$7:$N$160,7,FALSE),0)</f>
        <v>24.8</v>
      </c>
      <c r="H101" s="10">
        <f>IFERROR(VLOOKUP(A101,'Centre DW5'!$A$7:$N$161,8,FALSE),0)+
IFERROR(VLOOKUP(A101,'Centre WP5'!$A$7:$N$160,8,FALSE),0)+
IFERROR(VLOOKUP(A101,'Centre WR5'!$A$7:$N$160,8,FALSE),0)</f>
        <v>22.3</v>
      </c>
      <c r="I101" s="10">
        <f>IFERROR(VLOOKUP(A101,'Centre DW5'!$A$7:$N$161,9,FALSE),0)+
IFERROR(VLOOKUP(A101,'Centre WP5'!$A$7:$N$160,9,FALSE),0)+
IFERROR(VLOOKUP(A101,'Centre WR5'!$A$7:$N$160,9,FALSE),0)</f>
        <v>22.2</v>
      </c>
      <c r="J101" s="10">
        <f>IFERROR(VLOOKUP(A101,'Centre DW5'!$A$7:$N$161,10,FALSE),0)+
IFERROR(VLOOKUP(A101,'Centre WP5'!$A$7:$N$160,10,FALSE),0)+
IFERROR(VLOOKUP(A101,'Centre WR5'!$A$7:$N$160,10,FALSE),0)</f>
        <v>24</v>
      </c>
      <c r="K101" s="10">
        <f>IFERROR(VLOOKUP(A101,'Centre DW5'!$A$7:$N$161,11,FALSE),0)+
IFERROR(VLOOKUP(A101,'Centre WP5'!$A$7:$N$160,11,FALSE),0)+
IFERROR(VLOOKUP(A101,'Centre WR5'!$A$7:$N$160,11,FALSE),0)</f>
        <v>26.5</v>
      </c>
      <c r="L101" s="10">
        <f>IFERROR(VLOOKUP(A101,'Centre DW5'!$A$7:$N$161,12,FALSE),0)+
IFERROR(VLOOKUP(A101,'Centre WP5'!$A$7:$N$160,12,FALSE),0)+
IFERROR(VLOOKUP(A101,'Centre WR5'!$A$7:$N$160,12,FALSE),0)</f>
        <v>24</v>
      </c>
      <c r="M101" s="10">
        <f>IFERROR(VLOOKUP(A101,'Centre DW5'!$A$7:$N$161,13,FALSE),0)+
IFERROR(VLOOKUP(A101,'Centre WP5'!$A$7:$N$160,13,FALSE),0)+
IFERROR(VLOOKUP(A101,'Centre WR5'!$A$7:$N$160,13,FALSE),0)</f>
        <v>25</v>
      </c>
      <c r="N101" s="10">
        <f>IFERROR(VLOOKUP(A101,'Centre DW5'!$A$7:$N$161,14,FALSE),0)+
IFERROR(VLOOKUP(A101,'Centre WP5'!$A$7:$N$160,14,FALSE),0)+
IFERROR(VLOOKUP(A101,'Centre WR5'!$A$7:$N$160,14,FALSE),0)</f>
        <v>20</v>
      </c>
    </row>
    <row r="102" spans="1:14" hidden="1" outlineLevel="1" x14ac:dyDescent="0.2">
      <c r="A102" s="9" t="s">
        <v>155</v>
      </c>
      <c r="B102" s="1" t="s">
        <v>156</v>
      </c>
      <c r="C102" s="10">
        <f>IFERROR(VLOOKUP(A102,'Centre DW5'!$A$7:$N$161,3,FALSE),0)+
IFERROR(VLOOKUP(A102,'Centre WP5'!$A$7:$N$160,3,FALSE),0)+
IFERROR(VLOOKUP(A102,'Centre WR5'!$A$7:$N$160,3,FALSE),0)</f>
        <v>13.5</v>
      </c>
      <c r="D102" s="10">
        <f>IFERROR(VLOOKUP(A102,'Centre DW5'!$A$7:$N$161,4,FALSE),0)+
IFERROR(VLOOKUP(A102,'Centre WP5'!$A$7:$N$160,4,FALSE),0)+
IFERROR(VLOOKUP(A102,'Centre WR5'!$A$7:$N$160,4,FALSE),0)</f>
        <v>3.5</v>
      </c>
      <c r="E102" s="10">
        <f>IFERROR(VLOOKUP(A102,'Centre DW5'!$A$7:$N$161,5,FALSE),0)+
IFERROR(VLOOKUP(A102,'Centre WP5'!$A$7:$N$160,5,FALSE),0)+
IFERROR(VLOOKUP(A102,'Centre WR5'!$A$7:$N$160,5,FALSE),0)</f>
        <v>13.5</v>
      </c>
      <c r="F102" s="10">
        <f>IFERROR(VLOOKUP(A102,'Centre DW5'!$A$7:$N$161,6,FALSE),0)+
IFERROR(VLOOKUP(A102,'Centre WP5'!$A$7:$N$160,6,FALSE),0)+
IFERROR(VLOOKUP(A102,'Centre WR5'!$A$7:$N$160,6,FALSE),0)</f>
        <v>0.89999999999999991</v>
      </c>
      <c r="G102" s="10">
        <f>IFERROR(VLOOKUP(A102,'Centre DW5'!$A$7:$N$161,7,FALSE),0)+
IFERROR(VLOOKUP(A102,'Centre WP5'!$A$7:$N$160,7,FALSE),0)+
IFERROR(VLOOKUP(A102,'Centre WR5'!$A$7:$N$160,7,FALSE),0)</f>
        <v>-2.9</v>
      </c>
      <c r="H102" s="10">
        <f>IFERROR(VLOOKUP(A102,'Centre DW5'!$A$7:$N$161,8,FALSE),0)+
IFERROR(VLOOKUP(A102,'Centre WP5'!$A$7:$N$160,8,FALSE),0)+
IFERROR(VLOOKUP(A102,'Centre WR5'!$A$7:$N$160,8,FALSE),0)</f>
        <v>7.5</v>
      </c>
      <c r="I102" s="10">
        <f>IFERROR(VLOOKUP(A102,'Centre DW5'!$A$7:$N$161,9,FALSE),0)+
IFERROR(VLOOKUP(A102,'Centre WP5'!$A$7:$N$160,9,FALSE),0)+
IFERROR(VLOOKUP(A102,'Centre WR5'!$A$7:$N$160,9,FALSE),0)</f>
        <v>5.6999999999999993</v>
      </c>
      <c r="J102" s="10">
        <f>IFERROR(VLOOKUP(A102,'Centre DW5'!$A$7:$N$161,10,FALSE),0)+
IFERROR(VLOOKUP(A102,'Centre WP5'!$A$7:$N$160,10,FALSE),0)+
IFERROR(VLOOKUP(A102,'Centre WR5'!$A$7:$N$160,10,FALSE),0)</f>
        <v>3.5</v>
      </c>
      <c r="K102" s="10">
        <f>IFERROR(VLOOKUP(A102,'Centre DW5'!$A$7:$N$161,11,FALSE),0)+
IFERROR(VLOOKUP(A102,'Centre WP5'!$A$7:$N$160,11,FALSE),0)+
IFERROR(VLOOKUP(A102,'Centre WR5'!$A$7:$N$160,11,FALSE),0)</f>
        <v>18</v>
      </c>
      <c r="L102" s="10">
        <f>IFERROR(VLOOKUP(A102,'Centre DW5'!$A$7:$N$161,12,FALSE),0)+
IFERROR(VLOOKUP(A102,'Centre WP5'!$A$7:$N$160,12,FALSE),0)+
IFERROR(VLOOKUP(A102,'Centre WR5'!$A$7:$N$160,12,FALSE),0)</f>
        <v>-3.6</v>
      </c>
      <c r="M102" s="10">
        <f>IFERROR(VLOOKUP(A102,'Centre DW5'!$A$7:$N$161,13,FALSE),0)+
IFERROR(VLOOKUP(A102,'Centre WP5'!$A$7:$N$160,13,FALSE),0)+
IFERROR(VLOOKUP(A102,'Centre WR5'!$A$7:$N$160,13,FALSE),0)</f>
        <v>-2.9</v>
      </c>
      <c r="N102" s="10">
        <f>IFERROR(VLOOKUP(A102,'Centre DW5'!$A$7:$N$161,14,FALSE),0)+
IFERROR(VLOOKUP(A102,'Centre WP5'!$A$7:$N$160,14,FALSE),0)+
IFERROR(VLOOKUP(A102,'Centre WR5'!$A$7:$N$160,14,FALSE),0)</f>
        <v>12.1</v>
      </c>
    </row>
    <row r="103" spans="1:14" collapsed="1" x14ac:dyDescent="0.2">
      <c r="A103" s="33" t="s">
        <v>157</v>
      </c>
      <c r="B103" s="34" t="s">
        <v>158</v>
      </c>
      <c r="C103" s="44">
        <f t="shared" ref="C103:I103" si="28">+C104</f>
        <v>3.1999999999999997</v>
      </c>
      <c r="D103" s="44">
        <f t="shared" si="28"/>
        <v>10.1</v>
      </c>
      <c r="E103" s="44">
        <f t="shared" si="28"/>
        <v>-8.8999999999999986</v>
      </c>
      <c r="F103" s="44">
        <f t="shared" si="28"/>
        <v>-5.5</v>
      </c>
      <c r="G103" s="44">
        <f t="shared" si="28"/>
        <v>6.2</v>
      </c>
      <c r="H103" s="44">
        <f t="shared" si="28"/>
        <v>-9.5</v>
      </c>
      <c r="I103" s="44">
        <f t="shared" si="28"/>
        <v>15.1</v>
      </c>
      <c r="J103" s="44">
        <f>+J104</f>
        <v>-8.8999999999999986</v>
      </c>
      <c r="K103" s="44">
        <f t="shared" ref="K103:N103" si="29">+K104</f>
        <v>1.4000000000000001</v>
      </c>
      <c r="L103" s="44">
        <f t="shared" si="29"/>
        <v>-4.0999999999999996</v>
      </c>
      <c r="M103" s="44">
        <f t="shared" si="29"/>
        <v>-9.5</v>
      </c>
      <c r="N103" s="44">
        <f t="shared" si="29"/>
        <v>15.1</v>
      </c>
    </row>
    <row r="104" spans="1:14" hidden="1" outlineLevel="1" x14ac:dyDescent="0.2">
      <c r="A104" s="9" t="s">
        <v>159</v>
      </c>
      <c r="B104" s="1" t="s">
        <v>160</v>
      </c>
      <c r="C104" s="10">
        <f>IFERROR(VLOOKUP(A104,'Centre DW5'!$A$7:$N$161,3,FALSE),0)+
IFERROR(VLOOKUP(A104,'Centre WP5'!$A$7:$N$160,3,FALSE),0)+
IFERROR(VLOOKUP(A104,'Centre WR5'!$A$7:$N$160,3,FALSE),0)</f>
        <v>3.1999999999999997</v>
      </c>
      <c r="D104" s="10">
        <f>IFERROR(VLOOKUP(A104,'Centre DW5'!$A$7:$N$161,4,FALSE),0)+
IFERROR(VLOOKUP(A104,'Centre WP5'!$A$7:$N$160,4,FALSE),0)+
IFERROR(VLOOKUP(A104,'Centre WR5'!$A$7:$N$160,4,FALSE),0)</f>
        <v>10.1</v>
      </c>
      <c r="E104" s="10">
        <f>IFERROR(VLOOKUP(A104,'Centre DW5'!$A$7:$N$161,5,FALSE),0)+
IFERROR(VLOOKUP(A104,'Centre WP5'!$A$7:$N$160,5,FALSE),0)+
IFERROR(VLOOKUP(A104,'Centre WR5'!$A$7:$N$160,5,FALSE),0)</f>
        <v>-8.8999999999999986</v>
      </c>
      <c r="F104" s="10">
        <f>IFERROR(VLOOKUP(A104,'Centre DW5'!$A$7:$N$161,6,FALSE),0)+
IFERROR(VLOOKUP(A104,'Centre WP5'!$A$7:$N$160,6,FALSE),0)+
IFERROR(VLOOKUP(A104,'Centre WR5'!$A$7:$N$160,6,FALSE),0)</f>
        <v>-5.5</v>
      </c>
      <c r="G104" s="10">
        <f>IFERROR(VLOOKUP(A104,'Centre DW5'!$A$7:$N$161,7,FALSE),0)+
IFERROR(VLOOKUP(A104,'Centre WP5'!$A$7:$N$160,7,FALSE),0)+
IFERROR(VLOOKUP(A104,'Centre WR5'!$A$7:$N$160,7,FALSE),0)</f>
        <v>6.2</v>
      </c>
      <c r="H104" s="10">
        <f>IFERROR(VLOOKUP(A104,'Centre DW5'!$A$7:$N$161,8,FALSE),0)+
IFERROR(VLOOKUP(A104,'Centre WP5'!$A$7:$N$160,8,FALSE),0)+
IFERROR(VLOOKUP(A104,'Centre WR5'!$A$7:$N$160,8,FALSE),0)</f>
        <v>-9.5</v>
      </c>
      <c r="I104" s="10">
        <f>IFERROR(VLOOKUP(A104,'Centre DW5'!$A$7:$N$161,9,FALSE),0)+
IFERROR(VLOOKUP(A104,'Centre WP5'!$A$7:$N$160,9,FALSE),0)+
IFERROR(VLOOKUP(A104,'Centre WR5'!$A$7:$N$160,9,FALSE),0)</f>
        <v>15.1</v>
      </c>
      <c r="J104" s="10">
        <f>IFERROR(VLOOKUP(A104,'Centre DW5'!$A$7:$N$161,10,FALSE),0)+
IFERROR(VLOOKUP(A104,'Centre WP5'!$A$7:$N$160,10,FALSE),0)+
IFERROR(VLOOKUP(A104,'Centre WR5'!$A$7:$N$160,10,FALSE),0)</f>
        <v>-8.8999999999999986</v>
      </c>
      <c r="K104" s="10">
        <f>IFERROR(VLOOKUP(A104,'Centre DW5'!$A$7:$N$161,11,FALSE),0)+
IFERROR(VLOOKUP(A104,'Centre WP5'!$A$7:$N$160,11,FALSE),0)+
IFERROR(VLOOKUP(A104,'Centre WR5'!$A$7:$N$160,11,FALSE),0)</f>
        <v>1.4000000000000001</v>
      </c>
      <c r="L104" s="10">
        <f>IFERROR(VLOOKUP(A104,'Centre DW5'!$A$7:$N$161,12,FALSE),0)+
IFERROR(VLOOKUP(A104,'Centre WP5'!$A$7:$N$160,12,FALSE),0)+
IFERROR(VLOOKUP(A104,'Centre WR5'!$A$7:$N$160,12,FALSE),0)</f>
        <v>-4.0999999999999996</v>
      </c>
      <c r="M104" s="10">
        <f>IFERROR(VLOOKUP(A104,'Centre DW5'!$A$7:$N$161,13,FALSE),0)+
IFERROR(VLOOKUP(A104,'Centre WP5'!$A$7:$N$160,13,FALSE),0)+
IFERROR(VLOOKUP(A104,'Centre WR5'!$A$7:$N$160,13,FALSE),0)</f>
        <v>-9.5</v>
      </c>
      <c r="N104" s="10">
        <f>IFERROR(VLOOKUP(A104,'Centre DW5'!$A$7:$N$161,14,FALSE),0)+
IFERROR(VLOOKUP(A104,'Centre WP5'!$A$7:$N$160,14,FALSE),0)+
IFERROR(VLOOKUP(A104,'Centre WR5'!$A$7:$N$160,14,FALSE),0)</f>
        <v>15.1</v>
      </c>
    </row>
    <row r="105" spans="1:14" collapsed="1" x14ac:dyDescent="0.2">
      <c r="A105" s="36"/>
      <c r="B105" s="36" t="s">
        <v>165</v>
      </c>
      <c r="C105" s="45">
        <f t="shared" ref="C105:M105" si="30">+C35+C56+C63+C67+C76+C84+C92+C94+C95+C103</f>
        <v>484.2</v>
      </c>
      <c r="D105" s="45">
        <f t="shared" si="30"/>
        <v>482.40000000000003</v>
      </c>
      <c r="E105" s="45">
        <f t="shared" si="30"/>
        <v>467.9</v>
      </c>
      <c r="F105" s="45">
        <f t="shared" si="30"/>
        <v>500.3</v>
      </c>
      <c r="G105" s="45">
        <f t="shared" si="30"/>
        <v>495.99999999999983</v>
      </c>
      <c r="H105" s="45">
        <f t="shared" si="30"/>
        <v>447.70000000000005</v>
      </c>
      <c r="I105" s="45">
        <f t="shared" si="30"/>
        <v>474.1</v>
      </c>
      <c r="J105" s="45">
        <f t="shared" si="30"/>
        <v>470.7</v>
      </c>
      <c r="K105" s="45">
        <f t="shared" si="30"/>
        <v>528.30000000000007</v>
      </c>
      <c r="L105" s="45">
        <f t="shared" si="30"/>
        <v>469.4</v>
      </c>
      <c r="M105" s="45">
        <f t="shared" si="30"/>
        <v>467</v>
      </c>
      <c r="N105" s="45">
        <f>+N35+N56+N63+N67+N76+N84+N92+N94+N95+N103</f>
        <v>500.90000000000003</v>
      </c>
    </row>
    <row r="106" spans="1:14" x14ac:dyDescent="0.2">
      <c r="A106" s="35"/>
      <c r="B106" s="35" t="s">
        <v>166</v>
      </c>
      <c r="C106" s="21">
        <f t="shared" ref="C106:M106" si="31">+C33-C105</f>
        <v>233.8</v>
      </c>
      <c r="D106" s="21">
        <f t="shared" si="31"/>
        <v>99.599999999999966</v>
      </c>
      <c r="E106" s="21">
        <f t="shared" si="31"/>
        <v>166.50000000000011</v>
      </c>
      <c r="F106" s="21">
        <f t="shared" si="31"/>
        <v>250.2</v>
      </c>
      <c r="G106" s="21">
        <f t="shared" si="31"/>
        <v>158.90000000000015</v>
      </c>
      <c r="H106" s="21">
        <f t="shared" si="31"/>
        <v>201.29999999999995</v>
      </c>
      <c r="I106" s="21">
        <f t="shared" si="31"/>
        <v>172.29999999999995</v>
      </c>
      <c r="J106" s="21">
        <f t="shared" si="31"/>
        <v>168.90000000000003</v>
      </c>
      <c r="K106" s="21">
        <f t="shared" si="31"/>
        <v>234.99999999999989</v>
      </c>
      <c r="L106" s="21">
        <f t="shared" si="31"/>
        <v>162.60000000000002</v>
      </c>
      <c r="M106" s="21">
        <f t="shared" si="31"/>
        <v>156.10000000000002</v>
      </c>
      <c r="N106" s="21">
        <f t="shared" ref="N106" si="32">+N33-N105</f>
        <v>124.30000000000001</v>
      </c>
    </row>
    <row r="107" spans="1:14" x14ac:dyDescent="0.2">
      <c r="A107" s="33" t="s">
        <v>167</v>
      </c>
      <c r="B107" s="34" t="s">
        <v>168</v>
      </c>
      <c r="C107" s="44">
        <f>SUM(C108:C123)</f>
        <v>78.599999999999994</v>
      </c>
      <c r="D107" s="44">
        <f t="shared" ref="D107:I107" si="33">SUM(D108:D123)</f>
        <v>84.899999999999991</v>
      </c>
      <c r="E107" s="44">
        <f t="shared" si="33"/>
        <v>79.199999999999989</v>
      </c>
      <c r="F107" s="44">
        <f t="shared" si="33"/>
        <v>124.30000000000001</v>
      </c>
      <c r="G107" s="44">
        <f t="shared" si="33"/>
        <v>120.49999999999999</v>
      </c>
      <c r="H107" s="44">
        <f t="shared" si="33"/>
        <v>109.59999999999998</v>
      </c>
      <c r="I107" s="44">
        <f t="shared" si="33"/>
        <v>136.79999999999998</v>
      </c>
      <c r="J107" s="44">
        <f>SUM(J108:J123)</f>
        <v>115.29999999999998</v>
      </c>
      <c r="K107" s="44">
        <f t="shared" ref="K107:N107" si="34">SUM(K108:K123)</f>
        <v>115.3</v>
      </c>
      <c r="L107" s="44">
        <f t="shared" si="34"/>
        <v>84.199999999999989</v>
      </c>
      <c r="M107" s="44">
        <f t="shared" si="34"/>
        <v>82.699999999999974</v>
      </c>
      <c r="N107" s="44">
        <f t="shared" si="34"/>
        <v>118.5</v>
      </c>
    </row>
    <row r="108" spans="1:14" hidden="1" outlineLevel="1" x14ac:dyDescent="0.2">
      <c r="A108" s="9" t="s">
        <v>169</v>
      </c>
      <c r="B108" s="1" t="s">
        <v>170</v>
      </c>
      <c r="C108" s="10">
        <f>IFERROR(VLOOKUP(A108,'Centre DW5'!$A$7:$N$161,3,FALSE),0)+
IFERROR(VLOOKUP(A108,'Centre WP5'!$A$7:$N$160,3,FALSE),0)+
IFERROR(VLOOKUP(A108,'Centre WR5'!$A$7:$N$160,3,FALSE),0)</f>
        <v>3.2</v>
      </c>
      <c r="D108" s="10">
        <f>IFERROR(VLOOKUP(A108,'Centre DW5'!$A$7:$N$161,4,FALSE),0)+
IFERROR(VLOOKUP(A108,'Centre WP5'!$A$7:$N$160,4,FALSE),0)+
IFERROR(VLOOKUP(A108,'Centre WR5'!$A$7:$N$160,4,FALSE),0)</f>
        <v>3.2</v>
      </c>
      <c r="E108" s="10">
        <f>IFERROR(VLOOKUP(A108,'Centre DW5'!$A$7:$N$161,5,FALSE),0)+
IFERROR(VLOOKUP(A108,'Centre WP5'!$A$7:$N$160,5,FALSE),0)+
IFERROR(VLOOKUP(A108,'Centre WR5'!$A$7:$N$160,5,FALSE),0)</f>
        <v>3.1</v>
      </c>
      <c r="F108" s="10">
        <f>IFERROR(VLOOKUP(A108,'Centre DW5'!$A$7:$N$161,6,FALSE),0)+
IFERROR(VLOOKUP(A108,'Centre WP5'!$A$7:$N$160,6,FALSE),0)+
IFERROR(VLOOKUP(A108,'Centre WR5'!$A$7:$N$160,6,FALSE),0)</f>
        <v>4.2</v>
      </c>
      <c r="G108" s="10">
        <f>IFERROR(VLOOKUP(A108,'Centre DW5'!$A$7:$N$161,7,FALSE),0)+
IFERROR(VLOOKUP(A108,'Centre WP5'!$A$7:$N$160,7,FALSE),0)+
IFERROR(VLOOKUP(A108,'Centre WR5'!$A$7:$N$160,7,FALSE),0)</f>
        <v>4.3</v>
      </c>
      <c r="H108" s="10">
        <f>IFERROR(VLOOKUP(A108,'Centre DW5'!$A$7:$N$161,8,FALSE),0)+
IFERROR(VLOOKUP(A108,'Centre WP5'!$A$7:$N$160,8,FALSE),0)+
IFERROR(VLOOKUP(A108,'Centre WR5'!$A$7:$N$160,8,FALSE),0)</f>
        <v>4.0999999999999996</v>
      </c>
      <c r="I108" s="10">
        <f>IFERROR(VLOOKUP(A108,'Centre DW5'!$A$7:$N$161,9,FALSE),0)+
IFERROR(VLOOKUP(A108,'Centre WP5'!$A$7:$N$160,9,FALSE),0)+
IFERROR(VLOOKUP(A108,'Centre WR5'!$A$7:$N$160,9,FALSE),0)</f>
        <v>7.5</v>
      </c>
      <c r="J108" s="10">
        <f>IFERROR(VLOOKUP(A108,'Centre DW5'!$A$7:$N$161,10,FALSE),0)+
IFERROR(VLOOKUP(A108,'Centre WP5'!$A$7:$N$160,10,FALSE),0)+
IFERROR(VLOOKUP(A108,'Centre WR5'!$A$7:$N$160,10,FALSE),0)</f>
        <v>3.1</v>
      </c>
      <c r="K108" s="10">
        <f>IFERROR(VLOOKUP(A108,'Centre DW5'!$A$7:$N$161,11,FALSE),0)+
IFERROR(VLOOKUP(A108,'Centre WP5'!$A$7:$N$160,11,FALSE),0)+
IFERROR(VLOOKUP(A108,'Centre WR5'!$A$7:$N$160,11,FALSE),0)</f>
        <v>4.2</v>
      </c>
      <c r="L108" s="10">
        <f>IFERROR(VLOOKUP(A108,'Centre DW5'!$A$7:$N$161,12,FALSE),0)+
IFERROR(VLOOKUP(A108,'Centre WP5'!$A$7:$N$160,12,FALSE),0)+
IFERROR(VLOOKUP(A108,'Centre WR5'!$A$7:$N$160,12,FALSE),0)</f>
        <v>4.3</v>
      </c>
      <c r="M108" s="10">
        <f>IFERROR(VLOOKUP(A108,'Centre DW5'!$A$7:$N$161,13,FALSE),0)+
IFERROR(VLOOKUP(A108,'Centre WP5'!$A$7:$N$160,13,FALSE),0)+
IFERROR(VLOOKUP(A108,'Centre WR5'!$A$7:$N$160,13,FALSE),0)</f>
        <v>4.0999999999999996</v>
      </c>
      <c r="N108" s="10">
        <f>IFERROR(VLOOKUP(A108,'Centre DW5'!$A$7:$N$161,14,FALSE),0)+
IFERROR(VLOOKUP(A108,'Centre WP5'!$A$7:$N$160,14,FALSE),0)+
IFERROR(VLOOKUP(A108,'Centre WR5'!$A$7:$N$160,14,FALSE),0)</f>
        <v>7.5</v>
      </c>
    </row>
    <row r="109" spans="1:14" hidden="1" outlineLevel="1" x14ac:dyDescent="0.2">
      <c r="A109" s="9" t="s">
        <v>171</v>
      </c>
      <c r="B109" s="1" t="s">
        <v>172</v>
      </c>
      <c r="C109" s="10">
        <f>IFERROR(VLOOKUP(A109,'Centre DW5'!$A$7:$N$161,3,FALSE),0)+
IFERROR(VLOOKUP(A109,'Centre WP5'!$A$7:$N$160,3,FALSE),0)+
IFERROR(VLOOKUP(A109,'Centre WR5'!$A$7:$N$160,3,FALSE),0)</f>
        <v>19.8</v>
      </c>
      <c r="D109" s="10">
        <f>IFERROR(VLOOKUP(A109,'Centre DW5'!$A$7:$N$161,4,FALSE),0)+
IFERROR(VLOOKUP(A109,'Centre WP5'!$A$7:$N$160,4,FALSE),0)+
IFERROR(VLOOKUP(A109,'Centre WR5'!$A$7:$N$160,4,FALSE),0)</f>
        <v>12.8</v>
      </c>
      <c r="E109" s="10">
        <f>IFERROR(VLOOKUP(A109,'Centre DW5'!$A$7:$N$161,5,FALSE),0)+
IFERROR(VLOOKUP(A109,'Centre WP5'!$A$7:$N$160,5,FALSE),0)+
IFERROR(VLOOKUP(A109,'Centre WR5'!$A$7:$N$160,5,FALSE),0)</f>
        <v>10.199999999999999</v>
      </c>
      <c r="F109" s="10">
        <f>IFERROR(VLOOKUP(A109,'Centre DW5'!$A$7:$N$161,6,FALSE),0)+
IFERROR(VLOOKUP(A109,'Centre WP5'!$A$7:$N$160,6,FALSE),0)+
IFERROR(VLOOKUP(A109,'Centre WR5'!$A$7:$N$160,6,FALSE),0)</f>
        <v>37.9</v>
      </c>
      <c r="G109" s="10">
        <f>IFERROR(VLOOKUP(A109,'Centre DW5'!$A$7:$N$161,7,FALSE),0)+
IFERROR(VLOOKUP(A109,'Centre WP5'!$A$7:$N$160,7,FALSE),0)+
IFERROR(VLOOKUP(A109,'Centre WR5'!$A$7:$N$160,7,FALSE),0)</f>
        <v>4.4000000000000004</v>
      </c>
      <c r="H109" s="10">
        <f>IFERROR(VLOOKUP(A109,'Centre DW5'!$A$7:$N$161,8,FALSE),0)+
IFERROR(VLOOKUP(A109,'Centre WP5'!$A$7:$N$160,8,FALSE),0)+
IFERROR(VLOOKUP(A109,'Centre WR5'!$A$7:$N$160,8,FALSE),0)</f>
        <v>6.3</v>
      </c>
      <c r="I109" s="10">
        <f>IFERROR(VLOOKUP(A109,'Centre DW5'!$A$7:$N$161,9,FALSE),0)+
IFERROR(VLOOKUP(A109,'Centre WP5'!$A$7:$N$160,9,FALSE),0)+
IFERROR(VLOOKUP(A109,'Centre WR5'!$A$7:$N$160,9,FALSE),0)</f>
        <v>28.1</v>
      </c>
      <c r="J109" s="10">
        <f>IFERROR(VLOOKUP(A109,'Centre DW5'!$A$7:$N$161,10,FALSE),0)+
IFERROR(VLOOKUP(A109,'Centre WP5'!$A$7:$N$160,10,FALSE),0)+
IFERROR(VLOOKUP(A109,'Centre WR5'!$A$7:$N$160,10,FALSE),0)</f>
        <v>10.199999999999999</v>
      </c>
      <c r="K109" s="10">
        <f>IFERROR(VLOOKUP(A109,'Centre DW5'!$A$7:$N$161,11,FALSE),0)+
IFERROR(VLOOKUP(A109,'Centre WP5'!$A$7:$N$160,11,FALSE),0)+
IFERROR(VLOOKUP(A109,'Centre WR5'!$A$7:$N$160,11,FALSE),0)</f>
        <v>37.9</v>
      </c>
      <c r="L109" s="10">
        <f>IFERROR(VLOOKUP(A109,'Centre DW5'!$A$7:$N$161,12,FALSE),0)+
IFERROR(VLOOKUP(A109,'Centre WP5'!$A$7:$N$160,12,FALSE),0)+
IFERROR(VLOOKUP(A109,'Centre WR5'!$A$7:$N$160,12,FALSE),0)</f>
        <v>4.4000000000000004</v>
      </c>
      <c r="M109" s="10">
        <f>IFERROR(VLOOKUP(A109,'Centre DW5'!$A$7:$N$161,13,FALSE),0)+
IFERROR(VLOOKUP(A109,'Centre WP5'!$A$7:$N$160,13,FALSE),0)+
IFERROR(VLOOKUP(A109,'Centre WR5'!$A$7:$N$160,13,FALSE),0)</f>
        <v>6.3</v>
      </c>
      <c r="N109" s="10">
        <f>IFERROR(VLOOKUP(A109,'Centre DW5'!$A$7:$N$161,14,FALSE),0)+
IFERROR(VLOOKUP(A109,'Centre WP5'!$A$7:$N$160,14,FALSE),0)+
IFERROR(VLOOKUP(A109,'Centre WR5'!$A$7:$N$160,14,FALSE),0)</f>
        <v>28.1</v>
      </c>
    </row>
    <row r="110" spans="1:14" hidden="1" outlineLevel="1" x14ac:dyDescent="0.2">
      <c r="A110" s="9" t="s">
        <v>173</v>
      </c>
      <c r="B110" s="1" t="s">
        <v>174</v>
      </c>
      <c r="C110" s="10">
        <f>IFERROR(VLOOKUP(A110,'Centre DW5'!$A$7:$N$161,3,FALSE),0)+
IFERROR(VLOOKUP(A110,'Centre WP5'!$A$7:$N$160,3,FALSE),0)+
IFERROR(VLOOKUP(A110,'Centre WR5'!$A$7:$N$160,3,FALSE),0)</f>
        <v>0</v>
      </c>
      <c r="D110" s="10">
        <f>IFERROR(VLOOKUP(A110,'Centre DW5'!$A$7:$N$161,4,FALSE),0)+
IFERROR(VLOOKUP(A110,'Centre WP5'!$A$7:$N$160,4,FALSE),0)+
IFERROR(VLOOKUP(A110,'Centre WR5'!$A$7:$N$160,4,FALSE),0)</f>
        <v>0</v>
      </c>
      <c r="E110" s="10">
        <f>IFERROR(VLOOKUP(A110,'Centre DW5'!$A$7:$N$161,5,FALSE),0)+
IFERROR(VLOOKUP(A110,'Centre WP5'!$A$7:$N$160,5,FALSE),0)+
IFERROR(VLOOKUP(A110,'Centre WR5'!$A$7:$N$160,5,FALSE),0)</f>
        <v>0</v>
      </c>
      <c r="F110" s="10">
        <f>IFERROR(VLOOKUP(A110,'Centre DW5'!$A$7:$N$161,6,FALSE),0)+
IFERROR(VLOOKUP(A110,'Centre WP5'!$A$7:$N$160,6,FALSE),0)+
IFERROR(VLOOKUP(A110,'Centre WR5'!$A$7:$N$160,6,FALSE),0)</f>
        <v>0</v>
      </c>
      <c r="G110" s="10">
        <f>IFERROR(VLOOKUP(A110,'Centre DW5'!$A$7:$N$161,7,FALSE),0)+
IFERROR(VLOOKUP(A110,'Centre WP5'!$A$7:$N$160,7,FALSE),0)+
IFERROR(VLOOKUP(A110,'Centre WR5'!$A$7:$N$160,7,FALSE),0)</f>
        <v>0</v>
      </c>
      <c r="H110" s="10">
        <f>IFERROR(VLOOKUP(A110,'Centre DW5'!$A$7:$N$161,8,FALSE),0)+
IFERROR(VLOOKUP(A110,'Centre WP5'!$A$7:$N$160,8,FALSE),0)+
IFERROR(VLOOKUP(A110,'Centre WR5'!$A$7:$N$160,8,FALSE),0)</f>
        <v>0</v>
      </c>
      <c r="I110" s="10">
        <f>IFERROR(VLOOKUP(A110,'Centre DW5'!$A$7:$N$161,9,FALSE),0)+
IFERROR(VLOOKUP(A110,'Centre WP5'!$A$7:$N$160,9,FALSE),0)+
IFERROR(VLOOKUP(A110,'Centre WR5'!$A$7:$N$160,9,FALSE),0)</f>
        <v>0</v>
      </c>
      <c r="J110" s="10">
        <f>IFERROR(VLOOKUP(A110,'Centre DW5'!$A$7:$N$161,10,FALSE),0)+
IFERROR(VLOOKUP(A110,'Centre WP5'!$A$7:$N$160,10,FALSE),0)+
IFERROR(VLOOKUP(A110,'Centre WR5'!$A$7:$N$160,10,FALSE),0)</f>
        <v>0</v>
      </c>
      <c r="K110" s="10">
        <f>IFERROR(VLOOKUP(A110,'Centre DW5'!$A$7:$N$161,11,FALSE),0)+
IFERROR(VLOOKUP(A110,'Centre WP5'!$A$7:$N$160,11,FALSE),0)+
IFERROR(VLOOKUP(A110,'Centre WR5'!$A$7:$N$160,11,FALSE),0)</f>
        <v>0</v>
      </c>
      <c r="L110" s="10">
        <f>IFERROR(VLOOKUP(A110,'Centre DW5'!$A$7:$N$161,12,FALSE),0)+
IFERROR(VLOOKUP(A110,'Centre WP5'!$A$7:$N$160,12,FALSE),0)+
IFERROR(VLOOKUP(A110,'Centre WR5'!$A$7:$N$160,12,FALSE),0)</f>
        <v>0</v>
      </c>
      <c r="M110" s="10">
        <f>IFERROR(VLOOKUP(A110,'Centre DW5'!$A$7:$N$161,13,FALSE),0)+
IFERROR(VLOOKUP(A110,'Centre WP5'!$A$7:$N$160,13,FALSE),0)+
IFERROR(VLOOKUP(A110,'Centre WR5'!$A$7:$N$160,13,FALSE),0)</f>
        <v>0</v>
      </c>
      <c r="N110" s="10">
        <f>IFERROR(VLOOKUP(A110,'Centre DW5'!$A$7:$N$161,14,FALSE),0)+
IFERROR(VLOOKUP(A110,'Centre WP5'!$A$7:$N$160,14,FALSE),0)+
IFERROR(VLOOKUP(A110,'Centre WR5'!$A$7:$N$160,14,FALSE),0)</f>
        <v>0</v>
      </c>
    </row>
    <row r="111" spans="1:14" hidden="1" outlineLevel="1" x14ac:dyDescent="0.2">
      <c r="A111" s="9" t="s">
        <v>175</v>
      </c>
      <c r="B111" s="1" t="s">
        <v>176</v>
      </c>
      <c r="C111" s="10">
        <f>IFERROR(VLOOKUP(A111,'Centre DW5'!$A$7:$N$161,3,FALSE),0)+
IFERROR(VLOOKUP(A111,'Centre WP5'!$A$7:$N$160,3,FALSE),0)+
IFERROR(VLOOKUP(A111,'Centre WR5'!$A$7:$N$160,3,FALSE),0)</f>
        <v>28</v>
      </c>
      <c r="D111" s="10">
        <f>IFERROR(VLOOKUP(A111,'Centre DW5'!$A$7:$N$161,4,FALSE),0)+
IFERROR(VLOOKUP(A111,'Centre WP5'!$A$7:$N$160,4,FALSE),0)+
IFERROR(VLOOKUP(A111,'Centre WR5'!$A$7:$N$160,4,FALSE),0)</f>
        <v>34.1</v>
      </c>
      <c r="E111" s="10">
        <f>IFERROR(VLOOKUP(A111,'Centre DW5'!$A$7:$N$161,5,FALSE),0)+
IFERROR(VLOOKUP(A111,'Centre WP5'!$A$7:$N$160,5,FALSE),0)+
IFERROR(VLOOKUP(A111,'Centre WR5'!$A$7:$N$160,5,FALSE),0)</f>
        <v>36.4</v>
      </c>
      <c r="F111" s="10">
        <f>IFERROR(VLOOKUP(A111,'Centre DW5'!$A$7:$N$161,6,FALSE),0)+
IFERROR(VLOOKUP(A111,'Centre WP5'!$A$7:$N$160,6,FALSE),0)+
IFERROR(VLOOKUP(A111,'Centre WR5'!$A$7:$N$160,6,FALSE),0)</f>
        <v>50.8</v>
      </c>
      <c r="G111" s="10">
        <f>IFERROR(VLOOKUP(A111,'Centre DW5'!$A$7:$N$161,7,FALSE),0)+
IFERROR(VLOOKUP(A111,'Centre WP5'!$A$7:$N$160,7,FALSE),0)+
IFERROR(VLOOKUP(A111,'Centre WR5'!$A$7:$N$160,7,FALSE),0)</f>
        <v>76.599999999999994</v>
      </c>
      <c r="H111" s="10">
        <f>IFERROR(VLOOKUP(A111,'Centre DW5'!$A$7:$N$161,8,FALSE),0)+
IFERROR(VLOOKUP(A111,'Centre WP5'!$A$7:$N$160,8,FALSE),0)+
IFERROR(VLOOKUP(A111,'Centre WR5'!$A$7:$N$160,8,FALSE),0)</f>
        <v>67.099999999999994</v>
      </c>
      <c r="I111" s="10">
        <f>IFERROR(VLOOKUP(A111,'Centre DW5'!$A$7:$N$161,9,FALSE),0)+
IFERROR(VLOOKUP(A111,'Centre WP5'!$A$7:$N$160,9,FALSE),0)+
IFERROR(VLOOKUP(A111,'Centre WR5'!$A$7:$N$160,9,FALSE),0)</f>
        <v>73.599999999999994</v>
      </c>
      <c r="J111" s="10">
        <f>IFERROR(VLOOKUP(A111,'Centre DW5'!$A$7:$N$161,10,FALSE),0)+
IFERROR(VLOOKUP(A111,'Centre WP5'!$A$7:$N$160,10,FALSE),0)+
IFERROR(VLOOKUP(A111,'Centre WR5'!$A$7:$N$160,10,FALSE),0)</f>
        <v>72</v>
      </c>
      <c r="K111" s="10">
        <f>IFERROR(VLOOKUP(A111,'Centre DW5'!$A$7:$N$161,11,FALSE),0)+
IFERROR(VLOOKUP(A111,'Centre WP5'!$A$7:$N$160,11,FALSE),0)+
IFERROR(VLOOKUP(A111,'Centre WR5'!$A$7:$N$160,11,FALSE),0)</f>
        <v>41</v>
      </c>
      <c r="L111" s="10">
        <f>IFERROR(VLOOKUP(A111,'Centre DW5'!$A$7:$N$161,12,FALSE),0)+
IFERROR(VLOOKUP(A111,'Centre WP5'!$A$7:$N$160,12,FALSE),0)+
IFERROR(VLOOKUP(A111,'Centre WR5'!$A$7:$N$160,12,FALSE),0)</f>
        <v>42</v>
      </c>
      <c r="M111" s="10">
        <f>IFERROR(VLOOKUP(A111,'Centre DW5'!$A$7:$N$161,13,FALSE),0)+
IFERROR(VLOOKUP(A111,'Centre WP5'!$A$7:$N$160,13,FALSE),0)+
IFERROR(VLOOKUP(A111,'Centre WR5'!$A$7:$N$160,13,FALSE),0)</f>
        <v>40</v>
      </c>
      <c r="N111" s="10">
        <f>IFERROR(VLOOKUP(A111,'Centre DW5'!$A$7:$N$161,14,FALSE),0)+
IFERROR(VLOOKUP(A111,'Centre WP5'!$A$7:$N$160,14,FALSE),0)+
IFERROR(VLOOKUP(A111,'Centre WR5'!$A$7:$N$160,14,FALSE),0)</f>
        <v>55</v>
      </c>
    </row>
    <row r="112" spans="1:14" hidden="1" outlineLevel="1" x14ac:dyDescent="0.2">
      <c r="A112" s="9" t="s">
        <v>177</v>
      </c>
      <c r="B112" s="1" t="s">
        <v>178</v>
      </c>
      <c r="C112" s="10">
        <f>IFERROR(VLOOKUP(A112,'Centre DW5'!$A$7:$N$161,3,FALSE),0)+
IFERROR(VLOOKUP(A112,'Centre WP5'!$A$7:$N$160,3,FALSE),0)+
IFERROR(VLOOKUP(A112,'Centre WR5'!$A$7:$N$160,3,FALSE),0)</f>
        <v>3.3</v>
      </c>
      <c r="D112" s="10">
        <f>IFERROR(VLOOKUP(A112,'Centre DW5'!$A$7:$N$161,4,FALSE),0)+
IFERROR(VLOOKUP(A112,'Centre WP5'!$A$7:$N$160,4,FALSE),0)+
IFERROR(VLOOKUP(A112,'Centre WR5'!$A$7:$N$160,4,FALSE),0)</f>
        <v>3.6</v>
      </c>
      <c r="E112" s="10">
        <f>IFERROR(VLOOKUP(A112,'Centre DW5'!$A$7:$N$161,5,FALSE),0)+
IFERROR(VLOOKUP(A112,'Centre WP5'!$A$7:$N$160,5,FALSE),0)+
IFERROR(VLOOKUP(A112,'Centre WR5'!$A$7:$N$160,5,FALSE),0)</f>
        <v>3.5</v>
      </c>
      <c r="F112" s="10">
        <f>IFERROR(VLOOKUP(A112,'Centre DW5'!$A$7:$N$161,6,FALSE),0)+
IFERROR(VLOOKUP(A112,'Centre WP5'!$A$7:$N$160,6,FALSE),0)+
IFERROR(VLOOKUP(A112,'Centre WR5'!$A$7:$N$160,6,FALSE),0)</f>
        <v>4.2</v>
      </c>
      <c r="G112" s="10">
        <f>IFERROR(VLOOKUP(A112,'Centre DW5'!$A$7:$N$161,7,FALSE),0)+
IFERROR(VLOOKUP(A112,'Centre WP5'!$A$7:$N$160,7,FALSE),0)+
IFERROR(VLOOKUP(A112,'Centre WR5'!$A$7:$N$160,7,FALSE),0)</f>
        <v>5.7</v>
      </c>
      <c r="H112" s="10">
        <f>IFERROR(VLOOKUP(A112,'Centre DW5'!$A$7:$N$161,8,FALSE),0)+
IFERROR(VLOOKUP(A112,'Centre WP5'!$A$7:$N$160,8,FALSE),0)+
IFERROR(VLOOKUP(A112,'Centre WR5'!$A$7:$N$160,8,FALSE),0)</f>
        <v>4.8</v>
      </c>
      <c r="I112" s="10">
        <f>IFERROR(VLOOKUP(A112,'Centre DW5'!$A$7:$N$161,9,FALSE),0)+
IFERROR(VLOOKUP(A112,'Centre WP5'!$A$7:$N$160,9,FALSE),0)+
IFERROR(VLOOKUP(A112,'Centre WR5'!$A$7:$N$160,9,FALSE),0)</f>
        <v>4.7</v>
      </c>
      <c r="J112" s="10">
        <f>IFERROR(VLOOKUP(A112,'Centre DW5'!$A$7:$N$161,10,FALSE),0)+
IFERROR(VLOOKUP(A112,'Centre WP5'!$A$7:$N$160,10,FALSE),0)+
IFERROR(VLOOKUP(A112,'Centre WR5'!$A$7:$N$160,10,FALSE),0)</f>
        <v>4</v>
      </c>
      <c r="K112" s="10">
        <f>IFERROR(VLOOKUP(A112,'Centre DW5'!$A$7:$N$161,11,FALSE),0)+
IFERROR(VLOOKUP(A112,'Centre WP5'!$A$7:$N$160,11,FALSE),0)+
IFERROR(VLOOKUP(A112,'Centre WR5'!$A$7:$N$160,11,FALSE),0)</f>
        <v>5</v>
      </c>
      <c r="L112" s="10">
        <f>IFERROR(VLOOKUP(A112,'Centre DW5'!$A$7:$N$161,12,FALSE),0)+
IFERROR(VLOOKUP(A112,'Centre WP5'!$A$7:$N$160,12,FALSE),0)+
IFERROR(VLOOKUP(A112,'Centre WR5'!$A$7:$N$160,12,FALSE),0)</f>
        <v>4</v>
      </c>
      <c r="M112" s="10">
        <f>IFERROR(VLOOKUP(A112,'Centre DW5'!$A$7:$N$161,13,FALSE),0)+
IFERROR(VLOOKUP(A112,'Centre WP5'!$A$7:$N$160,13,FALSE),0)+
IFERROR(VLOOKUP(A112,'Centre WR5'!$A$7:$N$160,13,FALSE),0)</f>
        <v>5</v>
      </c>
      <c r="N112" s="10">
        <f>IFERROR(VLOOKUP(A112,'Centre DW5'!$A$7:$N$161,14,FALSE),0)+
IFERROR(VLOOKUP(A112,'Centre WP5'!$A$7:$N$160,14,FALSE),0)+
IFERROR(VLOOKUP(A112,'Centre WR5'!$A$7:$N$160,14,FALSE),0)</f>
        <v>5</v>
      </c>
    </row>
    <row r="113" spans="1:14" hidden="1" outlineLevel="1" x14ac:dyDescent="0.2">
      <c r="A113" s="9" t="s">
        <v>179</v>
      </c>
      <c r="B113" s="1" t="s">
        <v>180</v>
      </c>
      <c r="C113" s="10">
        <f>IFERROR(VLOOKUP(A113,'Centre DW5'!$A$7:$N$161,3,FALSE),0)+
IFERROR(VLOOKUP(A113,'Centre WP5'!$A$7:$N$160,3,FALSE),0)+
IFERROR(VLOOKUP(A113,'Centre WR5'!$A$7:$N$160,3,FALSE),0)</f>
        <v>0</v>
      </c>
      <c r="D113" s="10">
        <f>IFERROR(VLOOKUP(A113,'Centre DW5'!$A$7:$N$161,4,FALSE),0)+
IFERROR(VLOOKUP(A113,'Centre WP5'!$A$7:$N$160,4,FALSE),0)+
IFERROR(VLOOKUP(A113,'Centre WR5'!$A$7:$N$160,4,FALSE),0)</f>
        <v>0</v>
      </c>
      <c r="E113" s="10">
        <f>IFERROR(VLOOKUP(A113,'Centre DW5'!$A$7:$N$161,5,FALSE),0)+
IFERROR(VLOOKUP(A113,'Centre WP5'!$A$7:$N$160,5,FALSE),0)+
IFERROR(VLOOKUP(A113,'Centre WR5'!$A$7:$N$160,5,FALSE),0)</f>
        <v>0</v>
      </c>
      <c r="F113" s="10">
        <f>IFERROR(VLOOKUP(A113,'Centre DW5'!$A$7:$N$161,6,FALSE),0)+
IFERROR(VLOOKUP(A113,'Centre WP5'!$A$7:$N$160,6,FALSE),0)+
IFERROR(VLOOKUP(A113,'Centre WR5'!$A$7:$N$160,6,FALSE),0)</f>
        <v>0</v>
      </c>
      <c r="G113" s="10">
        <f>IFERROR(VLOOKUP(A113,'Centre DW5'!$A$7:$N$161,7,FALSE),0)+
IFERROR(VLOOKUP(A113,'Centre WP5'!$A$7:$N$160,7,FALSE),0)+
IFERROR(VLOOKUP(A113,'Centre WR5'!$A$7:$N$160,7,FALSE),0)</f>
        <v>0</v>
      </c>
      <c r="H113" s="10">
        <f>IFERROR(VLOOKUP(A113,'Centre DW5'!$A$7:$N$161,8,FALSE),0)+
IFERROR(VLOOKUP(A113,'Centre WP5'!$A$7:$N$160,8,FALSE),0)+
IFERROR(VLOOKUP(A113,'Centre WR5'!$A$7:$N$160,8,FALSE),0)</f>
        <v>0</v>
      </c>
      <c r="I113" s="10">
        <f>IFERROR(VLOOKUP(A113,'Centre DW5'!$A$7:$N$161,9,FALSE),0)+
IFERROR(VLOOKUP(A113,'Centre WP5'!$A$7:$N$160,9,FALSE),0)+
IFERROR(VLOOKUP(A113,'Centre WR5'!$A$7:$N$160,9,FALSE),0)</f>
        <v>0</v>
      </c>
      <c r="J113" s="10">
        <f>IFERROR(VLOOKUP(A113,'Centre DW5'!$A$7:$N$161,10,FALSE),0)+
IFERROR(VLOOKUP(A113,'Centre WP5'!$A$7:$N$160,10,FALSE),0)+
IFERROR(VLOOKUP(A113,'Centre WR5'!$A$7:$N$160,10,FALSE),0)</f>
        <v>0</v>
      </c>
      <c r="K113" s="10">
        <f>IFERROR(VLOOKUP(A113,'Centre DW5'!$A$7:$N$161,11,FALSE),0)+
IFERROR(VLOOKUP(A113,'Centre WP5'!$A$7:$N$160,11,FALSE),0)+
IFERROR(VLOOKUP(A113,'Centre WR5'!$A$7:$N$160,11,FALSE),0)</f>
        <v>0</v>
      </c>
      <c r="L113" s="10">
        <f>IFERROR(VLOOKUP(A113,'Centre DW5'!$A$7:$N$161,12,FALSE),0)+
IFERROR(VLOOKUP(A113,'Centre WP5'!$A$7:$N$160,12,FALSE),0)+
IFERROR(VLOOKUP(A113,'Centre WR5'!$A$7:$N$160,12,FALSE),0)</f>
        <v>0</v>
      </c>
      <c r="M113" s="10">
        <f>IFERROR(VLOOKUP(A113,'Centre DW5'!$A$7:$N$161,13,FALSE),0)+
IFERROR(VLOOKUP(A113,'Centre WP5'!$A$7:$N$160,13,FALSE),0)+
IFERROR(VLOOKUP(A113,'Centre WR5'!$A$7:$N$160,13,FALSE),0)</f>
        <v>0</v>
      </c>
      <c r="N113" s="10">
        <f>IFERROR(VLOOKUP(A113,'Centre DW5'!$A$7:$N$161,14,FALSE),0)+
IFERROR(VLOOKUP(A113,'Centre WP5'!$A$7:$N$160,14,FALSE),0)+
IFERROR(VLOOKUP(A113,'Centre WR5'!$A$7:$N$160,14,FALSE),0)</f>
        <v>0</v>
      </c>
    </row>
    <row r="114" spans="1:14" hidden="1" outlineLevel="1" x14ac:dyDescent="0.2">
      <c r="A114" s="9" t="s">
        <v>181</v>
      </c>
      <c r="B114" s="1" t="s">
        <v>182</v>
      </c>
      <c r="C114" s="10">
        <f>IFERROR(VLOOKUP(A114,'Centre DW5'!$A$7:$N$161,3,FALSE),0)+
IFERROR(VLOOKUP(A114,'Centre WP5'!$A$7:$N$160,3,FALSE),0)+
IFERROR(VLOOKUP(A114,'Centre WR5'!$A$7:$N$160,3,FALSE),0)</f>
        <v>14.2</v>
      </c>
      <c r="D114" s="10">
        <f>IFERROR(VLOOKUP(A114,'Centre DW5'!$A$7:$N$161,4,FALSE),0)+
IFERROR(VLOOKUP(A114,'Centre WP5'!$A$7:$N$160,4,FALSE),0)+
IFERROR(VLOOKUP(A114,'Centre WR5'!$A$7:$N$160,4,FALSE),0)</f>
        <v>17.100000000000001</v>
      </c>
      <c r="E114" s="10">
        <f>IFERROR(VLOOKUP(A114,'Centre DW5'!$A$7:$N$161,5,FALSE),0)+
IFERROR(VLOOKUP(A114,'Centre WP5'!$A$7:$N$160,5,FALSE),0)+
IFERROR(VLOOKUP(A114,'Centre WR5'!$A$7:$N$160,5,FALSE),0)</f>
        <v>10.6</v>
      </c>
      <c r="F114" s="10">
        <f>IFERROR(VLOOKUP(A114,'Centre DW5'!$A$7:$N$161,6,FALSE),0)+
IFERROR(VLOOKUP(A114,'Centre WP5'!$A$7:$N$160,6,FALSE),0)+
IFERROR(VLOOKUP(A114,'Centre WR5'!$A$7:$N$160,6,FALSE),0)</f>
        <v>8</v>
      </c>
      <c r="G114" s="10">
        <f>IFERROR(VLOOKUP(A114,'Centre DW5'!$A$7:$N$161,7,FALSE),0)+
IFERROR(VLOOKUP(A114,'Centre WP5'!$A$7:$N$160,7,FALSE),0)+
IFERROR(VLOOKUP(A114,'Centre WR5'!$A$7:$N$160,7,FALSE),0)</f>
        <v>9.6</v>
      </c>
      <c r="H114" s="10">
        <f>IFERROR(VLOOKUP(A114,'Centre DW5'!$A$7:$N$161,8,FALSE),0)+
IFERROR(VLOOKUP(A114,'Centre WP5'!$A$7:$N$160,8,FALSE),0)+
IFERROR(VLOOKUP(A114,'Centre WR5'!$A$7:$N$160,8,FALSE),0)</f>
        <v>9.1999999999999993</v>
      </c>
      <c r="I114" s="10">
        <f>IFERROR(VLOOKUP(A114,'Centre DW5'!$A$7:$N$161,9,FALSE),0)+
IFERROR(VLOOKUP(A114,'Centre WP5'!$A$7:$N$160,9,FALSE),0)+
IFERROR(VLOOKUP(A114,'Centre WR5'!$A$7:$N$160,9,FALSE),0)</f>
        <v>7.3</v>
      </c>
      <c r="J114" s="10">
        <f>IFERROR(VLOOKUP(A114,'Centre DW5'!$A$7:$N$161,10,FALSE),0)+
IFERROR(VLOOKUP(A114,'Centre WP5'!$A$7:$N$160,10,FALSE),0)+
IFERROR(VLOOKUP(A114,'Centre WR5'!$A$7:$N$160,10,FALSE),0)</f>
        <v>10.6</v>
      </c>
      <c r="K114" s="10">
        <f>IFERROR(VLOOKUP(A114,'Centre DW5'!$A$7:$N$161,11,FALSE),0)+
IFERROR(VLOOKUP(A114,'Centre WP5'!$A$7:$N$160,11,FALSE),0)+
IFERROR(VLOOKUP(A114,'Centre WR5'!$A$7:$N$160,11,FALSE),0)</f>
        <v>8</v>
      </c>
      <c r="L114" s="10">
        <f>IFERROR(VLOOKUP(A114,'Centre DW5'!$A$7:$N$161,12,FALSE),0)+
IFERROR(VLOOKUP(A114,'Centre WP5'!$A$7:$N$160,12,FALSE),0)+
IFERROR(VLOOKUP(A114,'Centre WR5'!$A$7:$N$160,12,FALSE),0)</f>
        <v>9.6</v>
      </c>
      <c r="M114" s="10">
        <f>IFERROR(VLOOKUP(A114,'Centre DW5'!$A$7:$N$161,13,FALSE),0)+
IFERROR(VLOOKUP(A114,'Centre WP5'!$A$7:$N$160,13,FALSE),0)+
IFERROR(VLOOKUP(A114,'Centre WR5'!$A$7:$N$160,13,FALSE),0)</f>
        <v>9.1999999999999993</v>
      </c>
      <c r="N114" s="10">
        <f>IFERROR(VLOOKUP(A114,'Centre DW5'!$A$7:$N$161,14,FALSE),0)+
IFERROR(VLOOKUP(A114,'Centre WP5'!$A$7:$N$160,14,FALSE),0)+
IFERROR(VLOOKUP(A114,'Centre WR5'!$A$7:$N$160,14,FALSE),0)</f>
        <v>7.3</v>
      </c>
    </row>
    <row r="115" spans="1:14" hidden="1" outlineLevel="1" x14ac:dyDescent="0.2">
      <c r="A115" s="9" t="s">
        <v>183</v>
      </c>
      <c r="B115" s="1" t="s">
        <v>184</v>
      </c>
      <c r="C115" s="10">
        <f>IFERROR(VLOOKUP(A115,'Centre DW5'!$A$7:$N$161,3,FALSE),0)+
IFERROR(VLOOKUP(A115,'Centre WP5'!$A$7:$N$160,3,FALSE),0)+
IFERROR(VLOOKUP(A115,'Centre WR5'!$A$7:$N$160,3,FALSE),0)</f>
        <v>0</v>
      </c>
      <c r="D115" s="10">
        <f>IFERROR(VLOOKUP(A115,'Centre DW5'!$A$7:$N$161,4,FALSE),0)+
IFERROR(VLOOKUP(A115,'Centre WP5'!$A$7:$N$160,4,FALSE),0)+
IFERROR(VLOOKUP(A115,'Centre WR5'!$A$7:$N$160,4,FALSE),0)</f>
        <v>0.6</v>
      </c>
      <c r="E115" s="10">
        <f>IFERROR(VLOOKUP(A115,'Centre DW5'!$A$7:$N$161,5,FALSE),0)+
IFERROR(VLOOKUP(A115,'Centre WP5'!$A$7:$N$160,5,FALSE),0)+
IFERROR(VLOOKUP(A115,'Centre WR5'!$A$7:$N$160,5,FALSE),0)</f>
        <v>3.6</v>
      </c>
      <c r="F115" s="10">
        <f>IFERROR(VLOOKUP(A115,'Centre DW5'!$A$7:$N$161,6,FALSE),0)+
IFERROR(VLOOKUP(A115,'Centre WP5'!$A$7:$N$160,6,FALSE),0)+
IFERROR(VLOOKUP(A115,'Centre WR5'!$A$7:$N$160,6,FALSE),0)</f>
        <v>6.9</v>
      </c>
      <c r="G115" s="10">
        <f>IFERROR(VLOOKUP(A115,'Centre DW5'!$A$7:$N$161,7,FALSE),0)+
IFERROR(VLOOKUP(A115,'Centre WP5'!$A$7:$N$160,7,FALSE),0)+
IFERROR(VLOOKUP(A115,'Centre WR5'!$A$7:$N$160,7,FALSE),0)</f>
        <v>9</v>
      </c>
      <c r="H115" s="10">
        <f>IFERROR(VLOOKUP(A115,'Centre DW5'!$A$7:$N$161,8,FALSE),0)+
IFERROR(VLOOKUP(A115,'Centre WP5'!$A$7:$N$160,8,FALSE),0)+
IFERROR(VLOOKUP(A115,'Centre WR5'!$A$7:$N$160,8,FALSE),0)</f>
        <v>4.5</v>
      </c>
      <c r="I115" s="10">
        <f>IFERROR(VLOOKUP(A115,'Centre DW5'!$A$7:$N$161,9,FALSE),0)+
IFERROR(VLOOKUP(A115,'Centre WP5'!$A$7:$N$160,9,FALSE),0)+
IFERROR(VLOOKUP(A115,'Centre WR5'!$A$7:$N$160,9,FALSE),0)</f>
        <v>2.6</v>
      </c>
      <c r="J115" s="10">
        <f>IFERROR(VLOOKUP(A115,'Centre DW5'!$A$7:$N$161,10,FALSE),0)+
IFERROR(VLOOKUP(A115,'Centre WP5'!$A$7:$N$160,10,FALSE),0)+
IFERROR(VLOOKUP(A115,'Centre WR5'!$A$7:$N$160,10,FALSE),0)</f>
        <v>3.6</v>
      </c>
      <c r="K115" s="10">
        <f>IFERROR(VLOOKUP(A115,'Centre DW5'!$A$7:$N$161,11,FALSE),0)+
IFERROR(VLOOKUP(A115,'Centre WP5'!$A$7:$N$160,11,FALSE),0)+
IFERROR(VLOOKUP(A115,'Centre WR5'!$A$7:$N$160,11,FALSE),0)</f>
        <v>6.9</v>
      </c>
      <c r="L115" s="10">
        <f>IFERROR(VLOOKUP(A115,'Centre DW5'!$A$7:$N$161,12,FALSE),0)+
IFERROR(VLOOKUP(A115,'Centre WP5'!$A$7:$N$160,12,FALSE),0)+
IFERROR(VLOOKUP(A115,'Centre WR5'!$A$7:$N$160,12,FALSE),0)</f>
        <v>9</v>
      </c>
      <c r="M115" s="10">
        <f>IFERROR(VLOOKUP(A115,'Centre DW5'!$A$7:$N$161,13,FALSE),0)+
IFERROR(VLOOKUP(A115,'Centre WP5'!$A$7:$N$160,13,FALSE),0)+
IFERROR(VLOOKUP(A115,'Centre WR5'!$A$7:$N$160,13,FALSE),0)</f>
        <v>4.5</v>
      </c>
      <c r="N115" s="10">
        <f>IFERROR(VLOOKUP(A115,'Centre DW5'!$A$7:$N$161,14,FALSE),0)+
IFERROR(VLOOKUP(A115,'Centre WP5'!$A$7:$N$160,14,FALSE),0)+
IFERROR(VLOOKUP(A115,'Centre WR5'!$A$7:$N$160,14,FALSE),0)</f>
        <v>2.6</v>
      </c>
    </row>
    <row r="116" spans="1:14" hidden="1" outlineLevel="1" x14ac:dyDescent="0.2">
      <c r="A116" s="9" t="s">
        <v>185</v>
      </c>
      <c r="B116" s="1" t="s">
        <v>186</v>
      </c>
      <c r="C116" s="10">
        <f>IFERROR(VLOOKUP(A116,'Centre DW5'!$A$7:$N$161,3,FALSE),0)+
IFERROR(VLOOKUP(A116,'Centre WP5'!$A$7:$N$160,3,FALSE),0)+
IFERROR(VLOOKUP(A116,'Centre WR5'!$A$7:$N$160,3,FALSE),0)</f>
        <v>1.8</v>
      </c>
      <c r="D116" s="10">
        <f>IFERROR(VLOOKUP(A116,'Centre DW5'!$A$7:$N$161,4,FALSE),0)+
IFERROR(VLOOKUP(A116,'Centre WP5'!$A$7:$N$160,4,FALSE),0)+
IFERROR(VLOOKUP(A116,'Centre WR5'!$A$7:$N$160,4,FALSE),0)</f>
        <v>1.6</v>
      </c>
      <c r="E116" s="10">
        <f>IFERROR(VLOOKUP(A116,'Centre DW5'!$A$7:$N$161,5,FALSE),0)+
IFERROR(VLOOKUP(A116,'Centre WP5'!$A$7:$N$160,5,FALSE),0)+
IFERROR(VLOOKUP(A116,'Centre WR5'!$A$7:$N$160,5,FALSE),0)</f>
        <v>2.5</v>
      </c>
      <c r="F116" s="10">
        <f>IFERROR(VLOOKUP(A116,'Centre DW5'!$A$7:$N$161,6,FALSE),0)+
IFERROR(VLOOKUP(A116,'Centre WP5'!$A$7:$N$160,6,FALSE),0)+
IFERROR(VLOOKUP(A116,'Centre WR5'!$A$7:$N$160,6,FALSE),0)</f>
        <v>2.2999999999999998</v>
      </c>
      <c r="G116" s="10">
        <f>IFERROR(VLOOKUP(A116,'Centre DW5'!$A$7:$N$161,7,FALSE),0)+
IFERROR(VLOOKUP(A116,'Centre WP5'!$A$7:$N$160,7,FALSE),0)+
IFERROR(VLOOKUP(A116,'Centre WR5'!$A$7:$N$160,7,FALSE),0)</f>
        <v>2.8</v>
      </c>
      <c r="H116" s="10">
        <f>IFERROR(VLOOKUP(A116,'Centre DW5'!$A$7:$N$161,8,FALSE),0)+
IFERROR(VLOOKUP(A116,'Centre WP5'!$A$7:$N$160,8,FALSE),0)+
IFERROR(VLOOKUP(A116,'Centre WR5'!$A$7:$N$160,8,FALSE),0)</f>
        <v>2.1</v>
      </c>
      <c r="I116" s="10">
        <f>IFERROR(VLOOKUP(A116,'Centre DW5'!$A$7:$N$161,9,FALSE),0)+
IFERROR(VLOOKUP(A116,'Centre WP5'!$A$7:$N$160,9,FALSE),0)+
IFERROR(VLOOKUP(A116,'Centre WR5'!$A$7:$N$160,9,FALSE),0)</f>
        <v>3.9</v>
      </c>
      <c r="J116" s="10">
        <f>IFERROR(VLOOKUP(A116,'Centre DW5'!$A$7:$N$161,10,FALSE),0)+
IFERROR(VLOOKUP(A116,'Centre WP5'!$A$7:$N$160,10,FALSE),0)+
IFERROR(VLOOKUP(A116,'Centre WR5'!$A$7:$N$160,10,FALSE),0)</f>
        <v>2.5</v>
      </c>
      <c r="K116" s="10">
        <f>IFERROR(VLOOKUP(A116,'Centre DW5'!$A$7:$N$161,11,FALSE),0)+
IFERROR(VLOOKUP(A116,'Centre WP5'!$A$7:$N$160,11,FALSE),0)+
IFERROR(VLOOKUP(A116,'Centre WR5'!$A$7:$N$160,11,FALSE),0)</f>
        <v>2.2999999999999998</v>
      </c>
      <c r="L116" s="10">
        <f>IFERROR(VLOOKUP(A116,'Centre DW5'!$A$7:$N$161,12,FALSE),0)+
IFERROR(VLOOKUP(A116,'Centre WP5'!$A$7:$N$160,12,FALSE),0)+
IFERROR(VLOOKUP(A116,'Centre WR5'!$A$7:$N$160,12,FALSE),0)</f>
        <v>2.8</v>
      </c>
      <c r="M116" s="10">
        <f>IFERROR(VLOOKUP(A116,'Centre DW5'!$A$7:$N$161,13,FALSE),0)+
IFERROR(VLOOKUP(A116,'Centre WP5'!$A$7:$N$160,13,FALSE),0)+
IFERROR(VLOOKUP(A116,'Centre WR5'!$A$7:$N$160,13,FALSE),0)</f>
        <v>2.1</v>
      </c>
      <c r="N116" s="10">
        <f>IFERROR(VLOOKUP(A116,'Centre DW5'!$A$7:$N$161,14,FALSE),0)+
IFERROR(VLOOKUP(A116,'Centre WP5'!$A$7:$N$160,14,FALSE),0)+
IFERROR(VLOOKUP(A116,'Centre WR5'!$A$7:$N$160,14,FALSE),0)</f>
        <v>3.9</v>
      </c>
    </row>
    <row r="117" spans="1:14" hidden="1" outlineLevel="1" x14ac:dyDescent="0.2">
      <c r="A117" s="9" t="s">
        <v>187</v>
      </c>
      <c r="B117" s="1" t="s">
        <v>184</v>
      </c>
      <c r="C117" s="10">
        <f>IFERROR(VLOOKUP(A117,'Centre DW5'!$A$7:$N$161,3,FALSE),0)+
IFERROR(VLOOKUP(A117,'Centre WP5'!$A$7:$N$160,3,FALSE),0)+
IFERROR(VLOOKUP(A117,'Centre WR5'!$A$7:$N$160,3,FALSE),0)</f>
        <v>0.3</v>
      </c>
      <c r="D117" s="10">
        <f>IFERROR(VLOOKUP(A117,'Centre DW5'!$A$7:$N$161,4,FALSE),0)+
IFERROR(VLOOKUP(A117,'Centre WP5'!$A$7:$N$160,4,FALSE),0)+
IFERROR(VLOOKUP(A117,'Centre WR5'!$A$7:$N$160,4,FALSE),0)</f>
        <v>0.3</v>
      </c>
      <c r="E117" s="10">
        <f>IFERROR(VLOOKUP(A117,'Centre DW5'!$A$7:$N$161,5,FALSE),0)+
IFERROR(VLOOKUP(A117,'Centre WP5'!$A$7:$N$160,5,FALSE),0)+
IFERROR(VLOOKUP(A117,'Centre WR5'!$A$7:$N$160,5,FALSE),0)</f>
        <v>0.3</v>
      </c>
      <c r="F117" s="10">
        <f>IFERROR(VLOOKUP(A117,'Centre DW5'!$A$7:$N$161,6,FALSE),0)+
IFERROR(VLOOKUP(A117,'Centre WP5'!$A$7:$N$160,6,FALSE),0)+
IFERROR(VLOOKUP(A117,'Centre WR5'!$A$7:$N$160,6,FALSE),0)</f>
        <v>0.3</v>
      </c>
      <c r="G117" s="10">
        <f>IFERROR(VLOOKUP(A117,'Centre DW5'!$A$7:$N$161,7,FALSE),0)+
IFERROR(VLOOKUP(A117,'Centre WP5'!$A$7:$N$160,7,FALSE),0)+
IFERROR(VLOOKUP(A117,'Centre WR5'!$A$7:$N$160,7,FALSE),0)</f>
        <v>0.3</v>
      </c>
      <c r="H117" s="10">
        <f>IFERROR(VLOOKUP(A117,'Centre DW5'!$A$7:$N$161,8,FALSE),0)+
IFERROR(VLOOKUP(A117,'Centre WP5'!$A$7:$N$160,8,FALSE),0)+
IFERROR(VLOOKUP(A117,'Centre WR5'!$A$7:$N$160,8,FALSE),0)</f>
        <v>0.3</v>
      </c>
      <c r="I117" s="10">
        <f>IFERROR(VLOOKUP(A117,'Centre DW5'!$A$7:$N$161,9,FALSE),0)+
IFERROR(VLOOKUP(A117,'Centre WP5'!$A$7:$N$160,9,FALSE),0)+
IFERROR(VLOOKUP(A117,'Centre WR5'!$A$7:$N$160,9,FALSE),0)</f>
        <v>0.3</v>
      </c>
      <c r="J117" s="10">
        <f>IFERROR(VLOOKUP(A117,'Centre DW5'!$A$7:$N$161,10,FALSE),0)+
IFERROR(VLOOKUP(A117,'Centre WP5'!$A$7:$N$160,10,FALSE),0)+
IFERROR(VLOOKUP(A117,'Centre WR5'!$A$7:$N$160,10,FALSE),0)</f>
        <v>0.3</v>
      </c>
      <c r="K117" s="10">
        <f>IFERROR(VLOOKUP(A117,'Centre DW5'!$A$7:$N$161,11,FALSE),0)+
IFERROR(VLOOKUP(A117,'Centre WP5'!$A$7:$N$160,11,FALSE),0)+
IFERROR(VLOOKUP(A117,'Centre WR5'!$A$7:$N$160,11,FALSE),0)</f>
        <v>0.3</v>
      </c>
      <c r="L117" s="10">
        <f>IFERROR(VLOOKUP(A117,'Centre DW5'!$A$7:$N$161,12,FALSE),0)+
IFERROR(VLOOKUP(A117,'Centre WP5'!$A$7:$N$160,12,FALSE),0)+
IFERROR(VLOOKUP(A117,'Centre WR5'!$A$7:$N$160,12,FALSE),0)</f>
        <v>0.3</v>
      </c>
      <c r="M117" s="10">
        <f>IFERROR(VLOOKUP(A117,'Centre DW5'!$A$7:$N$161,13,FALSE),0)+
IFERROR(VLOOKUP(A117,'Centre WP5'!$A$7:$N$160,13,FALSE),0)+
IFERROR(VLOOKUP(A117,'Centre WR5'!$A$7:$N$160,13,FALSE),0)</f>
        <v>0.3</v>
      </c>
      <c r="N117" s="10">
        <f>IFERROR(VLOOKUP(A117,'Centre DW5'!$A$7:$N$161,14,FALSE),0)+
IFERROR(VLOOKUP(A117,'Centre WP5'!$A$7:$N$160,14,FALSE),0)+
IFERROR(VLOOKUP(A117,'Centre WR5'!$A$7:$N$160,14,FALSE),0)</f>
        <v>0.3</v>
      </c>
    </row>
    <row r="118" spans="1:14" hidden="1" outlineLevel="1" x14ac:dyDescent="0.2">
      <c r="A118" s="9" t="s">
        <v>188</v>
      </c>
      <c r="B118" s="1" t="s">
        <v>189</v>
      </c>
      <c r="C118" s="10">
        <f>IFERROR(VLOOKUP(A118,'Centre DW5'!$A$7:$N$161,3,FALSE),0)+
IFERROR(VLOOKUP(A118,'Centre WP5'!$A$7:$N$160,3,FALSE),0)+
IFERROR(VLOOKUP(A118,'Centre WR5'!$A$7:$N$160,3,FALSE),0)</f>
        <v>2.6</v>
      </c>
      <c r="D118" s="10">
        <f>IFERROR(VLOOKUP(A118,'Centre DW5'!$A$7:$N$161,4,FALSE),0)+
IFERROR(VLOOKUP(A118,'Centre WP5'!$A$7:$N$160,4,FALSE),0)+
IFERROR(VLOOKUP(A118,'Centre WR5'!$A$7:$N$160,4,FALSE),0)</f>
        <v>2.7</v>
      </c>
      <c r="E118" s="10">
        <f>IFERROR(VLOOKUP(A118,'Centre DW5'!$A$7:$N$161,5,FALSE),0)+
IFERROR(VLOOKUP(A118,'Centre WP5'!$A$7:$N$160,5,FALSE),0)+
IFERROR(VLOOKUP(A118,'Centre WR5'!$A$7:$N$160,5,FALSE),0)</f>
        <v>3.6</v>
      </c>
      <c r="F118" s="10">
        <f>IFERROR(VLOOKUP(A118,'Centre DW5'!$A$7:$N$161,6,FALSE),0)+
IFERROR(VLOOKUP(A118,'Centre WP5'!$A$7:$N$160,6,FALSE),0)+
IFERROR(VLOOKUP(A118,'Centre WR5'!$A$7:$N$160,6,FALSE),0)</f>
        <v>3.6</v>
      </c>
      <c r="G118" s="10">
        <f>IFERROR(VLOOKUP(A118,'Centre DW5'!$A$7:$N$161,7,FALSE),0)+
IFERROR(VLOOKUP(A118,'Centre WP5'!$A$7:$N$160,7,FALSE),0)+
IFERROR(VLOOKUP(A118,'Centre WR5'!$A$7:$N$160,7,FALSE),0)</f>
        <v>1.9</v>
      </c>
      <c r="H118" s="10">
        <f>IFERROR(VLOOKUP(A118,'Centre DW5'!$A$7:$N$161,8,FALSE),0)+
IFERROR(VLOOKUP(A118,'Centre WP5'!$A$7:$N$160,8,FALSE),0)+
IFERROR(VLOOKUP(A118,'Centre WR5'!$A$7:$N$160,8,FALSE),0)</f>
        <v>3.8</v>
      </c>
      <c r="I118" s="10">
        <f>IFERROR(VLOOKUP(A118,'Centre DW5'!$A$7:$N$161,9,FALSE),0)+
IFERROR(VLOOKUP(A118,'Centre WP5'!$A$7:$N$160,9,FALSE),0)+
IFERROR(VLOOKUP(A118,'Centre WR5'!$A$7:$N$160,9,FALSE),0)</f>
        <v>2.2999999999999998</v>
      </c>
      <c r="J118" s="10">
        <f>IFERROR(VLOOKUP(A118,'Centre DW5'!$A$7:$N$161,10,FALSE),0)+
IFERROR(VLOOKUP(A118,'Centre WP5'!$A$7:$N$160,10,FALSE),0)+
IFERROR(VLOOKUP(A118,'Centre WR5'!$A$7:$N$160,10,FALSE),0)</f>
        <v>3.6</v>
      </c>
      <c r="K118" s="10">
        <f>IFERROR(VLOOKUP(A118,'Centre DW5'!$A$7:$N$161,11,FALSE),0)+
IFERROR(VLOOKUP(A118,'Centre WP5'!$A$7:$N$160,11,FALSE),0)+
IFERROR(VLOOKUP(A118,'Centre WR5'!$A$7:$N$160,11,FALSE),0)</f>
        <v>3.6</v>
      </c>
      <c r="L118" s="10">
        <f>IFERROR(VLOOKUP(A118,'Centre DW5'!$A$7:$N$161,12,FALSE),0)+
IFERROR(VLOOKUP(A118,'Centre WP5'!$A$7:$N$160,12,FALSE),0)+
IFERROR(VLOOKUP(A118,'Centre WR5'!$A$7:$N$160,12,FALSE),0)</f>
        <v>1.9</v>
      </c>
      <c r="M118" s="10">
        <f>IFERROR(VLOOKUP(A118,'Centre DW5'!$A$7:$N$161,13,FALSE),0)+
IFERROR(VLOOKUP(A118,'Centre WP5'!$A$7:$N$160,13,FALSE),0)+
IFERROR(VLOOKUP(A118,'Centre WR5'!$A$7:$N$160,13,FALSE),0)</f>
        <v>3.8</v>
      </c>
      <c r="N118" s="10">
        <f>IFERROR(VLOOKUP(A118,'Centre DW5'!$A$7:$N$161,14,FALSE),0)+
IFERROR(VLOOKUP(A118,'Centre WP5'!$A$7:$N$160,14,FALSE),0)+
IFERROR(VLOOKUP(A118,'Centre WR5'!$A$7:$N$160,14,FALSE),0)</f>
        <v>2.2999999999999998</v>
      </c>
    </row>
    <row r="119" spans="1:14" hidden="1" outlineLevel="1" x14ac:dyDescent="0.2">
      <c r="A119" s="9" t="s">
        <v>190</v>
      </c>
      <c r="B119" s="1" t="s">
        <v>191</v>
      </c>
      <c r="C119" s="10">
        <f>IFERROR(VLOOKUP(A119,'Centre DW5'!$A$7:$N$161,3,FALSE),0)+
IFERROR(VLOOKUP(A119,'Centre WP5'!$A$7:$N$160,3,FALSE),0)+
IFERROR(VLOOKUP(A119,'Centre WR5'!$A$7:$N$160,3,FALSE),0)</f>
        <v>1</v>
      </c>
      <c r="D119" s="10">
        <f>IFERROR(VLOOKUP(A119,'Centre DW5'!$A$7:$N$161,4,FALSE),0)+
IFERROR(VLOOKUP(A119,'Centre WP5'!$A$7:$N$160,4,FALSE),0)+
IFERROR(VLOOKUP(A119,'Centre WR5'!$A$7:$N$160,4,FALSE),0)</f>
        <v>1</v>
      </c>
      <c r="E119" s="10">
        <f>IFERROR(VLOOKUP(A119,'Centre DW5'!$A$7:$N$161,5,FALSE),0)+
IFERROR(VLOOKUP(A119,'Centre WP5'!$A$7:$N$160,5,FALSE),0)+
IFERROR(VLOOKUP(A119,'Centre WR5'!$A$7:$N$160,5,FALSE),0)</f>
        <v>1.5</v>
      </c>
      <c r="F119" s="10">
        <f>IFERROR(VLOOKUP(A119,'Centre DW5'!$A$7:$N$161,6,FALSE),0)+
IFERROR(VLOOKUP(A119,'Centre WP5'!$A$7:$N$160,6,FALSE),0)+
IFERROR(VLOOKUP(A119,'Centre WR5'!$A$7:$N$160,6,FALSE),0)</f>
        <v>1.5</v>
      </c>
      <c r="G119" s="10">
        <f>IFERROR(VLOOKUP(A119,'Centre DW5'!$A$7:$N$161,7,FALSE),0)+
IFERROR(VLOOKUP(A119,'Centre WP5'!$A$7:$N$160,7,FALSE),0)+
IFERROR(VLOOKUP(A119,'Centre WR5'!$A$7:$N$160,7,FALSE),0)</f>
        <v>0.8</v>
      </c>
      <c r="H119" s="10">
        <f>IFERROR(VLOOKUP(A119,'Centre DW5'!$A$7:$N$161,8,FALSE),0)+
IFERROR(VLOOKUP(A119,'Centre WP5'!$A$7:$N$160,8,FALSE),0)+
IFERROR(VLOOKUP(A119,'Centre WR5'!$A$7:$N$160,8,FALSE),0)</f>
        <v>2.7</v>
      </c>
      <c r="I119" s="10">
        <f>IFERROR(VLOOKUP(A119,'Centre DW5'!$A$7:$N$161,9,FALSE),0)+
IFERROR(VLOOKUP(A119,'Centre WP5'!$A$7:$N$160,9,FALSE),0)+
IFERROR(VLOOKUP(A119,'Centre WR5'!$A$7:$N$160,9,FALSE),0)</f>
        <v>1.4</v>
      </c>
      <c r="J119" s="10">
        <f>IFERROR(VLOOKUP(A119,'Centre DW5'!$A$7:$N$161,10,FALSE),0)+
IFERROR(VLOOKUP(A119,'Centre WP5'!$A$7:$N$160,10,FALSE),0)+
IFERROR(VLOOKUP(A119,'Centre WR5'!$A$7:$N$160,10,FALSE),0)</f>
        <v>1.5</v>
      </c>
      <c r="K119" s="10">
        <f>IFERROR(VLOOKUP(A119,'Centre DW5'!$A$7:$N$161,11,FALSE),0)+
IFERROR(VLOOKUP(A119,'Centre WP5'!$A$7:$N$160,11,FALSE),0)+
IFERROR(VLOOKUP(A119,'Centre WR5'!$A$7:$N$160,11,FALSE),0)</f>
        <v>1.5</v>
      </c>
      <c r="L119" s="10">
        <f>IFERROR(VLOOKUP(A119,'Centre DW5'!$A$7:$N$161,12,FALSE),0)+
IFERROR(VLOOKUP(A119,'Centre WP5'!$A$7:$N$160,12,FALSE),0)+
IFERROR(VLOOKUP(A119,'Centre WR5'!$A$7:$N$160,12,FALSE),0)</f>
        <v>0.8</v>
      </c>
      <c r="M119" s="10">
        <f>IFERROR(VLOOKUP(A119,'Centre DW5'!$A$7:$N$161,13,FALSE),0)+
IFERROR(VLOOKUP(A119,'Centre WP5'!$A$7:$N$160,13,FALSE),0)+
IFERROR(VLOOKUP(A119,'Centre WR5'!$A$7:$N$160,13,FALSE),0)</f>
        <v>2.7</v>
      </c>
      <c r="N119" s="10">
        <f>IFERROR(VLOOKUP(A119,'Centre DW5'!$A$7:$N$161,14,FALSE),0)+
IFERROR(VLOOKUP(A119,'Centre WP5'!$A$7:$N$160,14,FALSE),0)+
IFERROR(VLOOKUP(A119,'Centre WR5'!$A$7:$N$160,14,FALSE),0)</f>
        <v>1.4</v>
      </c>
    </row>
    <row r="120" spans="1:14" hidden="1" outlineLevel="1" x14ac:dyDescent="0.2">
      <c r="A120" s="9" t="s">
        <v>192</v>
      </c>
      <c r="B120" s="1" t="s">
        <v>193</v>
      </c>
      <c r="C120" s="10">
        <f>IFERROR(VLOOKUP(A120,'Centre DW5'!$A$7:$N$161,3,FALSE),0)+
IFERROR(VLOOKUP(A120,'Centre WP5'!$A$7:$N$160,3,FALSE),0)+
IFERROR(VLOOKUP(A120,'Centre WR5'!$A$7:$N$160,3,FALSE),0)</f>
        <v>0</v>
      </c>
      <c r="D120" s="10">
        <f>IFERROR(VLOOKUP(A120,'Centre DW5'!$A$7:$N$161,4,FALSE),0)+
IFERROR(VLOOKUP(A120,'Centre WP5'!$A$7:$N$160,4,FALSE),0)+
IFERROR(VLOOKUP(A120,'Centre WR5'!$A$7:$N$160,4,FALSE),0)</f>
        <v>0</v>
      </c>
      <c r="E120" s="10">
        <f>IFERROR(VLOOKUP(A120,'Centre DW5'!$A$7:$N$161,5,FALSE),0)+
IFERROR(VLOOKUP(A120,'Centre WP5'!$A$7:$N$160,5,FALSE),0)+
IFERROR(VLOOKUP(A120,'Centre WR5'!$A$7:$N$160,5,FALSE),0)</f>
        <v>0</v>
      </c>
      <c r="F120" s="10">
        <f>IFERROR(VLOOKUP(A120,'Centre DW5'!$A$7:$N$161,6,FALSE),0)+
IFERROR(VLOOKUP(A120,'Centre WP5'!$A$7:$N$160,6,FALSE),0)+
IFERROR(VLOOKUP(A120,'Centre WR5'!$A$7:$N$160,6,FALSE),0)</f>
        <v>0</v>
      </c>
      <c r="G120" s="10">
        <f>IFERROR(VLOOKUP(A120,'Centre DW5'!$A$7:$N$161,7,FALSE),0)+
IFERROR(VLOOKUP(A120,'Centre WP5'!$A$7:$N$160,7,FALSE),0)+
IFERROR(VLOOKUP(A120,'Centre WR5'!$A$7:$N$160,7,FALSE),0)</f>
        <v>0</v>
      </c>
      <c r="H120" s="10">
        <f>IFERROR(VLOOKUP(A120,'Centre DW5'!$A$7:$N$161,8,FALSE),0)+
IFERROR(VLOOKUP(A120,'Centre WP5'!$A$7:$N$160,8,FALSE),0)+
IFERROR(VLOOKUP(A120,'Centre WR5'!$A$7:$N$160,8,FALSE),0)</f>
        <v>0</v>
      </c>
      <c r="I120" s="10">
        <f>IFERROR(VLOOKUP(A120,'Centre DW5'!$A$7:$N$161,9,FALSE),0)+
IFERROR(VLOOKUP(A120,'Centre WP5'!$A$7:$N$160,9,FALSE),0)+
IFERROR(VLOOKUP(A120,'Centre WR5'!$A$7:$N$160,9,FALSE),0)</f>
        <v>0</v>
      </c>
      <c r="J120" s="10">
        <f>IFERROR(VLOOKUP(A120,'Centre DW5'!$A$7:$N$161,10,FALSE),0)+
IFERROR(VLOOKUP(A120,'Centre WP5'!$A$7:$N$160,10,FALSE),0)+
IFERROR(VLOOKUP(A120,'Centre WR5'!$A$7:$N$160,10,FALSE),0)</f>
        <v>0</v>
      </c>
      <c r="K120" s="10">
        <f>IFERROR(VLOOKUP(A120,'Centre DW5'!$A$7:$N$161,11,FALSE),0)+
IFERROR(VLOOKUP(A120,'Centre WP5'!$A$7:$N$160,11,FALSE),0)+
IFERROR(VLOOKUP(A120,'Centre WR5'!$A$7:$N$160,11,FALSE),0)</f>
        <v>0</v>
      </c>
      <c r="L120" s="10">
        <f>IFERROR(VLOOKUP(A120,'Centre DW5'!$A$7:$N$161,12,FALSE),0)+
IFERROR(VLOOKUP(A120,'Centre WP5'!$A$7:$N$160,12,FALSE),0)+
IFERROR(VLOOKUP(A120,'Centre WR5'!$A$7:$N$160,12,FALSE),0)</f>
        <v>0</v>
      </c>
      <c r="M120" s="10">
        <f>IFERROR(VLOOKUP(A120,'Centre DW5'!$A$7:$N$161,13,FALSE),0)+
IFERROR(VLOOKUP(A120,'Centre WP5'!$A$7:$N$160,13,FALSE),0)+
IFERROR(VLOOKUP(A120,'Centre WR5'!$A$7:$N$160,13,FALSE),0)</f>
        <v>0</v>
      </c>
      <c r="N120" s="10">
        <f>IFERROR(VLOOKUP(A120,'Centre DW5'!$A$7:$N$161,14,FALSE),0)+
IFERROR(VLOOKUP(A120,'Centre WP5'!$A$7:$N$160,14,FALSE),0)+
IFERROR(VLOOKUP(A120,'Centre WR5'!$A$7:$N$160,14,FALSE),0)</f>
        <v>0</v>
      </c>
    </row>
    <row r="121" spans="1:14" hidden="1" outlineLevel="1" x14ac:dyDescent="0.2">
      <c r="A121" s="9" t="s">
        <v>194</v>
      </c>
      <c r="B121" s="1" t="s">
        <v>195</v>
      </c>
      <c r="C121" s="10">
        <f>IFERROR(VLOOKUP(A121,'Centre DW5'!$A$7:$N$161,3,FALSE),0)+
IFERROR(VLOOKUP(A121,'Centre WP5'!$A$7:$N$160,3,FALSE),0)+
IFERROR(VLOOKUP(A121,'Centre WR5'!$A$7:$N$160,3,FALSE),0)</f>
        <v>2.7</v>
      </c>
      <c r="D121" s="10">
        <f>IFERROR(VLOOKUP(A121,'Centre DW5'!$A$7:$N$161,4,FALSE),0)+
IFERROR(VLOOKUP(A121,'Centre WP5'!$A$7:$N$160,4,FALSE),0)+
IFERROR(VLOOKUP(A121,'Centre WR5'!$A$7:$N$160,4,FALSE),0)</f>
        <v>6.1</v>
      </c>
      <c r="E121" s="10">
        <f>IFERROR(VLOOKUP(A121,'Centre DW5'!$A$7:$N$161,5,FALSE),0)+
IFERROR(VLOOKUP(A121,'Centre WP5'!$A$7:$N$160,5,FALSE),0)+
IFERROR(VLOOKUP(A121,'Centre WR5'!$A$7:$N$160,5,FALSE),0)</f>
        <v>2.2000000000000002</v>
      </c>
      <c r="F121" s="10">
        <f>IFERROR(VLOOKUP(A121,'Centre DW5'!$A$7:$N$161,6,FALSE),0)+
IFERROR(VLOOKUP(A121,'Centre WP5'!$A$7:$N$160,6,FALSE),0)+
IFERROR(VLOOKUP(A121,'Centre WR5'!$A$7:$N$160,6,FALSE),0)</f>
        <v>2.4</v>
      </c>
      <c r="G121" s="10">
        <f>IFERROR(VLOOKUP(A121,'Centre DW5'!$A$7:$N$161,7,FALSE),0)+
IFERROR(VLOOKUP(A121,'Centre WP5'!$A$7:$N$160,7,FALSE),0)+
IFERROR(VLOOKUP(A121,'Centre WR5'!$A$7:$N$160,7,FALSE),0)</f>
        <v>2.8</v>
      </c>
      <c r="H121" s="10">
        <f>IFERROR(VLOOKUP(A121,'Centre DW5'!$A$7:$N$161,8,FALSE),0)+
IFERROR(VLOOKUP(A121,'Centre WP5'!$A$7:$N$160,8,FALSE),0)+
IFERROR(VLOOKUP(A121,'Centre WR5'!$A$7:$N$160,8,FALSE),0)</f>
        <v>3.1</v>
      </c>
      <c r="I121" s="10">
        <f>IFERROR(VLOOKUP(A121,'Centre DW5'!$A$7:$N$161,9,FALSE),0)+
IFERROR(VLOOKUP(A121,'Centre WP5'!$A$7:$N$160,9,FALSE),0)+
IFERROR(VLOOKUP(A121,'Centre WR5'!$A$7:$N$160,9,FALSE),0)</f>
        <v>2.7</v>
      </c>
      <c r="J121" s="10">
        <f>IFERROR(VLOOKUP(A121,'Centre DW5'!$A$7:$N$161,10,FALSE),0)+
IFERROR(VLOOKUP(A121,'Centre WP5'!$A$7:$N$160,10,FALSE),0)+
IFERROR(VLOOKUP(A121,'Centre WR5'!$A$7:$N$160,10,FALSE),0)</f>
        <v>2.2000000000000002</v>
      </c>
      <c r="K121" s="10">
        <f>IFERROR(VLOOKUP(A121,'Centre DW5'!$A$7:$N$161,11,FALSE),0)+
IFERROR(VLOOKUP(A121,'Centre WP5'!$A$7:$N$160,11,FALSE),0)+
IFERROR(VLOOKUP(A121,'Centre WR5'!$A$7:$N$160,11,FALSE),0)</f>
        <v>2.4</v>
      </c>
      <c r="L121" s="10">
        <f>IFERROR(VLOOKUP(A121,'Centre DW5'!$A$7:$N$161,12,FALSE),0)+
IFERROR(VLOOKUP(A121,'Centre WP5'!$A$7:$N$160,12,FALSE),0)+
IFERROR(VLOOKUP(A121,'Centre WR5'!$A$7:$N$160,12,FALSE),0)</f>
        <v>2.8</v>
      </c>
      <c r="M121" s="10">
        <f>IFERROR(VLOOKUP(A121,'Centre DW5'!$A$7:$N$161,13,FALSE),0)+
IFERROR(VLOOKUP(A121,'Centre WP5'!$A$7:$N$160,13,FALSE),0)+
IFERROR(VLOOKUP(A121,'Centre WR5'!$A$7:$N$160,13,FALSE),0)</f>
        <v>3.1</v>
      </c>
      <c r="N121" s="10">
        <f>IFERROR(VLOOKUP(A121,'Centre DW5'!$A$7:$N$161,14,FALSE),0)+
IFERROR(VLOOKUP(A121,'Centre WP5'!$A$7:$N$160,14,FALSE),0)+
IFERROR(VLOOKUP(A121,'Centre WR5'!$A$7:$N$160,14,FALSE),0)</f>
        <v>2.7</v>
      </c>
    </row>
    <row r="122" spans="1:14" hidden="1" outlineLevel="1" x14ac:dyDescent="0.2">
      <c r="A122" s="9" t="s">
        <v>196</v>
      </c>
      <c r="B122" s="1" t="s">
        <v>197</v>
      </c>
      <c r="C122" s="10">
        <f>IFERROR(VLOOKUP(A122,'Centre DW5'!$A$7:$N$161,3,FALSE),0)+
IFERROR(VLOOKUP(A122,'Centre WP5'!$A$7:$N$160,3,FALSE),0)+
IFERROR(VLOOKUP(A122,'Centre WR5'!$A$7:$N$160,3,FALSE),0)</f>
        <v>0</v>
      </c>
      <c r="D122" s="10">
        <f>IFERROR(VLOOKUP(A122,'Centre DW5'!$A$7:$N$161,4,FALSE),0)+
IFERROR(VLOOKUP(A122,'Centre WP5'!$A$7:$N$160,4,FALSE),0)+
IFERROR(VLOOKUP(A122,'Centre WR5'!$A$7:$N$160,4,FALSE),0)</f>
        <v>0</v>
      </c>
      <c r="E122" s="10">
        <f>IFERROR(VLOOKUP(A122,'Centre DW5'!$A$7:$N$161,5,FALSE),0)+
IFERROR(VLOOKUP(A122,'Centre WP5'!$A$7:$N$160,5,FALSE),0)+
IFERROR(VLOOKUP(A122,'Centre WR5'!$A$7:$N$160,5,FALSE),0)</f>
        <v>0</v>
      </c>
      <c r="F122" s="10">
        <f>IFERROR(VLOOKUP(A122,'Centre DW5'!$A$7:$N$161,6,FALSE),0)+
IFERROR(VLOOKUP(A122,'Centre WP5'!$A$7:$N$160,6,FALSE),0)+
IFERROR(VLOOKUP(A122,'Centre WR5'!$A$7:$N$160,6,FALSE),0)</f>
        <v>0</v>
      </c>
      <c r="G122" s="10">
        <f>IFERROR(VLOOKUP(A122,'Centre DW5'!$A$7:$N$161,7,FALSE),0)+
IFERROR(VLOOKUP(A122,'Centre WP5'!$A$7:$N$160,7,FALSE),0)+
IFERROR(VLOOKUP(A122,'Centre WR5'!$A$7:$N$160,7,FALSE),0)</f>
        <v>0</v>
      </c>
      <c r="H122" s="10">
        <f>IFERROR(VLOOKUP(A122,'Centre DW5'!$A$7:$N$161,8,FALSE),0)+
IFERROR(VLOOKUP(A122,'Centre WP5'!$A$7:$N$160,8,FALSE),0)+
IFERROR(VLOOKUP(A122,'Centre WR5'!$A$7:$N$160,8,FALSE),0)</f>
        <v>0</v>
      </c>
      <c r="I122" s="10">
        <f>IFERROR(VLOOKUP(A122,'Centre DW5'!$A$7:$N$161,9,FALSE),0)+
IFERROR(VLOOKUP(A122,'Centre WP5'!$A$7:$N$160,9,FALSE),0)+
IFERROR(VLOOKUP(A122,'Centre WR5'!$A$7:$N$160,9,FALSE),0)</f>
        <v>0</v>
      </c>
      <c r="J122" s="10">
        <f>IFERROR(VLOOKUP(A122,'Centre DW5'!$A$7:$N$161,10,FALSE),0)+
IFERROR(VLOOKUP(A122,'Centre WP5'!$A$7:$N$160,10,FALSE),0)+
IFERROR(VLOOKUP(A122,'Centre WR5'!$A$7:$N$160,10,FALSE),0)</f>
        <v>0</v>
      </c>
      <c r="K122" s="10">
        <f>IFERROR(VLOOKUP(A122,'Centre DW5'!$A$7:$N$161,11,FALSE),0)+
IFERROR(VLOOKUP(A122,'Centre WP5'!$A$7:$N$160,11,FALSE),0)+
IFERROR(VLOOKUP(A122,'Centre WR5'!$A$7:$N$160,11,FALSE),0)</f>
        <v>0</v>
      </c>
      <c r="L122" s="10">
        <f>IFERROR(VLOOKUP(A122,'Centre DW5'!$A$7:$N$161,12,FALSE),0)+
IFERROR(VLOOKUP(A122,'Centre WP5'!$A$7:$N$160,12,FALSE),0)+
IFERROR(VLOOKUP(A122,'Centre WR5'!$A$7:$N$160,12,FALSE),0)</f>
        <v>0</v>
      </c>
      <c r="M122" s="10">
        <f>IFERROR(VLOOKUP(A122,'Centre DW5'!$A$7:$N$161,13,FALSE),0)+
IFERROR(VLOOKUP(A122,'Centre WP5'!$A$7:$N$160,13,FALSE),0)+
IFERROR(VLOOKUP(A122,'Centre WR5'!$A$7:$N$160,13,FALSE),0)</f>
        <v>0</v>
      </c>
      <c r="N122" s="10">
        <f>IFERROR(VLOOKUP(A122,'Centre DW5'!$A$7:$N$161,14,FALSE),0)+
IFERROR(VLOOKUP(A122,'Centre WP5'!$A$7:$N$160,14,FALSE),0)+
IFERROR(VLOOKUP(A122,'Centre WR5'!$A$7:$N$160,14,FALSE),0)</f>
        <v>0</v>
      </c>
    </row>
    <row r="123" spans="1:14" hidden="1" outlineLevel="1" x14ac:dyDescent="0.2">
      <c r="A123" s="9" t="s">
        <v>198</v>
      </c>
      <c r="B123" s="1" t="s">
        <v>199</v>
      </c>
      <c r="C123" s="10">
        <f>IFERROR(VLOOKUP(A123,'Centre DW5'!$A$7:$N$161,3,FALSE),0)+
IFERROR(VLOOKUP(A123,'Centre WP5'!$A$7:$N$160,3,FALSE),0)+
IFERROR(VLOOKUP(A123,'Centre WR5'!$A$7:$N$160,3,FALSE),0)</f>
        <v>1.7</v>
      </c>
      <c r="D123" s="10">
        <f>IFERROR(VLOOKUP(A123,'Centre DW5'!$A$7:$N$161,4,FALSE),0)+
IFERROR(VLOOKUP(A123,'Centre WP5'!$A$7:$N$160,4,FALSE),0)+
IFERROR(VLOOKUP(A123,'Centre WR5'!$A$7:$N$160,4,FALSE),0)</f>
        <v>1.8</v>
      </c>
      <c r="E123" s="10">
        <f>IFERROR(VLOOKUP(A123,'Centre DW5'!$A$7:$N$161,5,FALSE),0)+
IFERROR(VLOOKUP(A123,'Centre WP5'!$A$7:$N$160,5,FALSE),0)+
IFERROR(VLOOKUP(A123,'Centre WR5'!$A$7:$N$160,5,FALSE),0)</f>
        <v>1.7</v>
      </c>
      <c r="F123" s="10">
        <f>IFERROR(VLOOKUP(A123,'Centre DW5'!$A$7:$N$161,6,FALSE),0)+
IFERROR(VLOOKUP(A123,'Centre WP5'!$A$7:$N$160,6,FALSE),0)+
IFERROR(VLOOKUP(A123,'Centre WR5'!$A$7:$N$160,6,FALSE),0)</f>
        <v>2.2000000000000002</v>
      </c>
      <c r="G123" s="10">
        <f>IFERROR(VLOOKUP(A123,'Centre DW5'!$A$7:$N$161,7,FALSE),0)+
IFERROR(VLOOKUP(A123,'Centre WP5'!$A$7:$N$160,7,FALSE),0)+
IFERROR(VLOOKUP(A123,'Centre WR5'!$A$7:$N$160,7,FALSE),0)</f>
        <v>2.2999999999999998</v>
      </c>
      <c r="H123" s="10">
        <f>IFERROR(VLOOKUP(A123,'Centre DW5'!$A$7:$N$161,8,FALSE),0)+
IFERROR(VLOOKUP(A123,'Centre WP5'!$A$7:$N$160,8,FALSE),0)+
IFERROR(VLOOKUP(A123,'Centre WR5'!$A$7:$N$160,8,FALSE),0)</f>
        <v>1.6</v>
      </c>
      <c r="I123" s="10">
        <f>IFERROR(VLOOKUP(A123,'Centre DW5'!$A$7:$N$161,9,FALSE),0)+
IFERROR(VLOOKUP(A123,'Centre WP5'!$A$7:$N$160,9,FALSE),0)+
IFERROR(VLOOKUP(A123,'Centre WR5'!$A$7:$N$160,9,FALSE),0)</f>
        <v>2.4</v>
      </c>
      <c r="J123" s="10">
        <f>IFERROR(VLOOKUP(A123,'Centre DW5'!$A$7:$N$161,10,FALSE),0)+
IFERROR(VLOOKUP(A123,'Centre WP5'!$A$7:$N$160,10,FALSE),0)+
IFERROR(VLOOKUP(A123,'Centre WR5'!$A$7:$N$160,10,FALSE),0)</f>
        <v>1.7</v>
      </c>
      <c r="K123" s="10">
        <f>IFERROR(VLOOKUP(A123,'Centre DW5'!$A$7:$N$161,11,FALSE),0)+
IFERROR(VLOOKUP(A123,'Centre WP5'!$A$7:$N$160,11,FALSE),0)+
IFERROR(VLOOKUP(A123,'Centre WR5'!$A$7:$N$160,11,FALSE),0)</f>
        <v>2.2000000000000002</v>
      </c>
      <c r="L123" s="10">
        <f>IFERROR(VLOOKUP(A123,'Centre DW5'!$A$7:$N$161,12,FALSE),0)+
IFERROR(VLOOKUP(A123,'Centre WP5'!$A$7:$N$160,12,FALSE),0)+
IFERROR(VLOOKUP(A123,'Centre WR5'!$A$7:$N$160,12,FALSE),0)</f>
        <v>2.2999999999999998</v>
      </c>
      <c r="M123" s="10">
        <f>IFERROR(VLOOKUP(A123,'Centre DW5'!$A$7:$N$161,13,FALSE),0)+
IFERROR(VLOOKUP(A123,'Centre WP5'!$A$7:$N$160,13,FALSE),0)+
IFERROR(VLOOKUP(A123,'Centre WR5'!$A$7:$N$160,13,FALSE),0)</f>
        <v>1.6</v>
      </c>
      <c r="N123" s="10">
        <f>IFERROR(VLOOKUP(A123,'Centre DW5'!$A$7:$N$161,14,FALSE),0)+
IFERROR(VLOOKUP(A123,'Centre WP5'!$A$7:$N$160,14,FALSE),0)+
IFERROR(VLOOKUP(A123,'Centre WR5'!$A$7:$N$160,14,FALSE),0)</f>
        <v>2.4</v>
      </c>
    </row>
    <row r="124" spans="1:14" collapsed="1" x14ac:dyDescent="0.2">
      <c r="A124" s="33" t="s">
        <v>200</v>
      </c>
      <c r="B124" s="34" t="s">
        <v>201</v>
      </c>
      <c r="C124" s="44">
        <f t="shared" ref="C124:I124" si="35">SUM(C125:C136)</f>
        <v>8.1</v>
      </c>
      <c r="D124" s="44">
        <f t="shared" si="35"/>
        <v>7</v>
      </c>
      <c r="E124" s="44">
        <f t="shared" si="35"/>
        <v>8.6999999999999993</v>
      </c>
      <c r="F124" s="44">
        <f t="shared" si="35"/>
        <v>9.1</v>
      </c>
      <c r="G124" s="44">
        <f t="shared" si="35"/>
        <v>9</v>
      </c>
      <c r="H124" s="44">
        <f t="shared" si="35"/>
        <v>9.1</v>
      </c>
      <c r="I124" s="44">
        <f t="shared" si="35"/>
        <v>9.5</v>
      </c>
      <c r="J124" s="44">
        <f>SUM(J125:J136)</f>
        <v>8.6999999999999993</v>
      </c>
      <c r="K124" s="44">
        <f t="shared" ref="K124:N124" si="36">SUM(K125:K136)</f>
        <v>9.6999999999999993</v>
      </c>
      <c r="L124" s="44">
        <f t="shared" si="36"/>
        <v>10.9</v>
      </c>
      <c r="M124" s="44">
        <f t="shared" si="36"/>
        <v>11.7</v>
      </c>
      <c r="N124" s="44">
        <f t="shared" si="36"/>
        <v>13.5</v>
      </c>
    </row>
    <row r="125" spans="1:14" hidden="1" outlineLevel="1" x14ac:dyDescent="0.2">
      <c r="A125" s="9" t="s">
        <v>202</v>
      </c>
      <c r="B125" s="1" t="s">
        <v>203</v>
      </c>
      <c r="C125" s="10">
        <f>IFERROR(VLOOKUP(A125,'Centre DW5'!$A$7:$N$161,3,FALSE),0)+
IFERROR(VLOOKUP(A125,'Centre WP5'!$A$7:$N$160,3,FALSE),0)+
IFERROR(VLOOKUP(A125,'Centre WR5'!$A$7:$N$160,3,FALSE),0)</f>
        <v>0</v>
      </c>
      <c r="D125" s="10">
        <f>IFERROR(VLOOKUP(A125,'Centre DW5'!$A$7:$N$161,4,FALSE),0)+
IFERROR(VLOOKUP(A125,'Centre WP5'!$A$7:$N$160,4,FALSE),0)+
IFERROR(VLOOKUP(A125,'Centre WR5'!$A$7:$N$160,4,FALSE),0)</f>
        <v>0</v>
      </c>
      <c r="E125" s="10">
        <f>IFERROR(VLOOKUP(A125,'Centre DW5'!$A$7:$N$161,5,FALSE),0)+
IFERROR(VLOOKUP(A125,'Centre WP5'!$A$7:$N$160,5,FALSE),0)+
IFERROR(VLOOKUP(A125,'Centre WR5'!$A$7:$N$160,5,FALSE),0)</f>
        <v>0</v>
      </c>
      <c r="F125" s="10">
        <f>IFERROR(VLOOKUP(A125,'Centre DW5'!$A$7:$N$161,6,FALSE),0)+
IFERROR(VLOOKUP(A125,'Centre WP5'!$A$7:$N$160,6,FALSE),0)+
IFERROR(VLOOKUP(A125,'Centre WR5'!$A$7:$N$160,6,FALSE),0)</f>
        <v>0</v>
      </c>
      <c r="G125" s="10">
        <f>IFERROR(VLOOKUP(A125,'Centre DW5'!$A$7:$N$161,7,FALSE),0)+
IFERROR(VLOOKUP(A125,'Centre WP5'!$A$7:$N$160,7,FALSE),0)+
IFERROR(VLOOKUP(A125,'Centre WR5'!$A$7:$N$160,7,FALSE),0)</f>
        <v>0</v>
      </c>
      <c r="H125" s="10">
        <f>IFERROR(VLOOKUP(A125,'Centre DW5'!$A$7:$N$161,8,FALSE),0)+
IFERROR(VLOOKUP(A125,'Centre WP5'!$A$7:$N$160,8,FALSE),0)+
IFERROR(VLOOKUP(A125,'Centre WR5'!$A$7:$N$160,8,FALSE),0)</f>
        <v>0</v>
      </c>
      <c r="I125" s="10">
        <f>IFERROR(VLOOKUP(A125,'Centre DW5'!$A$7:$N$161,9,FALSE),0)+
IFERROR(VLOOKUP(A125,'Centre WP5'!$A$7:$N$160,9,FALSE),0)+
IFERROR(VLOOKUP(A125,'Centre WR5'!$A$7:$N$160,9,FALSE),0)</f>
        <v>0</v>
      </c>
      <c r="J125" s="10">
        <f>IFERROR(VLOOKUP(A125,'Centre DW5'!$A$7:$N$161,10,FALSE),0)+
IFERROR(VLOOKUP(A125,'Centre WP5'!$A$7:$N$160,10,FALSE),0)+
IFERROR(VLOOKUP(A125,'Centre WR5'!$A$7:$N$160,10,FALSE),0)</f>
        <v>0</v>
      </c>
      <c r="K125" s="10">
        <f>IFERROR(VLOOKUP(A125,'Centre DW5'!$A$7:$N$161,11,FALSE),0)+
IFERROR(VLOOKUP(A125,'Centre WP5'!$A$7:$N$160,11,FALSE),0)+
IFERROR(VLOOKUP(A125,'Centre WR5'!$A$7:$N$160,11,FALSE),0)</f>
        <v>0</v>
      </c>
      <c r="L125" s="10">
        <f>IFERROR(VLOOKUP(A125,'Centre DW5'!$A$7:$N$161,12,FALSE),0)+
IFERROR(VLOOKUP(A125,'Centre WP5'!$A$7:$N$160,12,FALSE),0)+
IFERROR(VLOOKUP(A125,'Centre WR5'!$A$7:$N$160,12,FALSE),0)</f>
        <v>0</v>
      </c>
      <c r="M125" s="10">
        <f>IFERROR(VLOOKUP(A125,'Centre DW5'!$A$7:$N$161,13,FALSE),0)+
IFERROR(VLOOKUP(A125,'Centre WP5'!$A$7:$N$160,13,FALSE),0)+
IFERROR(VLOOKUP(A125,'Centre WR5'!$A$7:$N$160,13,FALSE),0)</f>
        <v>0</v>
      </c>
      <c r="N125" s="10">
        <f>IFERROR(VLOOKUP(A125,'Centre DW5'!$A$7:$N$161,14,FALSE),0)+
IFERROR(VLOOKUP(A125,'Centre WP5'!$A$7:$N$160,14,FALSE),0)+
IFERROR(VLOOKUP(A125,'Centre WR5'!$A$7:$N$160,14,FALSE),0)</f>
        <v>0</v>
      </c>
    </row>
    <row r="126" spans="1:14" hidden="1" outlineLevel="1" x14ac:dyDescent="0.2">
      <c r="A126" s="9" t="s">
        <v>204</v>
      </c>
      <c r="B126" s="1" t="s">
        <v>205</v>
      </c>
      <c r="C126" s="10">
        <f>IFERROR(VLOOKUP(A126,'Centre DW5'!$A$7:$N$161,3,FALSE),0)+
IFERROR(VLOOKUP(A126,'Centre WP5'!$A$7:$N$160,3,FALSE),0)+
IFERROR(VLOOKUP(A126,'Centre WR5'!$A$7:$N$160,3,FALSE),0)</f>
        <v>0</v>
      </c>
      <c r="D126" s="10">
        <f>IFERROR(VLOOKUP(A126,'Centre DW5'!$A$7:$N$161,4,FALSE),0)+
IFERROR(VLOOKUP(A126,'Centre WP5'!$A$7:$N$160,4,FALSE),0)+
IFERROR(VLOOKUP(A126,'Centre WR5'!$A$7:$N$160,4,FALSE),0)</f>
        <v>0</v>
      </c>
      <c r="E126" s="10">
        <f>IFERROR(VLOOKUP(A126,'Centre DW5'!$A$7:$N$161,5,FALSE),0)+
IFERROR(VLOOKUP(A126,'Centre WP5'!$A$7:$N$160,5,FALSE),0)+
IFERROR(VLOOKUP(A126,'Centre WR5'!$A$7:$N$160,5,FALSE),0)</f>
        <v>0</v>
      </c>
      <c r="F126" s="10">
        <f>IFERROR(VLOOKUP(A126,'Centre DW5'!$A$7:$N$161,6,FALSE),0)+
IFERROR(VLOOKUP(A126,'Centre WP5'!$A$7:$N$160,6,FALSE),0)+
IFERROR(VLOOKUP(A126,'Centre WR5'!$A$7:$N$160,6,FALSE),0)</f>
        <v>0</v>
      </c>
      <c r="G126" s="10">
        <f>IFERROR(VLOOKUP(A126,'Centre DW5'!$A$7:$N$161,7,FALSE),0)+
IFERROR(VLOOKUP(A126,'Centre WP5'!$A$7:$N$160,7,FALSE),0)+
IFERROR(VLOOKUP(A126,'Centre WR5'!$A$7:$N$160,7,FALSE),0)</f>
        <v>0</v>
      </c>
      <c r="H126" s="10">
        <f>IFERROR(VLOOKUP(A126,'Centre DW5'!$A$7:$N$161,8,FALSE),0)+
IFERROR(VLOOKUP(A126,'Centre WP5'!$A$7:$N$160,8,FALSE),0)+
IFERROR(VLOOKUP(A126,'Centre WR5'!$A$7:$N$160,8,FALSE),0)</f>
        <v>0</v>
      </c>
      <c r="I126" s="10">
        <f>IFERROR(VLOOKUP(A126,'Centre DW5'!$A$7:$N$161,9,FALSE),0)+
IFERROR(VLOOKUP(A126,'Centre WP5'!$A$7:$N$160,9,FALSE),0)+
IFERROR(VLOOKUP(A126,'Centre WR5'!$A$7:$N$160,9,FALSE),0)</f>
        <v>0</v>
      </c>
      <c r="J126" s="10">
        <f>IFERROR(VLOOKUP(A126,'Centre DW5'!$A$7:$N$161,10,FALSE),0)+
IFERROR(VLOOKUP(A126,'Centre WP5'!$A$7:$N$160,10,FALSE),0)+
IFERROR(VLOOKUP(A126,'Centre WR5'!$A$7:$N$160,10,FALSE),0)</f>
        <v>0</v>
      </c>
      <c r="K126" s="10">
        <f>IFERROR(VLOOKUP(A126,'Centre DW5'!$A$7:$N$161,11,FALSE),0)+
IFERROR(VLOOKUP(A126,'Centre WP5'!$A$7:$N$160,11,FALSE),0)+
IFERROR(VLOOKUP(A126,'Centre WR5'!$A$7:$N$160,11,FALSE),0)</f>
        <v>0</v>
      </c>
      <c r="L126" s="10">
        <f>IFERROR(VLOOKUP(A126,'Centre DW5'!$A$7:$N$161,12,FALSE),0)+
IFERROR(VLOOKUP(A126,'Centre WP5'!$A$7:$N$160,12,FALSE),0)+
IFERROR(VLOOKUP(A126,'Centre WR5'!$A$7:$N$160,12,FALSE),0)</f>
        <v>0</v>
      </c>
      <c r="M126" s="10">
        <f>IFERROR(VLOOKUP(A126,'Centre DW5'!$A$7:$N$161,13,FALSE),0)+
IFERROR(VLOOKUP(A126,'Centre WP5'!$A$7:$N$160,13,FALSE),0)+
IFERROR(VLOOKUP(A126,'Centre WR5'!$A$7:$N$160,13,FALSE),0)</f>
        <v>0</v>
      </c>
      <c r="N126" s="10">
        <f>IFERROR(VLOOKUP(A126,'Centre DW5'!$A$7:$N$161,14,FALSE),0)+
IFERROR(VLOOKUP(A126,'Centre WP5'!$A$7:$N$160,14,FALSE),0)+
IFERROR(VLOOKUP(A126,'Centre WR5'!$A$7:$N$160,14,FALSE),0)</f>
        <v>0</v>
      </c>
    </row>
    <row r="127" spans="1:14" hidden="1" outlineLevel="1" x14ac:dyDescent="0.2">
      <c r="A127" s="9" t="s">
        <v>206</v>
      </c>
      <c r="B127" s="1" t="s">
        <v>207</v>
      </c>
      <c r="C127" s="10">
        <f>IFERROR(VLOOKUP(A127,'Centre DW5'!$A$7:$N$161,3,FALSE),0)+
IFERROR(VLOOKUP(A127,'Centre WP5'!$A$7:$N$160,3,FALSE),0)+
IFERROR(VLOOKUP(A127,'Centre WR5'!$A$7:$N$160,3,FALSE),0)</f>
        <v>0.2</v>
      </c>
      <c r="D127" s="10">
        <f>IFERROR(VLOOKUP(A127,'Centre DW5'!$A$7:$N$161,4,FALSE),0)+
IFERROR(VLOOKUP(A127,'Centre WP5'!$A$7:$N$160,4,FALSE),0)+
IFERROR(VLOOKUP(A127,'Centre WR5'!$A$7:$N$160,4,FALSE),0)</f>
        <v>0.3</v>
      </c>
      <c r="E127" s="10">
        <f>IFERROR(VLOOKUP(A127,'Centre DW5'!$A$7:$N$161,5,FALSE),0)+
IFERROR(VLOOKUP(A127,'Centre WP5'!$A$7:$N$160,5,FALSE),0)+
IFERROR(VLOOKUP(A127,'Centre WR5'!$A$7:$N$160,5,FALSE),0)</f>
        <v>0.3</v>
      </c>
      <c r="F127" s="10">
        <f>IFERROR(VLOOKUP(A127,'Centre DW5'!$A$7:$N$161,6,FALSE),0)+
IFERROR(VLOOKUP(A127,'Centre WP5'!$A$7:$N$160,6,FALSE),0)+
IFERROR(VLOOKUP(A127,'Centre WR5'!$A$7:$N$160,6,FALSE),0)</f>
        <v>0.3</v>
      </c>
      <c r="G127" s="10">
        <f>IFERROR(VLOOKUP(A127,'Centre DW5'!$A$7:$N$161,7,FALSE),0)+
IFERROR(VLOOKUP(A127,'Centre WP5'!$A$7:$N$160,7,FALSE),0)+
IFERROR(VLOOKUP(A127,'Centre WR5'!$A$7:$N$160,7,FALSE),0)</f>
        <v>0.3</v>
      </c>
      <c r="H127" s="10">
        <f>IFERROR(VLOOKUP(A127,'Centre DW5'!$A$7:$N$161,8,FALSE),0)+
IFERROR(VLOOKUP(A127,'Centre WP5'!$A$7:$N$160,8,FALSE),0)+
IFERROR(VLOOKUP(A127,'Centre WR5'!$A$7:$N$160,8,FALSE),0)</f>
        <v>0.3</v>
      </c>
      <c r="I127" s="10">
        <f>IFERROR(VLOOKUP(A127,'Centre DW5'!$A$7:$N$161,9,FALSE),0)+
IFERROR(VLOOKUP(A127,'Centre WP5'!$A$7:$N$160,9,FALSE),0)+
IFERROR(VLOOKUP(A127,'Centre WR5'!$A$7:$N$160,9,FALSE),0)</f>
        <v>0.3</v>
      </c>
      <c r="J127" s="10">
        <f>IFERROR(VLOOKUP(A127,'Centre DW5'!$A$7:$N$161,10,FALSE),0)+
IFERROR(VLOOKUP(A127,'Centre WP5'!$A$7:$N$160,10,FALSE),0)+
IFERROR(VLOOKUP(A127,'Centre WR5'!$A$7:$N$160,10,FALSE),0)</f>
        <v>0.3</v>
      </c>
      <c r="K127" s="10">
        <f>IFERROR(VLOOKUP(A127,'Centre DW5'!$A$7:$N$161,11,FALSE),0)+
IFERROR(VLOOKUP(A127,'Centre WP5'!$A$7:$N$160,11,FALSE),0)+
IFERROR(VLOOKUP(A127,'Centre WR5'!$A$7:$N$160,11,FALSE),0)</f>
        <v>0.3</v>
      </c>
      <c r="L127" s="10">
        <f>IFERROR(VLOOKUP(A127,'Centre DW5'!$A$7:$N$161,12,FALSE),0)+
IFERROR(VLOOKUP(A127,'Centre WP5'!$A$7:$N$160,12,FALSE),0)+
IFERROR(VLOOKUP(A127,'Centre WR5'!$A$7:$N$160,12,FALSE),0)</f>
        <v>0.3</v>
      </c>
      <c r="M127" s="10">
        <f>IFERROR(VLOOKUP(A127,'Centre DW5'!$A$7:$N$161,13,FALSE),0)+
IFERROR(VLOOKUP(A127,'Centre WP5'!$A$7:$N$160,13,FALSE),0)+
IFERROR(VLOOKUP(A127,'Centre WR5'!$A$7:$N$160,13,FALSE),0)</f>
        <v>0.3</v>
      </c>
      <c r="N127" s="10">
        <f>IFERROR(VLOOKUP(A127,'Centre DW5'!$A$7:$N$161,14,FALSE),0)+
IFERROR(VLOOKUP(A127,'Centre WP5'!$A$7:$N$160,14,FALSE),0)+
IFERROR(VLOOKUP(A127,'Centre WR5'!$A$7:$N$160,14,FALSE),0)</f>
        <v>0.3</v>
      </c>
    </row>
    <row r="128" spans="1:14" hidden="1" outlineLevel="1" x14ac:dyDescent="0.2">
      <c r="A128" s="9" t="s">
        <v>208</v>
      </c>
      <c r="B128" s="1" t="s">
        <v>209</v>
      </c>
      <c r="C128" s="10">
        <f>IFERROR(VLOOKUP(A128,'Centre DW5'!$A$7:$N$161,3,FALSE),0)+
IFERROR(VLOOKUP(A128,'Centre WP5'!$A$7:$N$160,3,FALSE),0)+
IFERROR(VLOOKUP(A128,'Centre WR5'!$A$7:$N$160,3,FALSE),0)</f>
        <v>0</v>
      </c>
      <c r="D128" s="10">
        <f>IFERROR(VLOOKUP(A128,'Centre DW5'!$A$7:$N$161,4,FALSE),0)+
IFERROR(VLOOKUP(A128,'Centre WP5'!$A$7:$N$160,4,FALSE),0)+
IFERROR(VLOOKUP(A128,'Centre WR5'!$A$7:$N$160,4,FALSE),0)</f>
        <v>0</v>
      </c>
      <c r="E128" s="10">
        <f>IFERROR(VLOOKUP(A128,'Centre DW5'!$A$7:$N$161,5,FALSE),0)+
IFERROR(VLOOKUP(A128,'Centre WP5'!$A$7:$N$160,5,FALSE),0)+
IFERROR(VLOOKUP(A128,'Centre WR5'!$A$7:$N$160,5,FALSE),0)</f>
        <v>0</v>
      </c>
      <c r="F128" s="10">
        <f>IFERROR(VLOOKUP(A128,'Centre DW5'!$A$7:$N$161,6,FALSE),0)+
IFERROR(VLOOKUP(A128,'Centre WP5'!$A$7:$N$160,6,FALSE),0)+
IFERROR(VLOOKUP(A128,'Centre WR5'!$A$7:$N$160,6,FALSE),0)</f>
        <v>0</v>
      </c>
      <c r="G128" s="10">
        <f>IFERROR(VLOOKUP(A128,'Centre DW5'!$A$7:$N$161,7,FALSE),0)+
IFERROR(VLOOKUP(A128,'Centre WP5'!$A$7:$N$160,7,FALSE),0)+
IFERROR(VLOOKUP(A128,'Centre WR5'!$A$7:$N$160,7,FALSE),0)</f>
        <v>0</v>
      </c>
      <c r="H128" s="10">
        <f>IFERROR(VLOOKUP(A128,'Centre DW5'!$A$7:$N$161,8,FALSE),0)+
IFERROR(VLOOKUP(A128,'Centre WP5'!$A$7:$N$160,8,FALSE),0)+
IFERROR(VLOOKUP(A128,'Centre WR5'!$A$7:$N$160,8,FALSE),0)</f>
        <v>0</v>
      </c>
      <c r="I128" s="10">
        <f>IFERROR(VLOOKUP(A128,'Centre DW5'!$A$7:$N$161,9,FALSE),0)+
IFERROR(VLOOKUP(A128,'Centre WP5'!$A$7:$N$160,9,FALSE),0)+
IFERROR(VLOOKUP(A128,'Centre WR5'!$A$7:$N$160,9,FALSE),0)</f>
        <v>0</v>
      </c>
      <c r="J128" s="10">
        <f>IFERROR(VLOOKUP(A128,'Centre DW5'!$A$7:$N$161,10,FALSE),0)+
IFERROR(VLOOKUP(A128,'Centre WP5'!$A$7:$N$160,10,FALSE),0)+
IFERROR(VLOOKUP(A128,'Centre WR5'!$A$7:$N$160,10,FALSE),0)</f>
        <v>0</v>
      </c>
      <c r="K128" s="10">
        <f>IFERROR(VLOOKUP(A128,'Centre DW5'!$A$7:$N$161,11,FALSE),0)+
IFERROR(VLOOKUP(A128,'Centre WP5'!$A$7:$N$160,11,FALSE),0)+
IFERROR(VLOOKUP(A128,'Centre WR5'!$A$7:$N$160,11,FALSE),0)</f>
        <v>0</v>
      </c>
      <c r="L128" s="10">
        <f>IFERROR(VLOOKUP(A128,'Centre DW5'!$A$7:$N$161,12,FALSE),0)+
IFERROR(VLOOKUP(A128,'Centre WP5'!$A$7:$N$160,12,FALSE),0)+
IFERROR(VLOOKUP(A128,'Centre WR5'!$A$7:$N$160,12,FALSE),0)</f>
        <v>0</v>
      </c>
      <c r="M128" s="10">
        <f>IFERROR(VLOOKUP(A128,'Centre DW5'!$A$7:$N$161,13,FALSE),0)+
IFERROR(VLOOKUP(A128,'Centre WP5'!$A$7:$N$160,13,FALSE),0)+
IFERROR(VLOOKUP(A128,'Centre WR5'!$A$7:$N$160,13,FALSE),0)</f>
        <v>0</v>
      </c>
      <c r="N128" s="10">
        <f>IFERROR(VLOOKUP(A128,'Centre DW5'!$A$7:$N$161,14,FALSE),0)+
IFERROR(VLOOKUP(A128,'Centre WP5'!$A$7:$N$160,14,FALSE),0)+
IFERROR(VLOOKUP(A128,'Centre WR5'!$A$7:$N$160,14,FALSE),0)</f>
        <v>0</v>
      </c>
    </row>
    <row r="129" spans="1:14" hidden="1" outlineLevel="1" x14ac:dyDescent="0.2">
      <c r="A129" s="9" t="s">
        <v>210</v>
      </c>
      <c r="B129" s="1" t="s">
        <v>211</v>
      </c>
      <c r="C129" s="10">
        <f>IFERROR(VLOOKUP(A129,'Centre DW5'!$A$7:$N$161,3,FALSE),0)+
IFERROR(VLOOKUP(A129,'Centre WP5'!$A$7:$N$160,3,FALSE),0)+
IFERROR(VLOOKUP(A129,'Centre WR5'!$A$7:$N$160,3,FALSE),0)</f>
        <v>0.8</v>
      </c>
      <c r="D129" s="10">
        <f>IFERROR(VLOOKUP(A129,'Centre DW5'!$A$7:$N$161,4,FALSE),0)+
IFERROR(VLOOKUP(A129,'Centre WP5'!$A$7:$N$160,4,FALSE),0)+
IFERROR(VLOOKUP(A129,'Centre WR5'!$A$7:$N$160,4,FALSE),0)</f>
        <v>0.9</v>
      </c>
      <c r="E129" s="10">
        <f>IFERROR(VLOOKUP(A129,'Centre DW5'!$A$7:$N$161,5,FALSE),0)+
IFERROR(VLOOKUP(A129,'Centre WP5'!$A$7:$N$160,5,FALSE),0)+
IFERROR(VLOOKUP(A129,'Centre WR5'!$A$7:$N$160,5,FALSE),0)</f>
        <v>0.9</v>
      </c>
      <c r="F129" s="10">
        <f>IFERROR(VLOOKUP(A129,'Centre DW5'!$A$7:$N$161,6,FALSE),0)+
IFERROR(VLOOKUP(A129,'Centre WP5'!$A$7:$N$160,6,FALSE),0)+
IFERROR(VLOOKUP(A129,'Centre WR5'!$A$7:$N$160,6,FALSE),0)</f>
        <v>0.8</v>
      </c>
      <c r="G129" s="10">
        <f>IFERROR(VLOOKUP(A129,'Centre DW5'!$A$7:$N$161,7,FALSE),0)+
IFERROR(VLOOKUP(A129,'Centre WP5'!$A$7:$N$160,7,FALSE),0)+
IFERROR(VLOOKUP(A129,'Centre WR5'!$A$7:$N$160,7,FALSE),0)</f>
        <v>0.8</v>
      </c>
      <c r="H129" s="10">
        <f>IFERROR(VLOOKUP(A129,'Centre DW5'!$A$7:$N$161,8,FALSE),0)+
IFERROR(VLOOKUP(A129,'Centre WP5'!$A$7:$N$160,8,FALSE),0)+
IFERROR(VLOOKUP(A129,'Centre WR5'!$A$7:$N$160,8,FALSE),0)</f>
        <v>0.8</v>
      </c>
      <c r="I129" s="10">
        <f>IFERROR(VLOOKUP(A129,'Centre DW5'!$A$7:$N$161,9,FALSE),0)+
IFERROR(VLOOKUP(A129,'Centre WP5'!$A$7:$N$160,9,FALSE),0)+
IFERROR(VLOOKUP(A129,'Centre WR5'!$A$7:$N$160,9,FALSE),0)</f>
        <v>0.8</v>
      </c>
      <c r="J129" s="10">
        <f>IFERROR(VLOOKUP(A129,'Centre DW5'!$A$7:$N$161,10,FALSE),0)+
IFERROR(VLOOKUP(A129,'Centre WP5'!$A$7:$N$160,10,FALSE),0)+
IFERROR(VLOOKUP(A129,'Centre WR5'!$A$7:$N$160,10,FALSE),0)</f>
        <v>0.9</v>
      </c>
      <c r="K129" s="10">
        <f>IFERROR(VLOOKUP(A129,'Centre DW5'!$A$7:$N$161,11,FALSE),0)+
IFERROR(VLOOKUP(A129,'Centre WP5'!$A$7:$N$160,11,FALSE),0)+
IFERROR(VLOOKUP(A129,'Centre WR5'!$A$7:$N$160,11,FALSE),0)</f>
        <v>0.8</v>
      </c>
      <c r="L129" s="10">
        <f>IFERROR(VLOOKUP(A129,'Centre DW5'!$A$7:$N$161,12,FALSE),0)+
IFERROR(VLOOKUP(A129,'Centre WP5'!$A$7:$N$160,12,FALSE),0)+
IFERROR(VLOOKUP(A129,'Centre WR5'!$A$7:$N$160,12,FALSE),0)</f>
        <v>0.8</v>
      </c>
      <c r="M129" s="10">
        <f>IFERROR(VLOOKUP(A129,'Centre DW5'!$A$7:$N$161,13,FALSE),0)+
IFERROR(VLOOKUP(A129,'Centre WP5'!$A$7:$N$160,13,FALSE),0)+
IFERROR(VLOOKUP(A129,'Centre WR5'!$A$7:$N$160,13,FALSE),0)</f>
        <v>0.8</v>
      </c>
      <c r="N129" s="10">
        <f>IFERROR(VLOOKUP(A129,'Centre DW5'!$A$7:$N$161,14,FALSE),0)+
IFERROR(VLOOKUP(A129,'Centre WP5'!$A$7:$N$160,14,FALSE),0)+
IFERROR(VLOOKUP(A129,'Centre WR5'!$A$7:$N$160,14,FALSE),0)</f>
        <v>0.8</v>
      </c>
    </row>
    <row r="130" spans="1:14" hidden="1" outlineLevel="1" x14ac:dyDescent="0.2">
      <c r="A130" s="9" t="s">
        <v>212</v>
      </c>
      <c r="B130" s="1" t="s">
        <v>213</v>
      </c>
      <c r="C130" s="10">
        <f>IFERROR(VLOOKUP(A130,'Centre DW5'!$A$7:$N$161,3,FALSE),0)+
IFERROR(VLOOKUP(A130,'Centre WP5'!$A$7:$N$160,3,FALSE),0)+
IFERROR(VLOOKUP(A130,'Centre WR5'!$A$7:$N$160,3,FALSE),0)</f>
        <v>0</v>
      </c>
      <c r="D130" s="10">
        <f>IFERROR(VLOOKUP(A130,'Centre DW5'!$A$7:$N$161,4,FALSE),0)+
IFERROR(VLOOKUP(A130,'Centre WP5'!$A$7:$N$160,4,FALSE),0)+
IFERROR(VLOOKUP(A130,'Centre WR5'!$A$7:$N$160,4,FALSE),0)</f>
        <v>0</v>
      </c>
      <c r="E130" s="10">
        <f>IFERROR(VLOOKUP(A130,'Centre DW5'!$A$7:$N$161,5,FALSE),0)+
IFERROR(VLOOKUP(A130,'Centre WP5'!$A$7:$N$160,5,FALSE),0)+
IFERROR(VLOOKUP(A130,'Centre WR5'!$A$7:$N$160,5,FALSE),0)</f>
        <v>0</v>
      </c>
      <c r="F130" s="10">
        <f>IFERROR(VLOOKUP(A130,'Centre DW5'!$A$7:$N$161,6,FALSE),0)+
IFERROR(VLOOKUP(A130,'Centre WP5'!$A$7:$N$160,6,FALSE),0)+
IFERROR(VLOOKUP(A130,'Centre WR5'!$A$7:$N$160,6,FALSE),0)</f>
        <v>0</v>
      </c>
      <c r="G130" s="10">
        <f>IFERROR(VLOOKUP(A130,'Centre DW5'!$A$7:$N$161,7,FALSE),0)+
IFERROR(VLOOKUP(A130,'Centre WP5'!$A$7:$N$160,7,FALSE),0)+
IFERROR(VLOOKUP(A130,'Centre WR5'!$A$7:$N$160,7,FALSE),0)</f>
        <v>0</v>
      </c>
      <c r="H130" s="10">
        <f>IFERROR(VLOOKUP(A130,'Centre DW5'!$A$7:$N$161,8,FALSE),0)+
IFERROR(VLOOKUP(A130,'Centre WP5'!$A$7:$N$160,8,FALSE),0)+
IFERROR(VLOOKUP(A130,'Centre WR5'!$A$7:$N$160,8,FALSE),0)</f>
        <v>0</v>
      </c>
      <c r="I130" s="10">
        <f>IFERROR(VLOOKUP(A130,'Centre DW5'!$A$7:$N$161,9,FALSE),0)+
IFERROR(VLOOKUP(A130,'Centre WP5'!$A$7:$N$160,9,FALSE),0)+
IFERROR(VLOOKUP(A130,'Centre WR5'!$A$7:$N$160,9,FALSE),0)</f>
        <v>0</v>
      </c>
      <c r="J130" s="10">
        <f>IFERROR(VLOOKUP(A130,'Centre DW5'!$A$7:$N$161,10,FALSE),0)+
IFERROR(VLOOKUP(A130,'Centre WP5'!$A$7:$N$160,10,FALSE),0)+
IFERROR(VLOOKUP(A130,'Centre WR5'!$A$7:$N$160,10,FALSE),0)</f>
        <v>0</v>
      </c>
      <c r="K130" s="10">
        <f>IFERROR(VLOOKUP(A130,'Centre DW5'!$A$7:$N$161,11,FALSE),0)+
IFERROR(VLOOKUP(A130,'Centre WP5'!$A$7:$N$160,11,FALSE),0)+
IFERROR(VLOOKUP(A130,'Centre WR5'!$A$7:$N$160,11,FALSE),0)</f>
        <v>0</v>
      </c>
      <c r="L130" s="10">
        <f>IFERROR(VLOOKUP(A130,'Centre DW5'!$A$7:$N$161,12,FALSE),0)+
IFERROR(VLOOKUP(A130,'Centre WP5'!$A$7:$N$160,12,FALSE),0)+
IFERROR(VLOOKUP(A130,'Centre WR5'!$A$7:$N$160,12,FALSE),0)</f>
        <v>0</v>
      </c>
      <c r="M130" s="10">
        <f>IFERROR(VLOOKUP(A130,'Centre DW5'!$A$7:$N$161,13,FALSE),0)+
IFERROR(VLOOKUP(A130,'Centre WP5'!$A$7:$N$160,13,FALSE),0)+
IFERROR(VLOOKUP(A130,'Centre WR5'!$A$7:$N$160,13,FALSE),0)</f>
        <v>0</v>
      </c>
      <c r="N130" s="10">
        <f>IFERROR(VLOOKUP(A130,'Centre DW5'!$A$7:$N$161,14,FALSE),0)+
IFERROR(VLOOKUP(A130,'Centre WP5'!$A$7:$N$160,14,FALSE),0)+
IFERROR(VLOOKUP(A130,'Centre WR5'!$A$7:$N$160,14,FALSE),0)</f>
        <v>0</v>
      </c>
    </row>
    <row r="131" spans="1:14" hidden="1" outlineLevel="1" x14ac:dyDescent="0.2">
      <c r="A131" s="9" t="s">
        <v>214</v>
      </c>
      <c r="B131" s="1" t="s">
        <v>215</v>
      </c>
      <c r="C131" s="10">
        <f>IFERROR(VLOOKUP(A131,'Centre DW5'!$A$7:$N$161,3,FALSE),0)+
IFERROR(VLOOKUP(A131,'Centre WP5'!$A$7:$N$160,3,FALSE),0)+
IFERROR(VLOOKUP(A131,'Centre WR5'!$A$7:$N$160,3,FALSE),0)</f>
        <v>0</v>
      </c>
      <c r="D131" s="10">
        <f>IFERROR(VLOOKUP(A131,'Centre DW5'!$A$7:$N$161,4,FALSE),0)+
IFERROR(VLOOKUP(A131,'Centre WP5'!$A$7:$N$160,4,FALSE),0)+
IFERROR(VLOOKUP(A131,'Centre WR5'!$A$7:$N$160,4,FALSE),0)</f>
        <v>0</v>
      </c>
      <c r="E131" s="10">
        <f>IFERROR(VLOOKUP(A131,'Centre DW5'!$A$7:$N$161,5,FALSE),0)+
IFERROR(VLOOKUP(A131,'Centre WP5'!$A$7:$N$160,5,FALSE),0)+
IFERROR(VLOOKUP(A131,'Centre WR5'!$A$7:$N$160,5,FALSE),0)</f>
        <v>0</v>
      </c>
      <c r="F131" s="10">
        <f>IFERROR(VLOOKUP(A131,'Centre DW5'!$A$7:$N$161,6,FALSE),0)+
IFERROR(VLOOKUP(A131,'Centre WP5'!$A$7:$N$160,6,FALSE),0)+
IFERROR(VLOOKUP(A131,'Centre WR5'!$A$7:$N$160,6,FALSE),0)</f>
        <v>0</v>
      </c>
      <c r="G131" s="10">
        <f>IFERROR(VLOOKUP(A131,'Centre DW5'!$A$7:$N$161,7,FALSE),0)+
IFERROR(VLOOKUP(A131,'Centre WP5'!$A$7:$N$160,7,FALSE),0)+
IFERROR(VLOOKUP(A131,'Centre WR5'!$A$7:$N$160,7,FALSE),0)</f>
        <v>0</v>
      </c>
      <c r="H131" s="10">
        <f>IFERROR(VLOOKUP(A131,'Centre DW5'!$A$7:$N$161,8,FALSE),0)+
IFERROR(VLOOKUP(A131,'Centre WP5'!$A$7:$N$160,8,FALSE),0)+
IFERROR(VLOOKUP(A131,'Centre WR5'!$A$7:$N$160,8,FALSE),0)</f>
        <v>0</v>
      </c>
      <c r="I131" s="10">
        <f>IFERROR(VLOOKUP(A131,'Centre DW5'!$A$7:$N$161,9,FALSE),0)+
IFERROR(VLOOKUP(A131,'Centre WP5'!$A$7:$N$160,9,FALSE),0)+
IFERROR(VLOOKUP(A131,'Centre WR5'!$A$7:$N$160,9,FALSE),0)</f>
        <v>0</v>
      </c>
      <c r="J131" s="10">
        <f>IFERROR(VLOOKUP(A131,'Centre DW5'!$A$7:$N$161,10,FALSE),0)+
IFERROR(VLOOKUP(A131,'Centre WP5'!$A$7:$N$160,10,FALSE),0)+
IFERROR(VLOOKUP(A131,'Centre WR5'!$A$7:$N$160,10,FALSE),0)</f>
        <v>0</v>
      </c>
      <c r="K131" s="10">
        <f>IFERROR(VLOOKUP(A131,'Centre DW5'!$A$7:$N$161,11,FALSE),0)+
IFERROR(VLOOKUP(A131,'Centre WP5'!$A$7:$N$160,11,FALSE),0)+
IFERROR(VLOOKUP(A131,'Centre WR5'!$A$7:$N$160,11,FALSE),0)</f>
        <v>0</v>
      </c>
      <c r="L131" s="10">
        <f>IFERROR(VLOOKUP(A131,'Centre DW5'!$A$7:$N$161,12,FALSE),0)+
IFERROR(VLOOKUP(A131,'Centre WP5'!$A$7:$N$160,12,FALSE),0)+
IFERROR(VLOOKUP(A131,'Centre WR5'!$A$7:$N$160,12,FALSE),0)</f>
        <v>0</v>
      </c>
      <c r="M131" s="10">
        <f>IFERROR(VLOOKUP(A131,'Centre DW5'!$A$7:$N$161,13,FALSE),0)+
IFERROR(VLOOKUP(A131,'Centre WP5'!$A$7:$N$160,13,FALSE),0)+
IFERROR(VLOOKUP(A131,'Centre WR5'!$A$7:$N$160,13,FALSE),0)</f>
        <v>0</v>
      </c>
      <c r="N131" s="10">
        <f>IFERROR(VLOOKUP(A131,'Centre DW5'!$A$7:$N$161,14,FALSE),0)+
IFERROR(VLOOKUP(A131,'Centre WP5'!$A$7:$N$160,14,FALSE),0)+
IFERROR(VLOOKUP(A131,'Centre WR5'!$A$7:$N$160,14,FALSE),0)</f>
        <v>0</v>
      </c>
    </row>
    <row r="132" spans="1:14" hidden="1" outlineLevel="1" x14ac:dyDescent="0.2">
      <c r="A132" s="9" t="s">
        <v>216</v>
      </c>
      <c r="B132" s="1" t="s">
        <v>217</v>
      </c>
      <c r="C132" s="10">
        <f>IFERROR(VLOOKUP(A132,'Centre DW5'!$A$7:$N$161,3,FALSE),0)+
IFERROR(VLOOKUP(A132,'Centre WP5'!$A$7:$N$160,3,FALSE),0)+
IFERROR(VLOOKUP(A132,'Centre WR5'!$A$7:$N$160,3,FALSE),0)</f>
        <v>2.6</v>
      </c>
      <c r="D132" s="10">
        <f>IFERROR(VLOOKUP(A132,'Centre DW5'!$A$7:$N$161,4,FALSE),0)+
IFERROR(VLOOKUP(A132,'Centre WP5'!$A$7:$N$160,4,FALSE),0)+
IFERROR(VLOOKUP(A132,'Centre WR5'!$A$7:$N$160,4,FALSE),0)</f>
        <v>1</v>
      </c>
      <c r="E132" s="10">
        <f>IFERROR(VLOOKUP(A132,'Centre DW5'!$A$7:$N$161,5,FALSE),0)+
IFERROR(VLOOKUP(A132,'Centre WP5'!$A$7:$N$160,5,FALSE),0)+
IFERROR(VLOOKUP(A132,'Centre WR5'!$A$7:$N$160,5,FALSE),0)</f>
        <v>2.8</v>
      </c>
      <c r="F132" s="10">
        <f>IFERROR(VLOOKUP(A132,'Centre DW5'!$A$7:$N$161,6,FALSE),0)+
IFERROR(VLOOKUP(A132,'Centre WP5'!$A$7:$N$160,6,FALSE),0)+
IFERROR(VLOOKUP(A132,'Centre WR5'!$A$7:$N$160,6,FALSE),0)</f>
        <v>2.9</v>
      </c>
      <c r="G132" s="10">
        <f>IFERROR(VLOOKUP(A132,'Centre DW5'!$A$7:$N$161,7,FALSE),0)+
IFERROR(VLOOKUP(A132,'Centre WP5'!$A$7:$N$160,7,FALSE),0)+
IFERROR(VLOOKUP(A132,'Centre WR5'!$A$7:$N$160,7,FALSE),0)</f>
        <v>2</v>
      </c>
      <c r="H132" s="10">
        <f>IFERROR(VLOOKUP(A132,'Centre DW5'!$A$7:$N$161,8,FALSE),0)+
IFERROR(VLOOKUP(A132,'Centre WP5'!$A$7:$N$160,8,FALSE),0)+
IFERROR(VLOOKUP(A132,'Centre WR5'!$A$7:$N$160,8,FALSE),0)</f>
        <v>2</v>
      </c>
      <c r="I132" s="10">
        <f>IFERROR(VLOOKUP(A132,'Centre DW5'!$A$7:$N$161,9,FALSE),0)+
IFERROR(VLOOKUP(A132,'Centre WP5'!$A$7:$N$160,9,FALSE),0)+
IFERROR(VLOOKUP(A132,'Centre WR5'!$A$7:$N$160,9,FALSE),0)</f>
        <v>1.9</v>
      </c>
      <c r="J132" s="10">
        <f>IFERROR(VLOOKUP(A132,'Centre DW5'!$A$7:$N$161,10,FALSE),0)+
IFERROR(VLOOKUP(A132,'Centre WP5'!$A$7:$N$160,10,FALSE),0)+
IFERROR(VLOOKUP(A132,'Centre WR5'!$A$7:$N$160,10,FALSE),0)</f>
        <v>2.8</v>
      </c>
      <c r="K132" s="10">
        <f>IFERROR(VLOOKUP(A132,'Centre DW5'!$A$7:$N$161,11,FALSE),0)+
IFERROR(VLOOKUP(A132,'Centre WP5'!$A$7:$N$160,11,FALSE),0)+
IFERROR(VLOOKUP(A132,'Centre WR5'!$A$7:$N$160,11,FALSE),0)</f>
        <v>2.9</v>
      </c>
      <c r="L132" s="10">
        <f>IFERROR(VLOOKUP(A132,'Centre DW5'!$A$7:$N$161,12,FALSE),0)+
IFERROR(VLOOKUP(A132,'Centre WP5'!$A$7:$N$160,12,FALSE),0)+
IFERROR(VLOOKUP(A132,'Centre WR5'!$A$7:$N$160,12,FALSE),0)</f>
        <v>2</v>
      </c>
      <c r="M132" s="10">
        <f>IFERROR(VLOOKUP(A132,'Centre DW5'!$A$7:$N$161,13,FALSE),0)+
IFERROR(VLOOKUP(A132,'Centre WP5'!$A$7:$N$160,13,FALSE),0)+
IFERROR(VLOOKUP(A132,'Centre WR5'!$A$7:$N$160,13,FALSE),0)</f>
        <v>2</v>
      </c>
      <c r="N132" s="10">
        <f>IFERROR(VLOOKUP(A132,'Centre DW5'!$A$7:$N$161,14,FALSE),0)+
IFERROR(VLOOKUP(A132,'Centre WP5'!$A$7:$N$160,14,FALSE),0)+
IFERROR(VLOOKUP(A132,'Centre WR5'!$A$7:$N$160,14,FALSE),0)</f>
        <v>1.9</v>
      </c>
    </row>
    <row r="133" spans="1:14" hidden="1" outlineLevel="1" x14ac:dyDescent="0.2">
      <c r="A133" s="9" t="s">
        <v>218</v>
      </c>
      <c r="B133" s="1" t="s">
        <v>219</v>
      </c>
      <c r="C133" s="10">
        <f>IFERROR(VLOOKUP(A133,'Centre DW5'!$A$7:$N$161,3,FALSE),0)+
IFERROR(VLOOKUP(A133,'Centre WP5'!$A$7:$N$160,3,FALSE),0)+
IFERROR(VLOOKUP(A133,'Centre WR5'!$A$7:$N$160,3,FALSE),0)</f>
        <v>4.5</v>
      </c>
      <c r="D133" s="10">
        <f>IFERROR(VLOOKUP(A133,'Centre DW5'!$A$7:$N$161,4,FALSE),0)+
IFERROR(VLOOKUP(A133,'Centre WP5'!$A$7:$N$160,4,FALSE),0)+
IFERROR(VLOOKUP(A133,'Centre WR5'!$A$7:$N$160,4,FALSE),0)</f>
        <v>4.8</v>
      </c>
      <c r="E133" s="10">
        <f>IFERROR(VLOOKUP(A133,'Centre DW5'!$A$7:$N$161,5,FALSE),0)+
IFERROR(VLOOKUP(A133,'Centre WP5'!$A$7:$N$160,5,FALSE),0)+
IFERROR(VLOOKUP(A133,'Centre WR5'!$A$7:$N$160,5,FALSE),0)</f>
        <v>4.7</v>
      </c>
      <c r="F133" s="10">
        <f>IFERROR(VLOOKUP(A133,'Centre DW5'!$A$7:$N$161,6,FALSE),0)+
IFERROR(VLOOKUP(A133,'Centre WP5'!$A$7:$N$160,6,FALSE),0)+
IFERROR(VLOOKUP(A133,'Centre WR5'!$A$7:$N$160,6,FALSE),0)</f>
        <v>5.0999999999999996</v>
      </c>
      <c r="G133" s="10">
        <f>IFERROR(VLOOKUP(A133,'Centre DW5'!$A$7:$N$161,7,FALSE),0)+
IFERROR(VLOOKUP(A133,'Centre WP5'!$A$7:$N$160,7,FALSE),0)+
IFERROR(VLOOKUP(A133,'Centre WR5'!$A$7:$N$160,7,FALSE),0)</f>
        <v>5.8</v>
      </c>
      <c r="H133" s="10">
        <f>IFERROR(VLOOKUP(A133,'Centre DW5'!$A$7:$N$161,8,FALSE),0)+
IFERROR(VLOOKUP(A133,'Centre WP5'!$A$7:$N$160,8,FALSE),0)+
IFERROR(VLOOKUP(A133,'Centre WR5'!$A$7:$N$160,8,FALSE),0)</f>
        <v>6</v>
      </c>
      <c r="I133" s="10">
        <f>IFERROR(VLOOKUP(A133,'Centre DW5'!$A$7:$N$161,9,FALSE),0)+
IFERROR(VLOOKUP(A133,'Centre WP5'!$A$7:$N$160,9,FALSE),0)+
IFERROR(VLOOKUP(A133,'Centre WR5'!$A$7:$N$160,9,FALSE),0)</f>
        <v>6.5</v>
      </c>
      <c r="J133" s="10">
        <f>IFERROR(VLOOKUP(A133,'Centre DW5'!$A$7:$N$161,10,FALSE),0)+
IFERROR(VLOOKUP(A133,'Centre WP5'!$A$7:$N$160,10,FALSE),0)+
IFERROR(VLOOKUP(A133,'Centre WR5'!$A$7:$N$160,10,FALSE),0)</f>
        <v>4.7</v>
      </c>
      <c r="K133" s="10">
        <f>IFERROR(VLOOKUP(A133,'Centre DW5'!$A$7:$N$161,11,FALSE),0)+
IFERROR(VLOOKUP(A133,'Centre WP5'!$A$7:$N$160,11,FALSE),0)+
IFERROR(VLOOKUP(A133,'Centre WR5'!$A$7:$N$160,11,FALSE),0)</f>
        <v>4.7</v>
      </c>
      <c r="L133" s="10">
        <f>IFERROR(VLOOKUP(A133,'Centre DW5'!$A$7:$N$161,12,FALSE),0)+
IFERROR(VLOOKUP(A133,'Centre WP5'!$A$7:$N$160,12,FALSE),0)+
IFERROR(VLOOKUP(A133,'Centre WR5'!$A$7:$N$160,12,FALSE),0)</f>
        <v>5.8</v>
      </c>
      <c r="M133" s="10">
        <f>IFERROR(VLOOKUP(A133,'Centre DW5'!$A$7:$N$161,13,FALSE),0)+
IFERROR(VLOOKUP(A133,'Centre WP5'!$A$7:$N$160,13,FALSE),0)+
IFERROR(VLOOKUP(A133,'Centre WR5'!$A$7:$N$160,13,FALSE),0)</f>
        <v>5.5</v>
      </c>
      <c r="N133" s="10">
        <f>IFERROR(VLOOKUP(A133,'Centre DW5'!$A$7:$N$161,14,FALSE),0)+
IFERROR(VLOOKUP(A133,'Centre WP5'!$A$7:$N$160,14,FALSE),0)+
IFERROR(VLOOKUP(A133,'Centre WR5'!$A$7:$N$160,14,FALSE),0)</f>
        <v>6.5</v>
      </c>
    </row>
    <row r="134" spans="1:14" hidden="1" outlineLevel="1" x14ac:dyDescent="0.2">
      <c r="A134" s="9" t="s">
        <v>220</v>
      </c>
      <c r="B134" s="1" t="s">
        <v>221</v>
      </c>
      <c r="C134" s="10">
        <f>IFERROR(VLOOKUP(A134,'Centre DW5'!$A$7:$N$161,3,FALSE),0)+
IFERROR(VLOOKUP(A134,'Centre WP5'!$A$7:$N$160,3,FALSE),0)+
IFERROR(VLOOKUP(A134,'Centre WR5'!$A$7:$N$160,3,FALSE),0)</f>
        <v>0</v>
      </c>
      <c r="D134" s="10">
        <f>IFERROR(VLOOKUP(A134,'Centre DW5'!$A$7:$N$161,4,FALSE),0)+
IFERROR(VLOOKUP(A134,'Centre WP5'!$A$7:$N$160,4,FALSE),0)+
IFERROR(VLOOKUP(A134,'Centre WR5'!$A$7:$N$160,4,FALSE),0)</f>
        <v>0</v>
      </c>
      <c r="E134" s="10">
        <f>IFERROR(VLOOKUP(A134,'Centre DW5'!$A$7:$N$161,5,FALSE),0)+
IFERROR(VLOOKUP(A134,'Centre WP5'!$A$7:$N$160,5,FALSE),0)+
IFERROR(VLOOKUP(A134,'Centre WR5'!$A$7:$N$160,5,FALSE),0)</f>
        <v>0</v>
      </c>
      <c r="F134" s="10">
        <f>IFERROR(VLOOKUP(A134,'Centre DW5'!$A$7:$N$161,6,FALSE),0)+
IFERROR(VLOOKUP(A134,'Centre WP5'!$A$7:$N$160,6,FALSE),0)+
IFERROR(VLOOKUP(A134,'Centre WR5'!$A$7:$N$160,6,FALSE),0)</f>
        <v>0</v>
      </c>
      <c r="G134" s="10">
        <f>IFERROR(VLOOKUP(A134,'Centre DW5'!$A$7:$N$161,7,FALSE),0)+
IFERROR(VLOOKUP(A134,'Centre WP5'!$A$7:$N$160,7,FALSE),0)+
IFERROR(VLOOKUP(A134,'Centre WR5'!$A$7:$N$160,7,FALSE),0)</f>
        <v>0</v>
      </c>
      <c r="H134" s="10">
        <f>IFERROR(VLOOKUP(A134,'Centre DW5'!$A$7:$N$161,8,FALSE),0)+
IFERROR(VLOOKUP(A134,'Centre WP5'!$A$7:$N$160,8,FALSE),0)+
IFERROR(VLOOKUP(A134,'Centre WR5'!$A$7:$N$160,8,FALSE),0)</f>
        <v>0</v>
      </c>
      <c r="I134" s="10">
        <f>IFERROR(VLOOKUP(A134,'Centre DW5'!$A$7:$N$161,9,FALSE),0)+
IFERROR(VLOOKUP(A134,'Centre WP5'!$A$7:$N$160,9,FALSE),0)+
IFERROR(VLOOKUP(A134,'Centre WR5'!$A$7:$N$160,9,FALSE),0)</f>
        <v>0</v>
      </c>
      <c r="J134" s="10">
        <f>IFERROR(VLOOKUP(A134,'Centre DW5'!$A$7:$N$161,10,FALSE),0)+
IFERROR(VLOOKUP(A134,'Centre WP5'!$A$7:$N$160,10,FALSE),0)+
IFERROR(VLOOKUP(A134,'Centre WR5'!$A$7:$N$160,10,FALSE),0)</f>
        <v>0</v>
      </c>
      <c r="K134" s="10">
        <f>IFERROR(VLOOKUP(A134,'Centre DW5'!$A$7:$N$161,11,FALSE),0)+
IFERROR(VLOOKUP(A134,'Centre WP5'!$A$7:$N$160,11,FALSE),0)+
IFERROR(VLOOKUP(A134,'Centre WR5'!$A$7:$N$160,11,FALSE),0)</f>
        <v>1</v>
      </c>
      <c r="L134" s="10">
        <f>IFERROR(VLOOKUP(A134,'Centre DW5'!$A$7:$N$161,12,FALSE),0)+
IFERROR(VLOOKUP(A134,'Centre WP5'!$A$7:$N$160,12,FALSE),0)+
IFERROR(VLOOKUP(A134,'Centre WR5'!$A$7:$N$160,12,FALSE),0)</f>
        <v>2</v>
      </c>
      <c r="M134" s="10">
        <f>IFERROR(VLOOKUP(A134,'Centre DW5'!$A$7:$N$161,13,FALSE),0)+
IFERROR(VLOOKUP(A134,'Centre WP5'!$A$7:$N$160,13,FALSE),0)+
IFERROR(VLOOKUP(A134,'Centre WR5'!$A$7:$N$160,13,FALSE),0)</f>
        <v>3</v>
      </c>
      <c r="N134" s="10">
        <f>IFERROR(VLOOKUP(A134,'Centre DW5'!$A$7:$N$161,14,FALSE),0)+
IFERROR(VLOOKUP(A134,'Centre WP5'!$A$7:$N$160,14,FALSE),0)+
IFERROR(VLOOKUP(A134,'Centre WR5'!$A$7:$N$160,14,FALSE),0)</f>
        <v>4</v>
      </c>
    </row>
    <row r="135" spans="1:14" hidden="1" outlineLevel="1" x14ac:dyDescent="0.2">
      <c r="A135" s="9" t="s">
        <v>222</v>
      </c>
      <c r="B135" s="1" t="s">
        <v>223</v>
      </c>
      <c r="C135" s="10">
        <f>IFERROR(VLOOKUP(A135,'Centre DW5'!$A$7:$N$161,3,FALSE),0)+
IFERROR(VLOOKUP(A135,'Centre WP5'!$A$7:$N$160,3,FALSE),0)+
IFERROR(VLOOKUP(A135,'Centre WR5'!$A$7:$N$160,3,FALSE),0)</f>
        <v>0</v>
      </c>
      <c r="D135" s="10">
        <f>IFERROR(VLOOKUP(A135,'Centre DW5'!$A$7:$N$161,4,FALSE),0)+
IFERROR(VLOOKUP(A135,'Centre WP5'!$A$7:$N$160,4,FALSE),0)+
IFERROR(VLOOKUP(A135,'Centre WR5'!$A$7:$N$160,4,FALSE),0)</f>
        <v>0</v>
      </c>
      <c r="E135" s="10">
        <f>IFERROR(VLOOKUP(A135,'Centre DW5'!$A$7:$N$161,5,FALSE),0)+
IFERROR(VLOOKUP(A135,'Centre WP5'!$A$7:$N$160,5,FALSE),0)+
IFERROR(VLOOKUP(A135,'Centre WR5'!$A$7:$N$160,5,FALSE),0)</f>
        <v>0</v>
      </c>
      <c r="F135" s="10">
        <f>IFERROR(VLOOKUP(A135,'Centre DW5'!$A$7:$N$161,6,FALSE),0)+
IFERROR(VLOOKUP(A135,'Centre WP5'!$A$7:$N$160,6,FALSE),0)+
IFERROR(VLOOKUP(A135,'Centre WR5'!$A$7:$N$160,6,FALSE),0)</f>
        <v>0</v>
      </c>
      <c r="G135" s="10">
        <f>IFERROR(VLOOKUP(A135,'Centre DW5'!$A$7:$N$161,7,FALSE),0)+
IFERROR(VLOOKUP(A135,'Centre WP5'!$A$7:$N$160,7,FALSE),0)+
IFERROR(VLOOKUP(A135,'Centre WR5'!$A$7:$N$160,7,FALSE),0)</f>
        <v>0</v>
      </c>
      <c r="H135" s="10">
        <f>IFERROR(VLOOKUP(A135,'Centre DW5'!$A$7:$N$161,8,FALSE),0)+
IFERROR(VLOOKUP(A135,'Centre WP5'!$A$7:$N$160,8,FALSE),0)+
IFERROR(VLOOKUP(A135,'Centre WR5'!$A$7:$N$160,8,FALSE),0)</f>
        <v>0</v>
      </c>
      <c r="I135" s="10">
        <f>IFERROR(VLOOKUP(A135,'Centre DW5'!$A$7:$N$161,9,FALSE),0)+
IFERROR(VLOOKUP(A135,'Centre WP5'!$A$7:$N$160,9,FALSE),0)+
IFERROR(VLOOKUP(A135,'Centre WR5'!$A$7:$N$160,9,FALSE),0)</f>
        <v>0</v>
      </c>
      <c r="J135" s="10">
        <f>IFERROR(VLOOKUP(A135,'Centre DW5'!$A$7:$N$161,10,FALSE),0)+
IFERROR(VLOOKUP(A135,'Centre WP5'!$A$7:$N$160,10,FALSE),0)+
IFERROR(VLOOKUP(A135,'Centre WR5'!$A$7:$N$160,10,FALSE),0)</f>
        <v>0</v>
      </c>
      <c r="K135" s="10">
        <f>IFERROR(VLOOKUP(A135,'Centre DW5'!$A$7:$N$161,11,FALSE),0)+
IFERROR(VLOOKUP(A135,'Centre WP5'!$A$7:$N$160,11,FALSE),0)+
IFERROR(VLOOKUP(A135,'Centre WR5'!$A$7:$N$160,11,FALSE),0)</f>
        <v>0</v>
      </c>
      <c r="L135" s="10">
        <f>IFERROR(VLOOKUP(A135,'Centre DW5'!$A$7:$N$161,12,FALSE),0)+
IFERROR(VLOOKUP(A135,'Centre WP5'!$A$7:$N$160,12,FALSE),0)+
IFERROR(VLOOKUP(A135,'Centre WR5'!$A$7:$N$160,12,FALSE),0)</f>
        <v>0</v>
      </c>
      <c r="M135" s="10">
        <f>IFERROR(VLOOKUP(A135,'Centre DW5'!$A$7:$N$161,13,FALSE),0)+
IFERROR(VLOOKUP(A135,'Centre WP5'!$A$7:$N$160,13,FALSE),0)+
IFERROR(VLOOKUP(A135,'Centre WR5'!$A$7:$N$160,13,FALSE),0)</f>
        <v>0</v>
      </c>
      <c r="N135" s="10">
        <f>IFERROR(VLOOKUP(A135,'Centre DW5'!$A$7:$N$161,14,FALSE),0)+
IFERROR(VLOOKUP(A135,'Centre WP5'!$A$7:$N$160,14,FALSE),0)+
IFERROR(VLOOKUP(A135,'Centre WR5'!$A$7:$N$160,14,FALSE),0)</f>
        <v>0</v>
      </c>
    </row>
    <row r="136" spans="1:14" hidden="1" outlineLevel="1" x14ac:dyDescent="0.2">
      <c r="A136" s="9" t="s">
        <v>224</v>
      </c>
      <c r="B136" s="1" t="s">
        <v>225</v>
      </c>
      <c r="C136" s="10">
        <f>IFERROR(VLOOKUP(A136,'Centre DW5'!$A$7:$N$161,3,FALSE),0)+
IFERROR(VLOOKUP(A136,'Centre WP5'!$A$7:$N$160,3,FALSE),0)+
IFERROR(VLOOKUP(A136,'Centre WR5'!$A$7:$N$160,3,FALSE),0)</f>
        <v>0</v>
      </c>
      <c r="D136" s="10">
        <f>IFERROR(VLOOKUP(A136,'Centre DW5'!$A$7:$N$161,4,FALSE),0)+
IFERROR(VLOOKUP(A136,'Centre WP5'!$A$7:$N$160,4,FALSE),0)+
IFERROR(VLOOKUP(A136,'Centre WR5'!$A$7:$N$160,4,FALSE),0)</f>
        <v>0</v>
      </c>
      <c r="E136" s="10">
        <f>IFERROR(VLOOKUP(A136,'Centre DW5'!$A$7:$N$161,5,FALSE),0)+
IFERROR(VLOOKUP(A136,'Centre WP5'!$A$7:$N$160,5,FALSE),0)+
IFERROR(VLOOKUP(A136,'Centre WR5'!$A$7:$N$160,5,FALSE),0)</f>
        <v>0</v>
      </c>
      <c r="F136" s="10">
        <f>IFERROR(VLOOKUP(A136,'Centre DW5'!$A$7:$N$161,6,FALSE),0)+
IFERROR(VLOOKUP(A136,'Centre WP5'!$A$7:$N$160,6,FALSE),0)+
IFERROR(VLOOKUP(A136,'Centre WR5'!$A$7:$N$160,6,FALSE),0)</f>
        <v>0</v>
      </c>
      <c r="G136" s="10">
        <f>IFERROR(VLOOKUP(A136,'Centre DW5'!$A$7:$N$161,7,FALSE),0)+
IFERROR(VLOOKUP(A136,'Centre WP5'!$A$7:$N$160,7,FALSE),0)+
IFERROR(VLOOKUP(A136,'Centre WR5'!$A$7:$N$160,7,FALSE),0)</f>
        <v>0.1</v>
      </c>
      <c r="H136" s="10">
        <f>IFERROR(VLOOKUP(A136,'Centre DW5'!$A$7:$N$161,8,FALSE),0)+
IFERROR(VLOOKUP(A136,'Centre WP5'!$A$7:$N$160,8,FALSE),0)+
IFERROR(VLOOKUP(A136,'Centre WR5'!$A$7:$N$160,8,FALSE),0)</f>
        <v>0</v>
      </c>
      <c r="I136" s="10">
        <f>IFERROR(VLOOKUP(A136,'Centre DW5'!$A$7:$N$161,9,FALSE),0)+
IFERROR(VLOOKUP(A136,'Centre WP5'!$A$7:$N$160,9,FALSE),0)+
IFERROR(VLOOKUP(A136,'Centre WR5'!$A$7:$N$160,9,FALSE),0)</f>
        <v>0</v>
      </c>
      <c r="J136" s="10">
        <f>IFERROR(VLOOKUP(A136,'Centre DW5'!$A$7:$N$161,10,FALSE),0)+
IFERROR(VLOOKUP(A136,'Centre WP5'!$A$7:$N$160,10,FALSE),0)+
IFERROR(VLOOKUP(A136,'Centre WR5'!$A$7:$N$160,10,FALSE),0)</f>
        <v>0</v>
      </c>
      <c r="K136" s="10">
        <f>IFERROR(VLOOKUP(A136,'Centre DW5'!$A$7:$N$161,11,FALSE),0)+
IFERROR(VLOOKUP(A136,'Centre WP5'!$A$7:$N$160,11,FALSE),0)+
IFERROR(VLOOKUP(A136,'Centre WR5'!$A$7:$N$160,11,FALSE),0)</f>
        <v>0</v>
      </c>
      <c r="L136" s="10">
        <f>IFERROR(VLOOKUP(A136,'Centre DW5'!$A$7:$N$161,12,FALSE),0)+
IFERROR(VLOOKUP(A136,'Centre WP5'!$A$7:$N$160,12,FALSE),0)+
IFERROR(VLOOKUP(A136,'Centre WR5'!$A$7:$N$160,12,FALSE),0)</f>
        <v>0</v>
      </c>
      <c r="M136" s="10">
        <f>IFERROR(VLOOKUP(A136,'Centre DW5'!$A$7:$N$161,13,FALSE),0)+
IFERROR(VLOOKUP(A136,'Centre WP5'!$A$7:$N$160,13,FALSE),0)+
IFERROR(VLOOKUP(A136,'Centre WR5'!$A$7:$N$160,13,FALSE),0)</f>
        <v>0.1</v>
      </c>
      <c r="N136" s="10">
        <f>IFERROR(VLOOKUP(A136,'Centre DW5'!$A$7:$N$161,14,FALSE),0)+
IFERROR(VLOOKUP(A136,'Centre WP5'!$A$7:$N$160,14,FALSE),0)+
IFERROR(VLOOKUP(A136,'Centre WR5'!$A$7:$N$160,14,FALSE),0)</f>
        <v>0</v>
      </c>
    </row>
    <row r="137" spans="1:14" collapsed="1" x14ac:dyDescent="0.2">
      <c r="A137" s="33" t="s">
        <v>226</v>
      </c>
      <c r="B137" s="34" t="s">
        <v>227</v>
      </c>
      <c r="C137" s="44">
        <f>IFERROR(VLOOKUP(A137,'Centre DW5'!$A$7:$N$161,3,FALSE),0)+
IFERROR(VLOOKUP(A137,'Centre WP5'!$A$7:$N$160,3,FALSE),0)+
IFERROR(VLOOKUP(A137,'Centre WR5'!$A$7:$N$160,3,FALSE),0)</f>
        <v>0</v>
      </c>
      <c r="D137" s="44">
        <f>IFERROR(VLOOKUP(A137,'Centre DW5'!$A$7:$N$161,4,FALSE),0)+
IFERROR(VLOOKUP(A137,'Centre WP5'!$A$7:$N$160,4,FALSE),0)+
IFERROR(VLOOKUP(A137,'Centre WR5'!$A$7:$N$160,4,FALSE),0)</f>
        <v>0</v>
      </c>
      <c r="E137" s="44">
        <f>IFERROR(VLOOKUP(A137,'Centre DW5'!$A$7:$N$161,5,FALSE),0)+
IFERROR(VLOOKUP(A137,'Centre WP5'!$A$7:$N$160,5,FALSE),0)+
IFERROR(VLOOKUP(A137,'Centre WR5'!$A$7:$N$160,5,FALSE),0)</f>
        <v>0</v>
      </c>
      <c r="F137" s="44">
        <f>IFERROR(VLOOKUP(A137,'Centre DW5'!$A$7:$N$161,6,FALSE),0)+
IFERROR(VLOOKUP(A137,'Centre WP5'!$A$7:$N$160,6,FALSE),0)+
IFERROR(VLOOKUP(A137,'Centre WR5'!$A$7:$N$160,6,FALSE),0)</f>
        <v>0</v>
      </c>
      <c r="G137" s="44">
        <f>IFERROR(VLOOKUP(A137,'Centre DW5'!$A$7:$N$161,7,FALSE),0)+
IFERROR(VLOOKUP(A137,'Centre WP5'!$A$7:$N$160,7,FALSE),0)+
IFERROR(VLOOKUP(A137,'Centre WR5'!$A$7:$N$160,7,FALSE),0)</f>
        <v>0</v>
      </c>
      <c r="H137" s="44">
        <f>IFERROR(VLOOKUP(A137,'Centre DW5'!$A$7:$N$161,8,FALSE),0)+
IFERROR(VLOOKUP(A137,'Centre WP5'!$A$7:$N$160,8,FALSE),0)+
IFERROR(VLOOKUP(A137,'Centre WR5'!$A$7:$N$160,8,FALSE),0)</f>
        <v>0</v>
      </c>
      <c r="I137" s="44">
        <f>IFERROR(VLOOKUP(A137,'Centre DW5'!$A$7:$N$161,9,FALSE),0)+
IFERROR(VLOOKUP(A137,'Centre WP5'!$A$7:$N$160,9,FALSE),0)+
IFERROR(VLOOKUP(A137,'Centre WR5'!$A$7:$N$160,9,FALSE),0)</f>
        <v>0</v>
      </c>
      <c r="J137" s="44">
        <f>IFERROR(VLOOKUP(A137,'Centre DW5'!$A$7:$N$161,10,FALSE),0)+
IFERROR(VLOOKUP(A137,'Centre WP5'!$A$7:$N$160,10,FALSE),0)+
IFERROR(VLOOKUP(A137,'Centre WR5'!$A$7:$N$160,10,FALSE),0)</f>
        <v>0</v>
      </c>
      <c r="K137" s="44">
        <f>IFERROR(VLOOKUP(A137,'Centre DW5'!$A$7:$N$161,11,FALSE),0)+
IFERROR(VLOOKUP(A137,'Centre WP5'!$A$7:$N$160,11,FALSE),0)+
IFERROR(VLOOKUP(A137,'Centre WR5'!$A$7:$N$160,11,FALSE),0)</f>
        <v>0</v>
      </c>
      <c r="L137" s="44">
        <f>IFERROR(VLOOKUP(A137,'Centre DW5'!$A$7:$N$161,12,FALSE),0)+
IFERROR(VLOOKUP(A137,'Centre WP5'!$A$7:$N$160,12,FALSE),0)+
IFERROR(VLOOKUP(A137,'Centre WR5'!$A$7:$N$160,12,FALSE),0)</f>
        <v>0</v>
      </c>
      <c r="M137" s="44">
        <f>IFERROR(VLOOKUP(A137,'Centre DW5'!$A$7:$N$161,13,FALSE),0)+
IFERROR(VLOOKUP(A137,'Centre WP5'!$A$7:$N$160,13,FALSE),0)+
IFERROR(VLOOKUP(A137,'Centre WR5'!$A$7:$N$160,13,FALSE),0)</f>
        <v>0</v>
      </c>
      <c r="N137" s="44">
        <f>IFERROR(VLOOKUP(A137,'Centre DW5'!$A$7:$N$161,14,FALSE),0)+
IFERROR(VLOOKUP(A137,'Centre WP5'!$A$7:$N$160,14,FALSE),0)+
IFERROR(VLOOKUP(A137,'Centre WR5'!$A$7:$N$160,14,FALSE),0)</f>
        <v>0</v>
      </c>
    </row>
    <row r="138" spans="1:14" x14ac:dyDescent="0.2">
      <c r="A138" s="33" t="s">
        <v>228</v>
      </c>
      <c r="B138" s="34" t="s">
        <v>229</v>
      </c>
      <c r="C138" s="44">
        <f t="shared" ref="C138:I138" si="37">+C139</f>
        <v>0</v>
      </c>
      <c r="D138" s="44">
        <f t="shared" si="37"/>
        <v>0</v>
      </c>
      <c r="E138" s="44">
        <f t="shared" si="37"/>
        <v>0</v>
      </c>
      <c r="F138" s="44">
        <f t="shared" si="37"/>
        <v>0</v>
      </c>
      <c r="G138" s="44">
        <f t="shared" si="37"/>
        <v>0</v>
      </c>
      <c r="H138" s="44">
        <f t="shared" si="37"/>
        <v>0</v>
      </c>
      <c r="I138" s="44">
        <f t="shared" si="37"/>
        <v>0</v>
      </c>
      <c r="J138" s="44">
        <f>+J139</f>
        <v>0</v>
      </c>
      <c r="K138" s="44">
        <f t="shared" ref="K138:N138" si="38">+K139</f>
        <v>0</v>
      </c>
      <c r="L138" s="44">
        <f t="shared" si="38"/>
        <v>0</v>
      </c>
      <c r="M138" s="44">
        <f t="shared" si="38"/>
        <v>0</v>
      </c>
      <c r="N138" s="44">
        <f t="shared" si="38"/>
        <v>0</v>
      </c>
    </row>
    <row r="139" spans="1:14" hidden="1" outlineLevel="1" x14ac:dyDescent="0.2">
      <c r="A139" s="9" t="s">
        <v>357</v>
      </c>
      <c r="B139" s="1" t="s">
        <v>358</v>
      </c>
      <c r="C139" s="10">
        <f>IFERROR(VLOOKUP(A139,'Centre DW5'!$A$7:$N$161,3,FALSE),0)+
IFERROR(VLOOKUP(A139,'Centre WP5'!$A$7:$N$160,3,FALSE),0)+
IFERROR(VLOOKUP(A139,'Centre WR5'!$A$7:$N$160,3,FALSE),0)</f>
        <v>0</v>
      </c>
      <c r="D139" s="10">
        <f>IFERROR(VLOOKUP(A139,'Centre DW5'!$A$7:$N$161,4,FALSE),0)+
IFERROR(VLOOKUP(A139,'Centre WP5'!$A$7:$N$160,4,FALSE),0)+
IFERROR(VLOOKUP(A139,'Centre WR5'!$A$7:$N$160,4,FALSE),0)</f>
        <v>0</v>
      </c>
      <c r="E139" s="10">
        <f>IFERROR(VLOOKUP(A139,'Centre DW5'!$A$7:$N$161,5,FALSE),0)+
IFERROR(VLOOKUP(A139,'Centre WP5'!$A$7:$N$160,5,FALSE),0)+
IFERROR(VLOOKUP(A139,'Centre WR5'!$A$7:$N$160,5,FALSE),0)</f>
        <v>0</v>
      </c>
      <c r="F139" s="10">
        <f>IFERROR(VLOOKUP(A139,'Centre DW5'!$A$7:$N$161,6,FALSE),0)+
IFERROR(VLOOKUP(A139,'Centre WP5'!$A$7:$N$160,6,FALSE),0)+
IFERROR(VLOOKUP(A139,'Centre WR5'!$A$7:$N$160,6,FALSE),0)</f>
        <v>0</v>
      </c>
      <c r="G139" s="10">
        <f>IFERROR(VLOOKUP(A139,'Centre DW5'!$A$7:$N$161,7,FALSE),0)+
IFERROR(VLOOKUP(A139,'Centre WP5'!$A$7:$N$160,7,FALSE),0)+
IFERROR(VLOOKUP(A139,'Centre WR5'!$A$7:$N$160,7,FALSE),0)</f>
        <v>0</v>
      </c>
      <c r="H139" s="10">
        <f>IFERROR(VLOOKUP(A139,'Centre DW5'!$A$7:$N$161,8,FALSE),0)+
IFERROR(VLOOKUP(A139,'Centre WP5'!$A$7:$N$160,8,FALSE),0)+
IFERROR(VLOOKUP(A139,'Centre WR5'!$A$7:$N$160,8,FALSE),0)</f>
        <v>0</v>
      </c>
      <c r="I139" s="10">
        <f>IFERROR(VLOOKUP(A139,'Centre DW5'!$A$7:$N$161,9,FALSE),0)+
IFERROR(VLOOKUP(A139,'Centre WP5'!$A$7:$N$160,9,FALSE),0)+
IFERROR(VLOOKUP(A139,'Centre WR5'!$A$7:$N$160,9,FALSE),0)</f>
        <v>0</v>
      </c>
      <c r="J139" s="10">
        <f>IFERROR(VLOOKUP(A139,'Centre DW5'!$A$7:$N$161,10,FALSE),0)+
IFERROR(VLOOKUP(A139,'Centre WP5'!$A$7:$N$160,10,FALSE),0)+
IFERROR(VLOOKUP(A139,'Centre WR5'!$A$7:$N$160,10,FALSE),0)</f>
        <v>0</v>
      </c>
      <c r="K139" s="10">
        <f>IFERROR(VLOOKUP(A139,'Centre DW5'!$A$7:$N$161,11,FALSE),0)+
IFERROR(VLOOKUP(A139,'Centre WP5'!$A$7:$N$160,11,FALSE),0)+
IFERROR(VLOOKUP(A139,'Centre WR5'!$A$7:$N$160,11,FALSE),0)</f>
        <v>0</v>
      </c>
      <c r="L139" s="10">
        <f>IFERROR(VLOOKUP(A139,'Centre DW5'!$A$7:$N$161,12,FALSE),0)+
IFERROR(VLOOKUP(A139,'Centre WP5'!$A$7:$N$160,12,FALSE),0)+
IFERROR(VLOOKUP(A139,'Centre WR5'!$A$7:$N$160,12,FALSE),0)</f>
        <v>0</v>
      </c>
      <c r="M139" s="10">
        <f>IFERROR(VLOOKUP(A139,'Centre DW5'!$A$7:$N$161,13,FALSE),0)+
IFERROR(VLOOKUP(A139,'Centre WP5'!$A$7:$N$160,13,FALSE),0)+
IFERROR(VLOOKUP(A139,'Centre WR5'!$A$7:$N$160,13,FALSE),0)</f>
        <v>0</v>
      </c>
      <c r="N139" s="10">
        <f>IFERROR(VLOOKUP(A139,'Centre DW5'!$A$7:$N$161,14,FALSE),0)+
IFERROR(VLOOKUP(A139,'Centre WP5'!$A$7:$N$160,14,FALSE),0)+
IFERROR(VLOOKUP(A139,'Centre WR5'!$A$7:$N$160,14,FALSE),0)</f>
        <v>0</v>
      </c>
    </row>
    <row r="140" spans="1:14" collapsed="1" x14ac:dyDescent="0.2">
      <c r="A140" s="33" t="s">
        <v>230</v>
      </c>
      <c r="B140" s="34" t="s">
        <v>231</v>
      </c>
      <c r="C140" s="44">
        <f t="shared" ref="C140:I140" si="39">SUM(C141:C142)</f>
        <v>23.4</v>
      </c>
      <c r="D140" s="44">
        <f t="shared" si="39"/>
        <v>22.6</v>
      </c>
      <c r="E140" s="44">
        <f t="shared" si="39"/>
        <v>8.1</v>
      </c>
      <c r="F140" s="44">
        <f t="shared" si="39"/>
        <v>25.4</v>
      </c>
      <c r="G140" s="44">
        <f t="shared" si="39"/>
        <v>28</v>
      </c>
      <c r="H140" s="44">
        <f t="shared" si="39"/>
        <v>31.8</v>
      </c>
      <c r="I140" s="44">
        <f t="shared" si="39"/>
        <v>35.4</v>
      </c>
      <c r="J140" s="44">
        <f>SUM(J141:J142)</f>
        <v>8.1</v>
      </c>
      <c r="K140" s="44">
        <f t="shared" ref="K140:N140" si="40">SUM(K141:K142)</f>
        <v>25.4</v>
      </c>
      <c r="L140" s="44">
        <f t="shared" si="40"/>
        <v>28</v>
      </c>
      <c r="M140" s="44">
        <f t="shared" si="40"/>
        <v>31.8</v>
      </c>
      <c r="N140" s="44">
        <f t="shared" si="40"/>
        <v>35.4</v>
      </c>
    </row>
    <row r="141" spans="1:14" hidden="1" outlineLevel="1" x14ac:dyDescent="0.2">
      <c r="A141" s="9" t="s">
        <v>232</v>
      </c>
      <c r="B141" s="1" t="s">
        <v>233</v>
      </c>
      <c r="C141" s="10">
        <f>IFERROR(VLOOKUP(A141,'Centre DW5'!$A$7:$N$161,3,FALSE),0)+
IFERROR(VLOOKUP(A141,'Centre WP5'!$A$7:$N$160,3,FALSE),0)+
IFERROR(VLOOKUP(A141,'Centre WR5'!$A$7:$N$160,3,FALSE),0)</f>
        <v>23.4</v>
      </c>
      <c r="D141" s="10">
        <f>IFERROR(VLOOKUP(A141,'Centre DW5'!$A$7:$N$161,4,FALSE),0)+
IFERROR(VLOOKUP(A141,'Centre WP5'!$A$7:$N$160,4,FALSE),0)+
IFERROR(VLOOKUP(A141,'Centre WR5'!$A$7:$N$160,4,FALSE),0)</f>
        <v>22.6</v>
      </c>
      <c r="E141" s="10">
        <f>IFERROR(VLOOKUP(A141,'Centre DW5'!$A$7:$N$161,5,FALSE),0)+
IFERROR(VLOOKUP(A141,'Centre WP5'!$A$7:$N$160,5,FALSE),0)+
IFERROR(VLOOKUP(A141,'Centre WR5'!$A$7:$N$160,5,FALSE),0)</f>
        <v>8.1</v>
      </c>
      <c r="F141" s="10">
        <f>IFERROR(VLOOKUP(A141,'Centre DW5'!$A$7:$N$161,6,FALSE),0)+
IFERROR(VLOOKUP(A141,'Centre WP5'!$A$7:$N$160,6,FALSE),0)+
IFERROR(VLOOKUP(A141,'Centre WR5'!$A$7:$N$160,6,FALSE),0)</f>
        <v>25.4</v>
      </c>
      <c r="G141" s="10">
        <f>IFERROR(VLOOKUP(A141,'Centre DW5'!$A$7:$N$161,7,FALSE),0)+
IFERROR(VLOOKUP(A141,'Centre WP5'!$A$7:$N$160,7,FALSE),0)+
IFERROR(VLOOKUP(A141,'Centre WR5'!$A$7:$N$160,7,FALSE),0)</f>
        <v>30.7</v>
      </c>
      <c r="H141" s="10">
        <f>IFERROR(VLOOKUP(A141,'Centre DW5'!$A$7:$N$161,8,FALSE),0)+
IFERROR(VLOOKUP(A141,'Centre WP5'!$A$7:$N$160,8,FALSE),0)+
IFERROR(VLOOKUP(A141,'Centre WR5'!$A$7:$N$160,8,FALSE),0)</f>
        <v>31.8</v>
      </c>
      <c r="I141" s="10">
        <f>IFERROR(VLOOKUP(A141,'Centre DW5'!$A$7:$N$161,9,FALSE),0)+
IFERROR(VLOOKUP(A141,'Centre WP5'!$A$7:$N$160,9,FALSE),0)+
IFERROR(VLOOKUP(A141,'Centre WR5'!$A$7:$N$160,9,FALSE),0)</f>
        <v>35.4</v>
      </c>
      <c r="J141" s="10">
        <f>IFERROR(VLOOKUP(A141,'Centre DW5'!$A$7:$N$161,10,FALSE),0)+
IFERROR(VLOOKUP(A141,'Centre WP5'!$A$7:$N$160,10,FALSE),0)+
IFERROR(VLOOKUP(A141,'Centre WR5'!$A$7:$N$160,10,FALSE),0)</f>
        <v>8.1</v>
      </c>
      <c r="K141" s="10">
        <f>IFERROR(VLOOKUP(A141,'Centre DW5'!$A$7:$N$161,11,FALSE),0)+
IFERROR(VLOOKUP(A141,'Centre WP5'!$A$7:$N$160,11,FALSE),0)+
IFERROR(VLOOKUP(A141,'Centre WR5'!$A$7:$N$160,11,FALSE),0)</f>
        <v>25.4</v>
      </c>
      <c r="L141" s="10">
        <f>IFERROR(VLOOKUP(A141,'Centre DW5'!$A$7:$N$161,12,FALSE),0)+
IFERROR(VLOOKUP(A141,'Centre WP5'!$A$7:$N$160,12,FALSE),0)+
IFERROR(VLOOKUP(A141,'Centre WR5'!$A$7:$N$160,12,FALSE),0)</f>
        <v>30.7</v>
      </c>
      <c r="M141" s="10">
        <f>IFERROR(VLOOKUP(A141,'Centre DW5'!$A$7:$N$161,13,FALSE),0)+
IFERROR(VLOOKUP(A141,'Centre WP5'!$A$7:$N$160,13,FALSE),0)+
IFERROR(VLOOKUP(A141,'Centre WR5'!$A$7:$N$160,13,FALSE),0)</f>
        <v>31.8</v>
      </c>
      <c r="N141" s="10">
        <f>IFERROR(VLOOKUP(A141,'Centre DW5'!$A$7:$N$161,14,FALSE),0)+
IFERROR(VLOOKUP(A141,'Centre WP5'!$A$7:$N$160,14,FALSE),0)+
IFERROR(VLOOKUP(A141,'Centre WR5'!$A$7:$N$160,14,FALSE),0)</f>
        <v>35.4</v>
      </c>
    </row>
    <row r="142" spans="1:14" hidden="1" outlineLevel="1" x14ac:dyDescent="0.2">
      <c r="A142" s="9" t="s">
        <v>234</v>
      </c>
      <c r="B142" s="1" t="s">
        <v>235</v>
      </c>
      <c r="C142" s="10">
        <f>IFERROR(VLOOKUP(A142,'Centre DW5'!$A$7:$N$161,3,FALSE),0)+
IFERROR(VLOOKUP(A142,'Centre WP5'!$A$7:$N$160,3,FALSE),0)+
IFERROR(VLOOKUP(A142,'Centre WR5'!$A$7:$N$160,3,FALSE),0)</f>
        <v>0</v>
      </c>
      <c r="D142" s="10">
        <f>IFERROR(VLOOKUP(A142,'Centre DW5'!$A$7:$N$161,4,FALSE),0)+
IFERROR(VLOOKUP(A142,'Centre WP5'!$A$7:$N$160,4,FALSE),0)+
IFERROR(VLOOKUP(A142,'Centre WR5'!$A$7:$N$160,4,FALSE),0)</f>
        <v>0</v>
      </c>
      <c r="E142" s="10">
        <f>IFERROR(VLOOKUP(A142,'Centre DW5'!$A$7:$N$161,5,FALSE),0)+
IFERROR(VLOOKUP(A142,'Centre WP5'!$A$7:$N$160,5,FALSE),0)+
IFERROR(VLOOKUP(A142,'Centre WR5'!$A$7:$N$160,5,FALSE),0)</f>
        <v>0</v>
      </c>
      <c r="F142" s="10">
        <f>IFERROR(VLOOKUP(A142,'Centre DW5'!$A$7:$N$161,6,FALSE),0)+
IFERROR(VLOOKUP(A142,'Centre WP5'!$A$7:$N$160,6,FALSE),0)+
IFERROR(VLOOKUP(A142,'Centre WR5'!$A$7:$N$160,6,FALSE),0)</f>
        <v>0</v>
      </c>
      <c r="G142" s="10">
        <f>IFERROR(VLOOKUP(A142,'Centre DW5'!$A$7:$N$161,7,FALSE),0)+
IFERROR(VLOOKUP(A142,'Centre WP5'!$A$7:$N$160,7,FALSE),0)+
IFERROR(VLOOKUP(A142,'Centre WR5'!$A$7:$N$160,7,FALSE),0)</f>
        <v>-2.7</v>
      </c>
      <c r="H142" s="10">
        <f>IFERROR(VLOOKUP(A142,'Centre DW5'!$A$7:$N$161,8,FALSE),0)+
IFERROR(VLOOKUP(A142,'Centre WP5'!$A$7:$N$160,8,FALSE),0)+
IFERROR(VLOOKUP(A142,'Centre WR5'!$A$7:$N$160,8,FALSE),0)</f>
        <v>0</v>
      </c>
      <c r="I142" s="10">
        <f>IFERROR(VLOOKUP(A142,'Centre DW5'!$A$7:$N$161,9,FALSE),0)+
IFERROR(VLOOKUP(A142,'Centre WP5'!$A$7:$N$160,9,FALSE),0)+
IFERROR(VLOOKUP(A142,'Centre WR5'!$A$7:$N$160,9,FALSE),0)</f>
        <v>0</v>
      </c>
      <c r="J142" s="10">
        <f>IFERROR(VLOOKUP(A142,'Centre DW5'!$A$7:$N$161,10,FALSE),0)+
IFERROR(VLOOKUP(A142,'Centre WP5'!$A$7:$N$160,10,FALSE),0)+
IFERROR(VLOOKUP(A142,'Centre WR5'!$A$7:$N$160,10,FALSE),0)</f>
        <v>0</v>
      </c>
      <c r="K142" s="10">
        <f>IFERROR(VLOOKUP(A142,'Centre DW5'!$A$7:$N$161,11,FALSE),0)+
IFERROR(VLOOKUP(A142,'Centre WP5'!$A$7:$N$160,11,FALSE),0)+
IFERROR(VLOOKUP(A142,'Centre WR5'!$A$7:$N$160,11,FALSE),0)</f>
        <v>0</v>
      </c>
      <c r="L142" s="10">
        <f>IFERROR(VLOOKUP(A142,'Centre DW5'!$A$7:$N$161,12,FALSE),0)+
IFERROR(VLOOKUP(A142,'Centre WP5'!$A$7:$N$160,12,FALSE),0)+
IFERROR(VLOOKUP(A142,'Centre WR5'!$A$7:$N$160,12,FALSE),0)</f>
        <v>-2.7</v>
      </c>
      <c r="M142" s="10">
        <f>IFERROR(VLOOKUP(A142,'Centre DW5'!$A$7:$N$161,13,FALSE),0)+
IFERROR(VLOOKUP(A142,'Centre WP5'!$A$7:$N$160,13,FALSE),0)+
IFERROR(VLOOKUP(A142,'Centre WR5'!$A$7:$N$160,13,FALSE),0)</f>
        <v>0</v>
      </c>
      <c r="N142" s="10">
        <f>IFERROR(VLOOKUP(A142,'Centre DW5'!$A$7:$N$161,14,FALSE),0)+
IFERROR(VLOOKUP(A142,'Centre WP5'!$A$7:$N$160,14,FALSE),0)+
IFERROR(VLOOKUP(A142,'Centre WR5'!$A$7:$N$160,14,FALSE),0)</f>
        <v>0</v>
      </c>
    </row>
    <row r="143" spans="1:14" collapsed="1" x14ac:dyDescent="0.2">
      <c r="A143" s="36"/>
      <c r="B143" s="36" t="s">
        <v>236</v>
      </c>
      <c r="C143" s="45">
        <f t="shared" ref="C143:I143" si="41">+C107+C124+C137+C138+C140</f>
        <v>110.1</v>
      </c>
      <c r="D143" s="45">
        <f t="shared" si="41"/>
        <v>114.5</v>
      </c>
      <c r="E143" s="45">
        <f t="shared" si="41"/>
        <v>95.999999999999986</v>
      </c>
      <c r="F143" s="45">
        <f t="shared" si="41"/>
        <v>158.80000000000001</v>
      </c>
      <c r="G143" s="45">
        <f t="shared" si="41"/>
        <v>157.5</v>
      </c>
      <c r="H143" s="45">
        <f t="shared" si="41"/>
        <v>150.49999999999997</v>
      </c>
      <c r="I143" s="45">
        <f t="shared" si="41"/>
        <v>181.7</v>
      </c>
      <c r="J143" s="45">
        <f>+J107+J124+J137+J138+J140</f>
        <v>132.1</v>
      </c>
      <c r="K143" s="45">
        <f t="shared" ref="K143:N143" si="42">+K107+K124+K137+K138+K140</f>
        <v>150.4</v>
      </c>
      <c r="L143" s="45">
        <f t="shared" si="42"/>
        <v>123.1</v>
      </c>
      <c r="M143" s="45">
        <f t="shared" si="42"/>
        <v>126.19999999999997</v>
      </c>
      <c r="N143" s="45">
        <f t="shared" si="42"/>
        <v>167.4</v>
      </c>
    </row>
    <row r="144" spans="1:14" x14ac:dyDescent="0.2">
      <c r="A144" s="35"/>
      <c r="B144" s="35" t="s">
        <v>237</v>
      </c>
      <c r="C144" s="21">
        <f t="shared" ref="C144:I144" si="43">+C106-C143</f>
        <v>123.70000000000002</v>
      </c>
      <c r="D144" s="21">
        <f t="shared" si="43"/>
        <v>-14.900000000000034</v>
      </c>
      <c r="E144" s="21">
        <f t="shared" si="43"/>
        <v>70.500000000000128</v>
      </c>
      <c r="F144" s="21">
        <f t="shared" si="43"/>
        <v>91.399999999999977</v>
      </c>
      <c r="G144" s="21">
        <f t="shared" si="43"/>
        <v>1.4000000000001478</v>
      </c>
      <c r="H144" s="21">
        <f t="shared" si="43"/>
        <v>50.799999999999983</v>
      </c>
      <c r="I144" s="21">
        <f t="shared" si="43"/>
        <v>-9.4000000000000341</v>
      </c>
      <c r="J144" s="21">
        <f>+J106-J143</f>
        <v>36.80000000000004</v>
      </c>
      <c r="K144" s="21">
        <f t="shared" ref="K144:N144" si="44">+K106-K143</f>
        <v>84.599999999999881</v>
      </c>
      <c r="L144" s="21">
        <f t="shared" si="44"/>
        <v>39.500000000000028</v>
      </c>
      <c r="M144" s="21">
        <f t="shared" si="44"/>
        <v>29.900000000000048</v>
      </c>
      <c r="N144" s="21">
        <f t="shared" si="44"/>
        <v>-43.099999999999994</v>
      </c>
    </row>
    <row r="145" spans="1:14" x14ac:dyDescent="0.2">
      <c r="A145" s="33" t="s">
        <v>238</v>
      </c>
      <c r="B145" s="34" t="s">
        <v>239</v>
      </c>
      <c r="C145" s="44">
        <f t="shared" ref="C145:I145" si="45">SUM(C146:C149)</f>
        <v>3.7</v>
      </c>
      <c r="D145" s="44">
        <f t="shared" si="45"/>
        <v>5.6</v>
      </c>
      <c r="E145" s="44">
        <f t="shared" si="45"/>
        <v>3.5999999999999996</v>
      </c>
      <c r="F145" s="44">
        <f t="shared" si="45"/>
        <v>2.9000000000000004</v>
      </c>
      <c r="G145" s="44">
        <f t="shared" si="45"/>
        <v>4.0999999999999996</v>
      </c>
      <c r="H145" s="44">
        <f t="shared" si="45"/>
        <v>2.5</v>
      </c>
      <c r="I145" s="44">
        <f t="shared" si="45"/>
        <v>5.3</v>
      </c>
      <c r="J145" s="44">
        <f>SUM(J146:J149)</f>
        <v>3.5999999999999996</v>
      </c>
      <c r="K145" s="44">
        <f t="shared" ref="K145:N145" si="46">SUM(K146:K149)</f>
        <v>2.7</v>
      </c>
      <c r="L145" s="44">
        <f t="shared" si="46"/>
        <v>4.3000000000000007</v>
      </c>
      <c r="M145" s="44">
        <f t="shared" si="46"/>
        <v>2.8</v>
      </c>
      <c r="N145" s="44">
        <f t="shared" si="46"/>
        <v>4.0999999999999996</v>
      </c>
    </row>
    <row r="146" spans="1:14" hidden="1" outlineLevel="1" x14ac:dyDescent="0.2">
      <c r="A146" s="9" t="s">
        <v>240</v>
      </c>
      <c r="B146" s="1" t="s">
        <v>241</v>
      </c>
      <c r="C146" s="10">
        <f>IFERROR(VLOOKUP(A146,'Centre DW5'!$A$7:$N$161,3,FALSE),0)+
IFERROR(VLOOKUP(A146,'Centre WP5'!$A$7:$N$160,3,FALSE),0)+
IFERROR(VLOOKUP(A146,'Centre WR5'!$A$7:$N$160,3,FALSE),0)</f>
        <v>3.7</v>
      </c>
      <c r="D146" s="10">
        <f>IFERROR(VLOOKUP(A146,'Centre DW5'!$A$7:$N$161,4,FALSE),0)+
IFERROR(VLOOKUP(A146,'Centre WP5'!$A$7:$N$160,4,FALSE),0)+
IFERROR(VLOOKUP(A146,'Centre WR5'!$A$7:$N$160,4,FALSE),0)</f>
        <v>5.6</v>
      </c>
      <c r="E146" s="10">
        <f>IFERROR(VLOOKUP(A146,'Centre DW5'!$A$7:$N$161,5,FALSE),0)+
IFERROR(VLOOKUP(A146,'Centre WP5'!$A$7:$N$160,5,FALSE),0)+
IFERROR(VLOOKUP(A146,'Centre WR5'!$A$7:$N$160,5,FALSE),0)</f>
        <v>3.5999999999999996</v>
      </c>
      <c r="F146" s="10">
        <f>IFERROR(VLOOKUP(A146,'Centre DW5'!$A$7:$N$161,6,FALSE),0)+
IFERROR(VLOOKUP(A146,'Centre WP5'!$A$7:$N$160,6,FALSE),0)+
IFERROR(VLOOKUP(A146,'Centre WR5'!$A$7:$N$160,6,FALSE),0)</f>
        <v>2.9000000000000004</v>
      </c>
      <c r="G146" s="10">
        <f>IFERROR(VLOOKUP(A146,'Centre DW5'!$A$7:$N$161,7,FALSE),0)+
IFERROR(VLOOKUP(A146,'Centre WP5'!$A$7:$N$160,7,FALSE),0)+
IFERROR(VLOOKUP(A146,'Centre WR5'!$A$7:$N$160,7,FALSE),0)</f>
        <v>4.0999999999999996</v>
      </c>
      <c r="H146" s="10">
        <f>IFERROR(VLOOKUP(A146,'Centre DW5'!$A$7:$N$161,8,FALSE),0)+
IFERROR(VLOOKUP(A146,'Centre WP5'!$A$7:$N$160,8,FALSE),0)+
IFERROR(VLOOKUP(A146,'Centre WR5'!$A$7:$N$160,8,FALSE),0)</f>
        <v>2.5</v>
      </c>
      <c r="I146" s="10">
        <f>IFERROR(VLOOKUP(A146,'Centre DW5'!$A$7:$N$161,9,FALSE),0)+
IFERROR(VLOOKUP(A146,'Centre WP5'!$A$7:$N$160,9,FALSE),0)+
IFERROR(VLOOKUP(A146,'Centre WR5'!$A$7:$N$160,9,FALSE),0)</f>
        <v>5.3</v>
      </c>
      <c r="J146" s="10">
        <f>IFERROR(VLOOKUP(A146,'Centre DW5'!$A$7:$N$161,10,FALSE),0)+
IFERROR(VLOOKUP(A146,'Centre WP5'!$A$7:$N$160,10,FALSE),0)+
IFERROR(VLOOKUP(A146,'Centre WR5'!$A$7:$N$160,10,FALSE),0)</f>
        <v>3.5999999999999996</v>
      </c>
      <c r="K146" s="10">
        <f>IFERROR(VLOOKUP(A146,'Centre DW5'!$A$7:$N$161,11,FALSE),0)+
IFERROR(VLOOKUP(A146,'Centre WP5'!$A$7:$N$160,11,FALSE),0)+
IFERROR(VLOOKUP(A146,'Centre WR5'!$A$7:$N$160,11,FALSE),0)</f>
        <v>2.7</v>
      </c>
      <c r="L146" s="10">
        <f>IFERROR(VLOOKUP(A146,'Centre DW5'!$A$7:$N$161,12,FALSE),0)+
IFERROR(VLOOKUP(A146,'Centre WP5'!$A$7:$N$160,12,FALSE),0)+
IFERROR(VLOOKUP(A146,'Centre WR5'!$A$7:$N$160,12,FALSE),0)</f>
        <v>4.3000000000000007</v>
      </c>
      <c r="M146" s="10">
        <f>IFERROR(VLOOKUP(A146,'Centre DW5'!$A$7:$N$161,13,FALSE),0)+
IFERROR(VLOOKUP(A146,'Centre WP5'!$A$7:$N$160,13,FALSE),0)+
IFERROR(VLOOKUP(A146,'Centre WR5'!$A$7:$N$160,13,FALSE),0)</f>
        <v>2.8</v>
      </c>
      <c r="N146" s="10">
        <f>IFERROR(VLOOKUP(A146,'Centre DW5'!$A$7:$N$161,14,FALSE),0)+
IFERROR(VLOOKUP(A146,'Centre WP5'!$A$7:$N$160,14,FALSE),0)+
IFERROR(VLOOKUP(A146,'Centre WR5'!$A$7:$N$160,14,FALSE),0)</f>
        <v>4.0999999999999996</v>
      </c>
    </row>
    <row r="147" spans="1:14" hidden="1" outlineLevel="1" x14ac:dyDescent="0.2">
      <c r="A147" s="9" t="s">
        <v>242</v>
      </c>
      <c r="B147" s="1" t="s">
        <v>243</v>
      </c>
      <c r="C147" s="10">
        <f>IFERROR(VLOOKUP(A147,'Centre DW5'!$A$7:$N$161,3,FALSE),0)+
IFERROR(VLOOKUP(A147,'Centre WP5'!$A$7:$N$160,3,FALSE),0)+
IFERROR(VLOOKUP(A147,'Centre WR5'!$A$7:$N$160,3,FALSE),0)</f>
        <v>0</v>
      </c>
      <c r="D147" s="10">
        <f>IFERROR(VLOOKUP(A147,'Centre DW5'!$A$7:$N$161,4,FALSE),0)+
IFERROR(VLOOKUP(A147,'Centre WP5'!$A$7:$N$160,4,FALSE),0)+
IFERROR(VLOOKUP(A147,'Centre WR5'!$A$7:$N$160,4,FALSE),0)</f>
        <v>0</v>
      </c>
      <c r="E147" s="10">
        <f>IFERROR(VLOOKUP(A147,'Centre DW5'!$A$7:$N$161,5,FALSE),0)+
IFERROR(VLOOKUP(A147,'Centre WP5'!$A$7:$N$160,5,FALSE),0)+
IFERROR(VLOOKUP(A147,'Centre WR5'!$A$7:$N$160,5,FALSE),0)</f>
        <v>0</v>
      </c>
      <c r="F147" s="10">
        <f>IFERROR(VLOOKUP(A147,'Centre DW5'!$A$7:$N$161,6,FALSE),0)+
IFERROR(VLOOKUP(A147,'Centre WP5'!$A$7:$N$160,6,FALSE),0)+
IFERROR(VLOOKUP(A147,'Centre WR5'!$A$7:$N$160,6,FALSE),0)</f>
        <v>0</v>
      </c>
      <c r="G147" s="10">
        <f>IFERROR(VLOOKUP(A147,'Centre DW5'!$A$7:$N$161,7,FALSE),0)+
IFERROR(VLOOKUP(A147,'Centre WP5'!$A$7:$N$160,7,FALSE),0)+
IFERROR(VLOOKUP(A147,'Centre WR5'!$A$7:$N$160,7,FALSE),0)</f>
        <v>0</v>
      </c>
      <c r="H147" s="10">
        <f>IFERROR(VLOOKUP(A147,'Centre DW5'!$A$7:$N$161,8,FALSE),0)+
IFERROR(VLOOKUP(A147,'Centre WP5'!$A$7:$N$160,8,FALSE),0)+
IFERROR(VLOOKUP(A147,'Centre WR5'!$A$7:$N$160,8,FALSE),0)</f>
        <v>0</v>
      </c>
      <c r="I147" s="10">
        <f>IFERROR(VLOOKUP(A147,'Centre DW5'!$A$7:$N$161,9,FALSE),0)+
IFERROR(VLOOKUP(A147,'Centre WP5'!$A$7:$N$160,9,FALSE),0)+
IFERROR(VLOOKUP(A147,'Centre WR5'!$A$7:$N$160,9,FALSE),0)</f>
        <v>0</v>
      </c>
      <c r="J147" s="10">
        <f>IFERROR(VLOOKUP(A147,'Centre DW5'!$A$7:$N$161,10,FALSE),0)+
IFERROR(VLOOKUP(A147,'Centre WP5'!$A$7:$N$160,10,FALSE),0)+
IFERROR(VLOOKUP(A147,'Centre WR5'!$A$7:$N$160,10,FALSE),0)</f>
        <v>0</v>
      </c>
      <c r="K147" s="10">
        <f>IFERROR(VLOOKUP(A147,'Centre DW5'!$A$7:$N$161,11,FALSE),0)+
IFERROR(VLOOKUP(A147,'Centre WP5'!$A$7:$N$160,11,FALSE),0)+
IFERROR(VLOOKUP(A147,'Centre WR5'!$A$7:$N$160,11,FALSE),0)</f>
        <v>0</v>
      </c>
      <c r="L147" s="10">
        <f>IFERROR(VLOOKUP(A147,'Centre DW5'!$A$7:$N$161,12,FALSE),0)+
IFERROR(VLOOKUP(A147,'Centre WP5'!$A$7:$N$160,12,FALSE),0)+
IFERROR(VLOOKUP(A147,'Centre WR5'!$A$7:$N$160,12,FALSE),0)</f>
        <v>0</v>
      </c>
      <c r="M147" s="10">
        <f>IFERROR(VLOOKUP(A147,'Centre DW5'!$A$7:$N$161,13,FALSE),0)+
IFERROR(VLOOKUP(A147,'Centre WP5'!$A$7:$N$160,13,FALSE),0)+
IFERROR(VLOOKUP(A147,'Centre WR5'!$A$7:$N$160,13,FALSE),0)</f>
        <v>0</v>
      </c>
      <c r="N147" s="10">
        <f>IFERROR(VLOOKUP(A147,'Centre DW5'!$A$7:$N$161,14,FALSE),0)+
IFERROR(VLOOKUP(A147,'Centre WP5'!$A$7:$N$160,14,FALSE),0)+
IFERROR(VLOOKUP(A147,'Centre WR5'!$A$7:$N$160,14,FALSE),0)</f>
        <v>0</v>
      </c>
    </row>
    <row r="148" spans="1:14" hidden="1" outlineLevel="1" x14ac:dyDescent="0.2">
      <c r="A148" s="9" t="s">
        <v>359</v>
      </c>
      <c r="B148" s="1" t="s">
        <v>360</v>
      </c>
      <c r="C148" s="10">
        <f>IFERROR(VLOOKUP(A148,'Centre DW5'!$A$7:$N$161,3,FALSE),0)+
IFERROR(VLOOKUP(A148,'Centre WP5'!$A$7:$N$160,3,FALSE),0)+
IFERROR(VLOOKUP(A148,'Centre WR5'!$A$7:$N$160,3,FALSE),0)</f>
        <v>0</v>
      </c>
      <c r="D148" s="10">
        <f>IFERROR(VLOOKUP(A148,'Centre DW5'!$A$7:$N$161,4,FALSE),0)+
IFERROR(VLOOKUP(A148,'Centre WP5'!$A$7:$N$160,4,FALSE),0)+
IFERROR(VLOOKUP(A148,'Centre WR5'!$A$7:$N$160,4,FALSE),0)</f>
        <v>0</v>
      </c>
      <c r="E148" s="10">
        <f>IFERROR(VLOOKUP(A148,'Centre DW5'!$A$7:$N$161,5,FALSE),0)+
IFERROR(VLOOKUP(A148,'Centre WP5'!$A$7:$N$160,5,FALSE),0)+
IFERROR(VLOOKUP(A148,'Centre WR5'!$A$7:$N$160,5,FALSE),0)</f>
        <v>0</v>
      </c>
      <c r="F148" s="10">
        <f>IFERROR(VLOOKUP(A148,'Centre DW5'!$A$7:$N$161,6,FALSE),0)+
IFERROR(VLOOKUP(A148,'Centre WP5'!$A$7:$N$160,6,FALSE),0)+
IFERROR(VLOOKUP(A148,'Centre WR5'!$A$7:$N$160,6,FALSE),0)</f>
        <v>0</v>
      </c>
      <c r="G148" s="10">
        <f>IFERROR(VLOOKUP(A148,'Centre DW5'!$A$7:$N$161,7,FALSE),0)+
IFERROR(VLOOKUP(A148,'Centre WP5'!$A$7:$N$160,7,FALSE),0)+
IFERROR(VLOOKUP(A148,'Centre WR5'!$A$7:$N$160,7,FALSE),0)</f>
        <v>0</v>
      </c>
      <c r="H148" s="10">
        <f>IFERROR(VLOOKUP(A148,'Centre DW5'!$A$7:$N$161,8,FALSE),0)+
IFERROR(VLOOKUP(A148,'Centre WP5'!$A$7:$N$160,8,FALSE),0)+
IFERROR(VLOOKUP(A148,'Centre WR5'!$A$7:$N$160,8,FALSE),0)</f>
        <v>0</v>
      </c>
      <c r="I148" s="10">
        <f>IFERROR(VLOOKUP(A148,'Centre DW5'!$A$7:$N$161,9,FALSE),0)+
IFERROR(VLOOKUP(A148,'Centre WP5'!$A$7:$N$160,9,FALSE),0)+
IFERROR(VLOOKUP(A148,'Centre WR5'!$A$7:$N$160,9,FALSE),0)</f>
        <v>0</v>
      </c>
      <c r="J148" s="10">
        <f>IFERROR(VLOOKUP(A148,'Centre DW5'!$A$7:$N$161,10,FALSE),0)+
IFERROR(VLOOKUP(A148,'Centre WP5'!$A$7:$N$160,10,FALSE),0)+
IFERROR(VLOOKUP(A148,'Centre WR5'!$A$7:$N$160,10,FALSE),0)</f>
        <v>0</v>
      </c>
      <c r="K148" s="10">
        <f>IFERROR(VLOOKUP(A148,'Centre DW5'!$A$7:$N$161,11,FALSE),0)+
IFERROR(VLOOKUP(A148,'Centre WP5'!$A$7:$N$160,11,FALSE),0)+
IFERROR(VLOOKUP(A148,'Centre WR5'!$A$7:$N$160,11,FALSE),0)</f>
        <v>0</v>
      </c>
      <c r="L148" s="10">
        <f>IFERROR(VLOOKUP(A148,'Centre DW5'!$A$7:$N$161,12,FALSE),0)+
IFERROR(VLOOKUP(A148,'Centre WP5'!$A$7:$N$160,12,FALSE),0)+
IFERROR(VLOOKUP(A148,'Centre WR5'!$A$7:$N$160,12,FALSE),0)</f>
        <v>0</v>
      </c>
      <c r="M148" s="10">
        <f>IFERROR(VLOOKUP(A148,'Centre DW5'!$A$7:$N$161,13,FALSE),0)+
IFERROR(VLOOKUP(A148,'Centre WP5'!$A$7:$N$160,13,FALSE),0)+
IFERROR(VLOOKUP(A148,'Centre WR5'!$A$7:$N$160,13,FALSE),0)</f>
        <v>0</v>
      </c>
      <c r="N148" s="10">
        <f>IFERROR(VLOOKUP(A148,'Centre DW5'!$A$7:$N$161,14,FALSE),0)+
IFERROR(VLOOKUP(A148,'Centre WP5'!$A$7:$N$160,14,FALSE),0)+
IFERROR(VLOOKUP(A148,'Centre WR5'!$A$7:$N$160,14,FALSE),0)</f>
        <v>0</v>
      </c>
    </row>
    <row r="149" spans="1:14" hidden="1" outlineLevel="1" x14ac:dyDescent="0.2">
      <c r="A149" s="9" t="s">
        <v>361</v>
      </c>
      <c r="B149" s="1" t="s">
        <v>362</v>
      </c>
      <c r="C149" s="10">
        <f>IFERROR(VLOOKUP(A149,'Centre DW5'!$A$7:$N$161,3,FALSE),0)+
IFERROR(VLOOKUP(A149,'Centre WP5'!$A$7:$N$160,3,FALSE),0)+
IFERROR(VLOOKUP(A149,'Centre WR5'!$A$7:$N$160,3,FALSE),0)</f>
        <v>0</v>
      </c>
      <c r="D149" s="10">
        <f>IFERROR(VLOOKUP(A149,'Centre DW5'!$A$7:$N$161,4,FALSE),0)+
IFERROR(VLOOKUP(A149,'Centre WP5'!$A$7:$N$160,4,FALSE),0)+
IFERROR(VLOOKUP(A149,'Centre WR5'!$A$7:$N$160,4,FALSE),0)</f>
        <v>0</v>
      </c>
      <c r="E149" s="10">
        <f>IFERROR(VLOOKUP(A149,'Centre DW5'!$A$7:$N$161,5,FALSE),0)+
IFERROR(VLOOKUP(A149,'Centre WP5'!$A$7:$N$160,5,FALSE),0)+
IFERROR(VLOOKUP(A149,'Centre WR5'!$A$7:$N$160,5,FALSE),0)</f>
        <v>0</v>
      </c>
      <c r="F149" s="10">
        <f>IFERROR(VLOOKUP(A149,'Centre DW5'!$A$7:$N$161,6,FALSE),0)+
IFERROR(VLOOKUP(A149,'Centre WP5'!$A$7:$N$160,6,FALSE),0)+
IFERROR(VLOOKUP(A149,'Centre WR5'!$A$7:$N$160,6,FALSE),0)</f>
        <v>0</v>
      </c>
      <c r="G149" s="10">
        <f>IFERROR(VLOOKUP(A149,'Centre DW5'!$A$7:$N$161,7,FALSE),0)+
IFERROR(VLOOKUP(A149,'Centre WP5'!$A$7:$N$160,7,FALSE),0)+
IFERROR(VLOOKUP(A149,'Centre WR5'!$A$7:$N$160,7,FALSE),0)</f>
        <v>0</v>
      </c>
      <c r="H149" s="10">
        <f>IFERROR(VLOOKUP(A149,'Centre DW5'!$A$7:$N$161,8,FALSE),0)+
IFERROR(VLOOKUP(A149,'Centre WP5'!$A$7:$N$160,8,FALSE),0)+
IFERROR(VLOOKUP(A149,'Centre WR5'!$A$7:$N$160,8,FALSE),0)</f>
        <v>0</v>
      </c>
      <c r="I149" s="10">
        <f>IFERROR(VLOOKUP(A149,'Centre DW5'!$A$7:$N$161,9,FALSE),0)+
IFERROR(VLOOKUP(A149,'Centre WP5'!$A$7:$N$160,9,FALSE),0)+
IFERROR(VLOOKUP(A149,'Centre WR5'!$A$7:$N$160,9,FALSE),0)</f>
        <v>0</v>
      </c>
      <c r="J149" s="10">
        <f>IFERROR(VLOOKUP(A149,'Centre DW5'!$A$7:$N$161,10,FALSE),0)+
IFERROR(VLOOKUP(A149,'Centre WP5'!$A$7:$N$160,10,FALSE),0)+
IFERROR(VLOOKUP(A149,'Centre WR5'!$A$7:$N$160,10,FALSE),0)</f>
        <v>0</v>
      </c>
      <c r="K149" s="10">
        <f>IFERROR(VLOOKUP(A149,'Centre DW5'!$A$7:$N$161,11,FALSE),0)+
IFERROR(VLOOKUP(A149,'Centre WP5'!$A$7:$N$160,11,FALSE),0)+
IFERROR(VLOOKUP(A149,'Centre WR5'!$A$7:$N$160,11,FALSE),0)</f>
        <v>0</v>
      </c>
      <c r="L149" s="10">
        <f>IFERROR(VLOOKUP(A149,'Centre DW5'!$A$7:$N$161,12,FALSE),0)+
IFERROR(VLOOKUP(A149,'Centre WP5'!$A$7:$N$160,12,FALSE),0)+
IFERROR(VLOOKUP(A149,'Centre WR5'!$A$7:$N$160,12,FALSE),0)</f>
        <v>0</v>
      </c>
      <c r="M149" s="10">
        <f>IFERROR(VLOOKUP(A149,'Centre DW5'!$A$7:$N$161,13,FALSE),0)+
IFERROR(VLOOKUP(A149,'Centre WP5'!$A$7:$N$160,13,FALSE),0)+
IFERROR(VLOOKUP(A149,'Centre WR5'!$A$7:$N$160,13,FALSE),0)</f>
        <v>0</v>
      </c>
      <c r="N149" s="10">
        <f>IFERROR(VLOOKUP(A149,'Centre DW5'!$A$7:$N$161,14,FALSE),0)+
IFERROR(VLOOKUP(A149,'Centre WP5'!$A$7:$N$160,14,FALSE),0)+
IFERROR(VLOOKUP(A149,'Centre WR5'!$A$7:$N$160,14,FALSE),0)</f>
        <v>0</v>
      </c>
    </row>
    <row r="150" spans="1:14" collapsed="1" x14ac:dyDescent="0.2">
      <c r="A150" s="33" t="s">
        <v>244</v>
      </c>
      <c r="B150" s="34" t="s">
        <v>245</v>
      </c>
      <c r="C150" s="44">
        <f>IFERROR(VLOOKUP(A150,'Centre DW5'!$A$7:$N$161,3,FALSE),0)+
IFERROR(VLOOKUP(A150,'Centre WP5'!$A$7:$N$160,3,FALSE),0)+
IFERROR(VLOOKUP(A150,'Centre WR5'!$A$7:$N$160,3,FALSE),0)</f>
        <v>0</v>
      </c>
      <c r="D150" s="44">
        <f>IFERROR(VLOOKUP(A150,'Centre DW5'!$A$7:$N$161,4,FALSE),0)+
IFERROR(VLOOKUP(A150,'Centre WP5'!$A$7:$N$160,4,FALSE),0)+
IFERROR(VLOOKUP(A150,'Centre WR5'!$A$7:$N$160,4,FALSE),0)</f>
        <v>0</v>
      </c>
      <c r="E150" s="44">
        <f>IFERROR(VLOOKUP(A150,'Centre DW5'!$A$7:$N$161,5,FALSE),0)+
IFERROR(VLOOKUP(A150,'Centre WP5'!$A$7:$N$160,5,FALSE),0)+
IFERROR(VLOOKUP(A150,'Centre WR5'!$A$7:$N$160,5,FALSE),0)</f>
        <v>0</v>
      </c>
      <c r="F150" s="44">
        <f>IFERROR(VLOOKUP(A150,'Centre DW5'!$A$7:$N$161,6,FALSE),0)+
IFERROR(VLOOKUP(A150,'Centre WP5'!$A$7:$N$160,6,FALSE),0)+
IFERROR(VLOOKUP(A150,'Centre WR5'!$A$7:$N$160,6,FALSE),0)</f>
        <v>0</v>
      </c>
      <c r="G150" s="44">
        <f>IFERROR(VLOOKUP(A150,'Centre DW5'!$A$7:$N$161,7,FALSE),0)+
IFERROR(VLOOKUP(A150,'Centre WP5'!$A$7:$N$160,7,FALSE),0)+
IFERROR(VLOOKUP(A150,'Centre WR5'!$A$7:$N$160,7,FALSE),0)</f>
        <v>0</v>
      </c>
      <c r="H150" s="44">
        <f>IFERROR(VLOOKUP(A150,'Centre DW5'!$A$7:$N$161,8,FALSE),0)+
IFERROR(VLOOKUP(A150,'Centre WP5'!$A$7:$N$160,8,FALSE),0)+
IFERROR(VLOOKUP(A150,'Centre WR5'!$A$7:$N$160,8,FALSE),0)</f>
        <v>0</v>
      </c>
      <c r="I150" s="44">
        <f>IFERROR(VLOOKUP(A150,'Centre DW5'!$A$7:$N$161,9,FALSE),0)+
IFERROR(VLOOKUP(A150,'Centre WP5'!$A$7:$N$160,9,FALSE),0)+
IFERROR(VLOOKUP(A150,'Centre WR5'!$A$7:$N$160,9,FALSE),0)</f>
        <v>0</v>
      </c>
      <c r="J150" s="44">
        <f>IFERROR(VLOOKUP(A150,'Centre DW5'!$A$7:$N$161,10,FALSE),0)+
IFERROR(VLOOKUP(A150,'Centre WP5'!$A$7:$N$160,10,FALSE),0)+
IFERROR(VLOOKUP(A150,'Centre WR5'!$A$7:$N$160,10,FALSE),0)</f>
        <v>0</v>
      </c>
      <c r="K150" s="44">
        <f>IFERROR(VLOOKUP(A150,'Centre DW5'!$A$7:$N$161,11,FALSE),0)+
IFERROR(VLOOKUP(A150,'Centre WP5'!$A$7:$N$160,11,FALSE),0)+
IFERROR(VLOOKUP(A150,'Centre WR5'!$A$7:$N$160,11,FALSE),0)</f>
        <v>0</v>
      </c>
      <c r="L150" s="44">
        <f>IFERROR(VLOOKUP(A150,'Centre DW5'!$A$7:$N$161,12,FALSE),0)+
IFERROR(VLOOKUP(A150,'Centre WP5'!$A$7:$N$160,12,FALSE),0)+
IFERROR(VLOOKUP(A150,'Centre WR5'!$A$7:$N$160,12,FALSE),0)</f>
        <v>0</v>
      </c>
      <c r="M150" s="44">
        <f>IFERROR(VLOOKUP(A150,'Centre DW5'!$A$7:$N$161,13,FALSE),0)+
IFERROR(VLOOKUP(A150,'Centre WP5'!$A$7:$N$160,13,FALSE),0)+
IFERROR(VLOOKUP(A150,'Centre WR5'!$A$7:$N$160,13,FALSE),0)</f>
        <v>0</v>
      </c>
      <c r="N150" s="44">
        <f>IFERROR(VLOOKUP(A150,'Centre DW5'!$A$7:$N$161,14,FALSE),0)+
IFERROR(VLOOKUP(A150,'Centre WP5'!$A$7:$N$160,14,FALSE),0)+
IFERROR(VLOOKUP(A150,'Centre WR5'!$A$7:$N$160,14,FALSE),0)</f>
        <v>0</v>
      </c>
    </row>
    <row r="151" spans="1:14" x14ac:dyDescent="0.2">
      <c r="A151" s="12"/>
      <c r="B151" s="31" t="s">
        <v>246</v>
      </c>
      <c r="C151" s="32">
        <f t="shared" ref="C151:I151" si="47">+C144-(C145+C150)</f>
        <v>120.00000000000001</v>
      </c>
      <c r="D151" s="32">
        <f t="shared" si="47"/>
        <v>-20.500000000000036</v>
      </c>
      <c r="E151" s="32">
        <f t="shared" si="47"/>
        <v>66.900000000000134</v>
      </c>
      <c r="F151" s="32">
        <f t="shared" si="47"/>
        <v>88.499999999999972</v>
      </c>
      <c r="G151" s="32">
        <f t="shared" si="47"/>
        <v>-2.6999999999998519</v>
      </c>
      <c r="H151" s="32">
        <f t="shared" si="47"/>
        <v>48.299999999999983</v>
      </c>
      <c r="I151" s="32">
        <f t="shared" si="47"/>
        <v>-14.700000000000035</v>
      </c>
      <c r="J151" s="32">
        <f>+J144-(J145+J150)</f>
        <v>33.200000000000038</v>
      </c>
      <c r="K151" s="32">
        <f t="shared" ref="K151:N151" si="48">+K144-(K145+K150)</f>
        <v>81.899999999999878</v>
      </c>
      <c r="L151" s="32">
        <f t="shared" si="48"/>
        <v>35.200000000000031</v>
      </c>
      <c r="M151" s="32">
        <f t="shared" si="48"/>
        <v>27.100000000000048</v>
      </c>
      <c r="N151" s="32">
        <f t="shared" si="48"/>
        <v>-47.199999999999996</v>
      </c>
    </row>
    <row r="152" spans="1:14" x14ac:dyDescent="0.2">
      <c r="A152" s="2"/>
      <c r="B152" s="2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2">
      <c r="A153" s="12"/>
      <c r="B153" s="12" t="s">
        <v>247</v>
      </c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</row>
    <row r="154" spans="1:14" x14ac:dyDescent="0.2">
      <c r="A154" s="9" t="s">
        <v>248</v>
      </c>
      <c r="B154" s="1" t="s">
        <v>249</v>
      </c>
      <c r="C154" s="15">
        <v>54</v>
      </c>
      <c r="D154" s="15">
        <v>49</v>
      </c>
      <c r="E154" s="15">
        <v>48</v>
      </c>
      <c r="F154" s="15">
        <v>49</v>
      </c>
      <c r="G154" s="15">
        <v>47</v>
      </c>
      <c r="H154" s="15">
        <v>47</v>
      </c>
      <c r="I154" s="15">
        <v>48</v>
      </c>
      <c r="J154" s="15">
        <v>49</v>
      </c>
      <c r="K154" s="15">
        <v>47</v>
      </c>
      <c r="L154" s="15">
        <v>47</v>
      </c>
      <c r="M154" s="15">
        <v>47</v>
      </c>
      <c r="N154" s="15">
        <v>47</v>
      </c>
    </row>
    <row r="155" spans="1:14" hidden="1" outlineLevel="1" x14ac:dyDescent="0.2">
      <c r="A155" s="9" t="s">
        <v>250</v>
      </c>
      <c r="B155" s="1" t="s">
        <v>251</v>
      </c>
      <c r="C155" s="15">
        <v>54</v>
      </c>
      <c r="D155" s="15">
        <v>49</v>
      </c>
      <c r="E155" s="15">
        <v>48</v>
      </c>
      <c r="F155" s="15">
        <v>49</v>
      </c>
      <c r="G155" s="15">
        <v>47</v>
      </c>
      <c r="H155" s="15">
        <v>47</v>
      </c>
      <c r="I155" s="15">
        <v>48</v>
      </c>
      <c r="J155" s="15">
        <v>49</v>
      </c>
      <c r="K155" s="15">
        <v>47</v>
      </c>
      <c r="L155" s="15">
        <v>47</v>
      </c>
      <c r="M155" s="15">
        <v>47</v>
      </c>
      <c r="N155" s="15">
        <v>47</v>
      </c>
    </row>
    <row r="156" spans="1:14" collapsed="1" x14ac:dyDescent="0.2">
      <c r="A156" s="9" t="s">
        <v>252</v>
      </c>
      <c r="B156" s="1" t="s">
        <v>253</v>
      </c>
      <c r="C156" s="15">
        <v>146.9</v>
      </c>
      <c r="D156" s="15">
        <v>144.9</v>
      </c>
      <c r="E156" s="15">
        <v>150.5</v>
      </c>
      <c r="F156" s="15">
        <v>143.4</v>
      </c>
      <c r="G156" s="15">
        <v>136.30000000000001</v>
      </c>
      <c r="H156" s="15">
        <v>135.30000000000001</v>
      </c>
      <c r="I156" s="15">
        <v>150.5</v>
      </c>
      <c r="J156" s="15">
        <v>143.4</v>
      </c>
      <c r="K156" s="15">
        <v>136.30000000000001</v>
      </c>
      <c r="L156" s="15">
        <v>135.30000000000001</v>
      </c>
      <c r="M156" s="15">
        <v>133</v>
      </c>
      <c r="N156" s="15">
        <v>141.5</v>
      </c>
    </row>
    <row r="157" spans="1:14" hidden="1" outlineLevel="1" x14ac:dyDescent="0.2">
      <c r="A157" s="9" t="s">
        <v>254</v>
      </c>
      <c r="B157" s="1" t="s">
        <v>255</v>
      </c>
      <c r="C157" s="15">
        <v>146.9</v>
      </c>
      <c r="D157" s="15">
        <v>144.9</v>
      </c>
      <c r="E157" s="15">
        <v>150.5</v>
      </c>
      <c r="F157" s="15">
        <v>143.4</v>
      </c>
      <c r="G157" s="15">
        <v>136.30000000000001</v>
      </c>
      <c r="H157" s="15">
        <v>135.30000000000001</v>
      </c>
      <c r="I157" s="15">
        <v>150.5</v>
      </c>
      <c r="J157" s="15">
        <v>143.4</v>
      </c>
      <c r="K157" s="15">
        <v>136.30000000000001</v>
      </c>
      <c r="L157" s="15">
        <v>135.30000000000001</v>
      </c>
      <c r="M157" s="15">
        <v>133</v>
      </c>
      <c r="N157" s="15">
        <v>141.5</v>
      </c>
    </row>
    <row r="158" spans="1:14" collapsed="1" x14ac:dyDescent="0.2">
      <c r="A158" s="9" t="s">
        <v>256</v>
      </c>
      <c r="B158" s="1" t="s">
        <v>257</v>
      </c>
      <c r="C158" s="15">
        <v>2.7</v>
      </c>
      <c r="D158" s="15">
        <v>2.6</v>
      </c>
      <c r="E158" s="15">
        <v>2.6</v>
      </c>
      <c r="F158" s="15">
        <v>2.6</v>
      </c>
      <c r="G158" s="15">
        <v>2.6</v>
      </c>
      <c r="H158" s="15">
        <v>2.6</v>
      </c>
      <c r="I158" s="15">
        <v>2.6</v>
      </c>
      <c r="J158" s="15">
        <v>2.6</v>
      </c>
      <c r="K158" s="15">
        <v>2.6</v>
      </c>
      <c r="L158" s="15">
        <v>2.6</v>
      </c>
      <c r="M158" s="15">
        <v>2.2999999999999998</v>
      </c>
      <c r="N158" s="15">
        <v>2.6</v>
      </c>
    </row>
    <row r="159" spans="1:14" hidden="1" outlineLevel="1" x14ac:dyDescent="0.2">
      <c r="A159" s="9" t="s">
        <v>258</v>
      </c>
      <c r="B159" s="1" t="s">
        <v>259</v>
      </c>
      <c r="C159" s="15">
        <v>2.7</v>
      </c>
      <c r="D159" s="15">
        <v>2.6</v>
      </c>
      <c r="E159" s="15">
        <v>2.6</v>
      </c>
      <c r="F159" s="15">
        <v>2.6</v>
      </c>
      <c r="G159" s="15">
        <v>2.6</v>
      </c>
      <c r="H159" s="15">
        <v>2.6</v>
      </c>
      <c r="I159" s="15">
        <v>2.6</v>
      </c>
      <c r="J159" s="15">
        <v>2.6</v>
      </c>
      <c r="K159" s="15">
        <v>2.6</v>
      </c>
      <c r="L159" s="15">
        <v>2.6</v>
      </c>
      <c r="M159" s="15">
        <v>2.2999999999999998</v>
      </c>
      <c r="N159" s="15">
        <v>2.6</v>
      </c>
    </row>
    <row r="160" spans="1:14" hidden="1" outlineLevel="1" x14ac:dyDescent="0.2">
      <c r="A160" s="9" t="s">
        <v>363</v>
      </c>
      <c r="B160" s="1" t="s">
        <v>259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collapsed="1" x14ac:dyDescent="0.2">
      <c r="A161" s="9" t="s">
        <v>260</v>
      </c>
      <c r="B161" s="1" t="s">
        <v>261</v>
      </c>
      <c r="C161" s="15">
        <v>51.1</v>
      </c>
      <c r="D161" s="15">
        <v>45.1</v>
      </c>
      <c r="E161" s="15">
        <v>44.7</v>
      </c>
      <c r="F161" s="15">
        <v>45.7</v>
      </c>
      <c r="G161" s="15">
        <v>43.7</v>
      </c>
      <c r="H161" s="15">
        <v>43.7</v>
      </c>
      <c r="I161" s="15">
        <v>44.7</v>
      </c>
      <c r="J161" s="15">
        <v>45.7</v>
      </c>
      <c r="K161" s="15">
        <v>43.7</v>
      </c>
      <c r="L161" s="15">
        <v>43.7</v>
      </c>
      <c r="M161" s="15">
        <v>43.7</v>
      </c>
      <c r="N161" s="15">
        <v>45.4</v>
      </c>
    </row>
    <row r="162" spans="1:14" hidden="1" outlineLevel="1" x14ac:dyDescent="0.2">
      <c r="A162" s="9" t="s">
        <v>262</v>
      </c>
      <c r="B162" s="1" t="s">
        <v>263</v>
      </c>
      <c r="C162" s="15">
        <v>51.1</v>
      </c>
      <c r="D162" s="15">
        <v>45.1</v>
      </c>
      <c r="E162" s="15">
        <v>44.7</v>
      </c>
      <c r="F162" s="15">
        <v>45.7</v>
      </c>
      <c r="G162" s="15">
        <v>43.7</v>
      </c>
      <c r="H162" s="15">
        <v>43.7</v>
      </c>
      <c r="I162" s="15">
        <v>44.7</v>
      </c>
      <c r="J162" s="15">
        <v>45.7</v>
      </c>
      <c r="K162" s="15">
        <v>43.7</v>
      </c>
      <c r="L162" s="15">
        <v>43.7</v>
      </c>
      <c r="M162" s="15">
        <v>43.7</v>
      </c>
      <c r="N162" s="15">
        <v>45.4</v>
      </c>
    </row>
    <row r="163" spans="1:14" hidden="1" outlineLevel="1" x14ac:dyDescent="0.2">
      <c r="A163" s="9" t="s">
        <v>364</v>
      </c>
      <c r="B163" s="1" t="s">
        <v>263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collapsed="1" x14ac:dyDescent="0.2">
      <c r="A164" s="9" t="s">
        <v>264</v>
      </c>
      <c r="B164" s="1" t="s">
        <v>265</v>
      </c>
      <c r="C164" s="15">
        <v>93.1</v>
      </c>
      <c r="D164" s="15">
        <v>97.2</v>
      </c>
      <c r="E164" s="15">
        <v>103.1</v>
      </c>
      <c r="F164" s="15">
        <v>95</v>
      </c>
      <c r="G164" s="15">
        <v>90</v>
      </c>
      <c r="H164" s="15">
        <v>89</v>
      </c>
      <c r="I164" s="15">
        <v>103.1</v>
      </c>
      <c r="J164" s="15">
        <v>95</v>
      </c>
      <c r="K164" s="15">
        <v>90</v>
      </c>
      <c r="L164" s="15">
        <v>89</v>
      </c>
      <c r="M164" s="15">
        <v>87</v>
      </c>
      <c r="N164" s="15">
        <v>93.5</v>
      </c>
    </row>
    <row r="165" spans="1:14" hidden="1" outlineLevel="1" x14ac:dyDescent="0.2">
      <c r="A165" s="9" t="s">
        <v>266</v>
      </c>
      <c r="B165" s="1" t="s">
        <v>267</v>
      </c>
      <c r="C165" s="15">
        <v>93.1</v>
      </c>
      <c r="D165" s="15">
        <v>97.2</v>
      </c>
      <c r="E165" s="15">
        <v>103.1</v>
      </c>
      <c r="F165" s="15">
        <v>95</v>
      </c>
      <c r="G165" s="15">
        <v>90</v>
      </c>
      <c r="H165" s="15">
        <v>89</v>
      </c>
      <c r="I165" s="15">
        <v>103.1</v>
      </c>
      <c r="J165" s="15">
        <v>95</v>
      </c>
      <c r="K165" s="15">
        <v>90</v>
      </c>
      <c r="L165" s="15">
        <v>89</v>
      </c>
      <c r="M165" s="15">
        <v>87</v>
      </c>
      <c r="N165" s="15">
        <v>93.5</v>
      </c>
    </row>
    <row r="166" spans="1:14" hidden="1" outlineLevel="1" x14ac:dyDescent="0.2">
      <c r="A166" s="9" t="s">
        <v>365</v>
      </c>
      <c r="B166" s="1" t="s">
        <v>366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collapsed="1" x14ac:dyDescent="0.2">
      <c r="A167" s="9" t="s">
        <v>268</v>
      </c>
      <c r="B167" s="1" t="s">
        <v>269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">
      <c r="A168" s="9" t="s">
        <v>270</v>
      </c>
      <c r="B168" s="1" t="s">
        <v>271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">
      <c r="A169" s="9" t="s">
        <v>272</v>
      </c>
      <c r="B169" s="1" t="s">
        <v>273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/>
    </row>
    <row r="170" spans="1:14" x14ac:dyDescent="0.2">
      <c r="A170" s="9" t="s">
        <v>274</v>
      </c>
      <c r="B170" s="1" t="s">
        <v>275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/>
    </row>
    <row r="171" spans="1:14" x14ac:dyDescent="0.2">
      <c r="A171" s="9" t="s">
        <v>276</v>
      </c>
      <c r="B171" s="1" t="s">
        <v>277</v>
      </c>
      <c r="C171" s="19">
        <v>5908</v>
      </c>
      <c r="D171" s="19">
        <v>5908</v>
      </c>
      <c r="E171" s="19">
        <v>5908</v>
      </c>
      <c r="F171" s="19">
        <v>5908</v>
      </c>
      <c r="G171" s="19">
        <v>5908</v>
      </c>
      <c r="H171" s="19">
        <v>5908</v>
      </c>
      <c r="I171" s="19">
        <v>5908</v>
      </c>
      <c r="J171" s="19">
        <v>5908</v>
      </c>
      <c r="K171" s="19">
        <v>5908</v>
      </c>
      <c r="L171" s="19">
        <v>5908</v>
      </c>
      <c r="M171" s="19">
        <v>5908</v>
      </c>
      <c r="N171" s="19">
        <v>5908</v>
      </c>
    </row>
    <row r="172" spans="1:14" hidden="1" outlineLevel="1" x14ac:dyDescent="0.2">
      <c r="A172" s="9" t="s">
        <v>278</v>
      </c>
      <c r="B172" s="1" t="s">
        <v>279</v>
      </c>
      <c r="C172" s="19">
        <v>5908</v>
      </c>
      <c r="D172" s="19">
        <v>5908</v>
      </c>
      <c r="E172" s="19">
        <v>5908</v>
      </c>
      <c r="F172" s="19">
        <v>5908</v>
      </c>
      <c r="G172" s="19">
        <v>5908</v>
      </c>
      <c r="H172" s="19">
        <v>5908</v>
      </c>
      <c r="I172" s="19">
        <v>5908</v>
      </c>
      <c r="J172" s="19">
        <v>5908</v>
      </c>
      <c r="K172" s="19">
        <v>5908</v>
      </c>
      <c r="L172" s="19">
        <v>5908</v>
      </c>
      <c r="M172" s="19">
        <v>5908</v>
      </c>
      <c r="N172" s="19">
        <v>5908</v>
      </c>
    </row>
    <row r="173" spans="1:14" collapsed="1" x14ac:dyDescent="0.2">
      <c r="A173" s="9" t="s">
        <v>280</v>
      </c>
      <c r="B173" s="1" t="s">
        <v>281</v>
      </c>
      <c r="C173" s="19">
        <v>5908</v>
      </c>
      <c r="D173" s="19">
        <v>5908</v>
      </c>
      <c r="E173" s="19">
        <v>5908</v>
      </c>
      <c r="F173" s="19">
        <v>5908</v>
      </c>
      <c r="G173" s="19">
        <v>5908</v>
      </c>
      <c r="H173" s="19">
        <v>5908</v>
      </c>
      <c r="I173" s="19">
        <v>5908</v>
      </c>
      <c r="J173" s="19">
        <v>5908</v>
      </c>
      <c r="K173" s="19">
        <v>5908</v>
      </c>
      <c r="L173" s="19">
        <v>5908</v>
      </c>
      <c r="M173" s="19">
        <v>5908</v>
      </c>
      <c r="N173" s="19">
        <v>5908</v>
      </c>
    </row>
    <row r="174" spans="1:14" hidden="1" outlineLevel="1" x14ac:dyDescent="0.2">
      <c r="A174" s="9" t="s">
        <v>282</v>
      </c>
      <c r="B174" s="1" t="s">
        <v>283</v>
      </c>
      <c r="C174" s="19">
        <v>5908</v>
      </c>
      <c r="D174" s="19">
        <v>5908</v>
      </c>
      <c r="E174" s="19">
        <v>5908</v>
      </c>
      <c r="F174" s="19">
        <v>5908</v>
      </c>
      <c r="G174" s="19">
        <v>5908</v>
      </c>
      <c r="H174" s="19">
        <v>5908</v>
      </c>
      <c r="I174" s="19">
        <v>5908</v>
      </c>
      <c r="J174" s="19">
        <v>5908</v>
      </c>
      <c r="K174" s="19">
        <v>5908</v>
      </c>
      <c r="L174" s="19">
        <v>5908</v>
      </c>
      <c r="M174" s="19">
        <v>5908</v>
      </c>
      <c r="N174" s="19">
        <v>5908</v>
      </c>
    </row>
    <row r="175" spans="1:14" collapsed="1" x14ac:dyDescent="0.2">
      <c r="A175" s="9" t="s">
        <v>284</v>
      </c>
      <c r="B175" s="1" t="s">
        <v>285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">
      <c r="A176" s="9" t="s">
        <v>288</v>
      </c>
      <c r="B176" s="1" t="s">
        <v>289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/>
    </row>
    <row r="177" spans="1:14" x14ac:dyDescent="0.2">
      <c r="A177" s="3"/>
      <c r="B177" s="3" t="s">
        <v>290</v>
      </c>
      <c r="C177" s="17">
        <v>4.9000000000000004</v>
      </c>
      <c r="D177" s="17">
        <v>4</v>
      </c>
      <c r="E177" s="17">
        <v>4.2</v>
      </c>
      <c r="F177" s="17">
        <v>5.2</v>
      </c>
      <c r="G177" s="17">
        <v>4.8</v>
      </c>
      <c r="H177" s="17">
        <v>4.8</v>
      </c>
      <c r="I177" s="17">
        <v>4.2</v>
      </c>
      <c r="J177" s="17">
        <v>5.2</v>
      </c>
      <c r="K177" s="17">
        <v>4.8</v>
      </c>
      <c r="L177" s="17">
        <v>4.8</v>
      </c>
      <c r="M177" s="17">
        <v>4.8</v>
      </c>
      <c r="N177" s="17">
        <v>0</v>
      </c>
    </row>
    <row r="178" spans="1:14" x14ac:dyDescent="0.2">
      <c r="A178" s="3"/>
      <c r="B178" s="3" t="s">
        <v>291</v>
      </c>
      <c r="C178" s="17" t="s">
        <v>292</v>
      </c>
      <c r="D178" s="17" t="s">
        <v>292</v>
      </c>
      <c r="E178" s="17" t="s">
        <v>292</v>
      </c>
      <c r="F178" s="17" t="s">
        <v>292</v>
      </c>
      <c r="G178" s="17" t="s">
        <v>292</v>
      </c>
      <c r="H178" s="17" t="s">
        <v>292</v>
      </c>
      <c r="I178" s="17" t="s">
        <v>292</v>
      </c>
      <c r="J178" s="17" t="s">
        <v>292</v>
      </c>
      <c r="K178" s="17" t="s">
        <v>292</v>
      </c>
      <c r="L178" s="17" t="s">
        <v>292</v>
      </c>
      <c r="M178" s="17" t="s">
        <v>292</v>
      </c>
      <c r="N178" s="17"/>
    </row>
    <row r="179" spans="1:14" x14ac:dyDescent="0.2">
      <c r="A179" s="3"/>
      <c r="B179" s="3" t="s">
        <v>293</v>
      </c>
      <c r="C179" s="17" t="s">
        <v>292</v>
      </c>
      <c r="D179" s="17" t="s">
        <v>292</v>
      </c>
      <c r="E179" s="17" t="s">
        <v>292</v>
      </c>
      <c r="F179" s="17" t="s">
        <v>292</v>
      </c>
      <c r="G179" s="17" t="s">
        <v>292</v>
      </c>
      <c r="H179" s="17" t="s">
        <v>292</v>
      </c>
      <c r="I179" s="17" t="s">
        <v>292</v>
      </c>
      <c r="J179" s="17" t="s">
        <v>292</v>
      </c>
      <c r="K179" s="17" t="s">
        <v>292</v>
      </c>
      <c r="L179" s="17" t="s">
        <v>292</v>
      </c>
      <c r="M179" s="17" t="s">
        <v>292</v>
      </c>
      <c r="N179" s="17"/>
    </row>
    <row r="180" spans="1:14" x14ac:dyDescent="0.2">
      <c r="A180" s="3"/>
      <c r="B180" s="3" t="s">
        <v>294</v>
      </c>
      <c r="C180" s="17">
        <v>0</v>
      </c>
      <c r="D180" s="17">
        <v>0</v>
      </c>
      <c r="E180" s="17">
        <v>0</v>
      </c>
      <c r="F180" s="17">
        <v>0</v>
      </c>
      <c r="G180" s="17">
        <v>0</v>
      </c>
      <c r="H180" s="17">
        <v>0</v>
      </c>
      <c r="I180" s="17">
        <v>0</v>
      </c>
      <c r="J180" s="17">
        <v>0</v>
      </c>
      <c r="K180" s="17">
        <v>0</v>
      </c>
      <c r="L180" s="17">
        <v>0</v>
      </c>
      <c r="M180" s="17">
        <v>0</v>
      </c>
      <c r="N180" s="17">
        <v>0</v>
      </c>
    </row>
    <row r="181" spans="1:14" x14ac:dyDescent="0.2">
      <c r="A181" s="12"/>
      <c r="B181" s="12" t="s">
        <v>295</v>
      </c>
      <c r="C181" s="16" t="s">
        <v>292</v>
      </c>
      <c r="D181" s="16" t="s">
        <v>292</v>
      </c>
      <c r="E181" s="16" t="s">
        <v>292</v>
      </c>
      <c r="F181" s="16" t="s">
        <v>292</v>
      </c>
      <c r="G181" s="16" t="s">
        <v>292</v>
      </c>
      <c r="H181" s="16" t="s">
        <v>292</v>
      </c>
      <c r="I181" s="16" t="s">
        <v>292</v>
      </c>
      <c r="J181" s="16" t="s">
        <v>292</v>
      </c>
      <c r="K181" s="16" t="s">
        <v>292</v>
      </c>
      <c r="L181" s="16" t="s">
        <v>292</v>
      </c>
      <c r="M181" s="16" t="s">
        <v>292</v>
      </c>
      <c r="N181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F960-B28D-4EF4-9815-596A1618C5D5}">
  <sheetPr codeName="Hoja40">
    <tabColor rgb="FF00B050"/>
  </sheetPr>
  <dimension ref="A1:N74"/>
  <sheetViews>
    <sheetView zoomScale="55" zoomScaleNormal="55" workbookViewId="0">
      <pane ySplit="6" topLeftCell="A34" activePane="bottomLeft" state="frozen"/>
      <selection activeCell="I54" sqref="I54"/>
      <selection pane="bottomLeft" activeCell="D59" sqref="D59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367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f>+C8</f>
        <v>3</v>
      </c>
      <c r="D7" s="10">
        <f t="shared" ref="D7:N7" si="0">+D8</f>
        <v>3</v>
      </c>
      <c r="E7" s="10">
        <f t="shared" si="0"/>
        <v>6</v>
      </c>
      <c r="F7" s="10">
        <f t="shared" si="0"/>
        <v>3</v>
      </c>
      <c r="G7" s="10">
        <f t="shared" si="0"/>
        <v>4</v>
      </c>
      <c r="H7" s="10">
        <f t="shared" si="0"/>
        <v>2</v>
      </c>
      <c r="I7" s="10">
        <f t="shared" si="0"/>
        <v>5</v>
      </c>
      <c r="J7" s="10">
        <f t="shared" si="0"/>
        <v>6</v>
      </c>
      <c r="K7" s="10">
        <f t="shared" si="0"/>
        <v>5</v>
      </c>
      <c r="L7" s="10">
        <f t="shared" si="0"/>
        <v>8</v>
      </c>
      <c r="M7" s="10">
        <f t="shared" si="0"/>
        <v>4</v>
      </c>
      <c r="N7" s="10">
        <f t="shared" si="0"/>
        <v>5</v>
      </c>
    </row>
    <row r="8" spans="1:14" x14ac:dyDescent="0.2">
      <c r="A8" s="9" t="s">
        <v>33</v>
      </c>
      <c r="B8" s="1" t="s">
        <v>34</v>
      </c>
      <c r="C8" s="10">
        <v>3</v>
      </c>
      <c r="D8" s="10">
        <v>3</v>
      </c>
      <c r="E8" s="10">
        <v>6</v>
      </c>
      <c r="F8" s="10">
        <v>3</v>
      </c>
      <c r="G8" s="10">
        <v>4</v>
      </c>
      <c r="H8" s="10">
        <v>2</v>
      </c>
      <c r="I8" s="10">
        <v>5</v>
      </c>
      <c r="J8" s="10">
        <v>6</v>
      </c>
      <c r="K8" s="10">
        <v>5</v>
      </c>
      <c r="L8" s="10">
        <v>8</v>
      </c>
      <c r="M8" s="10">
        <v>4</v>
      </c>
      <c r="N8" s="10">
        <v>5</v>
      </c>
    </row>
    <row r="9" spans="1:14" x14ac:dyDescent="0.2">
      <c r="A9" s="9" t="s">
        <v>37</v>
      </c>
      <c r="B9" s="1" t="s">
        <v>38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">
      <c r="A10" s="9" t="s">
        <v>39</v>
      </c>
      <c r="B10" s="1" t="s">
        <v>40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x14ac:dyDescent="0.2">
      <c r="A11" s="9" t="s">
        <v>41</v>
      </c>
      <c r="B11" s="1" t="s">
        <v>42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9" t="s">
        <v>45</v>
      </c>
      <c r="B12" s="1" t="s">
        <v>46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</row>
    <row r="13" spans="1:14" x14ac:dyDescent="0.2">
      <c r="A13" s="12"/>
      <c r="B13" s="12" t="s">
        <v>47</v>
      </c>
      <c r="C13" s="24">
        <f t="shared" ref="C13:N13" si="1">+C7+C9+C10+C11+C12</f>
        <v>3</v>
      </c>
      <c r="D13" s="24">
        <f t="shared" si="1"/>
        <v>3</v>
      </c>
      <c r="E13" s="24">
        <f t="shared" si="1"/>
        <v>6</v>
      </c>
      <c r="F13" s="24">
        <f t="shared" si="1"/>
        <v>3</v>
      </c>
      <c r="G13" s="24">
        <f t="shared" si="1"/>
        <v>4</v>
      </c>
      <c r="H13" s="24">
        <f t="shared" si="1"/>
        <v>2</v>
      </c>
      <c r="I13" s="24">
        <f t="shared" si="1"/>
        <v>5</v>
      </c>
      <c r="J13" s="24">
        <f t="shared" si="1"/>
        <v>6</v>
      </c>
      <c r="K13" s="24">
        <f t="shared" si="1"/>
        <v>5</v>
      </c>
      <c r="L13" s="24">
        <f t="shared" si="1"/>
        <v>8</v>
      </c>
      <c r="M13" s="24">
        <f t="shared" si="1"/>
        <v>4</v>
      </c>
      <c r="N13" s="24">
        <f t="shared" si="1"/>
        <v>5</v>
      </c>
    </row>
    <row r="14" spans="1:14" x14ac:dyDescent="0.2">
      <c r="A14" s="9" t="s">
        <v>48</v>
      </c>
      <c r="B14" s="1" t="s">
        <v>49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x14ac:dyDescent="0.2">
      <c r="A15" s="9" t="s">
        <v>60</v>
      </c>
      <c r="B15" s="1" t="s">
        <v>61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x14ac:dyDescent="0.2">
      <c r="A16" s="9" t="s">
        <v>62</v>
      </c>
      <c r="B16" s="1" t="s">
        <v>63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</row>
    <row r="17" spans="1:14" x14ac:dyDescent="0.2">
      <c r="A17" s="9" t="s">
        <v>64</v>
      </c>
      <c r="B17" s="1" t="s">
        <v>65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9" t="s">
        <v>68</v>
      </c>
      <c r="B18" s="1" t="s">
        <v>69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x14ac:dyDescent="0.2">
      <c r="A19" s="3"/>
      <c r="B19" s="3" t="s">
        <v>72</v>
      </c>
      <c r="C19" s="24">
        <f t="shared" ref="C19:I19" si="2">+C14+C15+C16+C17+C18</f>
        <v>0</v>
      </c>
      <c r="D19" s="24">
        <f t="shared" si="2"/>
        <v>0</v>
      </c>
      <c r="E19" s="24">
        <f t="shared" si="2"/>
        <v>0</v>
      </c>
      <c r="F19" s="24">
        <f t="shared" si="2"/>
        <v>0</v>
      </c>
      <c r="G19" s="24">
        <f t="shared" si="2"/>
        <v>0</v>
      </c>
      <c r="H19" s="24">
        <f t="shared" si="2"/>
        <v>0</v>
      </c>
      <c r="I19" s="24">
        <f t="shared" si="2"/>
        <v>0</v>
      </c>
      <c r="J19" s="24">
        <f>+J14+J15+J16+J17+J18</f>
        <v>0</v>
      </c>
      <c r="K19" s="24">
        <f t="shared" ref="K19:N19" si="3">+K14+K15+K16+K17+K18</f>
        <v>0</v>
      </c>
      <c r="L19" s="24">
        <f t="shared" si="3"/>
        <v>0</v>
      </c>
      <c r="M19" s="24">
        <f t="shared" si="3"/>
        <v>0</v>
      </c>
      <c r="N19" s="24">
        <f t="shared" si="3"/>
        <v>0</v>
      </c>
    </row>
    <row r="20" spans="1:14" x14ac:dyDescent="0.2">
      <c r="A20" s="12"/>
      <c r="B20" s="12" t="s">
        <v>73</v>
      </c>
      <c r="C20" s="26">
        <f t="shared" ref="C20:M20" si="4">+C13-C19</f>
        <v>3</v>
      </c>
      <c r="D20" s="26">
        <f t="shared" si="4"/>
        <v>3</v>
      </c>
      <c r="E20" s="26">
        <f t="shared" si="4"/>
        <v>6</v>
      </c>
      <c r="F20" s="26">
        <f t="shared" si="4"/>
        <v>3</v>
      </c>
      <c r="G20" s="26">
        <f t="shared" si="4"/>
        <v>4</v>
      </c>
      <c r="H20" s="26">
        <f t="shared" si="4"/>
        <v>2</v>
      </c>
      <c r="I20" s="26">
        <f t="shared" si="4"/>
        <v>5</v>
      </c>
      <c r="J20" s="26">
        <f t="shared" si="4"/>
        <v>6</v>
      </c>
      <c r="K20" s="26">
        <f t="shared" si="4"/>
        <v>5</v>
      </c>
      <c r="L20" s="26">
        <f t="shared" si="4"/>
        <v>8</v>
      </c>
      <c r="M20" s="26">
        <f t="shared" si="4"/>
        <v>4</v>
      </c>
      <c r="N20" s="26">
        <f>+N13-N19</f>
        <v>5</v>
      </c>
    </row>
    <row r="21" spans="1:14" x14ac:dyDescent="0.2">
      <c r="A21" s="9" t="s">
        <v>74</v>
      </c>
      <c r="B21" s="1" t="s">
        <v>74</v>
      </c>
      <c r="C21" s="10" t="s">
        <v>74</v>
      </c>
      <c r="D21" s="10" t="s">
        <v>74</v>
      </c>
      <c r="E21" s="10" t="s">
        <v>74</v>
      </c>
      <c r="F21" s="10" t="s">
        <v>74</v>
      </c>
      <c r="G21" s="10" t="s">
        <v>74</v>
      </c>
      <c r="H21" s="10" t="s">
        <v>74</v>
      </c>
      <c r="I21" s="10" t="s">
        <v>74</v>
      </c>
      <c r="J21" s="10" t="s">
        <v>74</v>
      </c>
      <c r="K21" s="10" t="s">
        <v>74</v>
      </c>
      <c r="L21" s="10" t="s">
        <v>74</v>
      </c>
      <c r="M21" s="10" t="s">
        <v>74</v>
      </c>
      <c r="N21" s="10" t="s">
        <v>74</v>
      </c>
    </row>
    <row r="22" spans="1:14" x14ac:dyDescent="0.2">
      <c r="A22" s="9" t="s">
        <v>75</v>
      </c>
      <c r="B22" s="1" t="s">
        <v>76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x14ac:dyDescent="0.2">
      <c r="A23" s="9" t="s">
        <v>111</v>
      </c>
      <c r="B23" s="1" t="s">
        <v>112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</row>
    <row r="24" spans="1:14" x14ac:dyDescent="0.2">
      <c r="A24" s="9" t="s">
        <v>119</v>
      </c>
      <c r="B24" s="1" t="s">
        <v>120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</row>
    <row r="25" spans="1:14" x14ac:dyDescent="0.2">
      <c r="A25" s="9" t="s">
        <v>127</v>
      </c>
      <c r="B25" s="1" t="s">
        <v>128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</row>
    <row r="26" spans="1:14" x14ac:dyDescent="0.2">
      <c r="A26" s="9" t="s">
        <v>133</v>
      </c>
      <c r="B26" s="1" t="s">
        <v>134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</row>
    <row r="27" spans="1:14" x14ac:dyDescent="0.2">
      <c r="A27" s="9" t="s">
        <v>137</v>
      </c>
      <c r="B27" s="1" t="s">
        <v>138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4" x14ac:dyDescent="0.2">
      <c r="A28" s="9" t="s">
        <v>139</v>
      </c>
      <c r="B28" s="1" t="s">
        <v>140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x14ac:dyDescent="0.2">
      <c r="A29" s="9" t="s">
        <v>141</v>
      </c>
      <c r="B29" s="1" t="s">
        <v>142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</row>
    <row r="30" spans="1:14" x14ac:dyDescent="0.2">
      <c r="A30" s="9" t="s">
        <v>143</v>
      </c>
      <c r="B30" s="1" t="s">
        <v>144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x14ac:dyDescent="0.2">
      <c r="A31" s="9" t="s">
        <v>157</v>
      </c>
      <c r="B31" s="1" t="s">
        <v>158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x14ac:dyDescent="0.2">
      <c r="A32" s="3"/>
      <c r="B32" s="3" t="s">
        <v>165</v>
      </c>
      <c r="C32" s="24">
        <f t="shared" ref="C32:I32" si="5">SUM(C22:C31)</f>
        <v>0</v>
      </c>
      <c r="D32" s="24">
        <f t="shared" si="5"/>
        <v>0</v>
      </c>
      <c r="E32" s="24">
        <f t="shared" si="5"/>
        <v>0</v>
      </c>
      <c r="F32" s="24">
        <f t="shared" si="5"/>
        <v>0</v>
      </c>
      <c r="G32" s="24">
        <f t="shared" si="5"/>
        <v>0</v>
      </c>
      <c r="H32" s="24">
        <f t="shared" si="5"/>
        <v>0</v>
      </c>
      <c r="I32" s="24">
        <f t="shared" si="5"/>
        <v>0</v>
      </c>
      <c r="J32" s="24">
        <f>SUM(J22:J31)</f>
        <v>0</v>
      </c>
      <c r="K32" s="24">
        <f t="shared" ref="K32:N32" si="6">SUM(K22:K31)</f>
        <v>0</v>
      </c>
      <c r="L32" s="24">
        <f t="shared" si="6"/>
        <v>0</v>
      </c>
      <c r="M32" s="24">
        <f t="shared" si="6"/>
        <v>0</v>
      </c>
      <c r="N32" s="24">
        <f t="shared" si="6"/>
        <v>0</v>
      </c>
    </row>
    <row r="33" spans="1:14" x14ac:dyDescent="0.2">
      <c r="A33" s="12"/>
      <c r="B33" s="12" t="s">
        <v>166</v>
      </c>
      <c r="C33" s="26">
        <f t="shared" ref="C33:M33" si="7">+C20-C32</f>
        <v>3</v>
      </c>
      <c r="D33" s="26">
        <f t="shared" si="7"/>
        <v>3</v>
      </c>
      <c r="E33" s="26">
        <f t="shared" si="7"/>
        <v>6</v>
      </c>
      <c r="F33" s="26">
        <f t="shared" si="7"/>
        <v>3</v>
      </c>
      <c r="G33" s="26">
        <f t="shared" si="7"/>
        <v>4</v>
      </c>
      <c r="H33" s="26">
        <f t="shared" si="7"/>
        <v>2</v>
      </c>
      <c r="I33" s="26">
        <f t="shared" si="7"/>
        <v>5</v>
      </c>
      <c r="J33" s="26">
        <f t="shared" si="7"/>
        <v>6</v>
      </c>
      <c r="K33" s="26">
        <f t="shared" si="7"/>
        <v>5</v>
      </c>
      <c r="L33" s="26">
        <f t="shared" si="7"/>
        <v>8</v>
      </c>
      <c r="M33" s="26">
        <f t="shared" si="7"/>
        <v>4</v>
      </c>
      <c r="N33" s="26">
        <f t="shared" ref="N33" si="8">+N20-N32</f>
        <v>5</v>
      </c>
    </row>
    <row r="34" spans="1:14" x14ac:dyDescent="0.2">
      <c r="A34" s="9" t="s">
        <v>167</v>
      </c>
      <c r="B34" s="1" t="s">
        <v>168</v>
      </c>
      <c r="C34" s="20">
        <f t="shared" ref="C34:I34" si="9">SUM(C35:C39)</f>
        <v>0</v>
      </c>
      <c r="D34" s="20">
        <f t="shared" si="9"/>
        <v>0</v>
      </c>
      <c r="E34" s="20">
        <f t="shared" si="9"/>
        <v>0</v>
      </c>
      <c r="F34" s="20">
        <f t="shared" si="9"/>
        <v>0</v>
      </c>
      <c r="G34" s="20">
        <f t="shared" si="9"/>
        <v>0</v>
      </c>
      <c r="H34" s="20">
        <f t="shared" si="9"/>
        <v>0</v>
      </c>
      <c r="I34" s="20">
        <f t="shared" si="9"/>
        <v>0</v>
      </c>
      <c r="J34" s="20">
        <f>SUM(J35:J39)</f>
        <v>0</v>
      </c>
      <c r="K34" s="20">
        <f t="shared" ref="K34:N34" si="10">SUM(K35:K39)</f>
        <v>0</v>
      </c>
      <c r="L34" s="20">
        <f t="shared" si="10"/>
        <v>0</v>
      </c>
      <c r="M34" s="20">
        <f t="shared" si="10"/>
        <v>0</v>
      </c>
      <c r="N34" s="20">
        <f t="shared" si="10"/>
        <v>0</v>
      </c>
    </row>
    <row r="35" spans="1:14" outlineLevel="1" x14ac:dyDescent="0.2">
      <c r="A35" s="9" t="s">
        <v>171</v>
      </c>
      <c r="B35" s="1" t="s">
        <v>172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</row>
    <row r="36" spans="1:14" outlineLevel="1" x14ac:dyDescent="0.2">
      <c r="A36" s="9" t="s">
        <v>173</v>
      </c>
      <c r="B36" s="1" t="s">
        <v>174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outlineLevel="1" x14ac:dyDescent="0.2">
      <c r="A37" s="9" t="s">
        <v>175</v>
      </c>
      <c r="B37" s="1" t="s">
        <v>176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</row>
    <row r="38" spans="1:14" outlineLevel="1" x14ac:dyDescent="0.2">
      <c r="A38" s="9" t="s">
        <v>177</v>
      </c>
      <c r="B38" s="1" t="s">
        <v>178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outlineLevel="1" x14ac:dyDescent="0.2">
      <c r="A39" s="9" t="s">
        <v>179</v>
      </c>
      <c r="B39" s="1" t="s">
        <v>180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x14ac:dyDescent="0.2">
      <c r="A40" s="9" t="s">
        <v>200</v>
      </c>
      <c r="B40" s="1" t="s">
        <v>201</v>
      </c>
      <c r="C40" s="20">
        <f t="shared" ref="C40:I40" si="11">SUM(C41:C45)</f>
        <v>0</v>
      </c>
      <c r="D40" s="20">
        <f t="shared" si="11"/>
        <v>0</v>
      </c>
      <c r="E40" s="20">
        <f t="shared" si="11"/>
        <v>0</v>
      </c>
      <c r="F40" s="20">
        <f t="shared" si="11"/>
        <v>0</v>
      </c>
      <c r="G40" s="20">
        <f t="shared" si="11"/>
        <v>0.1</v>
      </c>
      <c r="H40" s="20">
        <f>SUM(H41:H45)</f>
        <v>0</v>
      </c>
      <c r="I40" s="20">
        <f t="shared" si="11"/>
        <v>0</v>
      </c>
      <c r="J40" s="20">
        <f>SUM(J41:J45)</f>
        <v>0</v>
      </c>
      <c r="K40" s="20">
        <f t="shared" ref="K40:N40" si="12">SUM(K41:K45)</f>
        <v>0</v>
      </c>
      <c r="L40" s="20">
        <f t="shared" si="12"/>
        <v>0</v>
      </c>
      <c r="M40" s="20">
        <f t="shared" si="12"/>
        <v>0.1</v>
      </c>
      <c r="N40" s="20">
        <f t="shared" si="12"/>
        <v>0</v>
      </c>
    </row>
    <row r="41" spans="1:14" outlineLevel="1" x14ac:dyDescent="0.2">
      <c r="A41" s="9" t="s">
        <v>212</v>
      </c>
      <c r="B41" s="1" t="s">
        <v>213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outlineLevel="1" x14ac:dyDescent="0.2">
      <c r="A42" s="9" t="s">
        <v>214</v>
      </c>
      <c r="B42" s="1" t="s">
        <v>215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outlineLevel="1" x14ac:dyDescent="0.2">
      <c r="A43" s="9" t="s">
        <v>218</v>
      </c>
      <c r="B43" s="1" t="s">
        <v>219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outlineLevel="1" x14ac:dyDescent="0.2">
      <c r="A44" s="9" t="s">
        <v>220</v>
      </c>
      <c r="B44" s="1" t="s">
        <v>221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outlineLevel="1" x14ac:dyDescent="0.2">
      <c r="A45" s="9" t="s">
        <v>224</v>
      </c>
      <c r="B45" s="1" t="s">
        <v>225</v>
      </c>
      <c r="C45" s="10">
        <v>0</v>
      </c>
      <c r="D45" s="10">
        <v>0</v>
      </c>
      <c r="E45" s="10">
        <v>0</v>
      </c>
      <c r="F45" s="10">
        <v>0</v>
      </c>
      <c r="G45" s="10">
        <v>0.1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0.1</v>
      </c>
      <c r="N45" s="10">
        <v>0</v>
      </c>
    </row>
    <row r="46" spans="1:14" x14ac:dyDescent="0.2">
      <c r="A46" s="9" t="s">
        <v>226</v>
      </c>
      <c r="B46" s="1" t="s">
        <v>227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</row>
    <row r="47" spans="1:14" x14ac:dyDescent="0.2">
      <c r="A47" s="9" t="s">
        <v>228</v>
      </c>
      <c r="B47" s="1" t="s">
        <v>229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</row>
    <row r="48" spans="1:14" x14ac:dyDescent="0.2">
      <c r="A48" s="9" t="s">
        <v>230</v>
      </c>
      <c r="B48" s="1" t="s">
        <v>231</v>
      </c>
      <c r="C48" s="20">
        <f t="shared" ref="C48:I48" si="13">+C49</f>
        <v>0</v>
      </c>
      <c r="D48" s="20">
        <f t="shared" si="13"/>
        <v>0</v>
      </c>
      <c r="E48" s="20">
        <f t="shared" si="13"/>
        <v>0</v>
      </c>
      <c r="F48" s="20">
        <f t="shared" si="13"/>
        <v>0</v>
      </c>
      <c r="G48" s="20">
        <f t="shared" si="13"/>
        <v>0</v>
      </c>
      <c r="H48" s="20">
        <f t="shared" si="13"/>
        <v>0</v>
      </c>
      <c r="I48" s="20">
        <f t="shared" si="13"/>
        <v>0</v>
      </c>
      <c r="J48" s="20">
        <f>+J49</f>
        <v>0</v>
      </c>
      <c r="K48" s="20">
        <f t="shared" ref="K48:N48" si="14">+K49</f>
        <v>0</v>
      </c>
      <c r="L48" s="20">
        <f t="shared" si="14"/>
        <v>0</v>
      </c>
      <c r="M48" s="20">
        <f t="shared" si="14"/>
        <v>0</v>
      </c>
      <c r="N48" s="20">
        <f t="shared" si="14"/>
        <v>0</v>
      </c>
    </row>
    <row r="49" spans="1:14" outlineLevel="1" x14ac:dyDescent="0.2">
      <c r="A49" s="9" t="s">
        <v>234</v>
      </c>
      <c r="B49" s="1" t="s">
        <v>235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x14ac:dyDescent="0.2">
      <c r="A50" s="3"/>
      <c r="B50" s="3" t="s">
        <v>236</v>
      </c>
      <c r="C50" s="24">
        <f t="shared" ref="C50:I50" si="15">SUM(C34+C40+C46+C47+C48)</f>
        <v>0</v>
      </c>
      <c r="D50" s="24">
        <f t="shared" si="15"/>
        <v>0</v>
      </c>
      <c r="E50" s="24">
        <f t="shared" si="15"/>
        <v>0</v>
      </c>
      <c r="F50" s="24">
        <f t="shared" si="15"/>
        <v>0</v>
      </c>
      <c r="G50" s="24">
        <f t="shared" si="15"/>
        <v>0.1</v>
      </c>
      <c r="H50" s="24">
        <f t="shared" si="15"/>
        <v>0</v>
      </c>
      <c r="I50" s="24">
        <f t="shared" si="15"/>
        <v>0</v>
      </c>
      <c r="J50" s="24">
        <f>SUM(J34+J40+J46+J47+J48)</f>
        <v>0</v>
      </c>
      <c r="K50" s="24">
        <f t="shared" ref="K50:N50" si="16">SUM(K34+K40+K46+K47+K48)</f>
        <v>0</v>
      </c>
      <c r="L50" s="24">
        <f t="shared" si="16"/>
        <v>0</v>
      </c>
      <c r="M50" s="24">
        <f t="shared" si="16"/>
        <v>0.1</v>
      </c>
      <c r="N50" s="24">
        <f t="shared" si="16"/>
        <v>0</v>
      </c>
    </row>
    <row r="51" spans="1:14" x14ac:dyDescent="0.2">
      <c r="A51" s="12"/>
      <c r="B51" s="12" t="s">
        <v>237</v>
      </c>
      <c r="C51" s="26">
        <f t="shared" ref="C51:M51" si="17">+C33-C50</f>
        <v>3</v>
      </c>
      <c r="D51" s="26">
        <f t="shared" si="17"/>
        <v>3</v>
      </c>
      <c r="E51" s="26">
        <f t="shared" si="17"/>
        <v>6</v>
      </c>
      <c r="F51" s="26">
        <f t="shared" si="17"/>
        <v>3</v>
      </c>
      <c r="G51" s="26">
        <f t="shared" si="17"/>
        <v>3.9</v>
      </c>
      <c r="H51" s="26">
        <f t="shared" si="17"/>
        <v>2</v>
      </c>
      <c r="I51" s="26">
        <f t="shared" si="17"/>
        <v>5</v>
      </c>
      <c r="J51" s="26">
        <f t="shared" si="17"/>
        <v>6</v>
      </c>
      <c r="K51" s="26">
        <f t="shared" si="17"/>
        <v>5</v>
      </c>
      <c r="L51" s="26">
        <f t="shared" si="17"/>
        <v>8</v>
      </c>
      <c r="M51" s="26">
        <f t="shared" si="17"/>
        <v>3.9</v>
      </c>
      <c r="N51" s="26">
        <f t="shared" ref="N51" si="18">+N33-N50</f>
        <v>5</v>
      </c>
    </row>
    <row r="52" spans="1:14" x14ac:dyDescent="0.2">
      <c r="A52" s="9" t="s">
        <v>238</v>
      </c>
      <c r="B52" s="1" t="s">
        <v>239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x14ac:dyDescent="0.2">
      <c r="A53" s="9" t="s">
        <v>244</v>
      </c>
      <c r="B53" s="1" t="s">
        <v>245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</row>
    <row r="54" spans="1:14" x14ac:dyDescent="0.2">
      <c r="A54" s="12"/>
      <c r="B54" s="12" t="s">
        <v>246</v>
      </c>
      <c r="C54" s="26">
        <f>+C51-SUM(C52:C53)</f>
        <v>3</v>
      </c>
      <c r="D54" s="26">
        <f t="shared" ref="D54:I54" si="19">+D51-SUM(D52:D53)</f>
        <v>3</v>
      </c>
      <c r="E54" s="26">
        <f t="shared" si="19"/>
        <v>6</v>
      </c>
      <c r="F54" s="26">
        <f t="shared" si="19"/>
        <v>3</v>
      </c>
      <c r="G54" s="26">
        <f t="shared" si="19"/>
        <v>3.9</v>
      </c>
      <c r="H54" s="26">
        <f t="shared" si="19"/>
        <v>2</v>
      </c>
      <c r="I54" s="26">
        <f t="shared" si="19"/>
        <v>5</v>
      </c>
      <c r="J54" s="26">
        <f>+J51-SUM(J52:J53)</f>
        <v>6</v>
      </c>
      <c r="K54" s="26">
        <f t="shared" ref="K54:N54" si="20">+K51-SUM(K52:K53)</f>
        <v>5</v>
      </c>
      <c r="L54" s="26">
        <f t="shared" si="20"/>
        <v>8</v>
      </c>
      <c r="M54" s="26">
        <f t="shared" si="20"/>
        <v>3.9</v>
      </c>
      <c r="N54" s="26">
        <f t="shared" si="20"/>
        <v>5</v>
      </c>
    </row>
    <row r="55" spans="1:14" x14ac:dyDescent="0.2">
      <c r="A55" s="9" t="s">
        <v>74</v>
      </c>
      <c r="B55" s="1" t="s">
        <v>74</v>
      </c>
      <c r="C55" s="15" t="s">
        <v>74</v>
      </c>
      <c r="D55" s="15" t="s">
        <v>74</v>
      </c>
      <c r="E55" s="15" t="s">
        <v>74</v>
      </c>
      <c r="F55" s="15" t="s">
        <v>74</v>
      </c>
      <c r="G55" s="15" t="s">
        <v>74</v>
      </c>
      <c r="H55" s="15" t="s">
        <v>74</v>
      </c>
      <c r="I55" s="15" t="s">
        <v>74</v>
      </c>
      <c r="J55" s="15" t="s">
        <v>74</v>
      </c>
      <c r="K55" s="15" t="s">
        <v>74</v>
      </c>
      <c r="L55" s="15" t="s">
        <v>74</v>
      </c>
      <c r="M55" s="15" t="s">
        <v>74</v>
      </c>
      <c r="N55" s="15" t="s">
        <v>74</v>
      </c>
    </row>
    <row r="56" spans="1:14" x14ac:dyDescent="0.2">
      <c r="A56" s="12"/>
      <c r="B56" s="12" t="s">
        <v>247</v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</row>
    <row r="57" spans="1:14" x14ac:dyDescent="0.2">
      <c r="A57" s="9" t="s">
        <v>248</v>
      </c>
      <c r="B57" s="1" t="s">
        <v>249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">
      <c r="A58" s="9" t="s">
        <v>252</v>
      </c>
      <c r="B58" s="1" t="s">
        <v>253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">
      <c r="A59" s="9" t="s">
        <v>256</v>
      </c>
      <c r="B59" s="1" t="s">
        <v>257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">
      <c r="A60" s="9" t="s">
        <v>260</v>
      </c>
      <c r="B60" s="1" t="s">
        <v>261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">
      <c r="A61" s="9" t="s">
        <v>264</v>
      </c>
      <c r="B61" s="1" t="s">
        <v>265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">
      <c r="A62" s="9" t="s">
        <v>268</v>
      </c>
      <c r="B62" s="1" t="s">
        <v>269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">
      <c r="A63" s="9" t="s">
        <v>270</v>
      </c>
      <c r="B63" s="1" t="s">
        <v>271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">
      <c r="A64" s="9" t="s">
        <v>272</v>
      </c>
      <c r="B64" s="1" t="s">
        <v>273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">
      <c r="A65" s="9" t="s">
        <v>274</v>
      </c>
      <c r="B65" s="1" t="s">
        <v>275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">
      <c r="A66" s="9" t="s">
        <v>276</v>
      </c>
      <c r="B66" s="1" t="s">
        <v>277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">
      <c r="A67" s="9" t="s">
        <v>280</v>
      </c>
      <c r="B67" s="1" t="s">
        <v>281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">
      <c r="A68" s="9" t="s">
        <v>284</v>
      </c>
      <c r="B68" s="1" t="s">
        <v>285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">
      <c r="A69" s="9" t="s">
        <v>288</v>
      </c>
      <c r="B69" s="1" t="s">
        <v>289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">
      <c r="A70" s="3"/>
      <c r="B70" s="3" t="s">
        <v>290</v>
      </c>
      <c r="C70" s="17" t="s">
        <v>292</v>
      </c>
      <c r="D70" s="17" t="s">
        <v>292</v>
      </c>
      <c r="E70" s="17" t="s">
        <v>292</v>
      </c>
      <c r="F70" s="17" t="s">
        <v>292</v>
      </c>
      <c r="G70" s="17" t="s">
        <v>292</v>
      </c>
      <c r="H70" s="17" t="s">
        <v>292</v>
      </c>
      <c r="I70" s="17" t="s">
        <v>292</v>
      </c>
      <c r="J70" s="17" t="s">
        <v>292</v>
      </c>
      <c r="K70" s="17" t="s">
        <v>292</v>
      </c>
      <c r="L70" s="17" t="s">
        <v>292</v>
      </c>
      <c r="M70" s="17" t="s">
        <v>292</v>
      </c>
      <c r="N70" s="17" t="s">
        <v>292</v>
      </c>
    </row>
    <row r="71" spans="1:14" x14ac:dyDescent="0.2">
      <c r="A71" s="3"/>
      <c r="B71" s="3" t="s">
        <v>291</v>
      </c>
      <c r="C71" s="17" t="s">
        <v>292</v>
      </c>
      <c r="D71" s="17" t="s">
        <v>292</v>
      </c>
      <c r="E71" s="17" t="s">
        <v>292</v>
      </c>
      <c r="F71" s="17" t="s">
        <v>292</v>
      </c>
      <c r="G71" s="17" t="s">
        <v>292</v>
      </c>
      <c r="H71" s="17" t="s">
        <v>292</v>
      </c>
      <c r="I71" s="17" t="s">
        <v>292</v>
      </c>
      <c r="J71" s="17" t="s">
        <v>292</v>
      </c>
      <c r="K71" s="17" t="s">
        <v>292</v>
      </c>
      <c r="L71" s="17" t="s">
        <v>292</v>
      </c>
      <c r="M71" s="17" t="s">
        <v>292</v>
      </c>
      <c r="N71" s="17" t="s">
        <v>292</v>
      </c>
    </row>
    <row r="72" spans="1:14" x14ac:dyDescent="0.2">
      <c r="A72" s="3"/>
      <c r="B72" s="3" t="s">
        <v>293</v>
      </c>
      <c r="C72" s="17" t="s">
        <v>292</v>
      </c>
      <c r="D72" s="17" t="s">
        <v>292</v>
      </c>
      <c r="E72" s="17" t="s">
        <v>292</v>
      </c>
      <c r="F72" s="17" t="s">
        <v>292</v>
      </c>
      <c r="G72" s="17" t="s">
        <v>292</v>
      </c>
      <c r="H72" s="17" t="s">
        <v>292</v>
      </c>
      <c r="I72" s="17" t="s">
        <v>292</v>
      </c>
      <c r="J72" s="17" t="s">
        <v>292</v>
      </c>
      <c r="K72" s="17" t="s">
        <v>292</v>
      </c>
      <c r="L72" s="17" t="s">
        <v>292</v>
      </c>
      <c r="M72" s="17" t="s">
        <v>292</v>
      </c>
      <c r="N72" s="17" t="s">
        <v>292</v>
      </c>
    </row>
    <row r="73" spans="1:14" x14ac:dyDescent="0.2">
      <c r="A73" s="3"/>
      <c r="B73" s="3" t="s">
        <v>294</v>
      </c>
      <c r="C73" s="17" t="s">
        <v>292</v>
      </c>
      <c r="D73" s="17" t="s">
        <v>292</v>
      </c>
      <c r="E73" s="17" t="s">
        <v>292</v>
      </c>
      <c r="F73" s="17" t="s">
        <v>292</v>
      </c>
      <c r="G73" s="17" t="s">
        <v>292</v>
      </c>
      <c r="H73" s="17" t="s">
        <v>292</v>
      </c>
      <c r="I73" s="17" t="s">
        <v>292</v>
      </c>
      <c r="J73" s="17" t="s">
        <v>292</v>
      </c>
      <c r="K73" s="17" t="s">
        <v>292</v>
      </c>
      <c r="L73" s="17" t="s">
        <v>292</v>
      </c>
      <c r="M73" s="17" t="s">
        <v>292</v>
      </c>
      <c r="N73" s="17" t="s">
        <v>292</v>
      </c>
    </row>
    <row r="74" spans="1:14" x14ac:dyDescent="0.2">
      <c r="A74" s="12"/>
      <c r="B74" s="12" t="s">
        <v>295</v>
      </c>
      <c r="C74" s="16" t="s">
        <v>292</v>
      </c>
      <c r="D74" s="16" t="s">
        <v>292</v>
      </c>
      <c r="E74" s="16" t="s">
        <v>292</v>
      </c>
      <c r="F74" s="16" t="s">
        <v>292</v>
      </c>
      <c r="G74" s="16" t="s">
        <v>292</v>
      </c>
      <c r="H74" s="16" t="s">
        <v>292</v>
      </c>
      <c r="I74" s="16" t="s">
        <v>292</v>
      </c>
      <c r="J74" s="16" t="s">
        <v>292</v>
      </c>
      <c r="K74" s="16" t="s">
        <v>292</v>
      </c>
      <c r="L74" s="16" t="s">
        <v>292</v>
      </c>
      <c r="M74" s="16" t="s">
        <v>292</v>
      </c>
      <c r="N74" s="16" t="s">
        <v>292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30B5-83C2-4693-A9D4-641B56732999}">
  <sheetPr codeName="Hoja41">
    <tabColor rgb="FF00B050"/>
  </sheetPr>
  <dimension ref="A1:N168"/>
  <sheetViews>
    <sheetView zoomScale="55" zoomScaleNormal="55" workbookViewId="0">
      <pane ySplit="6" topLeftCell="A123" activePane="bottomLeft" state="frozen"/>
      <selection activeCell="I54" sqref="I54"/>
      <selection pane="bottomLeft" activeCell="C140" sqref="C140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368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0">
        <f t="shared" ref="C7:I7" si="0">SUM(C8:C14)</f>
        <v>392.2</v>
      </c>
      <c r="D7" s="20">
        <f t="shared" si="0"/>
        <v>316.2</v>
      </c>
      <c r="E7" s="20">
        <f t="shared" si="0"/>
        <v>375.6</v>
      </c>
      <c r="F7" s="20">
        <f t="shared" si="0"/>
        <v>475.3</v>
      </c>
      <c r="G7" s="20">
        <f t="shared" si="0"/>
        <v>375</v>
      </c>
      <c r="H7" s="20">
        <f t="shared" si="0"/>
        <v>362.1</v>
      </c>
      <c r="I7" s="20">
        <f t="shared" si="0"/>
        <v>359.2</v>
      </c>
      <c r="J7" s="20">
        <f>SUM(J8:J14)</f>
        <v>375.6</v>
      </c>
      <c r="K7" s="20">
        <f t="shared" ref="K7:N7" si="1">SUM(K8:K14)</f>
        <v>475.3</v>
      </c>
      <c r="L7" s="20">
        <f t="shared" si="1"/>
        <v>375</v>
      </c>
      <c r="M7" s="20">
        <f t="shared" si="1"/>
        <v>362.1</v>
      </c>
      <c r="N7" s="20">
        <f t="shared" si="1"/>
        <v>359.2</v>
      </c>
    </row>
    <row r="8" spans="1:14" outlineLevel="1" x14ac:dyDescent="0.2">
      <c r="A8" s="9" t="s">
        <v>25</v>
      </c>
      <c r="B8" s="1" t="s">
        <v>26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outlineLevel="1" x14ac:dyDescent="0.2">
      <c r="A9" s="9" t="s">
        <v>300</v>
      </c>
      <c r="B9" s="1" t="s">
        <v>36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outlineLevel="1" x14ac:dyDescent="0.2">
      <c r="A10" s="9" t="s">
        <v>27</v>
      </c>
      <c r="B10" s="1" t="s">
        <v>28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outlineLevel="1" x14ac:dyDescent="0.2">
      <c r="A11" s="9" t="s">
        <v>29</v>
      </c>
      <c r="B11" s="1" t="s">
        <v>30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outlineLevel="1" x14ac:dyDescent="0.2">
      <c r="A12" s="9" t="s">
        <v>31</v>
      </c>
      <c r="B12" s="1" t="s">
        <v>32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362.1</v>
      </c>
      <c r="I12" s="10">
        <v>359.2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</row>
    <row r="13" spans="1:14" outlineLevel="1" x14ac:dyDescent="0.2">
      <c r="A13" s="9" t="s">
        <v>33</v>
      </c>
      <c r="B13" s="1" t="s">
        <v>34</v>
      </c>
      <c r="C13" s="10">
        <v>392.2</v>
      </c>
      <c r="D13" s="10">
        <v>316.2</v>
      </c>
      <c r="E13" s="10">
        <v>375.6</v>
      </c>
      <c r="F13" s="10">
        <v>475.3</v>
      </c>
      <c r="G13" s="10">
        <v>375</v>
      </c>
      <c r="H13" s="10">
        <v>0</v>
      </c>
      <c r="I13" s="10">
        <v>0</v>
      </c>
      <c r="J13" s="10">
        <v>375.6</v>
      </c>
      <c r="K13" s="10">
        <v>475.3</v>
      </c>
      <c r="L13" s="10">
        <v>375</v>
      </c>
      <c r="M13" s="10">
        <v>362.1</v>
      </c>
      <c r="N13" s="10">
        <v>359.2</v>
      </c>
    </row>
    <row r="14" spans="1:14" outlineLevel="1" x14ac:dyDescent="0.2">
      <c r="A14" s="9" t="s">
        <v>35</v>
      </c>
      <c r="B14" s="1" t="s">
        <v>36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x14ac:dyDescent="0.2">
      <c r="A15" s="9" t="s">
        <v>37</v>
      </c>
      <c r="B15" s="1" t="s">
        <v>38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</row>
    <row r="16" spans="1:14" x14ac:dyDescent="0.2">
      <c r="A16" s="9" t="s">
        <v>39</v>
      </c>
      <c r="B16" s="1" t="s">
        <v>40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</row>
    <row r="17" spans="1:14" x14ac:dyDescent="0.2">
      <c r="A17" s="9" t="s">
        <v>41</v>
      </c>
      <c r="B17" s="1" t="s">
        <v>42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20">
        <f>+J18</f>
        <v>0</v>
      </c>
      <c r="K17" s="20">
        <f t="shared" ref="K17:N17" si="2">+K18</f>
        <v>0</v>
      </c>
      <c r="L17" s="20">
        <f t="shared" si="2"/>
        <v>0</v>
      </c>
      <c r="M17" s="20">
        <f t="shared" si="2"/>
        <v>0</v>
      </c>
      <c r="N17" s="20">
        <f t="shared" si="2"/>
        <v>0</v>
      </c>
    </row>
    <row r="18" spans="1:14" outlineLevel="1" x14ac:dyDescent="0.2">
      <c r="A18" s="9" t="s">
        <v>43</v>
      </c>
      <c r="B18" s="1" t="s">
        <v>44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x14ac:dyDescent="0.2">
      <c r="A19" s="9" t="s">
        <v>45</v>
      </c>
      <c r="B19" s="1" t="s">
        <v>46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</row>
    <row r="20" spans="1:14" x14ac:dyDescent="0.2">
      <c r="A20" s="12"/>
      <c r="B20" s="12" t="s">
        <v>47</v>
      </c>
      <c r="C20" s="23">
        <f t="shared" ref="C20:I20" si="3">+C7+C15+C16+C17+C19</f>
        <v>392.2</v>
      </c>
      <c r="D20" s="23">
        <f t="shared" si="3"/>
        <v>316.2</v>
      </c>
      <c r="E20" s="23">
        <f t="shared" si="3"/>
        <v>375.6</v>
      </c>
      <c r="F20" s="23">
        <f t="shared" si="3"/>
        <v>475.3</v>
      </c>
      <c r="G20" s="23">
        <f t="shared" si="3"/>
        <v>375</v>
      </c>
      <c r="H20" s="23">
        <f t="shared" si="3"/>
        <v>362.1</v>
      </c>
      <c r="I20" s="23">
        <f t="shared" si="3"/>
        <v>359.2</v>
      </c>
      <c r="J20" s="23">
        <f>+J7+J15+J16+J17+J19</f>
        <v>375.6</v>
      </c>
      <c r="K20" s="23">
        <f t="shared" ref="K20:N20" si="4">+K7+K15+K16+K17+K19</f>
        <v>475.3</v>
      </c>
      <c r="L20" s="23">
        <f t="shared" si="4"/>
        <v>375</v>
      </c>
      <c r="M20" s="23">
        <f t="shared" si="4"/>
        <v>362.1</v>
      </c>
      <c r="N20" s="23">
        <f t="shared" si="4"/>
        <v>359.2</v>
      </c>
    </row>
    <row r="21" spans="1:14" x14ac:dyDescent="0.2">
      <c r="A21" s="9" t="s">
        <v>48</v>
      </c>
      <c r="B21" s="1" t="s">
        <v>49</v>
      </c>
      <c r="C21" s="10">
        <v>0</v>
      </c>
      <c r="D21" s="10">
        <v>0</v>
      </c>
      <c r="E21" s="10">
        <v>0</v>
      </c>
      <c r="F21" s="10">
        <v>0</v>
      </c>
      <c r="G21" s="10">
        <v>19</v>
      </c>
      <c r="H21" s="10">
        <v>0</v>
      </c>
      <c r="I21" s="10">
        <v>0</v>
      </c>
      <c r="J21" s="20">
        <f>SUM(J22:J25)</f>
        <v>0</v>
      </c>
      <c r="K21" s="20">
        <f t="shared" ref="K21:N21" si="5">SUM(K22:K25)</f>
        <v>0</v>
      </c>
      <c r="L21" s="20">
        <f t="shared" si="5"/>
        <v>19</v>
      </c>
      <c r="M21" s="20">
        <f t="shared" si="5"/>
        <v>0</v>
      </c>
      <c r="N21" s="20">
        <f t="shared" si="5"/>
        <v>0</v>
      </c>
    </row>
    <row r="22" spans="1:14" outlineLevel="1" x14ac:dyDescent="0.2">
      <c r="A22" s="9" t="s">
        <v>50</v>
      </c>
      <c r="B22" s="1" t="s">
        <v>51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outlineLevel="1" x14ac:dyDescent="0.2">
      <c r="A23" s="9" t="s">
        <v>56</v>
      </c>
      <c r="B23" s="1" t="s">
        <v>51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</row>
    <row r="24" spans="1:14" outlineLevel="1" x14ac:dyDescent="0.2">
      <c r="A24" s="9" t="s">
        <v>57</v>
      </c>
      <c r="B24" s="1" t="s">
        <v>58</v>
      </c>
      <c r="C24" s="10">
        <v>0</v>
      </c>
      <c r="D24" s="10">
        <v>0</v>
      </c>
      <c r="E24" s="10">
        <v>0</v>
      </c>
      <c r="F24" s="10">
        <v>0</v>
      </c>
      <c r="G24" s="10">
        <v>19</v>
      </c>
      <c r="H24" s="10">
        <v>0</v>
      </c>
      <c r="I24" s="10">
        <v>0</v>
      </c>
      <c r="J24" s="10">
        <v>0</v>
      </c>
      <c r="K24" s="10">
        <v>0</v>
      </c>
      <c r="L24" s="10">
        <v>19</v>
      </c>
      <c r="M24" s="10">
        <v>0</v>
      </c>
      <c r="N24" s="10">
        <v>0</v>
      </c>
    </row>
    <row r="25" spans="1:14" outlineLevel="1" x14ac:dyDescent="0.2">
      <c r="A25" s="9" t="s">
        <v>59</v>
      </c>
      <c r="B25" s="1" t="s">
        <v>53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</row>
    <row r="26" spans="1:14" x14ac:dyDescent="0.2">
      <c r="A26" s="9" t="s">
        <v>60</v>
      </c>
      <c r="B26" s="1" t="s">
        <v>61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</row>
    <row r="27" spans="1:14" x14ac:dyDescent="0.2">
      <c r="A27" s="9" t="s">
        <v>62</v>
      </c>
      <c r="B27" s="1" t="s">
        <v>63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</row>
    <row r="28" spans="1:14" x14ac:dyDescent="0.2">
      <c r="A28" s="9" t="s">
        <v>64</v>
      </c>
      <c r="B28" s="1" t="s">
        <v>65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20">
        <f>+J29</f>
        <v>0</v>
      </c>
      <c r="K28" s="20">
        <f t="shared" ref="K28:N28" si="6">+K29</f>
        <v>0</v>
      </c>
      <c r="L28" s="20">
        <f t="shared" si="6"/>
        <v>0</v>
      </c>
      <c r="M28" s="20">
        <f t="shared" si="6"/>
        <v>0</v>
      </c>
      <c r="N28" s="20">
        <f t="shared" si="6"/>
        <v>0</v>
      </c>
    </row>
    <row r="29" spans="1:14" outlineLevel="1" x14ac:dyDescent="0.2">
      <c r="A29" s="9" t="s">
        <v>66</v>
      </c>
      <c r="B29" s="1" t="s">
        <v>67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</row>
    <row r="30" spans="1:14" x14ac:dyDescent="0.2">
      <c r="A30" s="9" t="s">
        <v>68</v>
      </c>
      <c r="B30" s="1" t="s">
        <v>69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20">
        <f>+J31</f>
        <v>0</v>
      </c>
      <c r="K30" s="20">
        <f t="shared" ref="K30:N30" si="7">+K31</f>
        <v>0</v>
      </c>
      <c r="L30" s="20">
        <f t="shared" si="7"/>
        <v>0</v>
      </c>
      <c r="M30" s="20">
        <f t="shared" si="7"/>
        <v>0</v>
      </c>
      <c r="N30" s="20">
        <f t="shared" si="7"/>
        <v>0</v>
      </c>
    </row>
    <row r="31" spans="1:14" outlineLevel="1" x14ac:dyDescent="0.2">
      <c r="A31" s="9" t="s">
        <v>70</v>
      </c>
      <c r="B31" s="1" t="s">
        <v>71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x14ac:dyDescent="0.2">
      <c r="A32" s="3"/>
      <c r="B32" s="3" t="s">
        <v>72</v>
      </c>
      <c r="C32" s="14">
        <v>0</v>
      </c>
      <c r="D32" s="14">
        <v>0</v>
      </c>
      <c r="E32" s="14">
        <v>0</v>
      </c>
      <c r="F32" s="14">
        <v>0</v>
      </c>
      <c r="G32" s="14">
        <v>19</v>
      </c>
      <c r="H32" s="14">
        <v>0</v>
      </c>
      <c r="I32" s="14">
        <v>0</v>
      </c>
      <c r="J32" s="22">
        <f>+J21+J26+J27+J28+J30</f>
        <v>0</v>
      </c>
      <c r="K32" s="22">
        <f t="shared" ref="K32:N32" si="8">+K21+K26+K27+K28+K30</f>
        <v>0</v>
      </c>
      <c r="L32" s="22">
        <f t="shared" si="8"/>
        <v>19</v>
      </c>
      <c r="M32" s="22">
        <f t="shared" si="8"/>
        <v>0</v>
      </c>
      <c r="N32" s="22">
        <f t="shared" si="8"/>
        <v>0</v>
      </c>
    </row>
    <row r="33" spans="1:14" x14ac:dyDescent="0.2">
      <c r="A33" s="12"/>
      <c r="B33" s="12" t="s">
        <v>73</v>
      </c>
      <c r="C33" s="13">
        <v>392.2</v>
      </c>
      <c r="D33" s="13">
        <v>316.2</v>
      </c>
      <c r="E33" s="13">
        <v>375.6</v>
      </c>
      <c r="F33" s="13">
        <v>475.3</v>
      </c>
      <c r="G33" s="13">
        <v>356</v>
      </c>
      <c r="H33" s="13">
        <v>362.1</v>
      </c>
      <c r="I33" s="13">
        <v>359.2</v>
      </c>
      <c r="J33" s="23">
        <f>+J20-J32</f>
        <v>375.6</v>
      </c>
      <c r="K33" s="23">
        <f t="shared" ref="K33:N33" si="9">+K20-K32</f>
        <v>475.3</v>
      </c>
      <c r="L33" s="23">
        <f t="shared" si="9"/>
        <v>356</v>
      </c>
      <c r="M33" s="23">
        <f t="shared" si="9"/>
        <v>362.1</v>
      </c>
      <c r="N33" s="23">
        <f t="shared" si="9"/>
        <v>359.2</v>
      </c>
    </row>
    <row r="34" spans="1:14" x14ac:dyDescent="0.2">
      <c r="A34" s="9" t="s">
        <v>74</v>
      </c>
      <c r="B34" s="1" t="s">
        <v>74</v>
      </c>
      <c r="C34" s="10" t="s">
        <v>74</v>
      </c>
      <c r="D34" s="10" t="s">
        <v>74</v>
      </c>
      <c r="E34" s="10" t="s">
        <v>74</v>
      </c>
      <c r="F34" s="10" t="s">
        <v>74</v>
      </c>
      <c r="G34" s="10" t="s">
        <v>74</v>
      </c>
      <c r="H34" s="10" t="s">
        <v>74</v>
      </c>
      <c r="I34" s="10" t="s">
        <v>74</v>
      </c>
      <c r="J34" s="10" t="s">
        <v>74</v>
      </c>
      <c r="K34" s="10" t="s">
        <v>74</v>
      </c>
      <c r="L34" s="10" t="s">
        <v>74</v>
      </c>
      <c r="M34" s="10" t="s">
        <v>74</v>
      </c>
      <c r="N34" s="10" t="s">
        <v>74</v>
      </c>
    </row>
    <row r="35" spans="1:14" x14ac:dyDescent="0.2">
      <c r="A35" s="9" t="s">
        <v>75</v>
      </c>
      <c r="B35" s="1" t="s">
        <v>76</v>
      </c>
      <c r="C35" s="20">
        <f t="shared" ref="C35:M35" si="10">SUM(C36:C55)</f>
        <v>282.2</v>
      </c>
      <c r="D35" s="20">
        <f t="shared" si="10"/>
        <v>268.60000000000002</v>
      </c>
      <c r="E35" s="20">
        <f t="shared" si="10"/>
        <v>273</v>
      </c>
      <c r="F35" s="20">
        <f t="shared" si="10"/>
        <v>319.89999999999998</v>
      </c>
      <c r="G35" s="20">
        <f t="shared" si="10"/>
        <v>306.09999999999997</v>
      </c>
      <c r="H35" s="20">
        <f t="shared" si="10"/>
        <v>272.10000000000002</v>
      </c>
      <c r="I35" s="20">
        <f t="shared" si="10"/>
        <v>277.7</v>
      </c>
      <c r="J35" s="20">
        <f t="shared" si="10"/>
        <v>285.2</v>
      </c>
      <c r="K35" s="20">
        <f t="shared" si="10"/>
        <v>311.20000000000005</v>
      </c>
      <c r="L35" s="20">
        <f t="shared" si="10"/>
        <v>298.8</v>
      </c>
      <c r="M35" s="20">
        <f t="shared" si="10"/>
        <v>290.39999999999998</v>
      </c>
      <c r="N35" s="20">
        <f>SUM(N36:N55)</f>
        <v>306.2</v>
      </c>
    </row>
    <row r="36" spans="1:14" outlineLevel="1" x14ac:dyDescent="0.2">
      <c r="A36" s="9" t="s">
        <v>77</v>
      </c>
      <c r="B36" s="1" t="s">
        <v>78</v>
      </c>
      <c r="C36" s="10">
        <v>67.7</v>
      </c>
      <c r="D36" s="10">
        <v>63.3</v>
      </c>
      <c r="E36" s="10">
        <v>67.8</v>
      </c>
      <c r="F36" s="10">
        <v>76.5</v>
      </c>
      <c r="G36" s="10">
        <v>75.3</v>
      </c>
      <c r="H36" s="10">
        <v>73.3</v>
      </c>
      <c r="I36" s="10">
        <v>59.8</v>
      </c>
      <c r="J36" s="27">
        <v>59</v>
      </c>
      <c r="K36" s="27">
        <v>71</v>
      </c>
      <c r="L36" s="27">
        <v>74</v>
      </c>
      <c r="M36" s="27">
        <v>67</v>
      </c>
      <c r="N36" s="27">
        <v>61</v>
      </c>
    </row>
    <row r="37" spans="1:14" outlineLevel="1" x14ac:dyDescent="0.2">
      <c r="A37" s="9" t="s">
        <v>79</v>
      </c>
      <c r="B37" s="1" t="s">
        <v>80</v>
      </c>
      <c r="C37" s="10">
        <v>1.7</v>
      </c>
      <c r="D37" s="10">
        <v>1.7</v>
      </c>
      <c r="E37" s="10">
        <v>1.6</v>
      </c>
      <c r="F37" s="10">
        <v>1.6</v>
      </c>
      <c r="G37" s="10">
        <v>1.7</v>
      </c>
      <c r="H37" s="10">
        <v>1.7</v>
      </c>
      <c r="I37" s="10">
        <v>1</v>
      </c>
      <c r="J37" s="10">
        <v>1.6</v>
      </c>
      <c r="K37" s="10">
        <v>1.6</v>
      </c>
      <c r="L37" s="10">
        <v>1.2</v>
      </c>
      <c r="M37" s="10">
        <v>1.7</v>
      </c>
      <c r="N37" s="10">
        <v>1</v>
      </c>
    </row>
    <row r="38" spans="1:14" outlineLevel="1" x14ac:dyDescent="0.2">
      <c r="A38" s="9" t="s">
        <v>81</v>
      </c>
      <c r="B38" s="1" t="s">
        <v>82</v>
      </c>
      <c r="C38" s="10">
        <v>16.100000000000001</v>
      </c>
      <c r="D38" s="10">
        <v>12.5</v>
      </c>
      <c r="E38" s="10">
        <v>14.6</v>
      </c>
      <c r="F38" s="10">
        <v>19.5</v>
      </c>
      <c r="G38" s="10">
        <v>15</v>
      </c>
      <c r="H38" s="10">
        <v>13.7</v>
      </c>
      <c r="I38" s="10">
        <v>13.8</v>
      </c>
      <c r="J38" s="27">
        <v>14</v>
      </c>
      <c r="K38" s="27">
        <v>14</v>
      </c>
      <c r="L38" s="27">
        <v>16</v>
      </c>
      <c r="M38" s="27">
        <v>16</v>
      </c>
      <c r="N38" s="27">
        <v>15</v>
      </c>
    </row>
    <row r="39" spans="1:14" outlineLevel="1" x14ac:dyDescent="0.2">
      <c r="A39" s="9" t="s">
        <v>83</v>
      </c>
      <c r="B39" s="1" t="s">
        <v>84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outlineLevel="1" x14ac:dyDescent="0.2">
      <c r="A40" s="9" t="s">
        <v>85</v>
      </c>
      <c r="B40" s="1" t="s">
        <v>86</v>
      </c>
      <c r="C40" s="10">
        <v>2.7</v>
      </c>
      <c r="D40" s="10">
        <v>3.3</v>
      </c>
      <c r="E40" s="10">
        <v>4.8</v>
      </c>
      <c r="F40" s="10">
        <v>9.1999999999999993</v>
      </c>
      <c r="G40" s="10">
        <v>4.7</v>
      </c>
      <c r="H40" s="10">
        <v>2.7</v>
      </c>
      <c r="I40" s="10">
        <v>3.7</v>
      </c>
      <c r="J40" s="10">
        <v>4.8</v>
      </c>
      <c r="K40" s="10">
        <v>9.1999999999999993</v>
      </c>
      <c r="L40" s="10">
        <v>4.7</v>
      </c>
      <c r="M40" s="10">
        <v>2.7</v>
      </c>
      <c r="N40" s="10">
        <v>3.7</v>
      </c>
    </row>
    <row r="41" spans="1:14" outlineLevel="1" x14ac:dyDescent="0.2">
      <c r="A41" s="9" t="s">
        <v>87</v>
      </c>
      <c r="B41" s="1" t="s">
        <v>88</v>
      </c>
      <c r="C41" s="10">
        <v>8</v>
      </c>
      <c r="D41" s="10">
        <v>6.2</v>
      </c>
      <c r="E41" s="10">
        <v>6.1</v>
      </c>
      <c r="F41" s="10">
        <v>6.5</v>
      </c>
      <c r="G41" s="10">
        <v>6.5</v>
      </c>
      <c r="H41" s="10">
        <v>6.5</v>
      </c>
      <c r="I41" s="10">
        <v>6.4</v>
      </c>
      <c r="J41" s="10">
        <v>6.1</v>
      </c>
      <c r="K41" s="10">
        <v>6.5</v>
      </c>
      <c r="L41" s="10">
        <v>6.5</v>
      </c>
      <c r="M41" s="10">
        <v>6.5</v>
      </c>
      <c r="N41" s="10">
        <v>6.4</v>
      </c>
    </row>
    <row r="42" spans="1:14" outlineLevel="1" x14ac:dyDescent="0.2">
      <c r="A42" s="9" t="s">
        <v>89</v>
      </c>
      <c r="B42" s="1" t="s">
        <v>90</v>
      </c>
      <c r="C42" s="10">
        <v>8.6</v>
      </c>
      <c r="D42" s="10">
        <v>6.7</v>
      </c>
      <c r="E42" s="10">
        <v>7</v>
      </c>
      <c r="F42" s="10">
        <v>8</v>
      </c>
      <c r="G42" s="10">
        <v>8.1999999999999993</v>
      </c>
      <c r="H42" s="10">
        <v>6.9</v>
      </c>
      <c r="I42" s="10">
        <v>6.9</v>
      </c>
      <c r="J42" s="10">
        <v>7</v>
      </c>
      <c r="K42" s="10">
        <v>8</v>
      </c>
      <c r="L42" s="10">
        <v>8.1999999999999993</v>
      </c>
      <c r="M42" s="10">
        <v>6.9</v>
      </c>
      <c r="N42" s="10">
        <v>6.9</v>
      </c>
    </row>
    <row r="43" spans="1:14" outlineLevel="1" x14ac:dyDescent="0.2">
      <c r="A43" s="9" t="s">
        <v>93</v>
      </c>
      <c r="B43" s="1" t="s">
        <v>94</v>
      </c>
      <c r="C43" s="10">
        <v>12.1</v>
      </c>
      <c r="D43" s="10">
        <v>7.3</v>
      </c>
      <c r="E43" s="10">
        <v>7.8</v>
      </c>
      <c r="F43" s="10">
        <v>11.3</v>
      </c>
      <c r="G43" s="10">
        <v>6.4</v>
      </c>
      <c r="H43" s="10">
        <v>6.5</v>
      </c>
      <c r="I43" s="10">
        <v>10.5</v>
      </c>
      <c r="J43" s="10">
        <v>7.8</v>
      </c>
      <c r="K43" s="10">
        <v>11.3</v>
      </c>
      <c r="L43" s="10">
        <v>6.4</v>
      </c>
      <c r="M43" s="10">
        <v>6.5</v>
      </c>
      <c r="N43" s="10">
        <v>10.5</v>
      </c>
    </row>
    <row r="44" spans="1:14" outlineLevel="1" x14ac:dyDescent="0.2">
      <c r="A44" s="9" t="s">
        <v>95</v>
      </c>
      <c r="B44" s="1" t="s">
        <v>96</v>
      </c>
      <c r="C44" s="10">
        <v>6.1</v>
      </c>
      <c r="D44" s="10">
        <v>5.4</v>
      </c>
      <c r="E44" s="10">
        <v>5.7</v>
      </c>
      <c r="F44" s="10">
        <v>5.9</v>
      </c>
      <c r="G44" s="10">
        <v>5.7</v>
      </c>
      <c r="H44" s="10">
        <v>5.6</v>
      </c>
      <c r="I44" s="10">
        <v>5.4</v>
      </c>
      <c r="J44" s="10">
        <v>5.7</v>
      </c>
      <c r="K44" s="10">
        <v>5.9</v>
      </c>
      <c r="L44" s="10">
        <v>5.7</v>
      </c>
      <c r="M44" s="10">
        <v>5.6</v>
      </c>
      <c r="N44" s="10">
        <v>5.4</v>
      </c>
    </row>
    <row r="45" spans="1:14" outlineLevel="1" x14ac:dyDescent="0.2">
      <c r="A45" s="9" t="s">
        <v>301</v>
      </c>
      <c r="B45" s="1" t="s">
        <v>302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outlineLevel="1" x14ac:dyDescent="0.2">
      <c r="A46" s="9" t="s">
        <v>97</v>
      </c>
      <c r="B46" s="1" t="s">
        <v>98</v>
      </c>
      <c r="C46" s="10">
        <v>3.1</v>
      </c>
      <c r="D46" s="10">
        <v>7.2</v>
      </c>
      <c r="E46" s="10">
        <v>8</v>
      </c>
      <c r="F46" s="10">
        <v>11.9</v>
      </c>
      <c r="G46" s="10">
        <v>10.199999999999999</v>
      </c>
      <c r="H46" s="10">
        <v>-2.9</v>
      </c>
      <c r="I46" s="10">
        <v>12.1</v>
      </c>
      <c r="J46" s="10">
        <v>8</v>
      </c>
      <c r="K46" s="10">
        <v>11.9</v>
      </c>
      <c r="L46" s="10">
        <v>10.199999999999999</v>
      </c>
      <c r="M46" s="10">
        <v>-2.9</v>
      </c>
      <c r="N46" s="10">
        <v>12.1</v>
      </c>
    </row>
    <row r="47" spans="1:14" outlineLevel="1" x14ac:dyDescent="0.2">
      <c r="A47" s="9" t="s">
        <v>303</v>
      </c>
      <c r="B47" s="1" t="s">
        <v>304</v>
      </c>
      <c r="C47" s="10">
        <v>0</v>
      </c>
      <c r="D47" s="10">
        <v>0.1</v>
      </c>
      <c r="E47" s="10">
        <v>0</v>
      </c>
      <c r="F47" s="10">
        <v>0</v>
      </c>
      <c r="G47" s="10">
        <v>0</v>
      </c>
      <c r="H47" s="10">
        <v>0</v>
      </c>
      <c r="I47" s="10">
        <v>2.1</v>
      </c>
      <c r="J47" s="10">
        <v>0</v>
      </c>
      <c r="K47" s="10">
        <v>0</v>
      </c>
      <c r="L47" s="10">
        <v>0</v>
      </c>
      <c r="M47" s="10">
        <v>0</v>
      </c>
      <c r="N47" s="10">
        <v>2.1</v>
      </c>
    </row>
    <row r="48" spans="1:14" outlineLevel="1" x14ac:dyDescent="0.2">
      <c r="A48" s="9" t="s">
        <v>99</v>
      </c>
      <c r="B48" s="1" t="s">
        <v>100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outlineLevel="1" x14ac:dyDescent="0.2">
      <c r="A49" s="9" t="s">
        <v>101</v>
      </c>
      <c r="B49" s="1" t="s">
        <v>102</v>
      </c>
      <c r="C49" s="10">
        <v>2.2999999999999998</v>
      </c>
      <c r="D49" s="10">
        <v>1.8</v>
      </c>
      <c r="E49" s="10">
        <v>0.1</v>
      </c>
      <c r="F49" s="10">
        <v>0</v>
      </c>
      <c r="G49" s="10">
        <v>1.5</v>
      </c>
      <c r="H49" s="10">
        <v>0</v>
      </c>
      <c r="I49" s="10">
        <v>0</v>
      </c>
      <c r="J49" s="10">
        <v>0.1</v>
      </c>
      <c r="K49" s="10">
        <v>0</v>
      </c>
      <c r="L49" s="10">
        <v>1.5</v>
      </c>
      <c r="M49" s="10">
        <v>0</v>
      </c>
      <c r="N49" s="10">
        <v>0</v>
      </c>
    </row>
    <row r="50" spans="1:14" outlineLevel="1" x14ac:dyDescent="0.2">
      <c r="A50" s="9" t="s">
        <v>103</v>
      </c>
      <c r="B50" s="1" t="s">
        <v>104</v>
      </c>
      <c r="C50" s="10">
        <v>2.2000000000000002</v>
      </c>
      <c r="D50" s="10">
        <v>1.6</v>
      </c>
      <c r="E50" s="10">
        <v>1.5</v>
      </c>
      <c r="F50" s="10">
        <v>1.8</v>
      </c>
      <c r="G50" s="10">
        <v>1.7</v>
      </c>
      <c r="H50" s="10">
        <v>1.9</v>
      </c>
      <c r="I50" s="10">
        <v>1.9</v>
      </c>
      <c r="J50" s="10">
        <v>1.5</v>
      </c>
      <c r="K50" s="10">
        <v>1.8</v>
      </c>
      <c r="L50" s="10">
        <v>1.7</v>
      </c>
      <c r="M50" s="10">
        <v>1.9</v>
      </c>
      <c r="N50" s="10">
        <v>1.9</v>
      </c>
    </row>
    <row r="51" spans="1:14" outlineLevel="1" x14ac:dyDescent="0.2">
      <c r="A51" s="9" t="s">
        <v>305</v>
      </c>
      <c r="B51" s="1" t="s">
        <v>306</v>
      </c>
      <c r="C51" s="10">
        <v>0</v>
      </c>
      <c r="D51" s="10">
        <v>0</v>
      </c>
      <c r="E51" s="10">
        <v>0</v>
      </c>
      <c r="F51" s="10">
        <v>0</v>
      </c>
      <c r="G51" s="10">
        <v>0.4</v>
      </c>
      <c r="H51" s="10">
        <v>0</v>
      </c>
      <c r="I51" s="10">
        <v>0</v>
      </c>
      <c r="J51" s="10">
        <v>0</v>
      </c>
      <c r="K51" s="10">
        <v>0</v>
      </c>
      <c r="L51" s="10">
        <v>0.4</v>
      </c>
      <c r="M51" s="10">
        <v>0</v>
      </c>
      <c r="N51" s="10">
        <v>0</v>
      </c>
    </row>
    <row r="52" spans="1:14" outlineLevel="1" x14ac:dyDescent="0.2">
      <c r="A52" s="9" t="s">
        <v>105</v>
      </c>
      <c r="B52" s="1" t="s">
        <v>106</v>
      </c>
      <c r="C52" s="10">
        <v>137.5</v>
      </c>
      <c r="D52" s="10">
        <v>140.80000000000001</v>
      </c>
      <c r="E52" s="10">
        <v>135</v>
      </c>
      <c r="F52" s="10">
        <v>144.19999999999999</v>
      </c>
      <c r="G52" s="10">
        <v>148.1</v>
      </c>
      <c r="H52" s="10">
        <v>152.5</v>
      </c>
      <c r="I52" s="10">
        <v>135.69999999999999</v>
      </c>
      <c r="J52" s="27">
        <v>151</v>
      </c>
      <c r="K52" s="27">
        <v>147</v>
      </c>
      <c r="L52" s="27">
        <v>144</v>
      </c>
      <c r="M52" s="27">
        <v>159</v>
      </c>
      <c r="N52" s="27">
        <v>158</v>
      </c>
    </row>
    <row r="53" spans="1:14" outlineLevel="1" x14ac:dyDescent="0.2">
      <c r="A53" s="9" t="s">
        <v>107</v>
      </c>
      <c r="B53" s="1" t="s">
        <v>108</v>
      </c>
      <c r="C53" s="10">
        <v>11.6</v>
      </c>
      <c r="D53" s="10">
        <v>8.6</v>
      </c>
      <c r="E53" s="10">
        <v>12.4</v>
      </c>
      <c r="F53" s="10">
        <v>20.399999999999999</v>
      </c>
      <c r="G53" s="10">
        <v>17.399999999999999</v>
      </c>
      <c r="H53" s="10">
        <v>0.6</v>
      </c>
      <c r="I53" s="10">
        <v>17.2</v>
      </c>
      <c r="J53" s="27">
        <v>18</v>
      </c>
      <c r="K53" s="27">
        <v>21</v>
      </c>
      <c r="L53" s="27">
        <v>15</v>
      </c>
      <c r="M53" s="27">
        <v>18</v>
      </c>
      <c r="N53" s="27">
        <v>21</v>
      </c>
    </row>
    <row r="54" spans="1:14" outlineLevel="1" x14ac:dyDescent="0.2">
      <c r="A54" s="9" t="s">
        <v>109</v>
      </c>
      <c r="B54" s="1" t="s">
        <v>110</v>
      </c>
      <c r="C54" s="10">
        <v>2.5</v>
      </c>
      <c r="D54" s="10">
        <v>2.1</v>
      </c>
      <c r="E54" s="10">
        <v>0.6</v>
      </c>
      <c r="F54" s="10">
        <v>3.1</v>
      </c>
      <c r="G54" s="10">
        <v>2.6</v>
      </c>
      <c r="H54" s="10">
        <v>3.1</v>
      </c>
      <c r="I54" s="10">
        <v>1.2</v>
      </c>
      <c r="J54" s="10">
        <v>0.6</v>
      </c>
      <c r="K54" s="10">
        <v>2</v>
      </c>
      <c r="L54" s="10">
        <v>2.6</v>
      </c>
      <c r="M54" s="10">
        <v>1.5</v>
      </c>
      <c r="N54" s="10">
        <v>1.2</v>
      </c>
    </row>
    <row r="55" spans="1:14" outlineLevel="1" x14ac:dyDescent="0.2">
      <c r="A55" s="9" t="s">
        <v>307</v>
      </c>
      <c r="B55" s="1" t="s">
        <v>308</v>
      </c>
      <c r="C55" s="10">
        <v>0</v>
      </c>
      <c r="D55" s="10">
        <v>0</v>
      </c>
      <c r="E55" s="10">
        <v>0</v>
      </c>
      <c r="F55" s="10">
        <v>0</v>
      </c>
      <c r="G55" s="10">
        <v>0.7</v>
      </c>
      <c r="H55" s="10">
        <v>0</v>
      </c>
      <c r="I55" s="10">
        <v>0</v>
      </c>
      <c r="J55" s="10">
        <v>0</v>
      </c>
      <c r="K55" s="10">
        <v>0</v>
      </c>
      <c r="L55" s="10">
        <v>0.7</v>
      </c>
      <c r="M55" s="10">
        <v>0</v>
      </c>
      <c r="N55" s="10">
        <v>0</v>
      </c>
    </row>
    <row r="56" spans="1:14" x14ac:dyDescent="0.2">
      <c r="A56" s="9" t="s">
        <v>111</v>
      </c>
      <c r="B56" s="1" t="s">
        <v>112</v>
      </c>
      <c r="C56" s="20">
        <f t="shared" ref="C56:M56" si="11">SUM(C57:C62)</f>
        <v>1.3</v>
      </c>
      <c r="D56" s="20">
        <f t="shared" si="11"/>
        <v>2.2000000000000002</v>
      </c>
      <c r="E56" s="20">
        <f t="shared" si="11"/>
        <v>3.3000000000000003</v>
      </c>
      <c r="F56" s="20">
        <f t="shared" si="11"/>
        <v>1</v>
      </c>
      <c r="G56" s="20">
        <f t="shared" si="11"/>
        <v>12.3</v>
      </c>
      <c r="H56" s="20">
        <f t="shared" si="11"/>
        <v>0</v>
      </c>
      <c r="I56" s="20">
        <f t="shared" si="11"/>
        <v>4</v>
      </c>
      <c r="J56" s="20">
        <f t="shared" si="11"/>
        <v>2.3000000000000003</v>
      </c>
      <c r="K56" s="20">
        <f t="shared" si="11"/>
        <v>1</v>
      </c>
      <c r="L56" s="20">
        <f t="shared" si="11"/>
        <v>12.3</v>
      </c>
      <c r="M56" s="20">
        <f t="shared" si="11"/>
        <v>1.5</v>
      </c>
      <c r="N56" s="20">
        <f>SUM(N57:N62)</f>
        <v>4</v>
      </c>
    </row>
    <row r="57" spans="1:14" outlineLevel="1" x14ac:dyDescent="0.2">
      <c r="A57" s="9" t="s">
        <v>113</v>
      </c>
      <c r="B57" s="1" t="s">
        <v>114</v>
      </c>
      <c r="C57" s="10">
        <v>1.3</v>
      </c>
      <c r="D57" s="10">
        <v>0.1</v>
      </c>
      <c r="E57" s="10">
        <v>0.1</v>
      </c>
      <c r="F57" s="10">
        <v>1</v>
      </c>
      <c r="G57" s="10">
        <v>1.2</v>
      </c>
      <c r="H57" s="10">
        <v>0</v>
      </c>
      <c r="I57" s="10">
        <v>1.3</v>
      </c>
      <c r="J57" s="10">
        <v>0.1</v>
      </c>
      <c r="K57" s="10">
        <v>1</v>
      </c>
      <c r="L57" s="10">
        <v>1.2</v>
      </c>
      <c r="M57" s="10">
        <v>0</v>
      </c>
      <c r="N57" s="10">
        <v>1.3</v>
      </c>
    </row>
    <row r="58" spans="1:14" outlineLevel="1" x14ac:dyDescent="0.2">
      <c r="A58" s="9" t="s">
        <v>309</v>
      </c>
      <c r="B58" s="1" t="s">
        <v>310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</row>
    <row r="59" spans="1:14" outlineLevel="1" x14ac:dyDescent="0.2">
      <c r="A59" s="9" t="s">
        <v>115</v>
      </c>
      <c r="B59" s="1" t="s">
        <v>116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</row>
    <row r="60" spans="1:14" outlineLevel="1" x14ac:dyDescent="0.2">
      <c r="A60" s="9" t="s">
        <v>311</v>
      </c>
      <c r="B60" s="1" t="s">
        <v>312</v>
      </c>
      <c r="C60" s="10">
        <v>0</v>
      </c>
      <c r="D60" s="10">
        <v>1.3</v>
      </c>
      <c r="E60" s="10">
        <v>3.2</v>
      </c>
      <c r="F60" s="10">
        <v>0</v>
      </c>
      <c r="G60" s="10">
        <v>1.1000000000000001</v>
      </c>
      <c r="H60" s="10">
        <v>0</v>
      </c>
      <c r="I60" s="10">
        <v>1.7</v>
      </c>
      <c r="J60" s="10">
        <v>2.2000000000000002</v>
      </c>
      <c r="K60" s="10">
        <v>0</v>
      </c>
      <c r="L60" s="10">
        <v>1.1000000000000001</v>
      </c>
      <c r="M60" s="10">
        <v>1.5</v>
      </c>
      <c r="N60" s="10">
        <v>1.7</v>
      </c>
    </row>
    <row r="61" spans="1:14" outlineLevel="1" x14ac:dyDescent="0.2">
      <c r="A61" s="9" t="s">
        <v>117</v>
      </c>
      <c r="B61" s="1" t="s">
        <v>118</v>
      </c>
      <c r="C61" s="10">
        <v>0</v>
      </c>
      <c r="D61" s="10">
        <v>0.8</v>
      </c>
      <c r="E61" s="10">
        <v>0</v>
      </c>
      <c r="F61" s="10">
        <v>0</v>
      </c>
      <c r="G61" s="10">
        <v>0</v>
      </c>
      <c r="H61" s="10">
        <v>0</v>
      </c>
      <c r="I61" s="10">
        <v>1</v>
      </c>
      <c r="J61" s="10">
        <v>0</v>
      </c>
      <c r="K61" s="10">
        <v>0</v>
      </c>
      <c r="L61" s="10">
        <v>0</v>
      </c>
      <c r="M61" s="10">
        <v>0</v>
      </c>
      <c r="N61" s="10">
        <v>1</v>
      </c>
    </row>
    <row r="62" spans="1:14" outlineLevel="1" x14ac:dyDescent="0.2">
      <c r="A62" s="9" t="s">
        <v>313</v>
      </c>
      <c r="B62" s="1" t="s">
        <v>314</v>
      </c>
      <c r="C62" s="10">
        <v>0</v>
      </c>
      <c r="D62" s="10">
        <v>0</v>
      </c>
      <c r="E62" s="10">
        <v>0</v>
      </c>
      <c r="F62" s="10">
        <v>0</v>
      </c>
      <c r="G62" s="10">
        <v>10</v>
      </c>
      <c r="H62" s="10">
        <v>0</v>
      </c>
      <c r="I62" s="10">
        <v>0</v>
      </c>
      <c r="J62" s="10">
        <v>0</v>
      </c>
      <c r="K62" s="10">
        <v>0</v>
      </c>
      <c r="L62" s="10">
        <v>10</v>
      </c>
      <c r="M62" s="10">
        <v>0</v>
      </c>
      <c r="N62" s="10">
        <v>0</v>
      </c>
    </row>
    <row r="63" spans="1:14" x14ac:dyDescent="0.2">
      <c r="A63" s="9" t="s">
        <v>119</v>
      </c>
      <c r="B63" s="1" t="s">
        <v>120</v>
      </c>
      <c r="C63" s="20">
        <f t="shared" ref="C63:M63" si="12">SUM(C64:C66)</f>
        <v>0.3</v>
      </c>
      <c r="D63" s="20">
        <f t="shared" si="12"/>
        <v>0.3</v>
      </c>
      <c r="E63" s="20">
        <f t="shared" si="12"/>
        <v>0.5</v>
      </c>
      <c r="F63" s="20">
        <f t="shared" si="12"/>
        <v>0.3</v>
      </c>
      <c r="G63" s="20">
        <f t="shared" si="12"/>
        <v>0.4</v>
      </c>
      <c r="H63" s="20">
        <f t="shared" si="12"/>
        <v>0.4</v>
      </c>
      <c r="I63" s="20">
        <f t="shared" si="12"/>
        <v>0.4</v>
      </c>
      <c r="J63" s="20">
        <f t="shared" si="12"/>
        <v>0.5</v>
      </c>
      <c r="K63" s="20">
        <f t="shared" si="12"/>
        <v>0.3</v>
      </c>
      <c r="L63" s="20">
        <f t="shared" si="12"/>
        <v>0.2</v>
      </c>
      <c r="M63" s="20">
        <f t="shared" si="12"/>
        <v>0.1</v>
      </c>
      <c r="N63" s="20">
        <f t="shared" ref="N63" si="13">SUM(N64:N66)</f>
        <v>0.5</v>
      </c>
    </row>
    <row r="64" spans="1:14" outlineLevel="1" x14ac:dyDescent="0.2">
      <c r="A64" s="9" t="s">
        <v>121</v>
      </c>
      <c r="B64" s="1" t="s">
        <v>122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</row>
    <row r="65" spans="1:14" outlineLevel="1" x14ac:dyDescent="0.2">
      <c r="A65" s="9" t="s">
        <v>123</v>
      </c>
      <c r="B65" s="1" t="s">
        <v>124</v>
      </c>
      <c r="C65" s="10">
        <v>0.3</v>
      </c>
      <c r="D65" s="10">
        <v>0.3</v>
      </c>
      <c r="E65" s="10">
        <v>0.5</v>
      </c>
      <c r="F65" s="10">
        <v>0.3</v>
      </c>
      <c r="G65" s="10">
        <v>0.4</v>
      </c>
      <c r="H65" s="10">
        <v>0.4</v>
      </c>
      <c r="I65" s="10">
        <v>0.3</v>
      </c>
      <c r="J65" s="10">
        <v>0.5</v>
      </c>
      <c r="K65" s="10">
        <v>0.3</v>
      </c>
      <c r="L65" s="10">
        <v>0.2</v>
      </c>
      <c r="M65" s="10">
        <v>0.1</v>
      </c>
      <c r="N65" s="10">
        <v>0.4</v>
      </c>
    </row>
    <row r="66" spans="1:14" outlineLevel="1" x14ac:dyDescent="0.2">
      <c r="A66" s="9" t="s">
        <v>125</v>
      </c>
      <c r="B66" s="1" t="s">
        <v>126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0.1</v>
      </c>
      <c r="J66" s="10">
        <v>0</v>
      </c>
      <c r="K66" s="10">
        <v>0</v>
      </c>
      <c r="L66" s="10">
        <v>0</v>
      </c>
      <c r="M66" s="10">
        <v>0</v>
      </c>
      <c r="N66" s="10">
        <v>0.1</v>
      </c>
    </row>
    <row r="67" spans="1:14" x14ac:dyDescent="0.2">
      <c r="A67" s="9" t="s">
        <v>127</v>
      </c>
      <c r="B67" s="1" t="s">
        <v>128</v>
      </c>
      <c r="C67" s="20">
        <f t="shared" ref="C67:M67" si="14">SUM(C68:C74)</f>
        <v>0.3</v>
      </c>
      <c r="D67" s="20">
        <f t="shared" si="14"/>
        <v>23.2</v>
      </c>
      <c r="E67" s="20">
        <f t="shared" si="14"/>
        <v>23.3</v>
      </c>
      <c r="F67" s="20">
        <f t="shared" si="14"/>
        <v>10</v>
      </c>
      <c r="G67" s="20">
        <f t="shared" si="14"/>
        <v>2.5</v>
      </c>
      <c r="H67" s="20">
        <f t="shared" si="14"/>
        <v>-0.2</v>
      </c>
      <c r="I67" s="20">
        <f t="shared" si="14"/>
        <v>10</v>
      </c>
      <c r="J67" s="20">
        <f t="shared" si="14"/>
        <v>23.3</v>
      </c>
      <c r="K67" s="20">
        <f t="shared" si="14"/>
        <v>10</v>
      </c>
      <c r="L67" s="20">
        <f t="shared" si="14"/>
        <v>12</v>
      </c>
      <c r="M67" s="20">
        <f t="shared" si="14"/>
        <v>15</v>
      </c>
      <c r="N67" s="20">
        <f t="shared" ref="N67" si="15">SUM(N68:N74)</f>
        <v>10</v>
      </c>
    </row>
    <row r="68" spans="1:14" outlineLevel="1" x14ac:dyDescent="0.2">
      <c r="A68" s="9" t="s">
        <v>315</v>
      </c>
      <c r="B68" s="1" t="s">
        <v>316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</row>
    <row r="69" spans="1:14" outlineLevel="1" x14ac:dyDescent="0.2">
      <c r="A69" s="9" t="s">
        <v>317</v>
      </c>
      <c r="B69" s="1" t="s">
        <v>318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</row>
    <row r="70" spans="1:14" outlineLevel="1" x14ac:dyDescent="0.2">
      <c r="A70" s="9" t="s">
        <v>129</v>
      </c>
      <c r="B70" s="1" t="s">
        <v>130</v>
      </c>
      <c r="C70" s="10">
        <v>0.3</v>
      </c>
      <c r="D70" s="10">
        <v>23.2</v>
      </c>
      <c r="E70" s="10">
        <v>23.2</v>
      </c>
      <c r="F70" s="10">
        <v>10</v>
      </c>
      <c r="G70" s="10">
        <v>2.5</v>
      </c>
      <c r="H70" s="10">
        <v>-0.2</v>
      </c>
      <c r="I70" s="10">
        <v>10</v>
      </c>
      <c r="J70" s="10">
        <v>23.2</v>
      </c>
      <c r="K70" s="10">
        <v>10</v>
      </c>
      <c r="L70" s="10">
        <v>12</v>
      </c>
      <c r="M70" s="10">
        <v>15</v>
      </c>
      <c r="N70" s="10">
        <v>10</v>
      </c>
    </row>
    <row r="71" spans="1:14" outlineLevel="1" x14ac:dyDescent="0.2">
      <c r="A71" s="9" t="s">
        <v>131</v>
      </c>
      <c r="B71" s="1" t="s">
        <v>132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>
        <v>0</v>
      </c>
      <c r="N71" s="10">
        <v>0</v>
      </c>
    </row>
    <row r="72" spans="1:14" outlineLevel="1" x14ac:dyDescent="0.2">
      <c r="A72" s="9" t="s">
        <v>321</v>
      </c>
      <c r="B72" s="1" t="s">
        <v>322</v>
      </c>
      <c r="C72" s="10">
        <v>0</v>
      </c>
      <c r="D72" s="10">
        <v>0</v>
      </c>
      <c r="E72" s="10">
        <v>0.1</v>
      </c>
      <c r="F72" s="10">
        <v>0</v>
      </c>
      <c r="G72" s="10">
        <v>0</v>
      </c>
      <c r="H72" s="10">
        <v>0</v>
      </c>
      <c r="I72" s="10">
        <v>0</v>
      </c>
      <c r="J72" s="10">
        <v>0.1</v>
      </c>
      <c r="K72" s="10">
        <v>0</v>
      </c>
      <c r="L72" s="10">
        <v>0</v>
      </c>
      <c r="M72" s="10">
        <v>0</v>
      </c>
      <c r="N72" s="10">
        <v>0</v>
      </c>
    </row>
    <row r="73" spans="1:14" outlineLevel="1" x14ac:dyDescent="0.2">
      <c r="A73" s="9" t="s">
        <v>323</v>
      </c>
      <c r="B73" s="1" t="s">
        <v>324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</row>
    <row r="74" spans="1:14" outlineLevel="1" x14ac:dyDescent="0.2">
      <c r="A74" s="9" t="s">
        <v>325</v>
      </c>
      <c r="B74" s="1" t="s">
        <v>326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</row>
    <row r="75" spans="1:14" x14ac:dyDescent="0.2">
      <c r="A75" s="9" t="s">
        <v>133</v>
      </c>
      <c r="B75" s="1" t="s">
        <v>134</v>
      </c>
      <c r="C75" s="20">
        <f t="shared" ref="C75:M75" si="16">SUM(C76:C82)</f>
        <v>9.9</v>
      </c>
      <c r="D75" s="20">
        <f t="shared" si="16"/>
        <v>6.9</v>
      </c>
      <c r="E75" s="20">
        <f t="shared" si="16"/>
        <v>7.6</v>
      </c>
      <c r="F75" s="20">
        <f t="shared" si="16"/>
        <v>1.6</v>
      </c>
      <c r="G75" s="20">
        <f t="shared" si="16"/>
        <v>2</v>
      </c>
      <c r="H75" s="20">
        <f t="shared" si="16"/>
        <v>10.199999999999999</v>
      </c>
      <c r="I75" s="20">
        <f t="shared" si="16"/>
        <v>10.5</v>
      </c>
      <c r="J75" s="20">
        <f t="shared" si="16"/>
        <v>7.6</v>
      </c>
      <c r="K75" s="20">
        <f t="shared" si="16"/>
        <v>1.6</v>
      </c>
      <c r="L75" s="20">
        <f t="shared" si="16"/>
        <v>2</v>
      </c>
      <c r="M75" s="20">
        <f t="shared" si="16"/>
        <v>15.7</v>
      </c>
      <c r="N75" s="20">
        <f t="shared" ref="N75" si="17">SUM(N76:N82)</f>
        <v>15.2</v>
      </c>
    </row>
    <row r="76" spans="1:14" outlineLevel="1" x14ac:dyDescent="0.2">
      <c r="A76" s="9" t="s">
        <v>327</v>
      </c>
      <c r="B76" s="1" t="s">
        <v>328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</row>
    <row r="77" spans="1:14" outlineLevel="1" x14ac:dyDescent="0.2">
      <c r="A77" s="9" t="s">
        <v>329</v>
      </c>
      <c r="B77" s="1" t="s">
        <v>330</v>
      </c>
      <c r="C77" s="10">
        <v>0</v>
      </c>
      <c r="D77" s="10">
        <v>0</v>
      </c>
      <c r="E77" s="10">
        <v>0.8</v>
      </c>
      <c r="F77" s="10">
        <v>0</v>
      </c>
      <c r="G77" s="10">
        <v>1.5</v>
      </c>
      <c r="H77" s="10">
        <v>9.6999999999999993</v>
      </c>
      <c r="I77" s="10">
        <v>10</v>
      </c>
      <c r="J77" s="10">
        <v>0.8</v>
      </c>
      <c r="K77" s="10">
        <v>0</v>
      </c>
      <c r="L77" s="10">
        <v>1.5</v>
      </c>
      <c r="M77" s="10">
        <v>9.6999999999999993</v>
      </c>
      <c r="N77" s="10">
        <v>10</v>
      </c>
    </row>
    <row r="78" spans="1:14" outlineLevel="1" x14ac:dyDescent="0.2">
      <c r="A78" s="9" t="s">
        <v>331</v>
      </c>
      <c r="B78" s="1" t="s">
        <v>332</v>
      </c>
      <c r="C78" s="10">
        <v>1.5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10">
        <v>0</v>
      </c>
      <c r="K78" s="10">
        <v>0</v>
      </c>
      <c r="L78" s="10">
        <v>0</v>
      </c>
      <c r="M78" s="10">
        <v>0</v>
      </c>
      <c r="N78" s="10">
        <v>0</v>
      </c>
    </row>
    <row r="79" spans="1:14" outlineLevel="1" x14ac:dyDescent="0.2">
      <c r="A79" s="9" t="s">
        <v>135</v>
      </c>
      <c r="B79" s="1" t="s">
        <v>136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</row>
    <row r="80" spans="1:14" outlineLevel="1" x14ac:dyDescent="0.2">
      <c r="A80" s="9" t="s">
        <v>333</v>
      </c>
      <c r="B80" s="1" t="s">
        <v>334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</row>
    <row r="81" spans="1:14" outlineLevel="1" x14ac:dyDescent="0.2">
      <c r="A81" s="9" t="s">
        <v>335</v>
      </c>
      <c r="B81" s="1" t="s">
        <v>336</v>
      </c>
      <c r="C81" s="10">
        <v>7.9</v>
      </c>
      <c r="D81" s="10">
        <v>6.4</v>
      </c>
      <c r="E81" s="10">
        <v>6.3</v>
      </c>
      <c r="F81" s="10">
        <v>1.1000000000000001</v>
      </c>
      <c r="G81" s="10">
        <v>0</v>
      </c>
      <c r="H81" s="10">
        <v>0</v>
      </c>
      <c r="I81" s="10">
        <v>0</v>
      </c>
      <c r="J81" s="10">
        <v>6.3</v>
      </c>
      <c r="K81" s="10">
        <v>1.1000000000000001</v>
      </c>
      <c r="L81" s="10">
        <v>0</v>
      </c>
      <c r="M81" s="10">
        <v>5.5</v>
      </c>
      <c r="N81" s="10">
        <v>4.7</v>
      </c>
    </row>
    <row r="82" spans="1:14" outlineLevel="1" x14ac:dyDescent="0.2">
      <c r="A82" s="9" t="s">
        <v>337</v>
      </c>
      <c r="B82" s="1" t="s">
        <v>338</v>
      </c>
      <c r="C82" s="10">
        <v>0.5</v>
      </c>
      <c r="D82" s="10">
        <v>0.5</v>
      </c>
      <c r="E82" s="10">
        <v>0.5</v>
      </c>
      <c r="F82" s="10">
        <v>0.5</v>
      </c>
      <c r="G82" s="10">
        <v>0.5</v>
      </c>
      <c r="H82" s="10">
        <v>0.5</v>
      </c>
      <c r="I82" s="10">
        <v>0.5</v>
      </c>
      <c r="J82" s="10">
        <v>0.5</v>
      </c>
      <c r="K82" s="10">
        <v>0.5</v>
      </c>
      <c r="L82" s="10">
        <v>0.5</v>
      </c>
      <c r="M82" s="10">
        <v>0.5</v>
      </c>
      <c r="N82" s="10">
        <v>0.5</v>
      </c>
    </row>
    <row r="83" spans="1:14" x14ac:dyDescent="0.2">
      <c r="A83" s="9" t="s">
        <v>137</v>
      </c>
      <c r="B83" s="1" t="s">
        <v>138</v>
      </c>
      <c r="C83" s="20">
        <f t="shared" ref="C83:M83" si="18">SUM(C84:C87)</f>
        <v>0</v>
      </c>
      <c r="D83" s="20">
        <f t="shared" si="18"/>
        <v>0</v>
      </c>
      <c r="E83" s="20">
        <f t="shared" si="18"/>
        <v>0</v>
      </c>
      <c r="F83" s="20">
        <f t="shared" si="18"/>
        <v>0</v>
      </c>
      <c r="G83" s="20">
        <f t="shared" si="18"/>
        <v>0</v>
      </c>
      <c r="H83" s="20">
        <f t="shared" si="18"/>
        <v>0</v>
      </c>
      <c r="I83" s="20">
        <f t="shared" si="18"/>
        <v>0</v>
      </c>
      <c r="J83" s="20">
        <f t="shared" si="18"/>
        <v>0</v>
      </c>
      <c r="K83" s="20">
        <f t="shared" si="18"/>
        <v>0</v>
      </c>
      <c r="L83" s="20">
        <f t="shared" si="18"/>
        <v>0</v>
      </c>
      <c r="M83" s="20">
        <f t="shared" si="18"/>
        <v>0</v>
      </c>
      <c r="N83" s="20">
        <f t="shared" ref="N83" si="19">SUM(N84:N87)</f>
        <v>0</v>
      </c>
    </row>
    <row r="84" spans="1:14" outlineLevel="1" x14ac:dyDescent="0.2">
      <c r="A84" s="9" t="s">
        <v>339</v>
      </c>
      <c r="B84" s="1" t="s">
        <v>340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</row>
    <row r="85" spans="1:14" outlineLevel="1" x14ac:dyDescent="0.2">
      <c r="A85" s="9" t="s">
        <v>345</v>
      </c>
      <c r="B85" s="1" t="s">
        <v>346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outlineLevel="1" x14ac:dyDescent="0.2">
      <c r="A86" s="9" t="s">
        <v>349</v>
      </c>
      <c r="B86" s="1" t="s">
        <v>350</v>
      </c>
      <c r="C86" s="10">
        <v>0</v>
      </c>
      <c r="D86" s="10">
        <v>0</v>
      </c>
      <c r="E86" s="10">
        <v>0</v>
      </c>
      <c r="F86" s="10">
        <v>0</v>
      </c>
      <c r="G86" s="10">
        <v>0</v>
      </c>
      <c r="H86" s="10">
        <v>0</v>
      </c>
      <c r="I86" s="10">
        <v>0</v>
      </c>
      <c r="J86" s="10">
        <v>0</v>
      </c>
      <c r="K86" s="10">
        <v>0</v>
      </c>
      <c r="L86" s="10">
        <v>0</v>
      </c>
      <c r="M86" s="10">
        <v>0</v>
      </c>
      <c r="N86" s="10">
        <v>0</v>
      </c>
    </row>
    <row r="87" spans="1:14" outlineLevel="1" x14ac:dyDescent="0.2">
      <c r="A87" s="9" t="s">
        <v>351</v>
      </c>
      <c r="B87" s="1" t="s">
        <v>352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</row>
    <row r="88" spans="1:14" x14ac:dyDescent="0.2">
      <c r="A88" s="9" t="s">
        <v>139</v>
      </c>
      <c r="B88" s="1" t="s">
        <v>140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</row>
    <row r="89" spans="1:14" x14ac:dyDescent="0.2">
      <c r="A89" s="9" t="s">
        <v>141</v>
      </c>
      <c r="B89" s="1" t="s">
        <v>142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</row>
    <row r="90" spans="1:14" x14ac:dyDescent="0.2">
      <c r="A90" s="9" t="s">
        <v>143</v>
      </c>
      <c r="B90" s="1" t="s">
        <v>144</v>
      </c>
      <c r="C90" s="20">
        <f t="shared" ref="C90:M90" si="20">SUM(C91:C96)</f>
        <v>-2</v>
      </c>
      <c r="D90" s="20">
        <f t="shared" si="20"/>
        <v>15.4</v>
      </c>
      <c r="E90" s="20">
        <f t="shared" si="20"/>
        <v>7</v>
      </c>
      <c r="F90" s="20">
        <f t="shared" si="20"/>
        <v>33.4</v>
      </c>
      <c r="G90" s="20">
        <f t="shared" si="20"/>
        <v>7.5</v>
      </c>
      <c r="H90" s="20">
        <f t="shared" si="20"/>
        <v>1.2</v>
      </c>
      <c r="I90" s="20">
        <f t="shared" si="20"/>
        <v>11.6</v>
      </c>
      <c r="J90" s="20">
        <f t="shared" si="20"/>
        <v>3</v>
      </c>
      <c r="K90" s="20">
        <f t="shared" si="20"/>
        <v>33.700000000000003</v>
      </c>
      <c r="L90" s="20">
        <f t="shared" si="20"/>
        <v>2</v>
      </c>
      <c r="M90" s="20">
        <f t="shared" si="20"/>
        <v>8</v>
      </c>
      <c r="N90" s="20">
        <f t="shared" ref="N90" si="21">SUM(N91:N96)</f>
        <v>6.6</v>
      </c>
    </row>
    <row r="91" spans="1:14" outlineLevel="1" x14ac:dyDescent="0.2">
      <c r="A91" s="9" t="s">
        <v>145</v>
      </c>
      <c r="B91" s="1" t="s">
        <v>146</v>
      </c>
      <c r="C91" s="10">
        <v>0</v>
      </c>
      <c r="D91" s="10">
        <v>0</v>
      </c>
      <c r="E91" s="10">
        <v>0</v>
      </c>
      <c r="F91" s="10">
        <v>0</v>
      </c>
      <c r="G91" s="10">
        <v>0</v>
      </c>
      <c r="H91" s="10">
        <v>0</v>
      </c>
      <c r="I91" s="10">
        <v>0</v>
      </c>
      <c r="J91" s="10">
        <v>0</v>
      </c>
      <c r="K91" s="10">
        <v>0</v>
      </c>
      <c r="L91" s="10">
        <v>0</v>
      </c>
      <c r="M91" s="10">
        <v>0</v>
      </c>
      <c r="N91" s="10">
        <v>0</v>
      </c>
    </row>
    <row r="92" spans="1:14" outlineLevel="1" x14ac:dyDescent="0.2">
      <c r="A92" s="9" t="s">
        <v>149</v>
      </c>
      <c r="B92" s="1" t="s">
        <v>150</v>
      </c>
      <c r="C92" s="10">
        <v>0</v>
      </c>
      <c r="D92" s="10">
        <v>0</v>
      </c>
      <c r="E92" s="10">
        <v>0</v>
      </c>
      <c r="F92" s="10">
        <v>19.899999999999999</v>
      </c>
      <c r="G92" s="10">
        <v>0</v>
      </c>
      <c r="H92" s="10">
        <v>0</v>
      </c>
      <c r="I92" s="10">
        <v>0</v>
      </c>
      <c r="J92" s="10">
        <v>0</v>
      </c>
      <c r="K92" s="10">
        <v>19.899999999999999</v>
      </c>
      <c r="L92" s="10">
        <v>0</v>
      </c>
      <c r="M92" s="10">
        <v>0</v>
      </c>
      <c r="N92" s="10">
        <v>0</v>
      </c>
    </row>
    <row r="93" spans="1:14" outlineLevel="1" x14ac:dyDescent="0.2">
      <c r="A93" s="9" t="s">
        <v>151</v>
      </c>
      <c r="B93" s="1" t="s">
        <v>152</v>
      </c>
      <c r="C93" s="10">
        <v>0</v>
      </c>
      <c r="D93" s="10">
        <v>0</v>
      </c>
      <c r="E93" s="10">
        <v>0</v>
      </c>
      <c r="F93" s="10">
        <v>0.8</v>
      </c>
      <c r="G93" s="10">
        <v>0</v>
      </c>
      <c r="H93" s="10">
        <v>0</v>
      </c>
      <c r="I93" s="10">
        <v>0</v>
      </c>
      <c r="J93" s="10">
        <v>0</v>
      </c>
      <c r="K93" s="10">
        <v>0.8</v>
      </c>
      <c r="L93" s="10">
        <v>0</v>
      </c>
      <c r="M93" s="10">
        <v>0</v>
      </c>
      <c r="N93" s="10">
        <v>0</v>
      </c>
    </row>
    <row r="94" spans="1:14" outlineLevel="1" x14ac:dyDescent="0.2">
      <c r="A94" s="9" t="s">
        <v>355</v>
      </c>
      <c r="B94" s="1" t="s">
        <v>356</v>
      </c>
      <c r="C94" s="10">
        <v>0</v>
      </c>
      <c r="D94" s="10">
        <v>15.4</v>
      </c>
      <c r="E94" s="10">
        <v>7</v>
      </c>
      <c r="F94" s="10">
        <v>4.7</v>
      </c>
      <c r="G94" s="10">
        <v>7.5</v>
      </c>
      <c r="H94" s="10">
        <v>1.2</v>
      </c>
      <c r="I94" s="10">
        <v>7</v>
      </c>
      <c r="J94" s="27">
        <v>3</v>
      </c>
      <c r="K94" s="27">
        <v>5</v>
      </c>
      <c r="L94" s="27">
        <v>2</v>
      </c>
      <c r="M94" s="27">
        <v>8</v>
      </c>
      <c r="N94" s="27">
        <v>2</v>
      </c>
    </row>
    <row r="95" spans="1:14" outlineLevel="1" x14ac:dyDescent="0.2">
      <c r="A95" s="9" t="s">
        <v>153</v>
      </c>
      <c r="B95" s="1" t="s">
        <v>154</v>
      </c>
      <c r="C95" s="10">
        <v>0</v>
      </c>
      <c r="D95" s="10">
        <v>0</v>
      </c>
      <c r="E95" s="10">
        <v>0</v>
      </c>
      <c r="F95" s="10">
        <v>3.5</v>
      </c>
      <c r="G95" s="10">
        <v>0</v>
      </c>
      <c r="H95" s="10">
        <v>0</v>
      </c>
      <c r="I95" s="10">
        <v>0</v>
      </c>
      <c r="J95" s="10">
        <v>0</v>
      </c>
      <c r="K95" s="10">
        <v>3.5</v>
      </c>
      <c r="L95" s="10">
        <v>0</v>
      </c>
      <c r="M95" s="10">
        <v>0</v>
      </c>
      <c r="N95" s="10">
        <v>0</v>
      </c>
    </row>
    <row r="96" spans="1:14" outlineLevel="1" x14ac:dyDescent="0.2">
      <c r="A96" s="9" t="s">
        <v>155</v>
      </c>
      <c r="B96" s="1" t="s">
        <v>156</v>
      </c>
      <c r="C96" s="10">
        <v>-2</v>
      </c>
      <c r="D96" s="10">
        <v>0</v>
      </c>
      <c r="E96" s="10">
        <v>0</v>
      </c>
      <c r="F96" s="10">
        <v>4.5</v>
      </c>
      <c r="G96" s="10">
        <v>0</v>
      </c>
      <c r="H96" s="10">
        <v>0</v>
      </c>
      <c r="I96" s="10">
        <v>4.5999999999999996</v>
      </c>
      <c r="J96" s="10">
        <v>0</v>
      </c>
      <c r="K96" s="10">
        <v>4.5</v>
      </c>
      <c r="L96" s="10">
        <v>0</v>
      </c>
      <c r="M96" s="10">
        <v>0</v>
      </c>
      <c r="N96" s="10">
        <v>4.5999999999999996</v>
      </c>
    </row>
    <row r="97" spans="1:14" x14ac:dyDescent="0.2">
      <c r="A97" s="9" t="s">
        <v>157</v>
      </c>
      <c r="B97" s="1" t="s">
        <v>158</v>
      </c>
      <c r="C97" s="20">
        <f t="shared" ref="C97:I97" si="22">+C98</f>
        <v>2.2999999999999998</v>
      </c>
      <c r="D97" s="20">
        <f t="shared" si="22"/>
        <v>4.5999999999999996</v>
      </c>
      <c r="E97" s="20">
        <f t="shared" si="22"/>
        <v>-5.6</v>
      </c>
      <c r="F97" s="20">
        <f t="shared" si="22"/>
        <v>-3.7</v>
      </c>
      <c r="G97" s="20">
        <f t="shared" si="22"/>
        <v>5.5</v>
      </c>
      <c r="H97" s="20">
        <f t="shared" si="22"/>
        <v>-8.8000000000000007</v>
      </c>
      <c r="I97" s="20">
        <f t="shared" si="22"/>
        <v>8.5</v>
      </c>
      <c r="J97" s="20">
        <f>+J98</f>
        <v>-5.6</v>
      </c>
      <c r="K97" s="20">
        <f t="shared" ref="K97:N97" si="23">+K98</f>
        <v>3.2</v>
      </c>
      <c r="L97" s="20">
        <f t="shared" si="23"/>
        <v>-4.8</v>
      </c>
      <c r="M97" s="20">
        <f t="shared" si="23"/>
        <v>-8.8000000000000007</v>
      </c>
      <c r="N97" s="20">
        <f t="shared" si="23"/>
        <v>8.5</v>
      </c>
    </row>
    <row r="98" spans="1:14" outlineLevel="1" x14ac:dyDescent="0.2">
      <c r="A98" s="9" t="s">
        <v>159</v>
      </c>
      <c r="B98" s="1" t="s">
        <v>160</v>
      </c>
      <c r="C98" s="10">
        <v>2.2999999999999998</v>
      </c>
      <c r="D98" s="10">
        <v>4.5999999999999996</v>
      </c>
      <c r="E98" s="10">
        <v>-5.6</v>
      </c>
      <c r="F98" s="10">
        <v>-3.7</v>
      </c>
      <c r="G98" s="10">
        <v>5.5</v>
      </c>
      <c r="H98" s="10">
        <v>-8.8000000000000007</v>
      </c>
      <c r="I98" s="10">
        <v>8.5</v>
      </c>
      <c r="J98" s="10">
        <v>-5.6</v>
      </c>
      <c r="K98" s="10">
        <v>3.2</v>
      </c>
      <c r="L98" s="10">
        <v>-4.8</v>
      </c>
      <c r="M98" s="10">
        <v>-8.8000000000000007</v>
      </c>
      <c r="N98" s="10">
        <v>8.5</v>
      </c>
    </row>
    <row r="99" spans="1:14" x14ac:dyDescent="0.2">
      <c r="A99" s="3"/>
      <c r="B99" s="3" t="s">
        <v>165</v>
      </c>
      <c r="C99" s="22">
        <f t="shared" ref="C99:M99" si="24">+C35+C56+C63+C67+C75+C83+C88+C89+C90+C97</f>
        <v>294.3</v>
      </c>
      <c r="D99" s="22">
        <f t="shared" si="24"/>
        <v>321.2</v>
      </c>
      <c r="E99" s="22">
        <f t="shared" si="24"/>
        <v>309.10000000000002</v>
      </c>
      <c r="F99" s="22">
        <f t="shared" si="24"/>
        <v>362.5</v>
      </c>
      <c r="G99" s="22">
        <f t="shared" si="24"/>
        <v>336.29999999999995</v>
      </c>
      <c r="H99" s="22">
        <f t="shared" si="24"/>
        <v>274.89999999999998</v>
      </c>
      <c r="I99" s="22">
        <f t="shared" si="24"/>
        <v>322.7</v>
      </c>
      <c r="J99" s="22">
        <f t="shared" si="24"/>
        <v>316.3</v>
      </c>
      <c r="K99" s="22">
        <f t="shared" si="24"/>
        <v>361.00000000000006</v>
      </c>
      <c r="L99" s="22">
        <f t="shared" si="24"/>
        <v>322.5</v>
      </c>
      <c r="M99" s="22">
        <f t="shared" si="24"/>
        <v>321.89999999999998</v>
      </c>
      <c r="N99" s="22">
        <f t="shared" ref="N99" si="25">+N35+N56+N63+N67+N75+N83+N88+N89+N90+N97</f>
        <v>351</v>
      </c>
    </row>
    <row r="100" spans="1:14" x14ac:dyDescent="0.2">
      <c r="A100" s="12"/>
      <c r="B100" s="12" t="s">
        <v>166</v>
      </c>
      <c r="C100" s="23">
        <f t="shared" ref="C100:M100" si="26">+C33-C99</f>
        <v>97.899999999999977</v>
      </c>
      <c r="D100" s="23">
        <f t="shared" si="26"/>
        <v>-5</v>
      </c>
      <c r="E100" s="23">
        <f t="shared" si="26"/>
        <v>66.5</v>
      </c>
      <c r="F100" s="23">
        <f t="shared" si="26"/>
        <v>112.80000000000001</v>
      </c>
      <c r="G100" s="23">
        <f t="shared" si="26"/>
        <v>19.700000000000045</v>
      </c>
      <c r="H100" s="23">
        <f t="shared" si="26"/>
        <v>87.200000000000045</v>
      </c>
      <c r="I100" s="23">
        <f t="shared" si="26"/>
        <v>36.5</v>
      </c>
      <c r="J100" s="23">
        <f t="shared" si="26"/>
        <v>59.300000000000011</v>
      </c>
      <c r="K100" s="23">
        <f t="shared" si="26"/>
        <v>114.29999999999995</v>
      </c>
      <c r="L100" s="23">
        <f t="shared" si="26"/>
        <v>33.5</v>
      </c>
      <c r="M100" s="23">
        <f t="shared" si="26"/>
        <v>40.200000000000045</v>
      </c>
      <c r="N100" s="23">
        <f t="shared" ref="N100" si="27">+N33-N99</f>
        <v>8.1999999999999886</v>
      </c>
    </row>
    <row r="101" spans="1:14" x14ac:dyDescent="0.2">
      <c r="A101" s="9" t="s">
        <v>167</v>
      </c>
      <c r="B101" s="1" t="s">
        <v>168</v>
      </c>
      <c r="C101" s="20">
        <f t="shared" ref="C101:J101" si="28">SUM(C102:C115)</f>
        <v>78.599999999999994</v>
      </c>
      <c r="D101" s="20">
        <f t="shared" si="28"/>
        <v>84.899999999999991</v>
      </c>
      <c r="E101" s="20">
        <f t="shared" si="28"/>
        <v>79.199999999999989</v>
      </c>
      <c r="F101" s="20">
        <f t="shared" si="28"/>
        <v>124.30000000000001</v>
      </c>
      <c r="G101" s="20">
        <f t="shared" si="28"/>
        <v>120.49999999999999</v>
      </c>
      <c r="H101" s="20">
        <f t="shared" si="28"/>
        <v>109.59999999999998</v>
      </c>
      <c r="I101" s="20">
        <f t="shared" si="28"/>
        <v>136.79999999999998</v>
      </c>
      <c r="J101" s="20">
        <f t="shared" si="28"/>
        <v>115.29999999999998</v>
      </c>
      <c r="K101" s="20">
        <f t="shared" ref="K101:N101" si="29">SUM(K102:K115)</f>
        <v>115.3</v>
      </c>
      <c r="L101" s="20">
        <f t="shared" si="29"/>
        <v>84.199999999999989</v>
      </c>
      <c r="M101" s="20">
        <f t="shared" si="29"/>
        <v>82.699999999999974</v>
      </c>
      <c r="N101" s="20">
        <f t="shared" si="29"/>
        <v>118.5</v>
      </c>
    </row>
    <row r="102" spans="1:14" outlineLevel="1" x14ac:dyDescent="0.2">
      <c r="A102" s="9" t="s">
        <v>169</v>
      </c>
      <c r="B102" s="1" t="s">
        <v>170</v>
      </c>
      <c r="C102" s="10">
        <v>3.2</v>
      </c>
      <c r="D102" s="10">
        <v>3.2</v>
      </c>
      <c r="E102" s="10">
        <v>3.1</v>
      </c>
      <c r="F102" s="10">
        <v>4.2</v>
      </c>
      <c r="G102" s="10">
        <v>4.3</v>
      </c>
      <c r="H102" s="10">
        <v>4.0999999999999996</v>
      </c>
      <c r="I102" s="10">
        <v>7.5</v>
      </c>
      <c r="J102" s="10">
        <v>3.1</v>
      </c>
      <c r="K102" s="10">
        <v>4.2</v>
      </c>
      <c r="L102" s="10">
        <v>4.3</v>
      </c>
      <c r="M102" s="10">
        <v>4.0999999999999996</v>
      </c>
      <c r="N102" s="10">
        <v>7.5</v>
      </c>
    </row>
    <row r="103" spans="1:14" outlineLevel="1" x14ac:dyDescent="0.2">
      <c r="A103" s="9" t="s">
        <v>171</v>
      </c>
      <c r="B103" s="1" t="s">
        <v>172</v>
      </c>
      <c r="C103" s="10">
        <v>19.8</v>
      </c>
      <c r="D103" s="10">
        <v>12.8</v>
      </c>
      <c r="E103" s="10">
        <v>10.199999999999999</v>
      </c>
      <c r="F103" s="10">
        <v>37.9</v>
      </c>
      <c r="G103" s="10">
        <v>4.4000000000000004</v>
      </c>
      <c r="H103" s="10">
        <v>6.3</v>
      </c>
      <c r="I103" s="10">
        <v>28.1</v>
      </c>
      <c r="J103" s="10">
        <v>10.199999999999999</v>
      </c>
      <c r="K103" s="10">
        <v>37.9</v>
      </c>
      <c r="L103" s="10">
        <v>4.4000000000000004</v>
      </c>
      <c r="M103" s="10">
        <v>6.3</v>
      </c>
      <c r="N103" s="10">
        <v>28.1</v>
      </c>
    </row>
    <row r="104" spans="1:14" outlineLevel="1" x14ac:dyDescent="0.2">
      <c r="A104" s="9" t="s">
        <v>175</v>
      </c>
      <c r="B104" s="1" t="s">
        <v>176</v>
      </c>
      <c r="C104" s="10">
        <v>28</v>
      </c>
      <c r="D104" s="10">
        <v>34.1</v>
      </c>
      <c r="E104" s="10">
        <v>36.4</v>
      </c>
      <c r="F104" s="10">
        <v>50.8</v>
      </c>
      <c r="G104" s="10">
        <v>76.599999999999994</v>
      </c>
      <c r="H104" s="10">
        <v>67.099999999999994</v>
      </c>
      <c r="I104" s="10">
        <v>73.599999999999994</v>
      </c>
      <c r="J104" s="27">
        <v>72</v>
      </c>
      <c r="K104" s="27">
        <v>41</v>
      </c>
      <c r="L104" s="27">
        <v>42</v>
      </c>
      <c r="M104" s="27">
        <v>40</v>
      </c>
      <c r="N104" s="27">
        <v>55</v>
      </c>
    </row>
    <row r="105" spans="1:14" outlineLevel="1" x14ac:dyDescent="0.2">
      <c r="A105" s="9" t="s">
        <v>177</v>
      </c>
      <c r="B105" s="1" t="s">
        <v>178</v>
      </c>
      <c r="C105" s="10">
        <v>3.3</v>
      </c>
      <c r="D105" s="10">
        <v>3.6</v>
      </c>
      <c r="E105" s="10">
        <v>3.5</v>
      </c>
      <c r="F105" s="10">
        <v>4.2</v>
      </c>
      <c r="G105" s="10">
        <v>5.7</v>
      </c>
      <c r="H105" s="10">
        <v>4.8</v>
      </c>
      <c r="I105" s="10">
        <v>4.7</v>
      </c>
      <c r="J105" s="10">
        <v>4</v>
      </c>
      <c r="K105" s="10">
        <v>5</v>
      </c>
      <c r="L105" s="10">
        <v>4</v>
      </c>
      <c r="M105" s="10">
        <v>5</v>
      </c>
      <c r="N105" s="10">
        <v>5</v>
      </c>
    </row>
    <row r="106" spans="1:14" outlineLevel="1" x14ac:dyDescent="0.2">
      <c r="A106" s="9" t="s">
        <v>181</v>
      </c>
      <c r="B106" s="1" t="s">
        <v>182</v>
      </c>
      <c r="C106" s="10">
        <v>14.2</v>
      </c>
      <c r="D106" s="10">
        <v>17.100000000000001</v>
      </c>
      <c r="E106" s="10">
        <v>10.6</v>
      </c>
      <c r="F106" s="10">
        <v>8</v>
      </c>
      <c r="G106" s="10">
        <v>9.6</v>
      </c>
      <c r="H106" s="10">
        <v>9.1999999999999993</v>
      </c>
      <c r="I106" s="10">
        <v>7.3</v>
      </c>
      <c r="J106" s="10">
        <v>10.6</v>
      </c>
      <c r="K106" s="10">
        <v>8</v>
      </c>
      <c r="L106" s="10">
        <v>9.6</v>
      </c>
      <c r="M106" s="10">
        <v>9.1999999999999993</v>
      </c>
      <c r="N106" s="10">
        <v>7.3</v>
      </c>
    </row>
    <row r="107" spans="1:14" outlineLevel="1" x14ac:dyDescent="0.2">
      <c r="A107" s="9" t="s">
        <v>183</v>
      </c>
      <c r="B107" s="1" t="s">
        <v>184</v>
      </c>
      <c r="C107" s="10">
        <v>0</v>
      </c>
      <c r="D107" s="10">
        <v>0.6</v>
      </c>
      <c r="E107" s="10">
        <v>3.6</v>
      </c>
      <c r="F107" s="10">
        <v>6.9</v>
      </c>
      <c r="G107" s="10">
        <v>9</v>
      </c>
      <c r="H107" s="10">
        <v>4.5</v>
      </c>
      <c r="I107" s="10">
        <v>2.6</v>
      </c>
      <c r="J107" s="10">
        <v>3.6</v>
      </c>
      <c r="K107" s="10">
        <v>6.9</v>
      </c>
      <c r="L107" s="10">
        <v>9</v>
      </c>
      <c r="M107" s="10">
        <v>4.5</v>
      </c>
      <c r="N107" s="10">
        <v>2.6</v>
      </c>
    </row>
    <row r="108" spans="1:14" outlineLevel="1" x14ac:dyDescent="0.2">
      <c r="A108" s="9" t="s">
        <v>185</v>
      </c>
      <c r="B108" s="1" t="s">
        <v>186</v>
      </c>
      <c r="C108" s="10">
        <v>1.8</v>
      </c>
      <c r="D108" s="10">
        <v>1.6</v>
      </c>
      <c r="E108" s="10">
        <v>2.5</v>
      </c>
      <c r="F108" s="10">
        <v>2.2999999999999998</v>
      </c>
      <c r="G108" s="10">
        <v>2.8</v>
      </c>
      <c r="H108" s="10">
        <v>2.1</v>
      </c>
      <c r="I108" s="10">
        <v>3.9</v>
      </c>
      <c r="J108" s="10">
        <v>2.5</v>
      </c>
      <c r="K108" s="10">
        <v>2.2999999999999998</v>
      </c>
      <c r="L108" s="10">
        <v>2.8</v>
      </c>
      <c r="M108" s="10">
        <v>2.1</v>
      </c>
      <c r="N108" s="10">
        <v>3.9</v>
      </c>
    </row>
    <row r="109" spans="1:14" outlineLevel="1" x14ac:dyDescent="0.2">
      <c r="A109" s="9" t="s">
        <v>187</v>
      </c>
      <c r="B109" s="1" t="s">
        <v>184</v>
      </c>
      <c r="C109" s="10">
        <v>0.3</v>
      </c>
      <c r="D109" s="10">
        <v>0.3</v>
      </c>
      <c r="E109" s="10">
        <v>0.3</v>
      </c>
      <c r="F109" s="10">
        <v>0.3</v>
      </c>
      <c r="G109" s="10">
        <v>0.3</v>
      </c>
      <c r="H109" s="10">
        <v>0.3</v>
      </c>
      <c r="I109" s="10">
        <v>0.3</v>
      </c>
      <c r="J109" s="10">
        <v>0.3</v>
      </c>
      <c r="K109" s="10">
        <v>0.3</v>
      </c>
      <c r="L109" s="10">
        <v>0.3</v>
      </c>
      <c r="M109" s="10">
        <v>0.3</v>
      </c>
      <c r="N109" s="10">
        <v>0.3</v>
      </c>
    </row>
    <row r="110" spans="1:14" outlineLevel="1" x14ac:dyDescent="0.2">
      <c r="A110" s="9" t="s">
        <v>188</v>
      </c>
      <c r="B110" s="1" t="s">
        <v>189</v>
      </c>
      <c r="C110" s="10">
        <v>2.6</v>
      </c>
      <c r="D110" s="10">
        <v>2.7</v>
      </c>
      <c r="E110" s="10">
        <v>3.6</v>
      </c>
      <c r="F110" s="10">
        <v>3.6</v>
      </c>
      <c r="G110" s="10">
        <v>1.9</v>
      </c>
      <c r="H110" s="10">
        <v>3.8</v>
      </c>
      <c r="I110" s="10">
        <v>2.2999999999999998</v>
      </c>
      <c r="J110" s="10">
        <v>3.6</v>
      </c>
      <c r="K110" s="10">
        <v>3.6</v>
      </c>
      <c r="L110" s="10">
        <v>1.9</v>
      </c>
      <c r="M110" s="10">
        <v>3.8</v>
      </c>
      <c r="N110" s="10">
        <v>2.2999999999999998</v>
      </c>
    </row>
    <row r="111" spans="1:14" outlineLevel="1" x14ac:dyDescent="0.2">
      <c r="A111" s="9" t="s">
        <v>190</v>
      </c>
      <c r="B111" s="1" t="s">
        <v>191</v>
      </c>
      <c r="C111" s="10">
        <v>1</v>
      </c>
      <c r="D111" s="10">
        <v>1</v>
      </c>
      <c r="E111" s="10">
        <v>1.5</v>
      </c>
      <c r="F111" s="10">
        <v>1.5</v>
      </c>
      <c r="G111" s="10">
        <v>0.8</v>
      </c>
      <c r="H111" s="10">
        <v>2.7</v>
      </c>
      <c r="I111" s="10">
        <v>1.4</v>
      </c>
      <c r="J111" s="10">
        <v>1.5</v>
      </c>
      <c r="K111" s="10">
        <v>1.5</v>
      </c>
      <c r="L111" s="10">
        <v>0.8</v>
      </c>
      <c r="M111" s="10">
        <v>2.7</v>
      </c>
      <c r="N111" s="10">
        <v>1.4</v>
      </c>
    </row>
    <row r="112" spans="1:14" outlineLevel="1" x14ac:dyDescent="0.2">
      <c r="A112" s="9" t="s">
        <v>192</v>
      </c>
      <c r="B112" s="1" t="s">
        <v>193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  <c r="M112" s="10">
        <v>0</v>
      </c>
      <c r="N112" s="10">
        <v>0</v>
      </c>
    </row>
    <row r="113" spans="1:14" outlineLevel="1" x14ac:dyDescent="0.2">
      <c r="A113" s="9" t="s">
        <v>194</v>
      </c>
      <c r="B113" s="1" t="s">
        <v>195</v>
      </c>
      <c r="C113" s="10">
        <v>2.7</v>
      </c>
      <c r="D113" s="10">
        <v>6.1</v>
      </c>
      <c r="E113" s="10">
        <v>2.2000000000000002</v>
      </c>
      <c r="F113" s="10">
        <v>2.4</v>
      </c>
      <c r="G113" s="10">
        <v>2.8</v>
      </c>
      <c r="H113" s="10">
        <v>3.1</v>
      </c>
      <c r="I113" s="10">
        <v>2.7</v>
      </c>
      <c r="J113" s="10">
        <v>2.2000000000000002</v>
      </c>
      <c r="K113" s="10">
        <v>2.4</v>
      </c>
      <c r="L113" s="10">
        <v>2.8</v>
      </c>
      <c r="M113" s="10">
        <v>3.1</v>
      </c>
      <c r="N113" s="10">
        <v>2.7</v>
      </c>
    </row>
    <row r="114" spans="1:14" outlineLevel="1" x14ac:dyDescent="0.2">
      <c r="A114" s="9" t="s">
        <v>196</v>
      </c>
      <c r="B114" s="1" t="s">
        <v>197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0</v>
      </c>
      <c r="J114" s="10">
        <v>0</v>
      </c>
      <c r="K114" s="10">
        <v>0</v>
      </c>
      <c r="L114" s="10">
        <v>0</v>
      </c>
      <c r="M114" s="10">
        <v>0</v>
      </c>
      <c r="N114" s="10">
        <v>0</v>
      </c>
    </row>
    <row r="115" spans="1:14" outlineLevel="1" x14ac:dyDescent="0.2">
      <c r="A115" s="9" t="s">
        <v>198</v>
      </c>
      <c r="B115" s="1" t="s">
        <v>199</v>
      </c>
      <c r="C115" s="10">
        <v>1.7</v>
      </c>
      <c r="D115" s="10">
        <v>1.8</v>
      </c>
      <c r="E115" s="10">
        <v>1.7</v>
      </c>
      <c r="F115" s="10">
        <v>2.2000000000000002</v>
      </c>
      <c r="G115" s="10">
        <v>2.2999999999999998</v>
      </c>
      <c r="H115" s="10">
        <v>1.6</v>
      </c>
      <c r="I115" s="10">
        <v>2.4</v>
      </c>
      <c r="J115" s="10">
        <v>1.7</v>
      </c>
      <c r="K115" s="10">
        <v>2.2000000000000002</v>
      </c>
      <c r="L115" s="10">
        <v>2.2999999999999998</v>
      </c>
      <c r="M115" s="10">
        <v>1.6</v>
      </c>
      <c r="N115" s="10">
        <v>2.4</v>
      </c>
    </row>
    <row r="116" spans="1:14" x14ac:dyDescent="0.2">
      <c r="A116" s="9" t="s">
        <v>200</v>
      </c>
      <c r="B116" s="1" t="s">
        <v>201</v>
      </c>
      <c r="C116" s="20">
        <f t="shared" ref="C116:J116" si="30">SUM(C117:C126)</f>
        <v>8.1</v>
      </c>
      <c r="D116" s="20">
        <f t="shared" si="30"/>
        <v>7</v>
      </c>
      <c r="E116" s="20">
        <f t="shared" si="30"/>
        <v>8.6999999999999993</v>
      </c>
      <c r="F116" s="20">
        <f t="shared" si="30"/>
        <v>9.1</v>
      </c>
      <c r="G116" s="20">
        <f t="shared" si="30"/>
        <v>8.9</v>
      </c>
      <c r="H116" s="20">
        <f t="shared" si="30"/>
        <v>9.1</v>
      </c>
      <c r="I116" s="20">
        <f t="shared" si="30"/>
        <v>9.5</v>
      </c>
      <c r="J116" s="20">
        <f t="shared" si="30"/>
        <v>8.6999999999999993</v>
      </c>
      <c r="K116" s="20">
        <f t="shared" ref="K116:N116" si="31">SUM(K117:K126)</f>
        <v>8.6999999999999993</v>
      </c>
      <c r="L116" s="20">
        <f t="shared" si="31"/>
        <v>8.9</v>
      </c>
      <c r="M116" s="20">
        <f t="shared" si="31"/>
        <v>8.6</v>
      </c>
      <c r="N116" s="20">
        <f t="shared" si="31"/>
        <v>9.5</v>
      </c>
    </row>
    <row r="117" spans="1:14" outlineLevel="1" x14ac:dyDescent="0.2">
      <c r="A117" s="9" t="s">
        <v>202</v>
      </c>
      <c r="B117" s="1" t="s">
        <v>203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0</v>
      </c>
      <c r="K117" s="10">
        <v>0</v>
      </c>
      <c r="L117" s="10">
        <v>0</v>
      </c>
      <c r="M117" s="10">
        <v>0</v>
      </c>
      <c r="N117" s="10">
        <v>0</v>
      </c>
    </row>
    <row r="118" spans="1:14" outlineLevel="1" x14ac:dyDescent="0.2">
      <c r="A118" s="9" t="s">
        <v>204</v>
      </c>
      <c r="B118" s="1" t="s">
        <v>205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0</v>
      </c>
      <c r="I118" s="10">
        <v>0</v>
      </c>
      <c r="J118" s="10">
        <v>0</v>
      </c>
      <c r="K118" s="10">
        <v>0</v>
      </c>
      <c r="L118" s="10">
        <v>0</v>
      </c>
      <c r="M118" s="10">
        <v>0</v>
      </c>
      <c r="N118" s="10">
        <v>0</v>
      </c>
    </row>
    <row r="119" spans="1:14" outlineLevel="1" x14ac:dyDescent="0.2">
      <c r="A119" s="9" t="s">
        <v>206</v>
      </c>
      <c r="B119" s="1" t="s">
        <v>207</v>
      </c>
      <c r="C119" s="10">
        <v>0.2</v>
      </c>
      <c r="D119" s="10">
        <v>0.3</v>
      </c>
      <c r="E119" s="10">
        <v>0.3</v>
      </c>
      <c r="F119" s="10">
        <v>0.3</v>
      </c>
      <c r="G119" s="10">
        <v>0.3</v>
      </c>
      <c r="H119" s="10">
        <v>0.3</v>
      </c>
      <c r="I119" s="10">
        <v>0.3</v>
      </c>
      <c r="J119" s="10">
        <v>0.3</v>
      </c>
      <c r="K119" s="10">
        <v>0.3</v>
      </c>
      <c r="L119" s="10">
        <v>0.3</v>
      </c>
      <c r="M119" s="10">
        <v>0.3</v>
      </c>
      <c r="N119" s="10">
        <v>0.3</v>
      </c>
    </row>
    <row r="120" spans="1:14" outlineLevel="1" x14ac:dyDescent="0.2">
      <c r="A120" s="9" t="s">
        <v>208</v>
      </c>
      <c r="B120" s="1" t="s">
        <v>209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10">
        <v>0</v>
      </c>
      <c r="K120" s="10">
        <v>0</v>
      </c>
      <c r="L120" s="10">
        <v>0</v>
      </c>
      <c r="M120" s="10">
        <v>0</v>
      </c>
      <c r="N120" s="10">
        <v>0</v>
      </c>
    </row>
    <row r="121" spans="1:14" outlineLevel="1" x14ac:dyDescent="0.2">
      <c r="A121" s="9" t="s">
        <v>210</v>
      </c>
      <c r="B121" s="1" t="s">
        <v>211</v>
      </c>
      <c r="C121" s="10">
        <v>0.8</v>
      </c>
      <c r="D121" s="10">
        <v>0.9</v>
      </c>
      <c r="E121" s="10">
        <v>0.9</v>
      </c>
      <c r="F121" s="10">
        <v>0.8</v>
      </c>
      <c r="G121" s="10">
        <v>0.8</v>
      </c>
      <c r="H121" s="10">
        <v>0.8</v>
      </c>
      <c r="I121" s="10">
        <v>0.8</v>
      </c>
      <c r="J121" s="10">
        <v>0.9</v>
      </c>
      <c r="K121" s="10">
        <v>0.8</v>
      </c>
      <c r="L121" s="10">
        <v>0.8</v>
      </c>
      <c r="M121" s="10">
        <v>0.8</v>
      </c>
      <c r="N121" s="10">
        <v>0.8</v>
      </c>
    </row>
    <row r="122" spans="1:14" outlineLevel="1" x14ac:dyDescent="0.2">
      <c r="A122" s="9" t="s">
        <v>212</v>
      </c>
      <c r="B122" s="1" t="s">
        <v>213</v>
      </c>
      <c r="C122" s="10">
        <v>0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0</v>
      </c>
      <c r="J122" s="10">
        <v>0</v>
      </c>
      <c r="K122" s="10">
        <v>0</v>
      </c>
      <c r="L122" s="10">
        <v>0</v>
      </c>
      <c r="M122" s="10">
        <v>0</v>
      </c>
      <c r="N122" s="10">
        <v>0</v>
      </c>
    </row>
    <row r="123" spans="1:14" outlineLevel="1" x14ac:dyDescent="0.2">
      <c r="A123" s="9" t="s">
        <v>214</v>
      </c>
      <c r="B123" s="1" t="s">
        <v>215</v>
      </c>
      <c r="C123" s="10">
        <v>0</v>
      </c>
      <c r="D123" s="10">
        <v>0</v>
      </c>
      <c r="E123" s="10">
        <v>0</v>
      </c>
      <c r="F123" s="10">
        <v>0</v>
      </c>
      <c r="G123" s="10">
        <v>0</v>
      </c>
      <c r="H123" s="10">
        <v>0</v>
      </c>
      <c r="I123" s="10">
        <v>0</v>
      </c>
      <c r="J123" s="10">
        <v>0</v>
      </c>
      <c r="K123" s="10">
        <v>0</v>
      </c>
      <c r="L123" s="10">
        <v>0</v>
      </c>
      <c r="M123" s="10">
        <v>0</v>
      </c>
      <c r="N123" s="10">
        <v>0</v>
      </c>
    </row>
    <row r="124" spans="1:14" outlineLevel="1" x14ac:dyDescent="0.2">
      <c r="A124" s="9" t="s">
        <v>216</v>
      </c>
      <c r="B124" s="1" t="s">
        <v>217</v>
      </c>
      <c r="C124" s="10">
        <v>2.6</v>
      </c>
      <c r="D124" s="10">
        <v>1</v>
      </c>
      <c r="E124" s="10">
        <v>2.8</v>
      </c>
      <c r="F124" s="10">
        <v>2.9</v>
      </c>
      <c r="G124" s="10">
        <v>2</v>
      </c>
      <c r="H124" s="10">
        <v>2</v>
      </c>
      <c r="I124" s="10">
        <v>1.9</v>
      </c>
      <c r="J124" s="10">
        <v>2.8</v>
      </c>
      <c r="K124" s="10">
        <v>2.9</v>
      </c>
      <c r="L124" s="10">
        <v>2</v>
      </c>
      <c r="M124" s="10">
        <v>2</v>
      </c>
      <c r="N124" s="10">
        <v>1.9</v>
      </c>
    </row>
    <row r="125" spans="1:14" outlineLevel="1" x14ac:dyDescent="0.2">
      <c r="A125" s="9" t="s">
        <v>218</v>
      </c>
      <c r="B125" s="1" t="s">
        <v>219</v>
      </c>
      <c r="C125" s="10">
        <v>4.5</v>
      </c>
      <c r="D125" s="10">
        <v>4.8</v>
      </c>
      <c r="E125" s="10">
        <v>4.7</v>
      </c>
      <c r="F125" s="10">
        <v>5.0999999999999996</v>
      </c>
      <c r="G125" s="10">
        <v>5.8</v>
      </c>
      <c r="H125" s="10">
        <v>6</v>
      </c>
      <c r="I125" s="10">
        <v>6.5</v>
      </c>
      <c r="J125" s="10">
        <v>4.7</v>
      </c>
      <c r="K125" s="10">
        <v>4.7</v>
      </c>
      <c r="L125" s="10">
        <v>5.8</v>
      </c>
      <c r="M125" s="10">
        <v>5.5</v>
      </c>
      <c r="N125" s="10">
        <v>6.5</v>
      </c>
    </row>
    <row r="126" spans="1:14" outlineLevel="1" x14ac:dyDescent="0.2">
      <c r="A126" s="9" t="s">
        <v>220</v>
      </c>
      <c r="B126" s="1" t="s">
        <v>221</v>
      </c>
      <c r="C126" s="10">
        <v>0</v>
      </c>
      <c r="D126" s="10">
        <v>0</v>
      </c>
      <c r="E126" s="10">
        <v>0</v>
      </c>
      <c r="F126" s="10">
        <v>0</v>
      </c>
      <c r="G126" s="10">
        <v>0</v>
      </c>
      <c r="H126" s="10">
        <v>0</v>
      </c>
      <c r="I126" s="10">
        <v>0</v>
      </c>
      <c r="J126" s="10">
        <v>0</v>
      </c>
      <c r="K126" s="10">
        <v>0</v>
      </c>
      <c r="L126" s="10">
        <v>0</v>
      </c>
      <c r="M126" s="10">
        <v>0</v>
      </c>
      <c r="N126" s="10">
        <v>0</v>
      </c>
    </row>
    <row r="127" spans="1:14" x14ac:dyDescent="0.2">
      <c r="A127" s="9" t="s">
        <v>226</v>
      </c>
      <c r="B127" s="1" t="s">
        <v>227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>
        <v>0</v>
      </c>
      <c r="N127" s="20">
        <v>0</v>
      </c>
    </row>
    <row r="128" spans="1:14" x14ac:dyDescent="0.2">
      <c r="A128" s="9" t="s">
        <v>228</v>
      </c>
      <c r="B128" s="1" t="s">
        <v>229</v>
      </c>
      <c r="C128" s="20">
        <f t="shared" ref="C128:I128" si="32">+C129</f>
        <v>0</v>
      </c>
      <c r="D128" s="20">
        <f t="shared" si="32"/>
        <v>0</v>
      </c>
      <c r="E128" s="20">
        <f t="shared" si="32"/>
        <v>0</v>
      </c>
      <c r="F128" s="20">
        <f t="shared" si="32"/>
        <v>0</v>
      </c>
      <c r="G128" s="20">
        <f t="shared" si="32"/>
        <v>0</v>
      </c>
      <c r="H128" s="20">
        <f t="shared" si="32"/>
        <v>0</v>
      </c>
      <c r="I128" s="20">
        <f t="shared" si="32"/>
        <v>0</v>
      </c>
      <c r="J128" s="20">
        <f>+J129</f>
        <v>0</v>
      </c>
      <c r="K128" s="20">
        <f t="shared" ref="K128:N128" si="33">+K129</f>
        <v>0</v>
      </c>
      <c r="L128" s="20">
        <f t="shared" si="33"/>
        <v>0</v>
      </c>
      <c r="M128" s="20">
        <f t="shared" si="33"/>
        <v>0</v>
      </c>
      <c r="N128" s="20">
        <f t="shared" si="33"/>
        <v>0</v>
      </c>
    </row>
    <row r="129" spans="1:14" outlineLevel="1" x14ac:dyDescent="0.2">
      <c r="A129" s="9" t="s">
        <v>357</v>
      </c>
      <c r="B129" s="1" t="s">
        <v>358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</row>
    <row r="130" spans="1:14" x14ac:dyDescent="0.2">
      <c r="A130" s="9" t="s">
        <v>230</v>
      </c>
      <c r="B130" s="1" t="s">
        <v>231</v>
      </c>
      <c r="C130" s="20">
        <f t="shared" ref="C130:J130" si="34">+C131+C132</f>
        <v>23.4</v>
      </c>
      <c r="D130" s="20">
        <f t="shared" si="34"/>
        <v>22.6</v>
      </c>
      <c r="E130" s="20">
        <f t="shared" si="34"/>
        <v>8.1</v>
      </c>
      <c r="F130" s="20">
        <f t="shared" si="34"/>
        <v>25.4</v>
      </c>
      <c r="G130" s="20">
        <f t="shared" si="34"/>
        <v>28</v>
      </c>
      <c r="H130" s="20">
        <f t="shared" si="34"/>
        <v>31.8</v>
      </c>
      <c r="I130" s="20">
        <f t="shared" si="34"/>
        <v>35.4</v>
      </c>
      <c r="J130" s="20">
        <f t="shared" si="34"/>
        <v>8.1</v>
      </c>
      <c r="K130" s="20">
        <f t="shared" ref="K130:N130" si="35">+K131+K132</f>
        <v>25.4</v>
      </c>
      <c r="L130" s="20">
        <f t="shared" si="35"/>
        <v>28</v>
      </c>
      <c r="M130" s="20">
        <f t="shared" si="35"/>
        <v>31.8</v>
      </c>
      <c r="N130" s="20">
        <f t="shared" si="35"/>
        <v>35.4</v>
      </c>
    </row>
    <row r="131" spans="1:14" outlineLevel="1" x14ac:dyDescent="0.2">
      <c r="A131" s="9" t="s">
        <v>232</v>
      </c>
      <c r="B131" s="1" t="s">
        <v>233</v>
      </c>
      <c r="C131" s="10">
        <v>23.4</v>
      </c>
      <c r="D131" s="10">
        <v>22.6</v>
      </c>
      <c r="E131" s="10">
        <v>8.1</v>
      </c>
      <c r="F131" s="10">
        <v>25.4</v>
      </c>
      <c r="G131" s="10">
        <v>30.7</v>
      </c>
      <c r="H131" s="10">
        <v>31.8</v>
      </c>
      <c r="I131" s="10">
        <v>35.4</v>
      </c>
      <c r="J131" s="10">
        <v>8.1</v>
      </c>
      <c r="K131" s="10">
        <v>25.4</v>
      </c>
      <c r="L131" s="10">
        <v>30.7</v>
      </c>
      <c r="M131" s="10">
        <v>31.8</v>
      </c>
      <c r="N131" s="10">
        <v>35.4</v>
      </c>
    </row>
    <row r="132" spans="1:14" outlineLevel="1" x14ac:dyDescent="0.2">
      <c r="A132" s="9" t="s">
        <v>234</v>
      </c>
      <c r="B132" s="1" t="s">
        <v>235</v>
      </c>
      <c r="C132" s="10">
        <v>0</v>
      </c>
      <c r="D132" s="10">
        <v>0</v>
      </c>
      <c r="E132" s="10">
        <v>0</v>
      </c>
      <c r="F132" s="10">
        <v>0</v>
      </c>
      <c r="G132" s="10">
        <v>-2.7</v>
      </c>
      <c r="H132" s="10">
        <v>0</v>
      </c>
      <c r="I132" s="10">
        <v>0</v>
      </c>
      <c r="J132" s="10">
        <v>0</v>
      </c>
      <c r="K132" s="10">
        <v>0</v>
      </c>
      <c r="L132" s="10">
        <v>-2.7</v>
      </c>
      <c r="M132" s="10">
        <v>0</v>
      </c>
      <c r="N132" s="10">
        <v>0</v>
      </c>
    </row>
    <row r="133" spans="1:14" x14ac:dyDescent="0.2">
      <c r="A133" s="3"/>
      <c r="B133" s="3" t="s">
        <v>236</v>
      </c>
      <c r="C133" s="22">
        <f t="shared" ref="C133:I133" si="36">+C101+C116+C127+C128+C130</f>
        <v>110.1</v>
      </c>
      <c r="D133" s="22">
        <f t="shared" si="36"/>
        <v>114.5</v>
      </c>
      <c r="E133" s="22">
        <f t="shared" si="36"/>
        <v>95.999999999999986</v>
      </c>
      <c r="F133" s="22">
        <f t="shared" si="36"/>
        <v>158.80000000000001</v>
      </c>
      <c r="G133" s="22">
        <f t="shared" si="36"/>
        <v>157.39999999999998</v>
      </c>
      <c r="H133" s="22">
        <f t="shared" si="36"/>
        <v>150.49999999999997</v>
      </c>
      <c r="I133" s="22">
        <f t="shared" si="36"/>
        <v>181.7</v>
      </c>
      <c r="J133" s="22">
        <f>+J101+J116+J127+J128+J130</f>
        <v>132.1</v>
      </c>
      <c r="K133" s="22">
        <f t="shared" ref="K133:N133" si="37">+K101+K116+K127+K128+K130</f>
        <v>149.4</v>
      </c>
      <c r="L133" s="22">
        <f t="shared" si="37"/>
        <v>121.1</v>
      </c>
      <c r="M133" s="22">
        <f t="shared" si="37"/>
        <v>123.09999999999997</v>
      </c>
      <c r="N133" s="22">
        <f t="shared" si="37"/>
        <v>163.4</v>
      </c>
    </row>
    <row r="134" spans="1:14" x14ac:dyDescent="0.2">
      <c r="A134" s="12"/>
      <c r="B134" s="12" t="s">
        <v>237</v>
      </c>
      <c r="C134" s="23">
        <f t="shared" ref="C134:M134" si="38">+C100-C133</f>
        <v>-12.200000000000017</v>
      </c>
      <c r="D134" s="23">
        <f t="shared" si="38"/>
        <v>-119.5</v>
      </c>
      <c r="E134" s="23">
        <f t="shared" si="38"/>
        <v>-29.499999999999986</v>
      </c>
      <c r="F134" s="23">
        <f t="shared" si="38"/>
        <v>-46</v>
      </c>
      <c r="G134" s="23">
        <f t="shared" si="38"/>
        <v>-137.69999999999993</v>
      </c>
      <c r="H134" s="23">
        <f t="shared" si="38"/>
        <v>-63.299999999999926</v>
      </c>
      <c r="I134" s="23">
        <f t="shared" si="38"/>
        <v>-145.19999999999999</v>
      </c>
      <c r="J134" s="23">
        <f t="shared" si="38"/>
        <v>-72.799999999999983</v>
      </c>
      <c r="K134" s="23">
        <f t="shared" si="38"/>
        <v>-35.100000000000051</v>
      </c>
      <c r="L134" s="23">
        <f t="shared" si="38"/>
        <v>-87.6</v>
      </c>
      <c r="M134" s="23">
        <f t="shared" si="38"/>
        <v>-82.89999999999992</v>
      </c>
      <c r="N134" s="23">
        <f t="shared" ref="N134" si="39">+N100-N133</f>
        <v>-155.20000000000002</v>
      </c>
    </row>
    <row r="135" spans="1:14" x14ac:dyDescent="0.2">
      <c r="A135" s="9" t="s">
        <v>238</v>
      </c>
      <c r="B135" s="1" t="s">
        <v>239</v>
      </c>
      <c r="C135" s="20">
        <f t="shared" ref="C135:J135" si="40">SUM(C136:C138)</f>
        <v>2.4</v>
      </c>
      <c r="D135" s="20">
        <f t="shared" si="40"/>
        <v>3.2</v>
      </c>
      <c r="E135" s="20">
        <f t="shared" si="40"/>
        <v>1.9</v>
      </c>
      <c r="F135" s="20">
        <f t="shared" si="40"/>
        <v>0.7</v>
      </c>
      <c r="G135" s="20">
        <f t="shared" si="40"/>
        <v>2.1</v>
      </c>
      <c r="H135" s="20">
        <f t="shared" si="40"/>
        <v>0.8</v>
      </c>
      <c r="I135" s="20">
        <f t="shared" si="40"/>
        <v>2.4</v>
      </c>
      <c r="J135" s="20">
        <f t="shared" si="40"/>
        <v>1.9</v>
      </c>
      <c r="K135" s="20">
        <f t="shared" ref="K135:N135" si="41">SUM(K136:K138)</f>
        <v>1</v>
      </c>
      <c r="L135" s="20">
        <f t="shared" si="41"/>
        <v>2.1</v>
      </c>
      <c r="M135" s="20">
        <f t="shared" si="41"/>
        <v>0.8</v>
      </c>
      <c r="N135" s="20">
        <f t="shared" si="41"/>
        <v>2.4</v>
      </c>
    </row>
    <row r="136" spans="1:14" outlineLevel="1" x14ac:dyDescent="0.2">
      <c r="A136" s="9" t="s">
        <v>240</v>
      </c>
      <c r="B136" s="1" t="s">
        <v>241</v>
      </c>
      <c r="C136" s="10">
        <v>2.4</v>
      </c>
      <c r="D136" s="10">
        <v>3.2</v>
      </c>
      <c r="E136" s="10">
        <v>1.9</v>
      </c>
      <c r="F136" s="10">
        <v>0.7</v>
      </c>
      <c r="G136" s="10">
        <v>2.1</v>
      </c>
      <c r="H136" s="10">
        <v>0.8</v>
      </c>
      <c r="I136" s="10">
        <v>2.4</v>
      </c>
      <c r="J136" s="10">
        <v>1.9</v>
      </c>
      <c r="K136" s="10">
        <v>1</v>
      </c>
      <c r="L136" s="10">
        <v>2.1</v>
      </c>
      <c r="M136" s="10">
        <v>0.8</v>
      </c>
      <c r="N136" s="10">
        <v>2.4</v>
      </c>
    </row>
    <row r="137" spans="1:14" outlineLevel="1" x14ac:dyDescent="0.2">
      <c r="A137" s="9" t="s">
        <v>359</v>
      </c>
      <c r="B137" s="1" t="s">
        <v>360</v>
      </c>
      <c r="C137" s="10">
        <v>0</v>
      </c>
      <c r="D137" s="10">
        <v>0</v>
      </c>
      <c r="E137" s="10">
        <v>0</v>
      </c>
      <c r="F137" s="10">
        <v>0</v>
      </c>
      <c r="G137" s="10">
        <v>0</v>
      </c>
      <c r="H137" s="10">
        <v>0</v>
      </c>
      <c r="I137" s="10">
        <v>0</v>
      </c>
      <c r="J137" s="10">
        <v>0</v>
      </c>
      <c r="K137" s="10">
        <v>0</v>
      </c>
      <c r="L137" s="10">
        <v>0</v>
      </c>
      <c r="M137" s="10">
        <v>0</v>
      </c>
      <c r="N137" s="10">
        <v>0</v>
      </c>
    </row>
    <row r="138" spans="1:14" outlineLevel="1" x14ac:dyDescent="0.2">
      <c r="A138" s="9" t="s">
        <v>361</v>
      </c>
      <c r="B138" s="1" t="s">
        <v>362</v>
      </c>
      <c r="C138" s="10">
        <v>0</v>
      </c>
      <c r="D138" s="10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0">
        <v>0</v>
      </c>
    </row>
    <row r="139" spans="1:14" x14ac:dyDescent="0.2">
      <c r="A139" s="9" t="s">
        <v>244</v>
      </c>
      <c r="B139" s="1" t="s">
        <v>245</v>
      </c>
      <c r="C139" s="10">
        <v>0</v>
      </c>
      <c r="D139" s="10">
        <v>0</v>
      </c>
      <c r="E139" s="10">
        <v>0</v>
      </c>
      <c r="F139" s="10">
        <v>0</v>
      </c>
      <c r="G139" s="10">
        <v>0</v>
      </c>
      <c r="H139" s="10">
        <v>0</v>
      </c>
      <c r="I139" s="10">
        <v>0</v>
      </c>
      <c r="J139" s="20">
        <v>0</v>
      </c>
      <c r="K139" s="20">
        <v>0</v>
      </c>
      <c r="L139" s="20">
        <v>0</v>
      </c>
      <c r="M139" s="20">
        <v>0</v>
      </c>
      <c r="N139" s="20">
        <v>0</v>
      </c>
    </row>
    <row r="140" spans="1:14" x14ac:dyDescent="0.2">
      <c r="A140" s="12"/>
      <c r="B140" s="12" t="s">
        <v>246</v>
      </c>
      <c r="C140" s="23">
        <f t="shared" ref="C140:I140" si="42">+C134-SUM(C135,C139)</f>
        <v>-14.600000000000017</v>
      </c>
      <c r="D140" s="23">
        <f t="shared" si="42"/>
        <v>-122.7</v>
      </c>
      <c r="E140" s="23">
        <f t="shared" si="42"/>
        <v>-31.399999999999984</v>
      </c>
      <c r="F140" s="23">
        <f t="shared" si="42"/>
        <v>-46.7</v>
      </c>
      <c r="G140" s="23">
        <f t="shared" si="42"/>
        <v>-139.79999999999993</v>
      </c>
      <c r="H140" s="23">
        <f t="shared" si="42"/>
        <v>-64.099999999999923</v>
      </c>
      <c r="I140" s="23">
        <f t="shared" si="42"/>
        <v>-147.6</v>
      </c>
      <c r="J140" s="23">
        <f>+J134-SUM(J135,J139)</f>
        <v>-74.699999999999989</v>
      </c>
      <c r="K140" s="23">
        <f t="shared" ref="K140:M140" si="43">+K134-SUM(K135,K139)</f>
        <v>-36.100000000000051</v>
      </c>
      <c r="L140" s="23">
        <f t="shared" si="43"/>
        <v>-89.699999999999989</v>
      </c>
      <c r="M140" s="23">
        <f t="shared" si="43"/>
        <v>-83.699999999999918</v>
      </c>
      <c r="N140" s="23">
        <f>+N134-SUM(N135,N139)</f>
        <v>-157.60000000000002</v>
      </c>
    </row>
    <row r="141" spans="1:14" x14ac:dyDescent="0.2">
      <c r="A141" s="9" t="s">
        <v>74</v>
      </c>
      <c r="B141" s="1" t="s">
        <v>74</v>
      </c>
      <c r="C141" s="15" t="s">
        <v>74</v>
      </c>
      <c r="D141" s="15" t="s">
        <v>74</v>
      </c>
      <c r="E141" s="15" t="s">
        <v>74</v>
      </c>
      <c r="F141" s="15" t="s">
        <v>74</v>
      </c>
      <c r="G141" s="15" t="s">
        <v>74</v>
      </c>
      <c r="H141" s="15" t="s">
        <v>74</v>
      </c>
      <c r="I141" s="15" t="s">
        <v>74</v>
      </c>
      <c r="J141" s="15" t="s">
        <v>74</v>
      </c>
      <c r="K141" s="15" t="s">
        <v>74</v>
      </c>
      <c r="L141" s="15" t="s">
        <v>74</v>
      </c>
      <c r="M141" s="15" t="s">
        <v>74</v>
      </c>
      <c r="N141" s="15" t="s">
        <v>74</v>
      </c>
    </row>
    <row r="142" spans="1:14" x14ac:dyDescent="0.2">
      <c r="A142" s="12"/>
      <c r="B142" s="12" t="s">
        <v>247</v>
      </c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</row>
    <row r="143" spans="1:14" x14ac:dyDescent="0.2">
      <c r="A143" s="9" t="s">
        <v>248</v>
      </c>
      <c r="B143" s="1" t="s">
        <v>249</v>
      </c>
      <c r="C143" s="15">
        <v>54</v>
      </c>
      <c r="D143" s="15">
        <v>49</v>
      </c>
      <c r="E143" s="15">
        <v>48</v>
      </c>
      <c r="F143" s="15">
        <v>49</v>
      </c>
      <c r="G143" s="15">
        <v>47</v>
      </c>
      <c r="H143" s="15">
        <v>47</v>
      </c>
      <c r="I143" s="15">
        <v>48</v>
      </c>
      <c r="J143" s="15">
        <v>49</v>
      </c>
      <c r="K143" s="15">
        <v>47</v>
      </c>
      <c r="L143" s="15">
        <v>47</v>
      </c>
      <c r="M143" s="15">
        <v>47</v>
      </c>
      <c r="N143" s="15">
        <v>47</v>
      </c>
    </row>
    <row r="144" spans="1:14" outlineLevel="1" x14ac:dyDescent="0.2">
      <c r="A144" s="9" t="s">
        <v>250</v>
      </c>
      <c r="B144" s="1" t="s">
        <v>251</v>
      </c>
      <c r="C144" s="15">
        <v>54</v>
      </c>
      <c r="D144" s="15">
        <v>49</v>
      </c>
      <c r="E144" s="15">
        <v>48</v>
      </c>
      <c r="F144" s="15">
        <v>49</v>
      </c>
      <c r="G144" s="15">
        <v>47</v>
      </c>
      <c r="H144" s="15">
        <v>47</v>
      </c>
      <c r="I144" s="15">
        <v>48</v>
      </c>
      <c r="J144" s="15">
        <v>49</v>
      </c>
      <c r="K144" s="15">
        <v>47</v>
      </c>
      <c r="L144" s="15">
        <v>47</v>
      </c>
      <c r="M144" s="15">
        <v>47</v>
      </c>
      <c r="N144" s="15">
        <v>47</v>
      </c>
    </row>
    <row r="145" spans="1:14" x14ac:dyDescent="0.2">
      <c r="A145" s="9" t="s">
        <v>252</v>
      </c>
      <c r="B145" s="1" t="s">
        <v>253</v>
      </c>
      <c r="C145" s="15">
        <v>146.9</v>
      </c>
      <c r="D145" s="15">
        <v>144.9</v>
      </c>
      <c r="E145" s="15">
        <v>150.5</v>
      </c>
      <c r="F145" s="15">
        <v>143.4</v>
      </c>
      <c r="G145" s="15">
        <v>136.30000000000001</v>
      </c>
      <c r="H145" s="15">
        <v>135.30000000000001</v>
      </c>
      <c r="I145" s="15">
        <v>150.5</v>
      </c>
      <c r="J145" s="15">
        <v>143.4</v>
      </c>
      <c r="K145" s="15">
        <v>136.30000000000001</v>
      </c>
      <c r="L145" s="15">
        <v>135.30000000000001</v>
      </c>
      <c r="M145" s="15">
        <v>133</v>
      </c>
      <c r="N145" s="15">
        <v>133</v>
      </c>
    </row>
    <row r="146" spans="1:14" outlineLevel="1" x14ac:dyDescent="0.2">
      <c r="A146" s="9" t="s">
        <v>254</v>
      </c>
      <c r="B146" s="1" t="s">
        <v>255</v>
      </c>
      <c r="C146" s="15">
        <v>146.9</v>
      </c>
      <c r="D146" s="15">
        <v>144.9</v>
      </c>
      <c r="E146" s="15">
        <v>150.5</v>
      </c>
      <c r="F146" s="15">
        <v>143.4</v>
      </c>
      <c r="G146" s="15">
        <v>136.30000000000001</v>
      </c>
      <c r="H146" s="15">
        <v>135.30000000000001</v>
      </c>
      <c r="I146" s="15">
        <v>150.5</v>
      </c>
      <c r="J146" s="15">
        <v>143.4</v>
      </c>
      <c r="K146" s="15">
        <v>136.30000000000001</v>
      </c>
      <c r="L146" s="15">
        <v>135.30000000000001</v>
      </c>
      <c r="M146" s="15">
        <v>133</v>
      </c>
      <c r="N146" s="15">
        <v>133</v>
      </c>
    </row>
    <row r="147" spans="1:14" x14ac:dyDescent="0.2">
      <c r="A147" s="9" t="s">
        <v>256</v>
      </c>
      <c r="B147" s="1" t="s">
        <v>257</v>
      </c>
      <c r="C147" s="15">
        <v>2.7</v>
      </c>
      <c r="D147" s="15">
        <v>2.6</v>
      </c>
      <c r="E147" s="15">
        <v>2.6</v>
      </c>
      <c r="F147" s="15">
        <v>2.6</v>
      </c>
      <c r="G147" s="15">
        <v>2.6</v>
      </c>
      <c r="H147" s="15">
        <v>2.6</v>
      </c>
      <c r="I147" s="15">
        <v>2.6</v>
      </c>
      <c r="J147" s="15">
        <v>2.6</v>
      </c>
      <c r="K147" s="15">
        <v>2.6</v>
      </c>
      <c r="L147" s="15">
        <v>2.6</v>
      </c>
      <c r="M147" s="15">
        <v>2.2999999999999998</v>
      </c>
      <c r="N147" s="15">
        <v>2.2999999999999998</v>
      </c>
    </row>
    <row r="148" spans="1:14" outlineLevel="1" x14ac:dyDescent="0.2">
      <c r="A148" s="9" t="s">
        <v>258</v>
      </c>
      <c r="B148" s="1" t="s">
        <v>259</v>
      </c>
      <c r="C148" s="15">
        <v>2.7</v>
      </c>
      <c r="D148" s="15">
        <v>2.6</v>
      </c>
      <c r="E148" s="15">
        <v>2.6</v>
      </c>
      <c r="F148" s="15">
        <v>2.6</v>
      </c>
      <c r="G148" s="15">
        <v>2.6</v>
      </c>
      <c r="H148" s="15">
        <v>2.6</v>
      </c>
      <c r="I148" s="15">
        <v>2.6</v>
      </c>
      <c r="J148" s="15">
        <v>2.6</v>
      </c>
      <c r="K148" s="15">
        <v>2.6</v>
      </c>
      <c r="L148" s="15">
        <v>2.6</v>
      </c>
      <c r="M148" s="15">
        <v>2.2999999999999998</v>
      </c>
      <c r="N148" s="15">
        <v>2.2999999999999998</v>
      </c>
    </row>
    <row r="149" spans="1:14" outlineLevel="1" x14ac:dyDescent="0.2">
      <c r="A149" s="9" t="s">
        <v>363</v>
      </c>
      <c r="B149" s="1" t="s">
        <v>259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">
      <c r="A150" s="9" t="s">
        <v>260</v>
      </c>
      <c r="B150" s="1" t="s">
        <v>261</v>
      </c>
      <c r="C150" s="15">
        <v>51.1</v>
      </c>
      <c r="D150" s="15">
        <v>45.1</v>
      </c>
      <c r="E150" s="15">
        <v>44.7</v>
      </c>
      <c r="F150" s="15">
        <v>45.7</v>
      </c>
      <c r="G150" s="15">
        <v>43.7</v>
      </c>
      <c r="H150" s="15">
        <v>43.7</v>
      </c>
      <c r="I150" s="15">
        <v>44.7</v>
      </c>
      <c r="J150" s="15">
        <v>45.7</v>
      </c>
      <c r="K150" s="15">
        <v>43.7</v>
      </c>
      <c r="L150" s="15">
        <v>43.7</v>
      </c>
      <c r="M150" s="15">
        <v>43.7</v>
      </c>
      <c r="N150" s="15">
        <v>43.7</v>
      </c>
    </row>
    <row r="151" spans="1:14" outlineLevel="1" x14ac:dyDescent="0.2">
      <c r="A151" s="9" t="s">
        <v>262</v>
      </c>
      <c r="B151" s="1" t="s">
        <v>263</v>
      </c>
      <c r="C151" s="15">
        <v>51.1</v>
      </c>
      <c r="D151" s="15">
        <v>45.1</v>
      </c>
      <c r="E151" s="15">
        <v>44.7</v>
      </c>
      <c r="F151" s="15">
        <v>45.7</v>
      </c>
      <c r="G151" s="15">
        <v>43.7</v>
      </c>
      <c r="H151" s="15">
        <v>43.7</v>
      </c>
      <c r="I151" s="15">
        <v>44.7</v>
      </c>
      <c r="J151" s="15">
        <v>45.7</v>
      </c>
      <c r="K151" s="15">
        <v>43.7</v>
      </c>
      <c r="L151" s="15">
        <v>43.7</v>
      </c>
      <c r="M151" s="15">
        <v>43.7</v>
      </c>
      <c r="N151" s="15">
        <v>43.7</v>
      </c>
    </row>
    <row r="152" spans="1:14" outlineLevel="1" x14ac:dyDescent="0.2">
      <c r="A152" s="9" t="s">
        <v>364</v>
      </c>
      <c r="B152" s="1" t="s">
        <v>263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">
      <c r="A153" s="9" t="s">
        <v>264</v>
      </c>
      <c r="B153" s="1" t="s">
        <v>265</v>
      </c>
      <c r="C153" s="15">
        <v>93.1</v>
      </c>
      <c r="D153" s="15">
        <v>97.2</v>
      </c>
      <c r="E153" s="15">
        <v>103.1</v>
      </c>
      <c r="F153" s="15">
        <v>95</v>
      </c>
      <c r="G153" s="15">
        <v>90</v>
      </c>
      <c r="H153" s="15">
        <v>89</v>
      </c>
      <c r="I153" s="15">
        <v>103.1</v>
      </c>
      <c r="J153" s="15">
        <v>95</v>
      </c>
      <c r="K153" s="15">
        <v>90</v>
      </c>
      <c r="L153" s="15">
        <v>89</v>
      </c>
      <c r="M153" s="15">
        <v>87</v>
      </c>
      <c r="N153" s="15">
        <v>87</v>
      </c>
    </row>
    <row r="154" spans="1:14" outlineLevel="1" x14ac:dyDescent="0.2">
      <c r="A154" s="9" t="s">
        <v>266</v>
      </c>
      <c r="B154" s="1" t="s">
        <v>267</v>
      </c>
      <c r="C154" s="15">
        <v>93.1</v>
      </c>
      <c r="D154" s="15">
        <v>97.2</v>
      </c>
      <c r="E154" s="15">
        <v>103.1</v>
      </c>
      <c r="F154" s="15">
        <v>95</v>
      </c>
      <c r="G154" s="15">
        <v>90</v>
      </c>
      <c r="H154" s="15">
        <v>89</v>
      </c>
      <c r="I154" s="15">
        <v>103.1</v>
      </c>
      <c r="J154" s="15">
        <v>95</v>
      </c>
      <c r="K154" s="15">
        <v>90</v>
      </c>
      <c r="L154" s="15">
        <v>89</v>
      </c>
      <c r="M154" s="15">
        <v>87</v>
      </c>
      <c r="N154" s="15">
        <v>87</v>
      </c>
    </row>
    <row r="155" spans="1:14" outlineLevel="1" x14ac:dyDescent="0.2">
      <c r="A155" s="9" t="s">
        <v>365</v>
      </c>
      <c r="B155" s="1" t="s">
        <v>366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">
      <c r="A156" s="9" t="s">
        <v>268</v>
      </c>
      <c r="B156" s="1" t="s">
        <v>269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">
      <c r="A157" s="9" t="s">
        <v>270</v>
      </c>
      <c r="B157" s="1" t="s">
        <v>271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">
      <c r="A158" s="9" t="s">
        <v>272</v>
      </c>
      <c r="B158" s="1" t="s">
        <v>273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">
      <c r="A159" s="9" t="s">
        <v>274</v>
      </c>
      <c r="B159" s="1" t="s">
        <v>275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">
      <c r="A160" s="9" t="s">
        <v>276</v>
      </c>
      <c r="B160" s="1" t="s">
        <v>277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">
      <c r="A161" s="9" t="s">
        <v>280</v>
      </c>
      <c r="B161" s="1" t="s">
        <v>281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">
      <c r="A162" s="9" t="s">
        <v>284</v>
      </c>
      <c r="B162" s="1" t="s">
        <v>285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">
      <c r="A163" s="9" t="s">
        <v>288</v>
      </c>
      <c r="B163" s="1" t="s">
        <v>289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">
      <c r="A164" s="3"/>
      <c r="B164" s="3" t="s">
        <v>290</v>
      </c>
      <c r="C164" s="17">
        <v>2.7</v>
      </c>
      <c r="D164" s="17">
        <v>2.2000000000000002</v>
      </c>
      <c r="E164" s="17">
        <v>2.5</v>
      </c>
      <c r="F164" s="17">
        <v>3.3</v>
      </c>
      <c r="G164" s="17">
        <v>2.6</v>
      </c>
      <c r="H164" s="17">
        <v>2.7</v>
      </c>
      <c r="I164" s="17">
        <v>2.5</v>
      </c>
      <c r="J164" s="17">
        <v>3.3</v>
      </c>
      <c r="K164" s="17">
        <v>2.6</v>
      </c>
      <c r="L164" s="17">
        <v>2.7</v>
      </c>
      <c r="M164" s="17">
        <v>2.7</v>
      </c>
      <c r="N164" s="17">
        <v>2.7</v>
      </c>
    </row>
    <row r="165" spans="1:14" x14ac:dyDescent="0.2">
      <c r="A165" s="3"/>
      <c r="B165" s="3" t="s">
        <v>291</v>
      </c>
      <c r="C165" s="17" t="s">
        <v>292</v>
      </c>
      <c r="D165" s="17" t="s">
        <v>292</v>
      </c>
      <c r="E165" s="17" t="s">
        <v>292</v>
      </c>
      <c r="F165" s="17" t="s">
        <v>292</v>
      </c>
      <c r="G165" s="17" t="s">
        <v>292</v>
      </c>
      <c r="H165" s="17" t="s">
        <v>292</v>
      </c>
      <c r="I165" s="17" t="s">
        <v>292</v>
      </c>
      <c r="J165" s="17" t="s">
        <v>292</v>
      </c>
      <c r="K165" s="17" t="s">
        <v>292</v>
      </c>
      <c r="L165" s="17" t="s">
        <v>292</v>
      </c>
      <c r="M165" s="17" t="s">
        <v>292</v>
      </c>
      <c r="N165" s="17" t="s">
        <v>292</v>
      </c>
    </row>
    <row r="166" spans="1:14" x14ac:dyDescent="0.2">
      <c r="A166" s="3"/>
      <c r="B166" s="3" t="s">
        <v>293</v>
      </c>
      <c r="C166" s="17" t="s">
        <v>292</v>
      </c>
      <c r="D166" s="17" t="s">
        <v>292</v>
      </c>
      <c r="E166" s="17" t="s">
        <v>292</v>
      </c>
      <c r="F166" s="17" t="s">
        <v>292</v>
      </c>
      <c r="G166" s="17" t="s">
        <v>292</v>
      </c>
      <c r="H166" s="17" t="s">
        <v>292</v>
      </c>
      <c r="I166" s="17" t="s">
        <v>292</v>
      </c>
      <c r="J166" s="17" t="s">
        <v>292</v>
      </c>
      <c r="K166" s="17" t="s">
        <v>292</v>
      </c>
      <c r="L166" s="17" t="s">
        <v>292</v>
      </c>
      <c r="M166" s="17" t="s">
        <v>292</v>
      </c>
      <c r="N166" s="17" t="s">
        <v>292</v>
      </c>
    </row>
    <row r="167" spans="1:14" x14ac:dyDescent="0.2">
      <c r="A167" s="3"/>
      <c r="B167" s="3" t="s">
        <v>294</v>
      </c>
      <c r="C167" s="17">
        <v>0</v>
      </c>
      <c r="D167" s="17">
        <v>0</v>
      </c>
      <c r="E167" s="17">
        <v>0</v>
      </c>
      <c r="F167" s="17">
        <v>0</v>
      </c>
      <c r="G167" s="17">
        <v>0</v>
      </c>
      <c r="H167" s="17">
        <v>0</v>
      </c>
      <c r="I167" s="17">
        <v>0</v>
      </c>
      <c r="J167" s="17">
        <v>0</v>
      </c>
      <c r="K167" s="17">
        <v>0</v>
      </c>
      <c r="L167" s="17">
        <v>0</v>
      </c>
      <c r="M167" s="17">
        <v>0</v>
      </c>
      <c r="N167" s="17">
        <v>0</v>
      </c>
    </row>
    <row r="168" spans="1:14" x14ac:dyDescent="0.2">
      <c r="A168" s="12"/>
      <c r="B168" s="12" t="s">
        <v>295</v>
      </c>
      <c r="C168" s="16" t="s">
        <v>292</v>
      </c>
      <c r="D168" s="16" t="s">
        <v>292</v>
      </c>
      <c r="E168" s="16" t="s">
        <v>292</v>
      </c>
      <c r="F168" s="16" t="s">
        <v>292</v>
      </c>
      <c r="G168" s="16" t="s">
        <v>292</v>
      </c>
      <c r="H168" s="16" t="s">
        <v>292</v>
      </c>
      <c r="I168" s="16" t="s">
        <v>292</v>
      </c>
      <c r="J168" s="16" t="s">
        <v>292</v>
      </c>
      <c r="K168" s="16" t="s">
        <v>292</v>
      </c>
      <c r="L168" s="16" t="s">
        <v>292</v>
      </c>
      <c r="M168" s="16" t="s">
        <v>292</v>
      </c>
      <c r="N168" s="16" t="s">
        <v>292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3CB56-B64D-4C59-90F8-0582BE5B3A4A}">
  <sheetPr codeName="Hoja42">
    <tabColor rgb="FF00B050"/>
  </sheetPr>
  <dimension ref="A1:N107"/>
  <sheetViews>
    <sheetView zoomScale="55" zoomScaleNormal="55" workbookViewId="0">
      <pane ySplit="6" topLeftCell="A58" activePane="bottomLeft" state="frozen"/>
      <selection activeCell="I54" sqref="I54"/>
      <selection pane="bottomLeft" activeCell="J85" sqref="C85:J85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8" width="13" style="1" customWidth="1"/>
    <col min="9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369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:I7" si="0">SUM(C8:C13)</f>
        <v>262.8</v>
      </c>
      <c r="D7" s="28">
        <f t="shared" si="0"/>
        <v>262.8</v>
      </c>
      <c r="E7" s="28">
        <f t="shared" si="0"/>
        <v>262.8</v>
      </c>
      <c r="F7" s="28">
        <f t="shared" si="0"/>
        <v>282.2</v>
      </c>
      <c r="G7" s="28">
        <f t="shared" si="0"/>
        <v>284.89999999999998</v>
      </c>
      <c r="H7" s="28">
        <f t="shared" si="0"/>
        <v>284.89999999999998</v>
      </c>
      <c r="I7" s="28">
        <f t="shared" si="0"/>
        <v>282.2</v>
      </c>
      <c r="J7" s="28">
        <f>SUM(J8:J13)</f>
        <v>258</v>
      </c>
      <c r="K7" s="28">
        <f t="shared" ref="K7:N7" si="1">SUM(K8:K13)</f>
        <v>283</v>
      </c>
      <c r="L7" s="28">
        <f t="shared" si="1"/>
        <v>268</v>
      </c>
      <c r="M7" s="28">
        <f t="shared" si="1"/>
        <v>257</v>
      </c>
      <c r="N7" s="28">
        <f t="shared" si="1"/>
        <v>261</v>
      </c>
    </row>
    <row r="8" spans="1:14" outlineLevel="1" x14ac:dyDescent="0.2">
      <c r="A8" s="9" t="s">
        <v>25</v>
      </c>
      <c r="B8" s="1" t="s">
        <v>26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outlineLevel="1" x14ac:dyDescent="0.2">
      <c r="A9" s="9" t="s">
        <v>300</v>
      </c>
      <c r="B9" s="1" t="s">
        <v>36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outlineLevel="1" x14ac:dyDescent="0.2">
      <c r="A10" s="9" t="s">
        <v>27</v>
      </c>
      <c r="B10" s="1" t="s">
        <v>28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outlineLevel="1" x14ac:dyDescent="0.2">
      <c r="A11" s="9" t="s">
        <v>31</v>
      </c>
      <c r="B11" s="1" t="s">
        <v>32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284.89999999999998</v>
      </c>
      <c r="I11" s="10">
        <v>282.2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outlineLevel="1" x14ac:dyDescent="0.2">
      <c r="A12" s="9" t="s">
        <v>33</v>
      </c>
      <c r="B12" s="1" t="s">
        <v>34</v>
      </c>
      <c r="C12" s="10">
        <v>262.8</v>
      </c>
      <c r="D12" s="10">
        <v>262.8</v>
      </c>
      <c r="E12" s="10">
        <v>262.8</v>
      </c>
      <c r="F12" s="10">
        <v>282.2</v>
      </c>
      <c r="G12" s="10">
        <v>284.89999999999998</v>
      </c>
      <c r="H12" s="10">
        <v>0</v>
      </c>
      <c r="I12" s="10">
        <v>0</v>
      </c>
      <c r="J12" s="10">
        <v>258</v>
      </c>
      <c r="K12" s="10">
        <v>283</v>
      </c>
      <c r="L12" s="10">
        <v>268</v>
      </c>
      <c r="M12" s="10">
        <v>257</v>
      </c>
      <c r="N12" s="10">
        <v>261</v>
      </c>
    </row>
    <row r="13" spans="1:14" outlineLevel="1" x14ac:dyDescent="0.2">
      <c r="A13" s="9" t="s">
        <v>35</v>
      </c>
      <c r="B13" s="1" t="s">
        <v>36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</row>
    <row r="14" spans="1:14" x14ac:dyDescent="0.2">
      <c r="A14" s="9" t="s">
        <v>37</v>
      </c>
      <c r="B14" s="1" t="s">
        <v>38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28">
        <v>0</v>
      </c>
      <c r="K14" s="28">
        <v>0</v>
      </c>
      <c r="L14" s="28">
        <v>0</v>
      </c>
      <c r="M14" s="28">
        <v>0</v>
      </c>
      <c r="N14" s="28">
        <v>0</v>
      </c>
    </row>
    <row r="15" spans="1:14" x14ac:dyDescent="0.2">
      <c r="A15" s="9" t="s">
        <v>39</v>
      </c>
      <c r="B15" s="1" t="s">
        <v>40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28">
        <v>0</v>
      </c>
      <c r="K15" s="28">
        <v>0</v>
      </c>
      <c r="L15" s="28">
        <v>0</v>
      </c>
      <c r="M15" s="28">
        <v>0</v>
      </c>
      <c r="N15" s="28">
        <v>0</v>
      </c>
    </row>
    <row r="16" spans="1:14" x14ac:dyDescent="0.2">
      <c r="A16" s="9" t="s">
        <v>41</v>
      </c>
      <c r="B16" s="1" t="s">
        <v>42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</row>
    <row r="17" spans="1:14" outlineLevel="1" x14ac:dyDescent="0.2">
      <c r="A17" s="9" t="s">
        <v>43</v>
      </c>
      <c r="B17" s="1" t="s">
        <v>44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f>+J16</f>
        <v>0</v>
      </c>
      <c r="K17" s="10">
        <f t="shared" ref="K17:N17" si="2">+K16</f>
        <v>0</v>
      </c>
      <c r="L17" s="10">
        <f t="shared" si="2"/>
        <v>0</v>
      </c>
      <c r="M17" s="10">
        <f t="shared" si="2"/>
        <v>0</v>
      </c>
      <c r="N17" s="10">
        <f t="shared" si="2"/>
        <v>0</v>
      </c>
    </row>
    <row r="18" spans="1:14" x14ac:dyDescent="0.2">
      <c r="A18" s="9" t="s">
        <v>45</v>
      </c>
      <c r="B18" s="1" t="s">
        <v>46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</row>
    <row r="19" spans="1:14" x14ac:dyDescent="0.2">
      <c r="A19" s="12"/>
      <c r="B19" s="12" t="s">
        <v>47</v>
      </c>
      <c r="C19" s="29">
        <f t="shared" ref="C19:I19" si="3">+C7+C14+C15+C16+C18</f>
        <v>262.8</v>
      </c>
      <c r="D19" s="29">
        <f t="shared" si="3"/>
        <v>262.8</v>
      </c>
      <c r="E19" s="29">
        <f t="shared" si="3"/>
        <v>262.8</v>
      </c>
      <c r="F19" s="29">
        <f t="shared" si="3"/>
        <v>282.2</v>
      </c>
      <c r="G19" s="29">
        <f t="shared" si="3"/>
        <v>284.89999999999998</v>
      </c>
      <c r="H19" s="29">
        <f t="shared" si="3"/>
        <v>284.89999999999998</v>
      </c>
      <c r="I19" s="29">
        <f t="shared" si="3"/>
        <v>282.2</v>
      </c>
      <c r="J19" s="29">
        <f>+J7+J14+J15+J16+J18</f>
        <v>258</v>
      </c>
      <c r="K19" s="29">
        <f t="shared" ref="K19:N19" si="4">+K7+K14+K15+K16+K18</f>
        <v>283</v>
      </c>
      <c r="L19" s="29">
        <f t="shared" si="4"/>
        <v>268</v>
      </c>
      <c r="M19" s="29">
        <f t="shared" si="4"/>
        <v>257</v>
      </c>
      <c r="N19" s="29">
        <f t="shared" si="4"/>
        <v>261</v>
      </c>
    </row>
    <row r="20" spans="1:14" x14ac:dyDescent="0.2">
      <c r="A20" s="9" t="s">
        <v>48</v>
      </c>
      <c r="B20" s="1" t="s">
        <v>49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28">
        <f>SUM(J21:J23)</f>
        <v>0</v>
      </c>
      <c r="K20" s="28">
        <f t="shared" ref="K20:N20" si="5">SUM(K21:K23)</f>
        <v>0</v>
      </c>
      <c r="L20" s="28">
        <f t="shared" si="5"/>
        <v>0</v>
      </c>
      <c r="M20" s="28">
        <f t="shared" si="5"/>
        <v>0</v>
      </c>
      <c r="N20" s="28">
        <f t="shared" si="5"/>
        <v>0</v>
      </c>
    </row>
    <row r="21" spans="1:14" outlineLevel="1" x14ac:dyDescent="0.2">
      <c r="A21" s="9" t="s">
        <v>56</v>
      </c>
      <c r="B21" s="1" t="s">
        <v>51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outlineLevel="1" x14ac:dyDescent="0.2">
      <c r="A22" s="9" t="s">
        <v>57</v>
      </c>
      <c r="B22" s="1" t="s">
        <v>58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outlineLevel="1" x14ac:dyDescent="0.2">
      <c r="A23" s="9" t="s">
        <v>59</v>
      </c>
      <c r="B23" s="1" t="s">
        <v>53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</row>
    <row r="24" spans="1:14" x14ac:dyDescent="0.2">
      <c r="A24" s="9" t="s">
        <v>60</v>
      </c>
      <c r="B24" s="1" t="s">
        <v>61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</row>
    <row r="25" spans="1:14" x14ac:dyDescent="0.2">
      <c r="A25" s="9" t="s">
        <v>62</v>
      </c>
      <c r="B25" s="1" t="s">
        <v>63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</row>
    <row r="26" spans="1:14" x14ac:dyDescent="0.2">
      <c r="A26" s="9" t="s">
        <v>64</v>
      </c>
      <c r="B26" s="1" t="s">
        <v>65</v>
      </c>
      <c r="C26" s="10">
        <v>-60</v>
      </c>
      <c r="D26" s="10">
        <v>0</v>
      </c>
      <c r="E26" s="10">
        <v>10</v>
      </c>
      <c r="F26" s="10">
        <v>10</v>
      </c>
      <c r="G26" s="10">
        <v>-10</v>
      </c>
      <c r="H26" s="10">
        <v>0</v>
      </c>
      <c r="I26" s="10">
        <v>0</v>
      </c>
      <c r="J26" s="28">
        <f>+J27</f>
        <v>0</v>
      </c>
      <c r="K26" s="28">
        <f t="shared" ref="K26:N26" si="6">+K27</f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</row>
    <row r="27" spans="1:14" outlineLevel="1" x14ac:dyDescent="0.2">
      <c r="A27" s="9" t="s">
        <v>66</v>
      </c>
      <c r="B27" s="1" t="s">
        <v>67</v>
      </c>
      <c r="C27" s="10">
        <v>-60</v>
      </c>
      <c r="D27" s="10">
        <v>0</v>
      </c>
      <c r="E27" s="10">
        <v>10</v>
      </c>
      <c r="F27" s="10">
        <v>10</v>
      </c>
      <c r="G27" s="10">
        <v>-10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4" x14ac:dyDescent="0.2">
      <c r="A28" s="9" t="s">
        <v>68</v>
      </c>
      <c r="B28" s="1" t="s">
        <v>69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28">
        <f>+J29</f>
        <v>0</v>
      </c>
      <c r="K28" s="28">
        <f t="shared" ref="K28:N28" si="7">+K29</f>
        <v>0</v>
      </c>
      <c r="L28" s="28">
        <f t="shared" si="7"/>
        <v>0</v>
      </c>
      <c r="M28" s="28">
        <f t="shared" si="7"/>
        <v>0</v>
      </c>
      <c r="N28" s="28">
        <f t="shared" si="7"/>
        <v>0</v>
      </c>
    </row>
    <row r="29" spans="1:14" outlineLevel="1" x14ac:dyDescent="0.2">
      <c r="A29" s="9" t="s">
        <v>70</v>
      </c>
      <c r="B29" s="1" t="s">
        <v>71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/>
      <c r="K29" s="10"/>
      <c r="L29" s="10"/>
      <c r="M29" s="10"/>
      <c r="N29" s="10"/>
    </row>
    <row r="30" spans="1:14" x14ac:dyDescent="0.2">
      <c r="A30" s="3"/>
      <c r="B30" s="3" t="s">
        <v>72</v>
      </c>
      <c r="C30" s="30">
        <f t="shared" ref="C30:I30" si="8">+C20+C24+C25+C26+C28</f>
        <v>-60</v>
      </c>
      <c r="D30" s="30">
        <f t="shared" si="8"/>
        <v>0</v>
      </c>
      <c r="E30" s="30">
        <f t="shared" si="8"/>
        <v>10</v>
      </c>
      <c r="F30" s="30">
        <f t="shared" si="8"/>
        <v>10</v>
      </c>
      <c r="G30" s="30">
        <f t="shared" si="8"/>
        <v>-10</v>
      </c>
      <c r="H30" s="30">
        <f t="shared" si="8"/>
        <v>0</v>
      </c>
      <c r="I30" s="30">
        <f t="shared" si="8"/>
        <v>0</v>
      </c>
      <c r="J30" s="30">
        <f>+J20+J24+J25+J26+J28</f>
        <v>0</v>
      </c>
      <c r="K30" s="30">
        <f t="shared" ref="K30:N30" si="9">+K20+K24+K25+K26+K28</f>
        <v>0</v>
      </c>
      <c r="L30" s="30">
        <f t="shared" si="9"/>
        <v>0</v>
      </c>
      <c r="M30" s="30">
        <f t="shared" si="9"/>
        <v>0</v>
      </c>
      <c r="N30" s="30">
        <f t="shared" si="9"/>
        <v>0</v>
      </c>
    </row>
    <row r="31" spans="1:14" x14ac:dyDescent="0.2">
      <c r="A31" s="12"/>
      <c r="B31" s="12" t="s">
        <v>73</v>
      </c>
      <c r="C31" s="29">
        <f t="shared" ref="C31:I31" si="10">+C19-C30</f>
        <v>322.8</v>
      </c>
      <c r="D31" s="29">
        <f t="shared" si="10"/>
        <v>262.8</v>
      </c>
      <c r="E31" s="29">
        <f t="shared" si="10"/>
        <v>252.8</v>
      </c>
      <c r="F31" s="29">
        <f t="shared" si="10"/>
        <v>272.2</v>
      </c>
      <c r="G31" s="29">
        <f t="shared" si="10"/>
        <v>294.89999999999998</v>
      </c>
      <c r="H31" s="29">
        <f t="shared" si="10"/>
        <v>284.89999999999998</v>
      </c>
      <c r="I31" s="29">
        <f t="shared" si="10"/>
        <v>282.2</v>
      </c>
      <c r="J31" s="29">
        <f>+J19-J30</f>
        <v>258</v>
      </c>
      <c r="K31" s="29">
        <f t="shared" ref="K31:N31" si="11">+K19-K30</f>
        <v>283</v>
      </c>
      <c r="L31" s="29">
        <f t="shared" si="11"/>
        <v>268</v>
      </c>
      <c r="M31" s="29">
        <f t="shared" si="11"/>
        <v>257</v>
      </c>
      <c r="N31" s="29">
        <f t="shared" si="11"/>
        <v>261</v>
      </c>
    </row>
    <row r="32" spans="1:14" x14ac:dyDescent="0.2">
      <c r="A32" s="9" t="s">
        <v>74</v>
      </c>
      <c r="B32" s="1" t="s">
        <v>74</v>
      </c>
      <c r="C32" s="10" t="s">
        <v>74</v>
      </c>
      <c r="D32" s="10" t="s">
        <v>74</v>
      </c>
      <c r="E32" s="10" t="s">
        <v>74</v>
      </c>
      <c r="F32" s="10" t="s">
        <v>74</v>
      </c>
      <c r="G32" s="10" t="s">
        <v>74</v>
      </c>
      <c r="H32" s="10" t="s">
        <v>74</v>
      </c>
      <c r="I32" s="10" t="s">
        <v>74</v>
      </c>
      <c r="J32" s="10" t="s">
        <v>74</v>
      </c>
      <c r="K32" s="10" t="s">
        <v>74</v>
      </c>
      <c r="L32" s="10" t="s">
        <v>74</v>
      </c>
      <c r="M32" s="10" t="s">
        <v>74</v>
      </c>
      <c r="N32" s="10" t="s">
        <v>74</v>
      </c>
    </row>
    <row r="33" spans="1:14" x14ac:dyDescent="0.2">
      <c r="A33" s="9" t="s">
        <v>75</v>
      </c>
      <c r="B33" s="1" t="s">
        <v>76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28">
        <v>0</v>
      </c>
      <c r="K33" s="28">
        <v>0</v>
      </c>
      <c r="L33" s="28">
        <v>0</v>
      </c>
      <c r="M33" s="28">
        <v>0</v>
      </c>
      <c r="N33" s="28">
        <v>0</v>
      </c>
    </row>
    <row r="34" spans="1:14" x14ac:dyDescent="0.2">
      <c r="A34" s="9" t="s">
        <v>111</v>
      </c>
      <c r="B34" s="1" t="s">
        <v>112</v>
      </c>
      <c r="C34" s="28">
        <f t="shared" ref="C34:M34" si="12">SUM(C35:C38)</f>
        <v>0.5</v>
      </c>
      <c r="D34" s="28">
        <f t="shared" si="12"/>
        <v>1.3</v>
      </c>
      <c r="E34" s="28">
        <f t="shared" si="12"/>
        <v>1.9</v>
      </c>
      <c r="F34" s="28">
        <f t="shared" si="12"/>
        <v>1.3</v>
      </c>
      <c r="G34" s="28">
        <f t="shared" si="12"/>
        <v>0.4</v>
      </c>
      <c r="H34" s="28">
        <f t="shared" si="12"/>
        <v>0.5</v>
      </c>
      <c r="I34" s="28">
        <f t="shared" si="12"/>
        <v>-0.2</v>
      </c>
      <c r="J34" s="28">
        <f t="shared" si="12"/>
        <v>1.9</v>
      </c>
      <c r="K34" s="28">
        <f t="shared" si="12"/>
        <v>1.3</v>
      </c>
      <c r="L34" s="28">
        <f t="shared" si="12"/>
        <v>0.4</v>
      </c>
      <c r="M34" s="28">
        <f t="shared" si="12"/>
        <v>0.5</v>
      </c>
      <c r="N34" s="28">
        <f t="shared" ref="N34" si="13">SUM(N35:N38)</f>
        <v>-0.2</v>
      </c>
    </row>
    <row r="35" spans="1:14" outlineLevel="1" x14ac:dyDescent="0.2">
      <c r="A35" s="9" t="s">
        <v>113</v>
      </c>
      <c r="B35" s="1" t="s">
        <v>114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</row>
    <row r="36" spans="1:14" outlineLevel="1" x14ac:dyDescent="0.2">
      <c r="A36" s="9" t="s">
        <v>115</v>
      </c>
      <c r="B36" s="1" t="s">
        <v>116</v>
      </c>
      <c r="C36" s="10">
        <v>0.5</v>
      </c>
      <c r="D36" s="10">
        <v>1.3</v>
      </c>
      <c r="E36" s="10">
        <v>0.4</v>
      </c>
      <c r="F36" s="10">
        <v>1.3</v>
      </c>
      <c r="G36" s="10">
        <v>0.4</v>
      </c>
      <c r="H36" s="10">
        <v>0.5</v>
      </c>
      <c r="I36" s="10">
        <v>-0.4</v>
      </c>
      <c r="J36" s="10">
        <v>0.4</v>
      </c>
      <c r="K36" s="10">
        <v>1.3</v>
      </c>
      <c r="L36" s="10">
        <v>0.4</v>
      </c>
      <c r="M36" s="10">
        <v>0.5</v>
      </c>
      <c r="N36" s="10">
        <v>-0.4</v>
      </c>
    </row>
    <row r="37" spans="1:14" outlineLevel="1" x14ac:dyDescent="0.2">
      <c r="A37" s="9" t="s">
        <v>311</v>
      </c>
      <c r="B37" s="1" t="s">
        <v>312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0.2</v>
      </c>
      <c r="J37" s="10">
        <v>0</v>
      </c>
      <c r="K37" s="10">
        <v>0</v>
      </c>
      <c r="L37" s="10">
        <v>0</v>
      </c>
      <c r="M37" s="10">
        <v>0</v>
      </c>
      <c r="N37" s="10">
        <v>0.2</v>
      </c>
    </row>
    <row r="38" spans="1:14" outlineLevel="1" x14ac:dyDescent="0.2">
      <c r="A38" s="9" t="s">
        <v>117</v>
      </c>
      <c r="B38" s="1" t="s">
        <v>118</v>
      </c>
      <c r="C38" s="10">
        <v>0</v>
      </c>
      <c r="D38" s="10">
        <v>0</v>
      </c>
      <c r="E38" s="10">
        <v>1.5</v>
      </c>
      <c r="F38" s="10">
        <v>0</v>
      </c>
      <c r="G38" s="10">
        <v>0</v>
      </c>
      <c r="H38" s="10">
        <v>0</v>
      </c>
      <c r="I38" s="10">
        <v>0</v>
      </c>
      <c r="J38" s="10">
        <v>1.5</v>
      </c>
      <c r="K38" s="10">
        <v>0</v>
      </c>
      <c r="L38" s="10">
        <v>0</v>
      </c>
      <c r="M38" s="10">
        <v>0</v>
      </c>
      <c r="N38" s="10">
        <v>0</v>
      </c>
    </row>
    <row r="39" spans="1:14" x14ac:dyDescent="0.2">
      <c r="A39" s="9" t="s">
        <v>119</v>
      </c>
      <c r="B39" s="1" t="s">
        <v>120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</row>
    <row r="40" spans="1:14" x14ac:dyDescent="0.2">
      <c r="A40" s="9" t="s">
        <v>127</v>
      </c>
      <c r="B40" s="1" t="s">
        <v>128</v>
      </c>
      <c r="C40" s="28">
        <f t="shared" ref="C40:M40" si="14">SUM(C41:C42)</f>
        <v>18.5</v>
      </c>
      <c r="D40" s="28">
        <f t="shared" si="14"/>
        <v>0</v>
      </c>
      <c r="E40" s="28">
        <f t="shared" si="14"/>
        <v>0</v>
      </c>
      <c r="F40" s="28">
        <f t="shared" si="14"/>
        <v>0</v>
      </c>
      <c r="G40" s="28">
        <f t="shared" si="14"/>
        <v>14.4</v>
      </c>
      <c r="H40" s="28">
        <f t="shared" si="14"/>
        <v>12.8</v>
      </c>
      <c r="I40" s="28">
        <f t="shared" si="14"/>
        <v>0</v>
      </c>
      <c r="J40" s="28">
        <f t="shared" si="14"/>
        <v>0</v>
      </c>
      <c r="K40" s="28">
        <f t="shared" si="14"/>
        <v>0</v>
      </c>
      <c r="L40" s="28">
        <f t="shared" si="14"/>
        <v>0</v>
      </c>
      <c r="M40" s="28">
        <f t="shared" si="14"/>
        <v>0</v>
      </c>
      <c r="N40" s="28">
        <f t="shared" ref="N40" si="15">SUM(N41:N42)</f>
        <v>0</v>
      </c>
    </row>
    <row r="41" spans="1:14" outlineLevel="1" x14ac:dyDescent="0.2">
      <c r="A41" s="9" t="s">
        <v>129</v>
      </c>
      <c r="B41" s="1" t="s">
        <v>130</v>
      </c>
      <c r="C41" s="10">
        <v>18.5</v>
      </c>
      <c r="D41" s="10">
        <v>0</v>
      </c>
      <c r="E41" s="10">
        <v>0</v>
      </c>
      <c r="F41" s="10">
        <v>0</v>
      </c>
      <c r="G41" s="10">
        <v>14.4</v>
      </c>
      <c r="H41" s="10">
        <v>12.8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outlineLevel="1" x14ac:dyDescent="0.2">
      <c r="A42" s="9" t="s">
        <v>319</v>
      </c>
      <c r="B42" s="1" t="s">
        <v>320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x14ac:dyDescent="0.2">
      <c r="A43" s="9" t="s">
        <v>133</v>
      </c>
      <c r="B43" s="1" t="s">
        <v>134</v>
      </c>
      <c r="C43" s="28">
        <f t="shared" ref="C43:M43" si="16">SUM(C44:C47)</f>
        <v>18.8</v>
      </c>
      <c r="D43" s="28">
        <f t="shared" si="16"/>
        <v>12.2</v>
      </c>
      <c r="E43" s="28">
        <f t="shared" si="16"/>
        <v>17.8</v>
      </c>
      <c r="F43" s="28">
        <f t="shared" si="16"/>
        <v>22.8</v>
      </c>
      <c r="G43" s="28">
        <f t="shared" si="16"/>
        <v>17</v>
      </c>
      <c r="H43" s="28">
        <f t="shared" si="16"/>
        <v>8.1</v>
      </c>
      <c r="I43" s="28">
        <f t="shared" si="16"/>
        <v>8</v>
      </c>
      <c r="J43" s="28">
        <f t="shared" si="16"/>
        <v>17.8</v>
      </c>
      <c r="K43" s="28">
        <f t="shared" si="16"/>
        <v>22.8</v>
      </c>
      <c r="L43" s="28">
        <f t="shared" si="16"/>
        <v>17</v>
      </c>
      <c r="M43" s="28">
        <f t="shared" si="16"/>
        <v>8.1</v>
      </c>
      <c r="N43" s="28">
        <f t="shared" ref="N43" si="17">SUM(N44:N47)</f>
        <v>8</v>
      </c>
    </row>
    <row r="44" spans="1:14" outlineLevel="1" x14ac:dyDescent="0.2">
      <c r="A44" s="9" t="s">
        <v>329</v>
      </c>
      <c r="B44" s="1" t="s">
        <v>330</v>
      </c>
      <c r="C44" s="10">
        <v>18.3</v>
      </c>
      <c r="D44" s="10">
        <v>12.7</v>
      </c>
      <c r="E44" s="10">
        <v>17.8</v>
      </c>
      <c r="F44" s="10">
        <v>22.8</v>
      </c>
      <c r="G44" s="10">
        <v>17</v>
      </c>
      <c r="H44" s="10">
        <v>8.1</v>
      </c>
      <c r="I44" s="10">
        <v>8</v>
      </c>
      <c r="J44" s="10">
        <v>17.8</v>
      </c>
      <c r="K44" s="10">
        <v>22.8</v>
      </c>
      <c r="L44" s="10">
        <v>17</v>
      </c>
      <c r="M44" s="10">
        <v>8.1</v>
      </c>
      <c r="N44" s="10">
        <v>8</v>
      </c>
    </row>
    <row r="45" spans="1:14" outlineLevel="1" x14ac:dyDescent="0.2">
      <c r="A45" s="9" t="s">
        <v>331</v>
      </c>
      <c r="B45" s="1" t="s">
        <v>332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outlineLevel="1" x14ac:dyDescent="0.2">
      <c r="A46" s="9" t="s">
        <v>333</v>
      </c>
      <c r="B46" s="1" t="s">
        <v>334</v>
      </c>
      <c r="C46" s="10">
        <v>0.5</v>
      </c>
      <c r="D46" s="10">
        <v>-0.5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outlineLevel="1" x14ac:dyDescent="0.2">
      <c r="A47" s="9" t="s">
        <v>337</v>
      </c>
      <c r="B47" s="1" t="s">
        <v>338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x14ac:dyDescent="0.2">
      <c r="A48" s="9" t="s">
        <v>137</v>
      </c>
      <c r="B48" s="1" t="s">
        <v>138</v>
      </c>
      <c r="C48" s="28">
        <f t="shared" ref="C48:M48" si="18">SUM(C49:C53)</f>
        <v>5.8999999999999995</v>
      </c>
      <c r="D48" s="28">
        <f t="shared" si="18"/>
        <v>5.8999999999999995</v>
      </c>
      <c r="E48" s="28">
        <f t="shared" si="18"/>
        <v>6.8999999999999995</v>
      </c>
      <c r="F48" s="28">
        <f t="shared" si="18"/>
        <v>7.1</v>
      </c>
      <c r="G48" s="28">
        <f t="shared" si="18"/>
        <v>7.3999999999999995</v>
      </c>
      <c r="H48" s="28">
        <f t="shared" si="18"/>
        <v>7.1</v>
      </c>
      <c r="I48" s="28">
        <f t="shared" si="18"/>
        <v>7.1</v>
      </c>
      <c r="J48" s="28">
        <f t="shared" si="18"/>
        <v>5.8999999999999995</v>
      </c>
      <c r="K48" s="28">
        <f t="shared" si="18"/>
        <v>7.1</v>
      </c>
      <c r="L48" s="28">
        <f t="shared" si="18"/>
        <v>7.1</v>
      </c>
      <c r="M48" s="28">
        <f t="shared" si="18"/>
        <v>7.1</v>
      </c>
      <c r="N48" s="28">
        <f t="shared" ref="N48" si="19">SUM(N49:N53)</f>
        <v>7.1</v>
      </c>
    </row>
    <row r="49" spans="1:14" outlineLevel="1" x14ac:dyDescent="0.2">
      <c r="A49" s="9" t="s">
        <v>339</v>
      </c>
      <c r="B49" s="1" t="s">
        <v>340</v>
      </c>
      <c r="C49" s="10">
        <v>3</v>
      </c>
      <c r="D49" s="10">
        <v>3</v>
      </c>
      <c r="E49" s="10">
        <v>3</v>
      </c>
      <c r="F49" s="10">
        <v>3</v>
      </c>
      <c r="G49" s="10">
        <v>3</v>
      </c>
      <c r="H49" s="10">
        <v>3</v>
      </c>
      <c r="I49" s="10">
        <v>3</v>
      </c>
      <c r="J49" s="10">
        <v>3</v>
      </c>
      <c r="K49" s="10">
        <v>3</v>
      </c>
      <c r="L49" s="10">
        <v>3</v>
      </c>
      <c r="M49" s="10">
        <v>3</v>
      </c>
      <c r="N49" s="10">
        <v>3</v>
      </c>
    </row>
    <row r="50" spans="1:14" outlineLevel="1" x14ac:dyDescent="0.2">
      <c r="A50" s="9" t="s">
        <v>341</v>
      </c>
      <c r="B50" s="1" t="s">
        <v>342</v>
      </c>
      <c r="C50" s="10">
        <v>1.1000000000000001</v>
      </c>
      <c r="D50" s="10">
        <v>1.1000000000000001</v>
      </c>
      <c r="E50" s="10">
        <v>1.1000000000000001</v>
      </c>
      <c r="F50" s="10">
        <v>2.2999999999999998</v>
      </c>
      <c r="G50" s="10">
        <v>2.2999999999999998</v>
      </c>
      <c r="H50" s="10">
        <v>2.2999999999999998</v>
      </c>
      <c r="I50" s="10">
        <v>2.2999999999999998</v>
      </c>
      <c r="J50" s="10">
        <v>1.1000000000000001</v>
      </c>
      <c r="K50" s="10">
        <v>2.2999999999999998</v>
      </c>
      <c r="L50" s="10">
        <v>2.2999999999999998</v>
      </c>
      <c r="M50" s="10">
        <v>2.2999999999999998</v>
      </c>
      <c r="N50" s="10">
        <v>2.2999999999999998</v>
      </c>
    </row>
    <row r="51" spans="1:14" outlineLevel="1" x14ac:dyDescent="0.2">
      <c r="A51" s="9" t="s">
        <v>343</v>
      </c>
      <c r="B51" s="1" t="s">
        <v>344</v>
      </c>
      <c r="C51" s="10">
        <v>0.5</v>
      </c>
      <c r="D51" s="10">
        <v>0.5</v>
      </c>
      <c r="E51" s="10">
        <v>0.5</v>
      </c>
      <c r="F51" s="10">
        <v>0.5</v>
      </c>
      <c r="G51" s="10">
        <v>0.5</v>
      </c>
      <c r="H51" s="10">
        <v>0.5</v>
      </c>
      <c r="I51" s="10">
        <v>0.5</v>
      </c>
      <c r="J51" s="10">
        <v>0.5</v>
      </c>
      <c r="K51" s="10">
        <v>0.5</v>
      </c>
      <c r="L51" s="10">
        <v>0.5</v>
      </c>
      <c r="M51" s="10">
        <v>0.5</v>
      </c>
      <c r="N51" s="10">
        <v>0.5</v>
      </c>
    </row>
    <row r="52" spans="1:14" outlineLevel="1" x14ac:dyDescent="0.2">
      <c r="A52" s="9" t="s">
        <v>347</v>
      </c>
      <c r="B52" s="1" t="s">
        <v>348</v>
      </c>
      <c r="C52" s="10">
        <v>1.3</v>
      </c>
      <c r="D52" s="10">
        <v>1.3</v>
      </c>
      <c r="E52" s="10">
        <v>1.3</v>
      </c>
      <c r="F52" s="10">
        <v>1.3</v>
      </c>
      <c r="G52" s="10">
        <v>1.3</v>
      </c>
      <c r="H52" s="10">
        <v>1.3</v>
      </c>
      <c r="I52" s="10">
        <v>1.3</v>
      </c>
      <c r="J52" s="10">
        <v>1.3</v>
      </c>
      <c r="K52" s="10">
        <v>1.3</v>
      </c>
      <c r="L52" s="10">
        <v>1.3</v>
      </c>
      <c r="M52" s="10">
        <v>1.3</v>
      </c>
      <c r="N52" s="10">
        <v>1.3</v>
      </c>
    </row>
    <row r="53" spans="1:14" outlineLevel="1" x14ac:dyDescent="0.2">
      <c r="A53" s="9" t="s">
        <v>351</v>
      </c>
      <c r="B53" s="1" t="s">
        <v>352</v>
      </c>
      <c r="C53" s="10">
        <v>0</v>
      </c>
      <c r="D53" s="10">
        <v>0</v>
      </c>
      <c r="E53" s="10">
        <v>1</v>
      </c>
      <c r="F53" s="10">
        <v>0</v>
      </c>
      <c r="G53" s="10">
        <v>0.3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</row>
    <row r="54" spans="1:14" x14ac:dyDescent="0.2">
      <c r="A54" s="9" t="s">
        <v>139</v>
      </c>
      <c r="B54" s="1" t="s">
        <v>140</v>
      </c>
      <c r="C54" s="28">
        <f t="shared" ref="C54:M54" si="20">+C55</f>
        <v>0</v>
      </c>
      <c r="D54" s="28">
        <f t="shared" si="20"/>
        <v>0</v>
      </c>
      <c r="E54" s="28">
        <f t="shared" si="20"/>
        <v>0</v>
      </c>
      <c r="F54" s="28">
        <f t="shared" si="20"/>
        <v>0</v>
      </c>
      <c r="G54" s="28">
        <f t="shared" si="20"/>
        <v>0</v>
      </c>
      <c r="H54" s="28">
        <f t="shared" si="20"/>
        <v>0</v>
      </c>
      <c r="I54" s="28">
        <f t="shared" si="20"/>
        <v>0</v>
      </c>
      <c r="J54" s="28">
        <f t="shared" si="20"/>
        <v>0</v>
      </c>
      <c r="K54" s="28">
        <f t="shared" si="20"/>
        <v>0</v>
      </c>
      <c r="L54" s="28">
        <f t="shared" si="20"/>
        <v>0</v>
      </c>
      <c r="M54" s="28">
        <f t="shared" si="20"/>
        <v>0</v>
      </c>
      <c r="N54" s="28">
        <f t="shared" ref="N54" si="21">+N55</f>
        <v>0</v>
      </c>
    </row>
    <row r="55" spans="1:14" outlineLevel="1" x14ac:dyDescent="0.2">
      <c r="A55" s="9" t="s">
        <v>353</v>
      </c>
      <c r="B55" s="1" t="s">
        <v>354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x14ac:dyDescent="0.2">
      <c r="A56" s="9" t="s">
        <v>141</v>
      </c>
      <c r="B56" s="1" t="s">
        <v>142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28">
        <v>0</v>
      </c>
      <c r="K56" s="28">
        <v>0</v>
      </c>
      <c r="L56" s="28">
        <v>0</v>
      </c>
      <c r="M56" s="28">
        <v>0</v>
      </c>
      <c r="N56" s="28">
        <v>0</v>
      </c>
    </row>
    <row r="57" spans="1:14" x14ac:dyDescent="0.2">
      <c r="A57" s="9" t="s">
        <v>143</v>
      </c>
      <c r="B57" s="1" t="s">
        <v>144</v>
      </c>
      <c r="C57" s="28">
        <f t="shared" ref="C57:M57" si="22">SUM(C58:C64)</f>
        <v>145.30000000000001</v>
      </c>
      <c r="D57" s="28">
        <f t="shared" si="22"/>
        <v>136.30000000000001</v>
      </c>
      <c r="E57" s="28">
        <f t="shared" si="22"/>
        <v>135.5</v>
      </c>
      <c r="F57" s="28">
        <f t="shared" si="22"/>
        <v>108.4</v>
      </c>
      <c r="G57" s="28">
        <f t="shared" si="22"/>
        <v>119.79999999999998</v>
      </c>
      <c r="H57" s="28">
        <f t="shared" si="22"/>
        <v>145</v>
      </c>
      <c r="I57" s="28">
        <f t="shared" si="22"/>
        <v>129.9</v>
      </c>
      <c r="J57" s="28">
        <f t="shared" si="22"/>
        <v>132.10000000000002</v>
      </c>
      <c r="K57" s="28">
        <f t="shared" si="22"/>
        <v>137.9</v>
      </c>
      <c r="L57" s="28">
        <f t="shared" si="22"/>
        <v>121.7</v>
      </c>
      <c r="M57" s="28">
        <f t="shared" si="22"/>
        <v>130.1</v>
      </c>
      <c r="N57" s="28">
        <f t="shared" ref="N57" si="23">SUM(N58:N64)</f>
        <v>128.4</v>
      </c>
    </row>
    <row r="58" spans="1:14" outlineLevel="1" x14ac:dyDescent="0.2">
      <c r="A58" s="9" t="s">
        <v>145</v>
      </c>
      <c r="B58" s="1" t="s">
        <v>146</v>
      </c>
      <c r="C58" s="10">
        <v>86.1</v>
      </c>
      <c r="D58" s="10">
        <v>86.8</v>
      </c>
      <c r="E58" s="10">
        <v>85.3</v>
      </c>
      <c r="F58" s="10">
        <v>86</v>
      </c>
      <c r="G58" s="10">
        <v>86</v>
      </c>
      <c r="H58" s="10">
        <v>84.9</v>
      </c>
      <c r="I58" s="10">
        <v>85.8</v>
      </c>
      <c r="J58" s="10">
        <v>86</v>
      </c>
      <c r="K58" s="10">
        <v>84</v>
      </c>
      <c r="L58" s="10">
        <v>87</v>
      </c>
      <c r="M58" s="10">
        <v>85</v>
      </c>
      <c r="N58" s="10">
        <v>84</v>
      </c>
    </row>
    <row r="59" spans="1:14" outlineLevel="1" x14ac:dyDescent="0.2">
      <c r="A59" s="9" t="s">
        <v>147</v>
      </c>
      <c r="B59" s="1" t="s">
        <v>148</v>
      </c>
      <c r="C59" s="10">
        <v>0.2</v>
      </c>
      <c r="D59" s="10">
        <v>0</v>
      </c>
      <c r="E59" s="10">
        <v>0.2</v>
      </c>
      <c r="F59" s="10">
        <v>0</v>
      </c>
      <c r="G59" s="10">
        <v>0.2</v>
      </c>
      <c r="H59" s="10">
        <v>2</v>
      </c>
      <c r="I59" s="10">
        <v>0.2</v>
      </c>
      <c r="J59" s="10">
        <v>0.2</v>
      </c>
      <c r="K59" s="10">
        <v>0</v>
      </c>
      <c r="L59" s="10">
        <v>0.2</v>
      </c>
      <c r="M59" s="10">
        <v>2</v>
      </c>
      <c r="N59" s="10">
        <v>0.2</v>
      </c>
    </row>
    <row r="60" spans="1:14" outlineLevel="1" x14ac:dyDescent="0.2">
      <c r="A60" s="9" t="s">
        <v>149</v>
      </c>
      <c r="B60" s="1" t="s">
        <v>150</v>
      </c>
      <c r="C60" s="10">
        <v>16.7</v>
      </c>
      <c r="D60" s="10">
        <v>28.5</v>
      </c>
      <c r="E60" s="10">
        <v>13.7</v>
      </c>
      <c r="F60" s="10">
        <v>8</v>
      </c>
      <c r="G60" s="10">
        <v>12.1</v>
      </c>
      <c r="H60" s="10">
        <v>21.1</v>
      </c>
      <c r="I60" s="10">
        <v>19.899999999999999</v>
      </c>
      <c r="J60" s="10">
        <v>18</v>
      </c>
      <c r="K60" s="10">
        <v>17</v>
      </c>
      <c r="L60" s="10">
        <v>14</v>
      </c>
      <c r="M60" s="10">
        <v>20</v>
      </c>
      <c r="N60" s="10">
        <v>16</v>
      </c>
    </row>
    <row r="61" spans="1:14" outlineLevel="1" x14ac:dyDescent="0.2">
      <c r="A61" s="9" t="s">
        <v>151</v>
      </c>
      <c r="B61" s="1" t="s">
        <v>152</v>
      </c>
      <c r="C61" s="10">
        <v>1.2</v>
      </c>
      <c r="D61" s="10">
        <v>1.7</v>
      </c>
      <c r="E61" s="10">
        <v>1.3</v>
      </c>
      <c r="F61" s="10">
        <v>-0.1</v>
      </c>
      <c r="G61" s="10">
        <v>-0.4</v>
      </c>
      <c r="H61" s="10">
        <v>0.5</v>
      </c>
      <c r="I61" s="10">
        <v>0.2</v>
      </c>
      <c r="J61" s="10">
        <v>-0.1</v>
      </c>
      <c r="K61" s="10">
        <v>-0.1</v>
      </c>
      <c r="L61" s="10">
        <v>-0.4</v>
      </c>
      <c r="M61" s="10">
        <v>0.5</v>
      </c>
      <c r="N61" s="10">
        <v>0.2</v>
      </c>
    </row>
    <row r="62" spans="1:14" outlineLevel="1" x14ac:dyDescent="0.2">
      <c r="A62" s="9" t="s">
        <v>355</v>
      </c>
      <c r="B62" s="1" t="s">
        <v>356</v>
      </c>
      <c r="C62" s="10">
        <v>5.7</v>
      </c>
      <c r="D62" s="10">
        <v>-5.7</v>
      </c>
      <c r="E62" s="10">
        <v>0</v>
      </c>
      <c r="F62" s="10">
        <v>0</v>
      </c>
      <c r="G62" s="10">
        <v>0</v>
      </c>
      <c r="H62" s="10">
        <v>6.7</v>
      </c>
      <c r="I62" s="10">
        <v>0.5</v>
      </c>
      <c r="J62" s="10">
        <v>0.5</v>
      </c>
      <c r="K62" s="10">
        <v>0.5</v>
      </c>
      <c r="L62" s="10">
        <v>0.5</v>
      </c>
      <c r="M62" s="10">
        <v>0.5</v>
      </c>
      <c r="N62" s="10">
        <v>0.5</v>
      </c>
    </row>
    <row r="63" spans="1:14" outlineLevel="1" x14ac:dyDescent="0.2">
      <c r="A63" s="9" t="s">
        <v>153</v>
      </c>
      <c r="B63" s="1" t="s">
        <v>154</v>
      </c>
      <c r="C63" s="10">
        <v>19.899999999999999</v>
      </c>
      <c r="D63" s="10">
        <v>21.5</v>
      </c>
      <c r="E63" s="10">
        <v>21.5</v>
      </c>
      <c r="F63" s="10">
        <v>18.100000000000001</v>
      </c>
      <c r="G63" s="10">
        <v>24.8</v>
      </c>
      <c r="H63" s="10">
        <v>22.3</v>
      </c>
      <c r="I63" s="10">
        <v>22.2</v>
      </c>
      <c r="J63" s="10">
        <v>24</v>
      </c>
      <c r="K63" s="10">
        <v>23</v>
      </c>
      <c r="L63" s="10">
        <v>24</v>
      </c>
      <c r="M63" s="10">
        <v>25</v>
      </c>
      <c r="N63" s="10">
        <v>20</v>
      </c>
    </row>
    <row r="64" spans="1:14" outlineLevel="1" x14ac:dyDescent="0.2">
      <c r="A64" s="9" t="s">
        <v>155</v>
      </c>
      <c r="B64" s="1" t="s">
        <v>156</v>
      </c>
      <c r="C64" s="10">
        <v>15.5</v>
      </c>
      <c r="D64" s="10">
        <v>3.5</v>
      </c>
      <c r="E64" s="10">
        <v>13.5</v>
      </c>
      <c r="F64" s="10">
        <v>-3.6</v>
      </c>
      <c r="G64" s="10">
        <v>-2.9</v>
      </c>
      <c r="H64" s="10">
        <v>7.5</v>
      </c>
      <c r="I64" s="10">
        <v>1.1000000000000001</v>
      </c>
      <c r="J64" s="10">
        <v>3.5</v>
      </c>
      <c r="K64" s="10">
        <v>13.5</v>
      </c>
      <c r="L64" s="10">
        <v>-3.6</v>
      </c>
      <c r="M64" s="10">
        <v>-2.9</v>
      </c>
      <c r="N64" s="10">
        <v>7.5</v>
      </c>
    </row>
    <row r="65" spans="1:14" x14ac:dyDescent="0.2">
      <c r="A65" s="9" t="s">
        <v>157</v>
      </c>
      <c r="B65" s="1" t="s">
        <v>158</v>
      </c>
      <c r="C65" s="28">
        <f t="shared" ref="C65:M65" si="24">+C66</f>
        <v>0.9</v>
      </c>
      <c r="D65" s="28">
        <f t="shared" si="24"/>
        <v>5.5</v>
      </c>
      <c r="E65" s="28">
        <f t="shared" si="24"/>
        <v>-3.3</v>
      </c>
      <c r="F65" s="28">
        <f t="shared" si="24"/>
        <v>-1.8</v>
      </c>
      <c r="G65" s="28">
        <f t="shared" si="24"/>
        <v>0.7</v>
      </c>
      <c r="H65" s="28">
        <f t="shared" si="24"/>
        <v>-0.7</v>
      </c>
      <c r="I65" s="28">
        <f t="shared" si="24"/>
        <v>6.6</v>
      </c>
      <c r="J65" s="28">
        <f t="shared" si="24"/>
        <v>-3.3</v>
      </c>
      <c r="K65" s="28">
        <f t="shared" si="24"/>
        <v>-1.8</v>
      </c>
      <c r="L65" s="28">
        <f t="shared" si="24"/>
        <v>0.7</v>
      </c>
      <c r="M65" s="28">
        <f t="shared" si="24"/>
        <v>-0.7</v>
      </c>
      <c r="N65" s="28">
        <f t="shared" ref="N65" si="25">+N66</f>
        <v>6.6</v>
      </c>
    </row>
    <row r="66" spans="1:14" outlineLevel="1" x14ac:dyDescent="0.2">
      <c r="A66" s="9" t="s">
        <v>159</v>
      </c>
      <c r="B66" s="1" t="s">
        <v>160</v>
      </c>
      <c r="C66" s="10">
        <v>0.9</v>
      </c>
      <c r="D66" s="10">
        <v>5.5</v>
      </c>
      <c r="E66" s="10">
        <v>-3.3</v>
      </c>
      <c r="F66" s="10">
        <v>-1.8</v>
      </c>
      <c r="G66" s="10">
        <v>0.7</v>
      </c>
      <c r="H66" s="10">
        <v>-0.7</v>
      </c>
      <c r="I66" s="10">
        <v>6.6</v>
      </c>
      <c r="J66" s="10">
        <v>-3.3</v>
      </c>
      <c r="K66" s="10">
        <v>-1.8</v>
      </c>
      <c r="L66" s="10">
        <v>0.7</v>
      </c>
      <c r="M66" s="10">
        <v>-0.7</v>
      </c>
      <c r="N66" s="10">
        <v>6.6</v>
      </c>
    </row>
    <row r="67" spans="1:14" x14ac:dyDescent="0.2">
      <c r="A67" s="3"/>
      <c r="B67" s="3" t="s">
        <v>165</v>
      </c>
      <c r="C67" s="30">
        <f t="shared" ref="C67:K67" si="26">+C33+C34+C39+C40+C43+C54+C48+C56+C57+C65</f>
        <v>189.9</v>
      </c>
      <c r="D67" s="30">
        <f t="shared" si="26"/>
        <v>161.20000000000002</v>
      </c>
      <c r="E67" s="30">
        <f t="shared" si="26"/>
        <v>158.79999999999998</v>
      </c>
      <c r="F67" s="30">
        <f t="shared" si="26"/>
        <v>137.80000000000001</v>
      </c>
      <c r="G67" s="30">
        <f t="shared" si="26"/>
        <v>159.69999999999999</v>
      </c>
      <c r="H67" s="30">
        <f t="shared" si="26"/>
        <v>172.8</v>
      </c>
      <c r="I67" s="30">
        <f t="shared" si="26"/>
        <v>151.4</v>
      </c>
      <c r="J67" s="30">
        <f t="shared" si="26"/>
        <v>154.4</v>
      </c>
      <c r="K67" s="30">
        <f t="shared" si="26"/>
        <v>167.3</v>
      </c>
      <c r="L67" s="30">
        <f>+L33+L34+L39+L40+L43+L54+L48+L56+L57+L65</f>
        <v>146.89999999999998</v>
      </c>
      <c r="M67" s="30">
        <f t="shared" ref="M67:N67" si="27">+M33+M34+M39+M40+M43+M54+M48+M56+M57+M65</f>
        <v>145.1</v>
      </c>
      <c r="N67" s="30">
        <f t="shared" si="27"/>
        <v>149.9</v>
      </c>
    </row>
    <row r="68" spans="1:14" x14ac:dyDescent="0.2">
      <c r="A68" s="12"/>
      <c r="B68" s="12" t="s">
        <v>166</v>
      </c>
      <c r="C68" s="29">
        <f t="shared" ref="C68:M68" si="28">+C31-C67</f>
        <v>132.9</v>
      </c>
      <c r="D68" s="29">
        <f t="shared" si="28"/>
        <v>101.6</v>
      </c>
      <c r="E68" s="29">
        <f t="shared" si="28"/>
        <v>94.000000000000028</v>
      </c>
      <c r="F68" s="29">
        <f t="shared" si="28"/>
        <v>134.39999999999998</v>
      </c>
      <c r="G68" s="29">
        <f t="shared" si="28"/>
        <v>135.19999999999999</v>
      </c>
      <c r="H68" s="29">
        <f t="shared" si="28"/>
        <v>112.09999999999997</v>
      </c>
      <c r="I68" s="29">
        <f t="shared" si="28"/>
        <v>130.79999999999998</v>
      </c>
      <c r="J68" s="29">
        <f t="shared" si="28"/>
        <v>103.6</v>
      </c>
      <c r="K68" s="29">
        <f t="shared" si="28"/>
        <v>115.69999999999999</v>
      </c>
      <c r="L68" s="29">
        <f t="shared" si="28"/>
        <v>121.10000000000002</v>
      </c>
      <c r="M68" s="29">
        <f t="shared" si="28"/>
        <v>111.9</v>
      </c>
      <c r="N68" s="29">
        <f t="shared" ref="N68" si="29">+N31-N67</f>
        <v>111.1</v>
      </c>
    </row>
    <row r="69" spans="1:14" x14ac:dyDescent="0.2">
      <c r="A69" s="9" t="s">
        <v>167</v>
      </c>
      <c r="B69" s="1" t="s">
        <v>168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28">
        <v>0</v>
      </c>
      <c r="K69" s="28">
        <v>0</v>
      </c>
      <c r="L69" s="28">
        <v>0</v>
      </c>
      <c r="M69" s="28">
        <v>0</v>
      </c>
      <c r="N69" s="28">
        <v>0</v>
      </c>
    </row>
    <row r="70" spans="1:14" x14ac:dyDescent="0.2">
      <c r="A70" s="9" t="s">
        <v>200</v>
      </c>
      <c r="B70" s="1" t="s">
        <v>201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28">
        <f>SUM(J71:J72)</f>
        <v>0</v>
      </c>
      <c r="K70" s="28">
        <f t="shared" ref="K70:N70" si="30">SUM(K71:K72)</f>
        <v>1</v>
      </c>
      <c r="L70" s="28">
        <f t="shared" si="30"/>
        <v>2</v>
      </c>
      <c r="M70" s="28">
        <f t="shared" si="30"/>
        <v>3</v>
      </c>
      <c r="N70" s="28">
        <f t="shared" si="30"/>
        <v>4</v>
      </c>
    </row>
    <row r="71" spans="1:14" outlineLevel="1" x14ac:dyDescent="0.2">
      <c r="A71" s="9" t="s">
        <v>220</v>
      </c>
      <c r="B71" s="1" t="s">
        <v>221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1</v>
      </c>
      <c r="L71" s="10">
        <v>2</v>
      </c>
      <c r="M71" s="10">
        <v>3</v>
      </c>
      <c r="N71" s="10">
        <v>4</v>
      </c>
    </row>
    <row r="72" spans="1:14" outlineLevel="1" x14ac:dyDescent="0.2">
      <c r="A72" s="9" t="s">
        <v>222</v>
      </c>
      <c r="B72" s="1" t="s">
        <v>223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</row>
    <row r="73" spans="1:14" x14ac:dyDescent="0.2">
      <c r="A73" s="9" t="s">
        <v>226</v>
      </c>
      <c r="B73" s="1" t="s">
        <v>227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28">
        <v>0</v>
      </c>
      <c r="K73" s="28">
        <v>0</v>
      </c>
      <c r="L73" s="28">
        <v>0</v>
      </c>
      <c r="M73" s="28">
        <v>0</v>
      </c>
      <c r="N73" s="28">
        <v>0</v>
      </c>
    </row>
    <row r="74" spans="1:14" x14ac:dyDescent="0.2">
      <c r="A74" s="9" t="s">
        <v>228</v>
      </c>
      <c r="B74" s="1" t="s">
        <v>229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28">
        <v>0</v>
      </c>
      <c r="K74" s="28">
        <v>0</v>
      </c>
      <c r="L74" s="28">
        <v>0</v>
      </c>
      <c r="M74" s="28">
        <v>0</v>
      </c>
      <c r="N74" s="28">
        <v>0</v>
      </c>
    </row>
    <row r="75" spans="1:14" x14ac:dyDescent="0.2">
      <c r="A75" s="9" t="s">
        <v>230</v>
      </c>
      <c r="B75" s="1" t="s">
        <v>231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28">
        <f>+J76</f>
        <v>0</v>
      </c>
      <c r="K75" s="28">
        <f t="shared" ref="K75:N75" si="31">+K76</f>
        <v>0</v>
      </c>
      <c r="L75" s="28">
        <f t="shared" si="31"/>
        <v>0</v>
      </c>
      <c r="M75" s="28">
        <f t="shared" si="31"/>
        <v>0</v>
      </c>
      <c r="N75" s="28">
        <f t="shared" si="31"/>
        <v>0</v>
      </c>
    </row>
    <row r="76" spans="1:14" outlineLevel="1" x14ac:dyDescent="0.2">
      <c r="A76" s="9" t="s">
        <v>232</v>
      </c>
      <c r="B76" s="1" t="s">
        <v>233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</row>
    <row r="77" spans="1:14" x14ac:dyDescent="0.2">
      <c r="A77" s="3"/>
      <c r="B77" s="3" t="s">
        <v>236</v>
      </c>
      <c r="C77" s="30">
        <f t="shared" ref="C77:I77" si="32">+C69+C70+C73+C74+C75</f>
        <v>0</v>
      </c>
      <c r="D77" s="30">
        <f t="shared" si="32"/>
        <v>0</v>
      </c>
      <c r="E77" s="30">
        <f t="shared" si="32"/>
        <v>0</v>
      </c>
      <c r="F77" s="30">
        <f t="shared" si="32"/>
        <v>0</v>
      </c>
      <c r="G77" s="30">
        <f t="shared" si="32"/>
        <v>0</v>
      </c>
      <c r="H77" s="30">
        <f t="shared" si="32"/>
        <v>0</v>
      </c>
      <c r="I77" s="30">
        <f t="shared" si="32"/>
        <v>0</v>
      </c>
      <c r="J77" s="30">
        <f>+J69+J70+J73+J74+J75</f>
        <v>0</v>
      </c>
      <c r="K77" s="30">
        <f t="shared" ref="K77:N77" si="33">+K69+K70+K73+K74+K75</f>
        <v>1</v>
      </c>
      <c r="L77" s="30">
        <f t="shared" si="33"/>
        <v>2</v>
      </c>
      <c r="M77" s="30">
        <f t="shared" si="33"/>
        <v>3</v>
      </c>
      <c r="N77" s="30">
        <f t="shared" si="33"/>
        <v>4</v>
      </c>
    </row>
    <row r="78" spans="1:14" x14ac:dyDescent="0.2">
      <c r="A78" s="12"/>
      <c r="B78" s="12" t="s">
        <v>237</v>
      </c>
      <c r="C78" s="29">
        <f t="shared" ref="C78:I78" si="34">+C68-C77</f>
        <v>132.9</v>
      </c>
      <c r="D78" s="29">
        <f t="shared" si="34"/>
        <v>101.6</v>
      </c>
      <c r="E78" s="29">
        <f t="shared" si="34"/>
        <v>94.000000000000028</v>
      </c>
      <c r="F78" s="29">
        <f t="shared" si="34"/>
        <v>134.39999999999998</v>
      </c>
      <c r="G78" s="29">
        <f t="shared" si="34"/>
        <v>135.19999999999999</v>
      </c>
      <c r="H78" s="29">
        <f t="shared" si="34"/>
        <v>112.09999999999997</v>
      </c>
      <c r="I78" s="29">
        <f t="shared" si="34"/>
        <v>130.79999999999998</v>
      </c>
      <c r="J78" s="29">
        <f>+J68-J77</f>
        <v>103.6</v>
      </c>
      <c r="K78" s="29">
        <f t="shared" ref="K78:N78" si="35">+K68-K77</f>
        <v>114.69999999999999</v>
      </c>
      <c r="L78" s="29">
        <f t="shared" si="35"/>
        <v>119.10000000000002</v>
      </c>
      <c r="M78" s="29">
        <f t="shared" si="35"/>
        <v>108.9</v>
      </c>
      <c r="N78" s="29">
        <f t="shared" si="35"/>
        <v>107.1</v>
      </c>
    </row>
    <row r="79" spans="1:14" x14ac:dyDescent="0.2">
      <c r="A79" s="9" t="s">
        <v>238</v>
      </c>
      <c r="B79" s="1" t="s">
        <v>239</v>
      </c>
      <c r="C79" s="10">
        <v>1.3</v>
      </c>
      <c r="D79" s="10">
        <v>2.4</v>
      </c>
      <c r="E79" s="10">
        <v>1.7</v>
      </c>
      <c r="F79" s="10">
        <v>2.2000000000000002</v>
      </c>
      <c r="G79" s="10">
        <v>2</v>
      </c>
      <c r="H79" s="10">
        <v>1.7</v>
      </c>
      <c r="I79" s="10">
        <v>2.9</v>
      </c>
      <c r="J79" s="28">
        <f>SUM(J80:J83)</f>
        <v>1.7</v>
      </c>
      <c r="K79" s="28">
        <f t="shared" ref="K79:N79" si="36">SUM(K80:K83)</f>
        <v>1.7</v>
      </c>
      <c r="L79" s="28">
        <f t="shared" si="36"/>
        <v>2.2000000000000002</v>
      </c>
      <c r="M79" s="28">
        <f t="shared" si="36"/>
        <v>2</v>
      </c>
      <c r="N79" s="28">
        <f t="shared" si="36"/>
        <v>1.7</v>
      </c>
    </row>
    <row r="80" spans="1:14" outlineLevel="1" x14ac:dyDescent="0.2">
      <c r="A80" s="9" t="s">
        <v>240</v>
      </c>
      <c r="B80" s="1" t="s">
        <v>241</v>
      </c>
      <c r="C80" s="10">
        <v>1.3</v>
      </c>
      <c r="D80" s="10">
        <v>2.4</v>
      </c>
      <c r="E80" s="10">
        <v>1.7</v>
      </c>
      <c r="F80" s="10">
        <v>2.2000000000000002</v>
      </c>
      <c r="G80" s="10">
        <v>2</v>
      </c>
      <c r="H80" s="10">
        <v>1.7</v>
      </c>
      <c r="I80" s="10">
        <v>2.9</v>
      </c>
      <c r="J80" s="10">
        <v>1.7</v>
      </c>
      <c r="K80" s="10">
        <v>1.7</v>
      </c>
      <c r="L80" s="10">
        <v>2.2000000000000002</v>
      </c>
      <c r="M80" s="10">
        <v>2</v>
      </c>
      <c r="N80" s="10">
        <v>1.7</v>
      </c>
    </row>
    <row r="81" spans="1:14" outlineLevel="1" x14ac:dyDescent="0.2">
      <c r="A81" s="9" t="s">
        <v>242</v>
      </c>
      <c r="B81" s="1" t="s">
        <v>243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</row>
    <row r="82" spans="1:14" outlineLevel="1" x14ac:dyDescent="0.2">
      <c r="A82" s="9" t="s">
        <v>359</v>
      </c>
      <c r="B82" s="1" t="s">
        <v>360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0">
        <v>0</v>
      </c>
    </row>
    <row r="83" spans="1:14" outlineLevel="1" x14ac:dyDescent="0.2">
      <c r="A83" s="9" t="s">
        <v>361</v>
      </c>
      <c r="B83" s="1" t="s">
        <v>362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0">
        <v>0</v>
      </c>
    </row>
    <row r="84" spans="1:14" x14ac:dyDescent="0.2">
      <c r="A84" s="9" t="s">
        <v>244</v>
      </c>
      <c r="B84" s="1" t="s">
        <v>245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28">
        <v>0</v>
      </c>
      <c r="K84" s="28">
        <v>0</v>
      </c>
      <c r="L84" s="28">
        <v>0</v>
      </c>
      <c r="M84" s="28">
        <v>0</v>
      </c>
      <c r="N84" s="28">
        <v>0</v>
      </c>
    </row>
    <row r="85" spans="1:14" x14ac:dyDescent="0.2">
      <c r="A85" s="12"/>
      <c r="B85" s="12" t="s">
        <v>246</v>
      </c>
      <c r="C85" s="29">
        <f t="shared" ref="C85:I85" si="37">+C78-SUM(C79,C84)</f>
        <v>131.6</v>
      </c>
      <c r="D85" s="29">
        <f t="shared" si="37"/>
        <v>99.199999999999989</v>
      </c>
      <c r="E85" s="29">
        <f t="shared" si="37"/>
        <v>92.300000000000026</v>
      </c>
      <c r="F85" s="29">
        <f t="shared" si="37"/>
        <v>132.19999999999999</v>
      </c>
      <c r="G85" s="29">
        <f t="shared" si="37"/>
        <v>133.19999999999999</v>
      </c>
      <c r="H85" s="29">
        <f t="shared" si="37"/>
        <v>110.39999999999996</v>
      </c>
      <c r="I85" s="29">
        <f t="shared" si="37"/>
        <v>127.89999999999998</v>
      </c>
      <c r="J85" s="29">
        <f>+J78-SUM(J79,J84)</f>
        <v>101.89999999999999</v>
      </c>
      <c r="K85" s="29">
        <f t="shared" ref="K85:N85" si="38">+K78-SUM(K79,K84)</f>
        <v>112.99999999999999</v>
      </c>
      <c r="L85" s="29">
        <f t="shared" si="38"/>
        <v>116.90000000000002</v>
      </c>
      <c r="M85" s="29">
        <f t="shared" si="38"/>
        <v>106.9</v>
      </c>
      <c r="N85" s="29">
        <f t="shared" si="38"/>
        <v>105.39999999999999</v>
      </c>
    </row>
    <row r="86" spans="1:14" x14ac:dyDescent="0.2">
      <c r="A86" s="9" t="s">
        <v>74</v>
      </c>
      <c r="B86" s="1" t="s">
        <v>74</v>
      </c>
      <c r="C86" s="15" t="s">
        <v>74</v>
      </c>
      <c r="D86" s="15" t="s">
        <v>74</v>
      </c>
      <c r="E86" s="15" t="s">
        <v>74</v>
      </c>
      <c r="F86" s="15" t="s">
        <v>74</v>
      </c>
      <c r="G86" s="15" t="s">
        <v>74</v>
      </c>
      <c r="H86" s="15" t="s">
        <v>74</v>
      </c>
      <c r="I86" s="15" t="s">
        <v>74</v>
      </c>
      <c r="J86" s="15" t="s">
        <v>74</v>
      </c>
      <c r="K86" s="15" t="s">
        <v>74</v>
      </c>
      <c r="L86" s="15" t="s">
        <v>74</v>
      </c>
      <c r="M86" s="15" t="s">
        <v>74</v>
      </c>
      <c r="N86" s="15" t="s">
        <v>74</v>
      </c>
    </row>
    <row r="87" spans="1:14" x14ac:dyDescent="0.2">
      <c r="A87" s="12"/>
      <c r="B87" s="12" t="s">
        <v>247</v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</row>
    <row r="88" spans="1:14" x14ac:dyDescent="0.2">
      <c r="A88" s="9" t="s">
        <v>248</v>
      </c>
      <c r="B88" s="1" t="s">
        <v>249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">
      <c r="A89" s="9" t="s">
        <v>252</v>
      </c>
      <c r="B89" s="1" t="s">
        <v>253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">
      <c r="A90" s="9" t="s">
        <v>256</v>
      </c>
      <c r="B90" s="1" t="s">
        <v>257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">
      <c r="A91" s="9" t="s">
        <v>260</v>
      </c>
      <c r="B91" s="1" t="s">
        <v>261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">
      <c r="A92" s="9" t="s">
        <v>264</v>
      </c>
      <c r="B92" s="1" t="s">
        <v>265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">
      <c r="A93" s="9" t="s">
        <v>268</v>
      </c>
      <c r="B93" s="1" t="s">
        <v>269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">
      <c r="A94" s="9" t="s">
        <v>270</v>
      </c>
      <c r="B94" s="1" t="s">
        <v>271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">
      <c r="A95" s="9" t="s">
        <v>272</v>
      </c>
      <c r="B95" s="1" t="s">
        <v>273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">
      <c r="A96" s="9" t="s">
        <v>274</v>
      </c>
      <c r="B96" s="1" t="s">
        <v>275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">
      <c r="A97" s="9" t="s">
        <v>276</v>
      </c>
      <c r="B97" s="1" t="s">
        <v>277</v>
      </c>
      <c r="C97" s="19">
        <v>5908</v>
      </c>
      <c r="D97" s="19">
        <v>5908</v>
      </c>
      <c r="E97" s="19">
        <v>5908</v>
      </c>
      <c r="F97" s="19">
        <v>5908</v>
      </c>
      <c r="G97" s="19">
        <v>5908</v>
      </c>
      <c r="H97" s="19">
        <v>5908</v>
      </c>
      <c r="I97" s="19">
        <v>5908</v>
      </c>
      <c r="J97" s="19">
        <v>5908</v>
      </c>
      <c r="K97" s="19">
        <v>5908</v>
      </c>
      <c r="L97" s="19">
        <v>5908</v>
      </c>
      <c r="M97" s="19">
        <v>5908</v>
      </c>
      <c r="N97" s="19">
        <v>5908</v>
      </c>
    </row>
    <row r="98" spans="1:14" outlineLevel="1" x14ac:dyDescent="0.2">
      <c r="A98" s="9" t="s">
        <v>278</v>
      </c>
      <c r="B98" s="1" t="s">
        <v>279</v>
      </c>
      <c r="C98" s="19">
        <v>5908</v>
      </c>
      <c r="D98" s="19">
        <v>5908</v>
      </c>
      <c r="E98" s="19">
        <v>5908</v>
      </c>
      <c r="F98" s="19">
        <v>5908</v>
      </c>
      <c r="G98" s="19">
        <v>5908</v>
      </c>
      <c r="H98" s="19">
        <v>5908</v>
      </c>
      <c r="I98" s="19">
        <v>5908</v>
      </c>
      <c r="J98" s="19">
        <v>5908</v>
      </c>
      <c r="K98" s="19">
        <v>5908</v>
      </c>
      <c r="L98" s="19">
        <v>5908</v>
      </c>
      <c r="M98" s="19">
        <v>5908</v>
      </c>
      <c r="N98" s="19">
        <v>5908</v>
      </c>
    </row>
    <row r="99" spans="1:14" x14ac:dyDescent="0.2">
      <c r="A99" s="9" t="s">
        <v>280</v>
      </c>
      <c r="B99" s="1" t="s">
        <v>281</v>
      </c>
      <c r="C99" s="19">
        <v>5908</v>
      </c>
      <c r="D99" s="19">
        <v>5908</v>
      </c>
      <c r="E99" s="19">
        <v>5908</v>
      </c>
      <c r="F99" s="19">
        <v>5908</v>
      </c>
      <c r="G99" s="19">
        <v>5908</v>
      </c>
      <c r="H99" s="19">
        <v>5908</v>
      </c>
      <c r="I99" s="19">
        <v>5908</v>
      </c>
      <c r="J99" s="19">
        <v>5908</v>
      </c>
      <c r="K99" s="19">
        <v>5908</v>
      </c>
      <c r="L99" s="19">
        <v>5908</v>
      </c>
      <c r="M99" s="19">
        <v>5908</v>
      </c>
      <c r="N99" s="19">
        <v>5908</v>
      </c>
    </row>
    <row r="100" spans="1:14" outlineLevel="1" x14ac:dyDescent="0.2">
      <c r="A100" s="9" t="s">
        <v>282</v>
      </c>
      <c r="B100" s="1" t="s">
        <v>283</v>
      </c>
      <c r="C100" s="19">
        <v>5908</v>
      </c>
      <c r="D100" s="19">
        <v>5908</v>
      </c>
      <c r="E100" s="19">
        <v>5908</v>
      </c>
      <c r="F100" s="19">
        <v>5908</v>
      </c>
      <c r="G100" s="19">
        <v>5908</v>
      </c>
      <c r="H100" s="19">
        <v>5908</v>
      </c>
      <c r="I100" s="19">
        <v>5908</v>
      </c>
      <c r="J100" s="19">
        <v>5908</v>
      </c>
      <c r="K100" s="19">
        <v>5908</v>
      </c>
      <c r="L100" s="19">
        <v>5908</v>
      </c>
      <c r="M100" s="19">
        <v>5908</v>
      </c>
      <c r="N100" s="19">
        <v>5908</v>
      </c>
    </row>
    <row r="101" spans="1:14" x14ac:dyDescent="0.2">
      <c r="A101" s="9" t="s">
        <v>284</v>
      </c>
      <c r="B101" s="1" t="s">
        <v>285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">
      <c r="A102" s="9" t="s">
        <v>288</v>
      </c>
      <c r="B102" s="1" t="s">
        <v>289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">
      <c r="A103" s="3"/>
      <c r="B103" s="3" t="s">
        <v>290</v>
      </c>
      <c r="C103" s="17" t="s">
        <v>292</v>
      </c>
      <c r="D103" s="17" t="s">
        <v>292</v>
      </c>
      <c r="E103" s="17" t="s">
        <v>292</v>
      </c>
      <c r="F103" s="17" t="s">
        <v>292</v>
      </c>
      <c r="G103" s="17" t="s">
        <v>292</v>
      </c>
      <c r="H103" s="17" t="s">
        <v>292</v>
      </c>
      <c r="I103" s="17" t="s">
        <v>292</v>
      </c>
      <c r="J103" s="17" t="s">
        <v>292</v>
      </c>
      <c r="K103" s="17" t="s">
        <v>292</v>
      </c>
      <c r="L103" s="17" t="s">
        <v>292</v>
      </c>
      <c r="M103" s="17" t="s">
        <v>292</v>
      </c>
      <c r="N103" s="17" t="s">
        <v>292</v>
      </c>
    </row>
    <row r="104" spans="1:14" x14ac:dyDescent="0.2">
      <c r="A104" s="3"/>
      <c r="B104" s="3" t="s">
        <v>291</v>
      </c>
      <c r="C104" s="17" t="s">
        <v>292</v>
      </c>
      <c r="D104" s="17" t="s">
        <v>292</v>
      </c>
      <c r="E104" s="17" t="s">
        <v>292</v>
      </c>
      <c r="F104" s="17" t="s">
        <v>292</v>
      </c>
      <c r="G104" s="17" t="s">
        <v>292</v>
      </c>
      <c r="H104" s="17" t="s">
        <v>292</v>
      </c>
      <c r="I104" s="17" t="s">
        <v>292</v>
      </c>
      <c r="J104" s="17" t="s">
        <v>292</v>
      </c>
      <c r="K104" s="17" t="s">
        <v>292</v>
      </c>
      <c r="L104" s="17" t="s">
        <v>292</v>
      </c>
      <c r="M104" s="17" t="s">
        <v>292</v>
      </c>
      <c r="N104" s="17" t="s">
        <v>292</v>
      </c>
    </row>
    <row r="105" spans="1:14" x14ac:dyDescent="0.2">
      <c r="A105" s="3"/>
      <c r="B105" s="3" t="s">
        <v>293</v>
      </c>
      <c r="C105" s="17" t="s">
        <v>292</v>
      </c>
      <c r="D105" s="17" t="s">
        <v>292</v>
      </c>
      <c r="E105" s="17" t="s">
        <v>292</v>
      </c>
      <c r="F105" s="17" t="s">
        <v>292</v>
      </c>
      <c r="G105" s="17" t="s">
        <v>292</v>
      </c>
      <c r="H105" s="17" t="s">
        <v>292</v>
      </c>
      <c r="I105" s="17" t="s">
        <v>292</v>
      </c>
      <c r="J105" s="17" t="s">
        <v>292</v>
      </c>
      <c r="K105" s="17" t="s">
        <v>292</v>
      </c>
      <c r="L105" s="17" t="s">
        <v>292</v>
      </c>
      <c r="M105" s="17" t="s">
        <v>292</v>
      </c>
      <c r="N105" s="17" t="s">
        <v>292</v>
      </c>
    </row>
    <row r="106" spans="1:14" x14ac:dyDescent="0.2">
      <c r="A106" s="3"/>
      <c r="B106" s="3" t="s">
        <v>294</v>
      </c>
      <c r="C106" s="17" t="s">
        <v>292</v>
      </c>
      <c r="D106" s="17" t="s">
        <v>292</v>
      </c>
      <c r="E106" s="17" t="s">
        <v>292</v>
      </c>
      <c r="F106" s="17" t="s">
        <v>292</v>
      </c>
      <c r="G106" s="17" t="s">
        <v>292</v>
      </c>
      <c r="H106" s="17" t="s">
        <v>292</v>
      </c>
      <c r="I106" s="17" t="s">
        <v>292</v>
      </c>
      <c r="J106" s="17" t="s">
        <v>292</v>
      </c>
      <c r="K106" s="17" t="s">
        <v>292</v>
      </c>
      <c r="L106" s="17" t="s">
        <v>292</v>
      </c>
      <c r="M106" s="17" t="s">
        <v>292</v>
      </c>
      <c r="N106" s="17" t="s">
        <v>292</v>
      </c>
    </row>
    <row r="107" spans="1:14" x14ac:dyDescent="0.2">
      <c r="A107" s="12"/>
      <c r="B107" s="12" t="s">
        <v>295</v>
      </c>
      <c r="C107" s="16" t="s">
        <v>292</v>
      </c>
      <c r="D107" s="16" t="s">
        <v>292</v>
      </c>
      <c r="E107" s="16" t="s">
        <v>292</v>
      </c>
      <c r="F107" s="16" t="s">
        <v>292</v>
      </c>
      <c r="G107" s="16" t="s">
        <v>292</v>
      </c>
      <c r="H107" s="16" t="s">
        <v>292</v>
      </c>
      <c r="I107" s="16" t="s">
        <v>292</v>
      </c>
      <c r="J107" s="16" t="s">
        <v>292</v>
      </c>
      <c r="K107" s="16" t="s">
        <v>292</v>
      </c>
      <c r="L107" s="16" t="s">
        <v>292</v>
      </c>
      <c r="M107" s="16" t="s">
        <v>292</v>
      </c>
      <c r="N107" s="16" t="s">
        <v>292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B8E5-6D78-4A4E-B5A4-53165A38E32C}">
  <sheetPr codeName="Hoja48">
    <tabColor rgb="FF00B0F0"/>
  </sheetPr>
  <dimension ref="A1:N177"/>
  <sheetViews>
    <sheetView zoomScale="70" zoomScaleNormal="70" workbookViewId="0">
      <pane ySplit="6" topLeftCell="A35" activePane="bottomLeft" state="frozen"/>
      <selection activeCell="I54" sqref="I54"/>
      <selection pane="bottomLeft" activeCell="C3" sqref="C3:N4"/>
    </sheetView>
  </sheetViews>
  <sheetFormatPr baseColWidth="10" defaultRowHeight="12" outlineLevelRow="1" x14ac:dyDescent="0.2"/>
  <cols>
    <col min="1" max="1" width="11.7109375" style="1" customWidth="1"/>
    <col min="2" max="2" width="47.5703125" style="1" bestFit="1" customWidth="1"/>
    <col min="3" max="11" width="10.140625" style="1" customWidth="1"/>
    <col min="12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/>
      <c r="F2" s="4"/>
      <c r="G2" s="3"/>
      <c r="H2" s="4"/>
      <c r="I2" s="4"/>
      <c r="J2" s="4"/>
      <c r="K2" s="4"/>
      <c r="L2" s="4"/>
      <c r="M2" s="3"/>
      <c r="N2" s="4"/>
    </row>
    <row r="3" spans="1:14" x14ac:dyDescent="0.2">
      <c r="A3" s="2" t="s">
        <v>4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 x14ac:dyDescent="0.2">
      <c r="A4" s="5"/>
      <c r="B4" s="5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33" t="s">
        <v>23</v>
      </c>
      <c r="B7" s="34" t="s">
        <v>24</v>
      </c>
      <c r="C7" s="44">
        <f t="shared" ref="C7:H7" si="0">SUM(C8:C15)</f>
        <v>237.4</v>
      </c>
      <c r="D7" s="44">
        <f t="shared" si="0"/>
        <v>232.1</v>
      </c>
      <c r="E7" s="44">
        <f t="shared" si="0"/>
        <v>249.8</v>
      </c>
      <c r="F7" s="44">
        <f t="shared" si="0"/>
        <v>256.39999999999998</v>
      </c>
      <c r="G7" s="44">
        <f t="shared" si="0"/>
        <v>249.89999999999998</v>
      </c>
      <c r="H7" s="44">
        <f t="shared" si="0"/>
        <v>236.89999999999998</v>
      </c>
      <c r="I7" s="44">
        <f>SUM(I8:I15)</f>
        <v>233.6</v>
      </c>
      <c r="J7" s="44">
        <f t="shared" ref="J7:N7" si="1">SUM(J8:J15)</f>
        <v>283</v>
      </c>
      <c r="K7" s="44">
        <f t="shared" si="1"/>
        <v>291</v>
      </c>
      <c r="L7" s="44">
        <f t="shared" si="1"/>
        <v>280</v>
      </c>
      <c r="M7" s="44">
        <f t="shared" si="1"/>
        <v>253</v>
      </c>
      <c r="N7" s="44">
        <f t="shared" si="1"/>
        <v>350</v>
      </c>
    </row>
    <row r="8" spans="1:14" hidden="1" outlineLevel="1" x14ac:dyDescent="0.2">
      <c r="A8" s="9" t="s">
        <v>370</v>
      </c>
      <c r="B8" s="1" t="s">
        <v>30</v>
      </c>
      <c r="C8" s="10">
        <f>IFERROR(VLOOKUP(A8,'Centre DW11'!$A$7:$N$160,3,FALSE),0)+
IFERROR(VLOOKUP(A8,'Centre WP11'!$A$7:$N$160,3,FALSE),0)+
IFERROR(VLOOKUP(A8,'Centre WR11'!$A$7:$N$160,3,FALSE),0)+
IFERROR(VLOOKUP(A8,'Centre WV11'!$A$7:$N$160,3,FALSE),0)</f>
        <v>0</v>
      </c>
      <c r="D8" s="10">
        <f>IFERROR(VLOOKUP(A8,'Centre DW11'!$A$7:$N$160,4,FALSE),0)+
IFERROR(VLOOKUP(A8,'Centre WP11'!$A$7:$N$160,4,FALSE),0)+
IFERROR(VLOOKUP(A8,'Centre WR11'!$A$7:$N$160,4,FALSE),0)+
IFERROR(VLOOKUP(A8,'Centre WV11'!$A$7:$N$160,4,FALSE),0)</f>
        <v>0</v>
      </c>
      <c r="E8" s="10">
        <f>IFERROR(VLOOKUP(A8,'Centre DW11'!$A$7:$N$160,5,FALSE),0)+
IFERROR(VLOOKUP(A8,'Centre WP11'!$A$7:$N$160,5,FALSE),0)+
IFERROR(VLOOKUP(A8,'Centre WR11'!$A$7:$N$160,5,FALSE),0)+
IFERROR(VLOOKUP(A8,'Centre WV11'!$A$7:$N$160,5,FALSE),0)</f>
        <v>0</v>
      </c>
      <c r="F8" s="10">
        <f>IFERROR(VLOOKUP(A8,'Centre DW11'!$A$7:$N$160,6,FALSE),0)+
IFERROR(VLOOKUP(A8,'Centre WP11'!$A$7:$N$160,6,FALSE),0)+
IFERROR(VLOOKUP(A8,'Centre WR11'!$A$7:$N$160,6,FALSE),0)+
IFERROR(VLOOKUP(A8,'Centre WV11'!$A$7:$N$160,6,FALSE),0)</f>
        <v>0</v>
      </c>
      <c r="G8" s="10">
        <f>IFERROR(VLOOKUP(A8,'Centre DW11'!$A$7:$N$160,7,FALSE),0)+
IFERROR(VLOOKUP(A8,'Centre WP11'!$A$7:$N$160,7,FALSE),0)+
IFERROR(VLOOKUP(A8,'Centre WR11'!$A$7:$N$160,7,FALSE),0)+
IFERROR(VLOOKUP(A8,'Centre WV11'!$A$7:$N$160,7,FALSE),0)</f>
        <v>0</v>
      </c>
      <c r="H8" s="10">
        <f>IFERROR(VLOOKUP(A8,'Centre DW11'!$A$7:$N$160,8,FALSE),0)+
IFERROR(VLOOKUP(A8,'Centre WP11'!$A$7:$N$160,8,FALSE),0)+
IFERROR(VLOOKUP(A8,'Centre WR11'!$A$7:$N$160,8,FALSE),0)+
IFERROR(VLOOKUP(A8,'Centre WV11'!$A$7:$N$160,8,FALSE),0)</f>
        <v>0</v>
      </c>
      <c r="I8" s="10">
        <f>IFERROR(VLOOKUP(A8,'Centre DW11'!$A$7:$N$160,9,FALSE),0)+
IFERROR(VLOOKUP(A8,'Centre WP11'!$A$7:$N$160,9,FALSE),0)+
IFERROR(VLOOKUP(A8,'Centre WR11'!$A$7:$N$160,9,FALSE),0)+
IFERROR(VLOOKUP(A8,'Centre WV11'!$A$7:$N$160,9,FALSE),0)</f>
        <v>0</v>
      </c>
      <c r="J8" s="10">
        <f>IFERROR(VLOOKUP(A8,'Centre DW11'!$A$7:$N$160,10,FALSE),0)+
IFERROR(VLOOKUP(A8,'Centre WP11'!$A$7:$N$160,10,FALSE),0)+
IFERROR(VLOOKUP(A8,'Centre WR11'!$A$7:$N$160,10,FALSE),0)+
IFERROR(VLOOKUP(A8,'Centre WV11'!$A$7:$N$160,10,FALSE),0)</f>
        <v>0</v>
      </c>
      <c r="K8" s="10">
        <f>IFERROR(VLOOKUP(A8,'Centre DW11'!$A$7:$N$160,11,FALSE),0)+
IFERROR(VLOOKUP(A8,'Centre WP11'!$A$7:$N$160,11,FALSE),0)+
IFERROR(VLOOKUP(A8,'Centre WR11'!$A$7:$N$160,11,FALSE),0)+
IFERROR(VLOOKUP(A8,'Centre WV11'!$A$7:$N$160,11,FALSE),0)</f>
        <v>0</v>
      </c>
      <c r="L8" s="10">
        <f>IFERROR(VLOOKUP(A8,'Centre DW11'!$A$7:$N$160,12,FALSE),0)+
IFERROR(VLOOKUP(A8,'Centre WP11'!$A$7:$N$160,12,FALSE),0)+
IFERROR(VLOOKUP(A8,'Centre WR11'!$A$7:$N$160,12,FALSE),0)+
IFERROR(VLOOKUP(A8,'Centre WV11'!$A$7:$N$160,12,FALSE),0)</f>
        <v>0</v>
      </c>
      <c r="M8" s="10">
        <f>IFERROR(VLOOKUP(A8,'Centre DW11'!$A$7:$N$160,13,FALSE),0)+
IFERROR(VLOOKUP(A8,'Centre WP11'!$A$7:$N$160,13,FALSE),0)+
IFERROR(VLOOKUP(A8,'Centre WR11'!$A$7:$N$160,13,FALSE),0)+
IFERROR(VLOOKUP(A8,'Centre WV11'!$A$7:$N$160,13,FALSE),0)</f>
        <v>0</v>
      </c>
      <c r="N8" s="10">
        <f>IFERROR(VLOOKUP(A8,'Centre DW11'!$A$7:$N$160,14,FALSE),0)+
IFERROR(VLOOKUP(A8,'Centre WP11'!$A$7:$N$160,14,FALSE),0)+
IFERROR(VLOOKUP(A8,'Centre WR11'!$A$7:$N$160,14,FALSE),0)+
IFERROR(VLOOKUP(A8,'Centre WV11'!$A$7:$N$160,14,FALSE),0)</f>
        <v>0</v>
      </c>
    </row>
    <row r="9" spans="1:14" hidden="1" outlineLevel="1" x14ac:dyDescent="0.2">
      <c r="A9" s="9" t="s">
        <v>25</v>
      </c>
      <c r="B9" s="1" t="s">
        <v>26</v>
      </c>
      <c r="C9" s="10">
        <f>IFERROR(VLOOKUP(A9,'Centre DW11'!$A$7:$N$160,3,FALSE),0)+
IFERROR(VLOOKUP(A9,'Centre WP11'!$A$7:$N$160,3,FALSE),0)+
IFERROR(VLOOKUP(A9,'Centre WR11'!$A$7:$N$160,3,FALSE),0)+
IFERROR(VLOOKUP(A9,'Centre WV11'!$A$7:$N$160,3,FALSE),0)</f>
        <v>0</v>
      </c>
      <c r="D9" s="10">
        <f>IFERROR(VLOOKUP(A9,'Centre DW11'!$A$7:$N$160,4,FALSE),0)+
IFERROR(VLOOKUP(A9,'Centre WP11'!$A$7:$N$160,4,FALSE),0)+
IFERROR(VLOOKUP(A9,'Centre WR11'!$A$7:$N$160,4,FALSE),0)+
IFERROR(VLOOKUP(A9,'Centre WV11'!$A$7:$N$160,4,FALSE),0)</f>
        <v>0</v>
      </c>
      <c r="E9" s="10">
        <f>IFERROR(VLOOKUP(A9,'Centre DW11'!$A$7:$N$160,5,FALSE),0)+
IFERROR(VLOOKUP(A9,'Centre WP11'!$A$7:$N$160,5,FALSE),0)+
IFERROR(VLOOKUP(A9,'Centre WR11'!$A$7:$N$160,5,FALSE),0)+
IFERROR(VLOOKUP(A9,'Centre WV11'!$A$7:$N$160,5,FALSE),0)</f>
        <v>0</v>
      </c>
      <c r="F9" s="10">
        <f>IFERROR(VLOOKUP(A9,'Centre DW11'!$A$7:$N$160,6,FALSE),0)+
IFERROR(VLOOKUP(A9,'Centre WP11'!$A$7:$N$160,6,FALSE),0)+
IFERROR(VLOOKUP(A9,'Centre WR11'!$A$7:$N$160,6,FALSE),0)+
IFERROR(VLOOKUP(A9,'Centre WV11'!$A$7:$N$160,6,FALSE),0)</f>
        <v>0</v>
      </c>
      <c r="G9" s="10">
        <f>IFERROR(VLOOKUP(A9,'Centre DW11'!$A$7:$N$160,7,FALSE),0)+
IFERROR(VLOOKUP(A9,'Centre WP11'!$A$7:$N$160,7,FALSE),0)+
IFERROR(VLOOKUP(A9,'Centre WR11'!$A$7:$N$160,7,FALSE),0)+
IFERROR(VLOOKUP(A9,'Centre WV11'!$A$7:$N$160,7,FALSE),0)</f>
        <v>0</v>
      </c>
      <c r="H9" s="10">
        <f>IFERROR(VLOOKUP(A9,'Centre DW11'!$A$7:$N$160,8,FALSE),0)+
IFERROR(VLOOKUP(A9,'Centre WP11'!$A$7:$N$160,8,FALSE),0)+
IFERROR(VLOOKUP(A9,'Centre WR11'!$A$7:$N$160,8,FALSE),0)+
IFERROR(VLOOKUP(A9,'Centre WV11'!$A$7:$N$160,8,FALSE),0)</f>
        <v>0</v>
      </c>
      <c r="I9" s="10">
        <f>IFERROR(VLOOKUP(A9,'Centre DW11'!$A$7:$N$160,9,FALSE),0)+
IFERROR(VLOOKUP(A9,'Centre WP11'!$A$7:$N$160,9,FALSE),0)+
IFERROR(VLOOKUP(A9,'Centre WR11'!$A$7:$N$160,9,FALSE),0)+
IFERROR(VLOOKUP(A9,'Centre WV11'!$A$7:$N$160,9,FALSE),0)</f>
        <v>0</v>
      </c>
      <c r="J9" s="10">
        <f>IFERROR(VLOOKUP(A9,'Centre DW11'!$A$7:$N$160,10,FALSE),0)+
IFERROR(VLOOKUP(A9,'Centre WP11'!$A$7:$N$160,10,FALSE),0)+
IFERROR(VLOOKUP(A9,'Centre WR11'!$A$7:$N$160,10,FALSE),0)+
IFERROR(VLOOKUP(A9,'Centre WV11'!$A$7:$N$160,10,FALSE),0)</f>
        <v>0</v>
      </c>
      <c r="K9" s="10">
        <f>IFERROR(VLOOKUP(A9,'Centre DW11'!$A$7:$N$160,11,FALSE),0)+
IFERROR(VLOOKUP(A9,'Centre WP11'!$A$7:$N$160,11,FALSE),0)+
IFERROR(VLOOKUP(A9,'Centre WR11'!$A$7:$N$160,11,FALSE),0)+
IFERROR(VLOOKUP(A9,'Centre WV11'!$A$7:$N$160,11,FALSE),0)</f>
        <v>0</v>
      </c>
      <c r="L9" s="10">
        <f>IFERROR(VLOOKUP(A9,'Centre DW11'!$A$7:$N$160,12,FALSE),0)+
IFERROR(VLOOKUP(A9,'Centre WP11'!$A$7:$N$160,12,FALSE),0)+
IFERROR(VLOOKUP(A9,'Centre WR11'!$A$7:$N$160,12,FALSE),0)+
IFERROR(VLOOKUP(A9,'Centre WV11'!$A$7:$N$160,12,FALSE),0)</f>
        <v>0</v>
      </c>
      <c r="M9" s="10">
        <f>IFERROR(VLOOKUP(A9,'Centre DW11'!$A$7:$N$160,13,FALSE),0)+
IFERROR(VLOOKUP(A9,'Centre WP11'!$A$7:$N$160,13,FALSE),0)+
IFERROR(VLOOKUP(A9,'Centre WR11'!$A$7:$N$160,13,FALSE),0)+
IFERROR(VLOOKUP(A9,'Centre WV11'!$A$7:$N$160,13,FALSE),0)</f>
        <v>0</v>
      </c>
      <c r="N9" s="10">
        <f>IFERROR(VLOOKUP(A9,'Centre DW11'!$A$7:$N$160,14,FALSE),0)+
IFERROR(VLOOKUP(A9,'Centre WP11'!$A$7:$N$160,14,FALSE),0)+
IFERROR(VLOOKUP(A9,'Centre WR11'!$A$7:$N$160,14,FALSE),0)+
IFERROR(VLOOKUP(A9,'Centre WV11'!$A$7:$N$160,14,FALSE),0)</f>
        <v>0</v>
      </c>
    </row>
    <row r="10" spans="1:14" hidden="1" outlineLevel="1" x14ac:dyDescent="0.2">
      <c r="A10" s="9" t="s">
        <v>300</v>
      </c>
      <c r="B10" s="1" t="s">
        <v>36</v>
      </c>
      <c r="C10" s="10">
        <f>IFERROR(VLOOKUP(A10,'Centre DW11'!$A$7:$N$160,3,FALSE),0)+
IFERROR(VLOOKUP(A10,'Centre WP11'!$A$7:$N$160,3,FALSE),0)+
IFERROR(VLOOKUP(A10,'Centre WR11'!$A$7:$N$160,3,FALSE),0)+
IFERROR(VLOOKUP(A10,'Centre WV11'!$A$7:$N$160,3,FALSE),0)</f>
        <v>0</v>
      </c>
      <c r="D10" s="10">
        <f>IFERROR(VLOOKUP(A10,'Centre DW11'!$A$7:$N$160,4,FALSE),0)+
IFERROR(VLOOKUP(A10,'Centre WP11'!$A$7:$N$160,4,FALSE),0)+
IFERROR(VLOOKUP(A10,'Centre WR11'!$A$7:$N$160,4,FALSE),0)+
IFERROR(VLOOKUP(A10,'Centre WV11'!$A$7:$N$160,4,FALSE),0)</f>
        <v>0</v>
      </c>
      <c r="E10" s="10">
        <f>IFERROR(VLOOKUP(A10,'Centre DW11'!$A$7:$N$160,5,FALSE),0)+
IFERROR(VLOOKUP(A10,'Centre WP11'!$A$7:$N$160,5,FALSE),0)+
IFERROR(VLOOKUP(A10,'Centre WR11'!$A$7:$N$160,5,FALSE),0)+
IFERROR(VLOOKUP(A10,'Centre WV11'!$A$7:$N$160,5,FALSE),0)</f>
        <v>0</v>
      </c>
      <c r="F10" s="10">
        <f>IFERROR(VLOOKUP(A10,'Centre DW11'!$A$7:$N$160,6,FALSE),0)+
IFERROR(VLOOKUP(A10,'Centre WP11'!$A$7:$N$160,6,FALSE),0)+
IFERROR(VLOOKUP(A10,'Centre WR11'!$A$7:$N$160,6,FALSE),0)+
IFERROR(VLOOKUP(A10,'Centre WV11'!$A$7:$N$160,6,FALSE),0)</f>
        <v>0</v>
      </c>
      <c r="G10" s="10">
        <f>IFERROR(VLOOKUP(A10,'Centre DW11'!$A$7:$N$160,7,FALSE),0)+
IFERROR(VLOOKUP(A10,'Centre WP11'!$A$7:$N$160,7,FALSE),0)+
IFERROR(VLOOKUP(A10,'Centre WR11'!$A$7:$N$160,7,FALSE),0)+
IFERROR(VLOOKUP(A10,'Centre WV11'!$A$7:$N$160,7,FALSE),0)</f>
        <v>0</v>
      </c>
      <c r="H10" s="10">
        <f>IFERROR(VLOOKUP(A10,'Centre DW11'!$A$7:$N$160,8,FALSE),0)+
IFERROR(VLOOKUP(A10,'Centre WP11'!$A$7:$N$160,8,FALSE),0)+
IFERROR(VLOOKUP(A10,'Centre WR11'!$A$7:$N$160,8,FALSE),0)+
IFERROR(VLOOKUP(A10,'Centre WV11'!$A$7:$N$160,8,FALSE),0)</f>
        <v>0</v>
      </c>
      <c r="I10" s="10">
        <f>IFERROR(VLOOKUP(A10,'Centre DW11'!$A$7:$N$160,9,FALSE),0)+
IFERROR(VLOOKUP(A10,'Centre WP11'!$A$7:$N$160,9,FALSE),0)+
IFERROR(VLOOKUP(A10,'Centre WR11'!$A$7:$N$160,9,FALSE),0)+
IFERROR(VLOOKUP(A10,'Centre WV11'!$A$7:$N$160,9,FALSE),0)</f>
        <v>0</v>
      </c>
      <c r="J10" s="10">
        <f>IFERROR(VLOOKUP(A10,'Centre DW11'!$A$7:$N$160,10,FALSE),0)+
IFERROR(VLOOKUP(A10,'Centre WP11'!$A$7:$N$160,10,FALSE),0)+
IFERROR(VLOOKUP(A10,'Centre WR11'!$A$7:$N$160,10,FALSE),0)+
IFERROR(VLOOKUP(A10,'Centre WV11'!$A$7:$N$160,10,FALSE),0)</f>
        <v>0</v>
      </c>
      <c r="K10" s="10">
        <f>IFERROR(VLOOKUP(A10,'Centre DW11'!$A$7:$N$160,11,FALSE),0)+
IFERROR(VLOOKUP(A10,'Centre WP11'!$A$7:$N$160,11,FALSE),0)+
IFERROR(VLOOKUP(A10,'Centre WR11'!$A$7:$N$160,11,FALSE),0)+
IFERROR(VLOOKUP(A10,'Centre WV11'!$A$7:$N$160,11,FALSE),0)</f>
        <v>0</v>
      </c>
      <c r="L10" s="10">
        <f>IFERROR(VLOOKUP(A10,'Centre DW11'!$A$7:$N$160,12,FALSE),0)+
IFERROR(VLOOKUP(A10,'Centre WP11'!$A$7:$N$160,12,FALSE),0)+
IFERROR(VLOOKUP(A10,'Centre WR11'!$A$7:$N$160,12,FALSE),0)+
IFERROR(VLOOKUP(A10,'Centre WV11'!$A$7:$N$160,12,FALSE),0)</f>
        <v>0</v>
      </c>
      <c r="M10" s="10">
        <f>IFERROR(VLOOKUP(A10,'Centre DW11'!$A$7:$N$160,13,FALSE),0)+
IFERROR(VLOOKUP(A10,'Centre WP11'!$A$7:$N$160,13,FALSE),0)+
IFERROR(VLOOKUP(A10,'Centre WR11'!$A$7:$N$160,13,FALSE),0)+
IFERROR(VLOOKUP(A10,'Centre WV11'!$A$7:$N$160,13,FALSE),0)</f>
        <v>0</v>
      </c>
      <c r="N10" s="10">
        <f>IFERROR(VLOOKUP(A10,'Centre DW11'!$A$7:$N$160,14,FALSE),0)+
IFERROR(VLOOKUP(A10,'Centre WP11'!$A$7:$N$160,14,FALSE),0)+
IFERROR(VLOOKUP(A10,'Centre WR11'!$A$7:$N$160,14,FALSE),0)+
IFERROR(VLOOKUP(A10,'Centre WV11'!$A$7:$N$160,14,FALSE),0)</f>
        <v>0</v>
      </c>
    </row>
    <row r="11" spans="1:14" hidden="1" outlineLevel="1" x14ac:dyDescent="0.2">
      <c r="A11" s="9" t="s">
        <v>27</v>
      </c>
      <c r="B11" s="1" t="s">
        <v>28</v>
      </c>
      <c r="C11" s="10">
        <f>IFERROR(VLOOKUP(A11,'Centre DW11'!$A$7:$N$160,3,FALSE),0)+
IFERROR(VLOOKUP(A11,'Centre WP11'!$A$7:$N$160,3,FALSE),0)+
IFERROR(VLOOKUP(A11,'Centre WR11'!$A$7:$N$160,3,FALSE),0)+
IFERROR(VLOOKUP(A11,'Centre WV11'!$A$7:$N$160,3,FALSE),0)</f>
        <v>3</v>
      </c>
      <c r="D11" s="10">
        <f>IFERROR(VLOOKUP(A11,'Centre DW11'!$A$7:$N$160,4,FALSE),0)+
IFERROR(VLOOKUP(A11,'Centre WP11'!$A$7:$N$160,4,FALSE),0)+
IFERROR(VLOOKUP(A11,'Centre WR11'!$A$7:$N$160,4,FALSE),0)+
IFERROR(VLOOKUP(A11,'Centre WV11'!$A$7:$N$160,4,FALSE),0)</f>
        <v>3</v>
      </c>
      <c r="E11" s="10">
        <f>IFERROR(VLOOKUP(A11,'Centre DW11'!$A$7:$N$160,5,FALSE),0)+
IFERROR(VLOOKUP(A11,'Centre WP11'!$A$7:$N$160,5,FALSE),0)+
IFERROR(VLOOKUP(A11,'Centre WR11'!$A$7:$N$160,5,FALSE),0)+
IFERROR(VLOOKUP(A11,'Centre WV11'!$A$7:$N$160,5,FALSE),0)</f>
        <v>3</v>
      </c>
      <c r="F11" s="10">
        <f>IFERROR(VLOOKUP(A11,'Centre DW11'!$A$7:$N$160,6,FALSE),0)+
IFERROR(VLOOKUP(A11,'Centre WP11'!$A$7:$N$160,6,FALSE),0)+
IFERROR(VLOOKUP(A11,'Centre WR11'!$A$7:$N$160,6,FALSE),0)+
IFERROR(VLOOKUP(A11,'Centre WV11'!$A$7:$N$160,6,FALSE),0)</f>
        <v>3</v>
      </c>
      <c r="G11" s="10">
        <f>IFERROR(VLOOKUP(A11,'Centre DW11'!$A$7:$N$160,7,FALSE),0)+
IFERROR(VLOOKUP(A11,'Centre WP11'!$A$7:$N$160,7,FALSE),0)+
IFERROR(VLOOKUP(A11,'Centre WR11'!$A$7:$N$160,7,FALSE),0)+
IFERROR(VLOOKUP(A11,'Centre WV11'!$A$7:$N$160,7,FALSE),0)</f>
        <v>3</v>
      </c>
      <c r="H11" s="10">
        <f>IFERROR(VLOOKUP(A11,'Centre DW11'!$A$7:$N$160,8,FALSE),0)+
IFERROR(VLOOKUP(A11,'Centre WP11'!$A$7:$N$160,8,FALSE),0)+
IFERROR(VLOOKUP(A11,'Centre WR11'!$A$7:$N$160,8,FALSE),0)+
IFERROR(VLOOKUP(A11,'Centre WV11'!$A$7:$N$160,8,FALSE),0)</f>
        <v>3</v>
      </c>
      <c r="I11" s="10">
        <f>IFERROR(VLOOKUP(A11,'Centre DW11'!$A$7:$N$160,9,FALSE),0)+
IFERROR(VLOOKUP(A11,'Centre WP11'!$A$7:$N$160,9,FALSE),0)+
IFERROR(VLOOKUP(A11,'Centre WR11'!$A$7:$N$160,9,FALSE),0)+
IFERROR(VLOOKUP(A11,'Centre WV11'!$A$7:$N$160,9,FALSE),0)</f>
        <v>3</v>
      </c>
      <c r="J11" s="10">
        <f>IFERROR(VLOOKUP(A11,'Centre DW11'!$A$7:$N$160,10,FALSE),0)+
IFERROR(VLOOKUP(A11,'Centre WP11'!$A$7:$N$160,10,FALSE),0)+
IFERROR(VLOOKUP(A11,'Centre WR11'!$A$7:$N$160,10,FALSE),0)+
IFERROR(VLOOKUP(A11,'Centre WV11'!$A$7:$N$160,10,FALSE),0)</f>
        <v>3</v>
      </c>
      <c r="K11" s="10">
        <f>IFERROR(VLOOKUP(A11,'Centre DW11'!$A$7:$N$160,11,FALSE),0)+
IFERROR(VLOOKUP(A11,'Centre WP11'!$A$7:$N$160,11,FALSE),0)+
IFERROR(VLOOKUP(A11,'Centre WR11'!$A$7:$N$160,11,FALSE),0)+
IFERROR(VLOOKUP(A11,'Centre WV11'!$A$7:$N$160,11,FALSE),0)</f>
        <v>3</v>
      </c>
      <c r="L11" s="10">
        <f>IFERROR(VLOOKUP(A11,'Centre DW11'!$A$7:$N$160,12,FALSE),0)+
IFERROR(VLOOKUP(A11,'Centre WP11'!$A$7:$N$160,12,FALSE),0)+
IFERROR(VLOOKUP(A11,'Centre WR11'!$A$7:$N$160,12,FALSE),0)+
IFERROR(VLOOKUP(A11,'Centre WV11'!$A$7:$N$160,12,FALSE),0)</f>
        <v>3</v>
      </c>
      <c r="M11" s="10">
        <f>IFERROR(VLOOKUP(A11,'Centre DW11'!$A$7:$N$160,13,FALSE),0)+
IFERROR(VLOOKUP(A11,'Centre WP11'!$A$7:$N$160,13,FALSE),0)+
IFERROR(VLOOKUP(A11,'Centre WR11'!$A$7:$N$160,13,FALSE),0)+
IFERROR(VLOOKUP(A11,'Centre WV11'!$A$7:$N$160,13,FALSE),0)</f>
        <v>3</v>
      </c>
      <c r="N11" s="10">
        <f>IFERROR(VLOOKUP(A11,'Centre DW11'!$A$7:$N$160,14,FALSE),0)+
IFERROR(VLOOKUP(A11,'Centre WP11'!$A$7:$N$160,14,FALSE),0)+
IFERROR(VLOOKUP(A11,'Centre WR11'!$A$7:$N$160,14,FALSE),0)+
IFERROR(VLOOKUP(A11,'Centre WV11'!$A$7:$N$160,14,FALSE),0)</f>
        <v>3</v>
      </c>
    </row>
    <row r="12" spans="1:14" hidden="1" outlineLevel="1" x14ac:dyDescent="0.2">
      <c r="A12" s="9" t="s">
        <v>29</v>
      </c>
      <c r="B12" s="1" t="s">
        <v>30</v>
      </c>
      <c r="C12" s="10">
        <f>IFERROR(VLOOKUP(A12,'Centre DW11'!$A$7:$N$160,3,FALSE),0)+
IFERROR(VLOOKUP(A12,'Centre WP11'!$A$7:$N$160,3,FALSE),0)+
IFERROR(VLOOKUP(A12,'Centre WR11'!$A$7:$N$160,3,FALSE),0)+
IFERROR(VLOOKUP(A12,'Centre WV11'!$A$7:$N$160,3,FALSE),0)</f>
        <v>0</v>
      </c>
      <c r="D12" s="10">
        <f>IFERROR(VLOOKUP(A12,'Centre DW11'!$A$7:$N$160,4,FALSE),0)+
IFERROR(VLOOKUP(A12,'Centre WP11'!$A$7:$N$160,4,FALSE),0)+
IFERROR(VLOOKUP(A12,'Centre WR11'!$A$7:$N$160,4,FALSE),0)+
IFERROR(VLOOKUP(A12,'Centre WV11'!$A$7:$N$160,4,FALSE),0)</f>
        <v>0</v>
      </c>
      <c r="E12" s="10">
        <f>IFERROR(VLOOKUP(A12,'Centre DW11'!$A$7:$N$160,5,FALSE),0)+
IFERROR(VLOOKUP(A12,'Centre WP11'!$A$7:$N$160,5,FALSE),0)+
IFERROR(VLOOKUP(A12,'Centre WR11'!$A$7:$N$160,5,FALSE),0)+
IFERROR(VLOOKUP(A12,'Centre WV11'!$A$7:$N$160,5,FALSE),0)</f>
        <v>0</v>
      </c>
      <c r="F12" s="10">
        <f>IFERROR(VLOOKUP(A12,'Centre DW11'!$A$7:$N$160,6,FALSE),0)+
IFERROR(VLOOKUP(A12,'Centre WP11'!$A$7:$N$160,6,FALSE),0)+
IFERROR(VLOOKUP(A12,'Centre WR11'!$A$7:$N$160,6,FALSE),0)+
IFERROR(VLOOKUP(A12,'Centre WV11'!$A$7:$N$160,6,FALSE),0)</f>
        <v>0</v>
      </c>
      <c r="G12" s="10">
        <f>IFERROR(VLOOKUP(A12,'Centre DW11'!$A$7:$N$160,7,FALSE),0)+
IFERROR(VLOOKUP(A12,'Centre WP11'!$A$7:$N$160,7,FALSE),0)+
IFERROR(VLOOKUP(A12,'Centre WR11'!$A$7:$N$160,7,FALSE),0)+
IFERROR(VLOOKUP(A12,'Centre WV11'!$A$7:$N$160,7,FALSE),0)</f>
        <v>0</v>
      </c>
      <c r="H12" s="10">
        <f>IFERROR(VLOOKUP(A12,'Centre DW11'!$A$7:$N$160,8,FALSE),0)+
IFERROR(VLOOKUP(A12,'Centre WP11'!$A$7:$N$160,8,FALSE),0)+
IFERROR(VLOOKUP(A12,'Centre WR11'!$A$7:$N$160,8,FALSE),0)+
IFERROR(VLOOKUP(A12,'Centre WV11'!$A$7:$N$160,8,FALSE),0)</f>
        <v>0</v>
      </c>
      <c r="I12" s="10">
        <f>IFERROR(VLOOKUP(A12,'Centre DW11'!$A$7:$N$160,9,FALSE),0)+
IFERROR(VLOOKUP(A12,'Centre WP11'!$A$7:$N$160,9,FALSE),0)+
IFERROR(VLOOKUP(A12,'Centre WR11'!$A$7:$N$160,9,FALSE),0)+
IFERROR(VLOOKUP(A12,'Centre WV11'!$A$7:$N$160,9,FALSE),0)</f>
        <v>0</v>
      </c>
      <c r="J12" s="10">
        <f>IFERROR(VLOOKUP(A12,'Centre DW11'!$A$7:$N$160,10,FALSE),0)+
IFERROR(VLOOKUP(A12,'Centre WP11'!$A$7:$N$160,10,FALSE),0)+
IFERROR(VLOOKUP(A12,'Centre WR11'!$A$7:$N$160,10,FALSE),0)+
IFERROR(VLOOKUP(A12,'Centre WV11'!$A$7:$N$160,10,FALSE),0)</f>
        <v>0</v>
      </c>
      <c r="K12" s="10">
        <f>IFERROR(VLOOKUP(A12,'Centre DW11'!$A$7:$N$160,11,FALSE),0)+
IFERROR(VLOOKUP(A12,'Centre WP11'!$A$7:$N$160,11,FALSE),0)+
IFERROR(VLOOKUP(A12,'Centre WR11'!$A$7:$N$160,11,FALSE),0)+
IFERROR(VLOOKUP(A12,'Centre WV11'!$A$7:$N$160,11,FALSE),0)</f>
        <v>0</v>
      </c>
      <c r="L12" s="10">
        <f>IFERROR(VLOOKUP(A12,'Centre DW11'!$A$7:$N$160,12,FALSE),0)+
IFERROR(VLOOKUP(A12,'Centre WP11'!$A$7:$N$160,12,FALSE),0)+
IFERROR(VLOOKUP(A12,'Centre WR11'!$A$7:$N$160,12,FALSE),0)+
IFERROR(VLOOKUP(A12,'Centre WV11'!$A$7:$N$160,12,FALSE),0)</f>
        <v>0</v>
      </c>
      <c r="M12" s="10">
        <f>IFERROR(VLOOKUP(A12,'Centre DW11'!$A$7:$N$160,13,FALSE),0)+
IFERROR(VLOOKUP(A12,'Centre WP11'!$A$7:$N$160,13,FALSE),0)+
IFERROR(VLOOKUP(A12,'Centre WR11'!$A$7:$N$160,13,FALSE),0)+
IFERROR(VLOOKUP(A12,'Centre WV11'!$A$7:$N$160,13,FALSE),0)</f>
        <v>0</v>
      </c>
      <c r="N12" s="10">
        <f>IFERROR(VLOOKUP(A12,'Centre DW11'!$A$7:$N$160,14,FALSE),0)+
IFERROR(VLOOKUP(A12,'Centre WP11'!$A$7:$N$160,14,FALSE),0)+
IFERROR(VLOOKUP(A12,'Centre WR11'!$A$7:$N$160,14,FALSE),0)+
IFERROR(VLOOKUP(A12,'Centre WV11'!$A$7:$N$160,14,FALSE),0)</f>
        <v>0</v>
      </c>
    </row>
    <row r="13" spans="1:14" hidden="1" outlineLevel="1" x14ac:dyDescent="0.2">
      <c r="A13" s="9" t="s">
        <v>31</v>
      </c>
      <c r="B13" s="1" t="s">
        <v>32</v>
      </c>
      <c r="C13" s="10">
        <f>IFERROR(VLOOKUP(A13,'Centre DW11'!$A$7:$N$160,3,FALSE),0)+
IFERROR(VLOOKUP(A13,'Centre WP11'!$A$7:$N$160,3,FALSE),0)+
IFERROR(VLOOKUP(A13,'Centre WR11'!$A$7:$N$160,3,FALSE),0)+
IFERROR(VLOOKUP(A13,'Centre WV11'!$A$7:$N$160,3,FALSE),0)</f>
        <v>0</v>
      </c>
      <c r="D13" s="10">
        <f>IFERROR(VLOOKUP(A13,'Centre DW11'!$A$7:$N$160,4,FALSE),0)+
IFERROR(VLOOKUP(A13,'Centre WP11'!$A$7:$N$160,4,FALSE),0)+
IFERROR(VLOOKUP(A13,'Centre WR11'!$A$7:$N$160,4,FALSE),0)+
IFERROR(VLOOKUP(A13,'Centre WV11'!$A$7:$N$160,4,FALSE),0)</f>
        <v>0</v>
      </c>
      <c r="E13" s="10">
        <f>IFERROR(VLOOKUP(A13,'Centre DW11'!$A$7:$N$160,5,FALSE),0)+
IFERROR(VLOOKUP(A13,'Centre WP11'!$A$7:$N$160,5,FALSE),0)+
IFERROR(VLOOKUP(A13,'Centre WR11'!$A$7:$N$160,5,FALSE),0)+
IFERROR(VLOOKUP(A13,'Centre WV11'!$A$7:$N$160,5,FALSE),0)</f>
        <v>0</v>
      </c>
      <c r="F13" s="10">
        <f>IFERROR(VLOOKUP(A13,'Centre DW11'!$A$7:$N$160,6,FALSE),0)+
IFERROR(VLOOKUP(A13,'Centre WP11'!$A$7:$N$160,6,FALSE),0)+
IFERROR(VLOOKUP(A13,'Centre WR11'!$A$7:$N$160,6,FALSE),0)+
IFERROR(VLOOKUP(A13,'Centre WV11'!$A$7:$N$160,6,FALSE),0)</f>
        <v>0</v>
      </c>
      <c r="G13" s="10">
        <f>IFERROR(VLOOKUP(A13,'Centre DW11'!$A$7:$N$160,7,FALSE),0)+
IFERROR(VLOOKUP(A13,'Centre WP11'!$A$7:$N$160,7,FALSE),0)+
IFERROR(VLOOKUP(A13,'Centre WR11'!$A$7:$N$160,7,FALSE),0)+
IFERROR(VLOOKUP(A13,'Centre WV11'!$A$7:$N$160,7,FALSE),0)</f>
        <v>0</v>
      </c>
      <c r="H13" s="10">
        <f>IFERROR(VLOOKUP(A13,'Centre DW11'!$A$7:$N$160,8,FALSE),0)+
IFERROR(VLOOKUP(A13,'Centre WP11'!$A$7:$N$160,8,FALSE),0)+
IFERROR(VLOOKUP(A13,'Centre WR11'!$A$7:$N$160,8,FALSE),0)+
IFERROR(VLOOKUP(A13,'Centre WV11'!$A$7:$N$160,8,FALSE),0)</f>
        <v>233.89999999999998</v>
      </c>
      <c r="I13" s="10">
        <f>IFERROR(VLOOKUP(A13,'Centre DW11'!$A$7:$N$160,9,FALSE),0)+
IFERROR(VLOOKUP(A13,'Centre WP11'!$A$7:$N$160,9,FALSE),0)+
IFERROR(VLOOKUP(A13,'Centre WR11'!$A$7:$N$160,9,FALSE),0)+
IFERROR(VLOOKUP(A13,'Centre WV11'!$A$7:$N$160,9,FALSE),0)</f>
        <v>230.6</v>
      </c>
      <c r="J13" s="10">
        <f>IFERROR(VLOOKUP(A13,'Centre DW11'!$A$7:$N$160,10,FALSE),0)+
IFERROR(VLOOKUP(A13,'Centre WP11'!$A$7:$N$160,10,FALSE),0)+
IFERROR(VLOOKUP(A13,'Centre WR11'!$A$7:$N$160,10,FALSE),0)+
IFERROR(VLOOKUP(A13,'Centre WV11'!$A$7:$N$160,10,FALSE),0)</f>
        <v>0</v>
      </c>
      <c r="K13" s="10">
        <f>IFERROR(VLOOKUP(A13,'Centre DW11'!$A$7:$N$160,11,FALSE),0)+
IFERROR(VLOOKUP(A13,'Centre WP11'!$A$7:$N$160,11,FALSE),0)+
IFERROR(VLOOKUP(A13,'Centre WR11'!$A$7:$N$160,11,FALSE),0)+
IFERROR(VLOOKUP(A13,'Centre WV11'!$A$7:$N$160,11,FALSE),0)</f>
        <v>0</v>
      </c>
      <c r="L13" s="10">
        <f>IFERROR(VLOOKUP(A13,'Centre DW11'!$A$7:$N$160,12,FALSE),0)+
IFERROR(VLOOKUP(A13,'Centre WP11'!$A$7:$N$160,12,FALSE),0)+
IFERROR(VLOOKUP(A13,'Centre WR11'!$A$7:$N$160,12,FALSE),0)+
IFERROR(VLOOKUP(A13,'Centre WV11'!$A$7:$N$160,12,FALSE),0)</f>
        <v>0</v>
      </c>
      <c r="M13" s="10">
        <f>IFERROR(VLOOKUP(A13,'Centre DW11'!$A$7:$N$160,13,FALSE),0)+
IFERROR(VLOOKUP(A13,'Centre WP11'!$A$7:$N$160,13,FALSE),0)+
IFERROR(VLOOKUP(A13,'Centre WR11'!$A$7:$N$160,13,FALSE),0)+
IFERROR(VLOOKUP(A13,'Centre WV11'!$A$7:$N$160,13,FALSE),0)</f>
        <v>0</v>
      </c>
      <c r="N13" s="10">
        <f>IFERROR(VLOOKUP(A13,'Centre DW11'!$A$7:$N$160,14,FALSE),0)+
IFERROR(VLOOKUP(A13,'Centre WP11'!$A$7:$N$160,14,FALSE),0)+
IFERROR(VLOOKUP(A13,'Centre WR11'!$A$7:$N$160,14,FALSE),0)+
IFERROR(VLOOKUP(A13,'Centre WV11'!$A$7:$N$160,14,FALSE),0)</f>
        <v>0</v>
      </c>
    </row>
    <row r="14" spans="1:14" hidden="1" outlineLevel="1" x14ac:dyDescent="0.2">
      <c r="A14" s="9" t="s">
        <v>33</v>
      </c>
      <c r="B14" s="1" t="s">
        <v>34</v>
      </c>
      <c r="C14" s="10">
        <f>IFERROR(VLOOKUP(A14,'Centre DW11'!$A$7:$N$160,3,FALSE),0)+
IFERROR(VLOOKUP(A14,'Centre WP11'!$A$7:$N$160,3,FALSE),0)+
IFERROR(VLOOKUP(A14,'Centre WR11'!$A$7:$N$160,3,FALSE),0)+
IFERROR(VLOOKUP(A14,'Centre WV11'!$A$7:$N$160,3,FALSE),0)</f>
        <v>234.4</v>
      </c>
      <c r="D14" s="10">
        <f>IFERROR(VLOOKUP(A14,'Centre DW11'!$A$7:$N$160,4,FALSE),0)+
IFERROR(VLOOKUP(A14,'Centre WP11'!$A$7:$N$160,4,FALSE),0)+
IFERROR(VLOOKUP(A14,'Centre WR11'!$A$7:$N$160,4,FALSE),0)+
IFERROR(VLOOKUP(A14,'Centre WV11'!$A$7:$N$160,4,FALSE),0)</f>
        <v>229.1</v>
      </c>
      <c r="E14" s="10">
        <f>IFERROR(VLOOKUP(A14,'Centre DW11'!$A$7:$N$160,5,FALSE),0)+
IFERROR(VLOOKUP(A14,'Centre WP11'!$A$7:$N$160,5,FALSE),0)+
IFERROR(VLOOKUP(A14,'Centre WR11'!$A$7:$N$160,5,FALSE),0)+
IFERROR(VLOOKUP(A14,'Centre WV11'!$A$7:$N$160,5,FALSE),0)</f>
        <v>246.8</v>
      </c>
      <c r="F14" s="10">
        <f>IFERROR(VLOOKUP(A14,'Centre DW11'!$A$7:$N$160,6,FALSE),0)+
IFERROR(VLOOKUP(A14,'Centre WP11'!$A$7:$N$160,6,FALSE),0)+
IFERROR(VLOOKUP(A14,'Centre WR11'!$A$7:$N$160,6,FALSE),0)+
IFERROR(VLOOKUP(A14,'Centre WV11'!$A$7:$N$160,6,FALSE),0)</f>
        <v>253.39999999999998</v>
      </c>
      <c r="G14" s="10">
        <f>IFERROR(VLOOKUP(A14,'Centre DW11'!$A$7:$N$160,7,FALSE),0)+
IFERROR(VLOOKUP(A14,'Centre WP11'!$A$7:$N$160,7,FALSE),0)+
IFERROR(VLOOKUP(A14,'Centre WR11'!$A$7:$N$160,7,FALSE),0)+
IFERROR(VLOOKUP(A14,'Centre WV11'!$A$7:$N$160,7,FALSE),0)</f>
        <v>246.89999999999998</v>
      </c>
      <c r="H14" s="10">
        <f>IFERROR(VLOOKUP(A14,'Centre DW11'!$A$7:$N$160,8,FALSE),0)+
IFERROR(VLOOKUP(A14,'Centre WP11'!$A$7:$N$160,8,FALSE),0)+
IFERROR(VLOOKUP(A14,'Centre WR11'!$A$7:$N$160,8,FALSE),0)+
IFERROR(VLOOKUP(A14,'Centre WV11'!$A$7:$N$160,8,FALSE),0)</f>
        <v>0</v>
      </c>
      <c r="I14" s="10">
        <f>IFERROR(VLOOKUP(A14,'Centre DW11'!$A$7:$N$160,9,FALSE),0)+
IFERROR(VLOOKUP(A14,'Centre WP11'!$A$7:$N$160,9,FALSE),0)+
IFERROR(VLOOKUP(A14,'Centre WR11'!$A$7:$N$160,9,FALSE),0)+
IFERROR(VLOOKUP(A14,'Centre WV11'!$A$7:$N$160,9,FALSE),0)</f>
        <v>0</v>
      </c>
      <c r="J14" s="10">
        <f>IFERROR(VLOOKUP(A14,'Centre DW11'!$A$7:$N$160,10,FALSE),0)+
IFERROR(VLOOKUP(A14,'Centre WP11'!$A$7:$N$160,10,FALSE),0)+
IFERROR(VLOOKUP(A14,'Centre WR11'!$A$7:$N$160,10,FALSE),0)+
IFERROR(VLOOKUP(A14,'Centre WV11'!$A$7:$N$160,10,FALSE),0)</f>
        <v>280</v>
      </c>
      <c r="K14" s="10">
        <f>IFERROR(VLOOKUP(A14,'Centre DW11'!$A$7:$N$160,11,FALSE),0)+
IFERROR(VLOOKUP(A14,'Centre WP11'!$A$7:$N$160,11,FALSE),0)+
IFERROR(VLOOKUP(A14,'Centre WR11'!$A$7:$N$160,11,FALSE),0)+
IFERROR(VLOOKUP(A14,'Centre WV11'!$A$7:$N$160,11,FALSE),0)</f>
        <v>288</v>
      </c>
      <c r="L14" s="10">
        <f>IFERROR(VLOOKUP(A14,'Centre DW11'!$A$7:$N$160,12,FALSE),0)+
IFERROR(VLOOKUP(A14,'Centre WP11'!$A$7:$N$160,12,FALSE),0)+
IFERROR(VLOOKUP(A14,'Centre WR11'!$A$7:$N$160,12,FALSE),0)+
IFERROR(VLOOKUP(A14,'Centre WV11'!$A$7:$N$160,12,FALSE),0)</f>
        <v>277</v>
      </c>
      <c r="M14" s="10">
        <f>IFERROR(VLOOKUP(A14,'Centre DW11'!$A$7:$N$160,13,FALSE),0)+
IFERROR(VLOOKUP(A14,'Centre WP11'!$A$7:$N$160,13,FALSE),0)+
IFERROR(VLOOKUP(A14,'Centre WR11'!$A$7:$N$160,13,FALSE),0)+
IFERROR(VLOOKUP(A14,'Centre WV11'!$A$7:$N$160,13,FALSE),0)</f>
        <v>250</v>
      </c>
      <c r="N14" s="10">
        <f>IFERROR(VLOOKUP(A14,'Centre DW11'!$A$7:$N$160,14,FALSE),0)+
IFERROR(VLOOKUP(A14,'Centre WP11'!$A$7:$N$160,14,FALSE),0)+
IFERROR(VLOOKUP(A14,'Centre WR11'!$A$7:$N$160,14,FALSE),0)+
IFERROR(VLOOKUP(A14,'Centre WV11'!$A$7:$N$160,14,FALSE),0)</f>
        <v>347</v>
      </c>
    </row>
    <row r="15" spans="1:14" hidden="1" outlineLevel="1" x14ac:dyDescent="0.2">
      <c r="A15" s="9" t="s">
        <v>35</v>
      </c>
      <c r="B15" s="1" t="s">
        <v>36</v>
      </c>
      <c r="C15" s="10">
        <f>IFERROR(VLOOKUP(A15,'Centre DW11'!$A$7:$N$160,3,FALSE),0)+
IFERROR(VLOOKUP(A15,'Centre WP11'!$A$7:$N$160,3,FALSE),0)+
IFERROR(VLOOKUP(A15,'Centre WR11'!$A$7:$N$160,3,FALSE),0)+
IFERROR(VLOOKUP(A15,'Centre WV11'!$A$7:$N$160,3,FALSE),0)</f>
        <v>0</v>
      </c>
      <c r="D15" s="10">
        <f>IFERROR(VLOOKUP(A15,'Centre DW11'!$A$7:$N$160,4,FALSE),0)+
IFERROR(VLOOKUP(A15,'Centre WP11'!$A$7:$N$160,4,FALSE),0)+
IFERROR(VLOOKUP(A15,'Centre WR11'!$A$7:$N$160,4,FALSE),0)+
IFERROR(VLOOKUP(A15,'Centre WV11'!$A$7:$N$160,4,FALSE),0)</f>
        <v>0</v>
      </c>
      <c r="E15" s="10">
        <f>IFERROR(VLOOKUP(A15,'Centre DW11'!$A$7:$N$160,5,FALSE),0)+
IFERROR(VLOOKUP(A15,'Centre WP11'!$A$7:$N$160,5,FALSE),0)+
IFERROR(VLOOKUP(A15,'Centre WR11'!$A$7:$N$160,5,FALSE),0)+
IFERROR(VLOOKUP(A15,'Centre WV11'!$A$7:$N$160,5,FALSE),0)</f>
        <v>0</v>
      </c>
      <c r="F15" s="10">
        <f>IFERROR(VLOOKUP(A15,'Centre DW11'!$A$7:$N$160,6,FALSE),0)+
IFERROR(VLOOKUP(A15,'Centre WP11'!$A$7:$N$160,6,FALSE),0)+
IFERROR(VLOOKUP(A15,'Centre WR11'!$A$7:$N$160,6,FALSE),0)+
IFERROR(VLOOKUP(A15,'Centre WV11'!$A$7:$N$160,6,FALSE),0)</f>
        <v>0</v>
      </c>
      <c r="G15" s="10">
        <f>IFERROR(VLOOKUP(A15,'Centre DW11'!$A$7:$N$160,7,FALSE),0)+
IFERROR(VLOOKUP(A15,'Centre WP11'!$A$7:$N$160,7,FALSE),0)+
IFERROR(VLOOKUP(A15,'Centre WR11'!$A$7:$N$160,7,FALSE),0)+
IFERROR(VLOOKUP(A15,'Centre WV11'!$A$7:$N$160,7,FALSE),0)</f>
        <v>0</v>
      </c>
      <c r="H15" s="10">
        <f>IFERROR(VLOOKUP(A15,'Centre DW11'!$A$7:$N$160,8,FALSE),0)+
IFERROR(VLOOKUP(A15,'Centre WP11'!$A$7:$N$160,8,FALSE),0)+
IFERROR(VLOOKUP(A15,'Centre WR11'!$A$7:$N$160,8,FALSE),0)+
IFERROR(VLOOKUP(A15,'Centre WV11'!$A$7:$N$160,8,FALSE),0)</f>
        <v>0</v>
      </c>
      <c r="I15" s="10">
        <f>IFERROR(VLOOKUP(A15,'Centre DW11'!$A$7:$N$160,9,FALSE),0)+
IFERROR(VLOOKUP(A15,'Centre WP11'!$A$7:$N$160,9,FALSE),0)+
IFERROR(VLOOKUP(A15,'Centre WR11'!$A$7:$N$160,9,FALSE),0)+
IFERROR(VLOOKUP(A15,'Centre WV11'!$A$7:$N$160,9,FALSE),0)</f>
        <v>0</v>
      </c>
      <c r="J15" s="10">
        <f>IFERROR(VLOOKUP(A15,'Centre DW11'!$A$7:$N$160,10,FALSE),0)+
IFERROR(VLOOKUP(A15,'Centre WP11'!$A$7:$N$160,10,FALSE),0)+
IFERROR(VLOOKUP(A15,'Centre WR11'!$A$7:$N$160,10,FALSE),0)+
IFERROR(VLOOKUP(A15,'Centre WV11'!$A$7:$N$160,10,FALSE),0)</f>
        <v>0</v>
      </c>
      <c r="K15" s="10">
        <f>IFERROR(VLOOKUP(A15,'Centre DW11'!$A$7:$N$160,11,FALSE),0)+
IFERROR(VLOOKUP(A15,'Centre WP11'!$A$7:$N$160,11,FALSE),0)+
IFERROR(VLOOKUP(A15,'Centre WR11'!$A$7:$N$160,11,FALSE),0)+
IFERROR(VLOOKUP(A15,'Centre WV11'!$A$7:$N$160,11,FALSE),0)</f>
        <v>0</v>
      </c>
      <c r="L15" s="10">
        <f>IFERROR(VLOOKUP(A15,'Centre DW11'!$A$7:$N$160,12,FALSE),0)+
IFERROR(VLOOKUP(A15,'Centre WP11'!$A$7:$N$160,12,FALSE),0)+
IFERROR(VLOOKUP(A15,'Centre WR11'!$A$7:$N$160,12,FALSE),0)+
IFERROR(VLOOKUP(A15,'Centre WV11'!$A$7:$N$160,12,FALSE),0)</f>
        <v>0</v>
      </c>
      <c r="M15" s="10">
        <f>IFERROR(VLOOKUP(A15,'Centre DW11'!$A$7:$N$160,13,FALSE),0)+
IFERROR(VLOOKUP(A15,'Centre WP11'!$A$7:$N$160,13,FALSE),0)+
IFERROR(VLOOKUP(A15,'Centre WR11'!$A$7:$N$160,13,FALSE),0)+
IFERROR(VLOOKUP(A15,'Centre WV11'!$A$7:$N$160,13,FALSE),0)</f>
        <v>0</v>
      </c>
      <c r="N15" s="10">
        <f>IFERROR(VLOOKUP(A15,'Centre DW11'!$A$7:$N$160,14,FALSE),0)+
IFERROR(VLOOKUP(A15,'Centre WP11'!$A$7:$N$160,14,FALSE),0)+
IFERROR(VLOOKUP(A15,'Centre WR11'!$A$7:$N$160,14,FALSE),0)+
IFERROR(VLOOKUP(A15,'Centre WV11'!$A$7:$N$160,14,FALSE),0)</f>
        <v>0</v>
      </c>
    </row>
    <row r="16" spans="1:14" collapsed="1" x14ac:dyDescent="0.2">
      <c r="A16" s="33" t="s">
        <v>37</v>
      </c>
      <c r="B16" s="34" t="s">
        <v>38</v>
      </c>
      <c r="C16" s="44">
        <f>IFERROR(VLOOKUP(A16,'Centre DW11'!$A$7:$N$160,3,FALSE),0)+
IFERROR(VLOOKUP(A16,'Centre WP11'!$A$7:$N$160,3,FALSE),0)+
IFERROR(VLOOKUP(A16,'Centre WR11'!$A$7:$N$160,3,FALSE),0)+
IFERROR(VLOOKUP(A16,'Centre WV11'!$A$7:$N$160,3,FALSE),0)</f>
        <v>0</v>
      </c>
      <c r="D16" s="44">
        <f>IFERROR(VLOOKUP(A16,'Centre DW11'!$A$7:$N$160,4,FALSE),0)+
IFERROR(VLOOKUP(A16,'Centre WP11'!$A$7:$N$160,4,FALSE),0)+
IFERROR(VLOOKUP(A16,'Centre WR11'!$A$7:$N$160,4,FALSE),0)+
IFERROR(VLOOKUP(A16,'Centre WV11'!$A$7:$N$160,4,FALSE),0)</f>
        <v>0</v>
      </c>
      <c r="E16" s="44">
        <f>IFERROR(VLOOKUP(A16,'Centre DW11'!$A$7:$N$160,5,FALSE),0)+
IFERROR(VLOOKUP(A16,'Centre WP11'!$A$7:$N$160,5,FALSE),0)+
IFERROR(VLOOKUP(A16,'Centre WR11'!$A$7:$N$160,5,FALSE),0)+
IFERROR(VLOOKUP(A16,'Centre WV11'!$A$7:$N$160,5,FALSE),0)</f>
        <v>0</v>
      </c>
      <c r="F16" s="44">
        <f>IFERROR(VLOOKUP(A16,'Centre DW11'!$A$7:$N$160,6,FALSE),0)+
IFERROR(VLOOKUP(A16,'Centre WP11'!$A$7:$N$160,6,FALSE),0)+
IFERROR(VLOOKUP(A16,'Centre WR11'!$A$7:$N$160,6,FALSE),0)+
IFERROR(VLOOKUP(A16,'Centre WV11'!$A$7:$N$160,6,FALSE),0)</f>
        <v>0</v>
      </c>
      <c r="G16" s="44">
        <f>IFERROR(VLOOKUP(A16,'Centre DW11'!$A$7:$N$160,7,FALSE),0)+
IFERROR(VLOOKUP(A16,'Centre WP11'!$A$7:$N$160,7,FALSE),0)+
IFERROR(VLOOKUP(A16,'Centre WR11'!$A$7:$N$160,7,FALSE),0)+
IFERROR(VLOOKUP(A16,'Centre WV11'!$A$7:$N$160,7,FALSE),0)</f>
        <v>0</v>
      </c>
      <c r="H16" s="44">
        <f>IFERROR(VLOOKUP(A16,'Centre DW11'!$A$7:$N$160,8,FALSE),0)+
IFERROR(VLOOKUP(A16,'Centre WP11'!$A$7:$N$160,8,FALSE),0)+
IFERROR(VLOOKUP(A16,'Centre WR11'!$A$7:$N$160,8,FALSE),0)+
IFERROR(VLOOKUP(A16,'Centre WV11'!$A$7:$N$160,8,FALSE),0)</f>
        <v>0</v>
      </c>
      <c r="I16" s="44">
        <f>IFERROR(VLOOKUP(A16,'Centre DW11'!$A$7:$N$160,9,FALSE),0)+
IFERROR(VLOOKUP(A16,'Centre WP11'!$A$7:$N$160,9,FALSE),0)+
IFERROR(VLOOKUP(A16,'Centre WR11'!$A$7:$N$160,9,FALSE),0)+
IFERROR(VLOOKUP(A16,'Centre WV11'!$A$7:$N$160,9,FALSE),0)</f>
        <v>0</v>
      </c>
      <c r="J16" s="44">
        <f>IFERROR(VLOOKUP(A16,'Centre DW11'!$A$7:$N$160,10,FALSE),0)+
IFERROR(VLOOKUP(A16,'Centre WP11'!$A$7:$N$160,10,FALSE),0)+
IFERROR(VLOOKUP(A16,'Centre WR11'!$A$7:$N$160,10,FALSE),0)+
IFERROR(VLOOKUP(A16,'Centre WV11'!$A$7:$N$160,10,FALSE),0)</f>
        <v>0</v>
      </c>
      <c r="K16" s="44">
        <f>IFERROR(VLOOKUP(A16,'Centre DW11'!$A$7:$N$160,11,FALSE),0)+
IFERROR(VLOOKUP(A16,'Centre WP11'!$A$7:$N$160,11,FALSE),0)+
IFERROR(VLOOKUP(A16,'Centre WR11'!$A$7:$N$160,11,FALSE),0)+
IFERROR(VLOOKUP(A16,'Centre WV11'!$A$7:$N$160,11,FALSE),0)</f>
        <v>0</v>
      </c>
      <c r="L16" s="44">
        <f>IFERROR(VLOOKUP(A16,'Centre DW11'!$A$7:$N$160,12,FALSE),0)+
IFERROR(VLOOKUP(A16,'Centre WP11'!$A$7:$N$160,12,FALSE),0)+
IFERROR(VLOOKUP(A16,'Centre WR11'!$A$7:$N$160,12,FALSE),0)+
IFERROR(VLOOKUP(A16,'Centre WV11'!$A$7:$N$160,12,FALSE),0)</f>
        <v>0</v>
      </c>
      <c r="M16" s="44">
        <f>IFERROR(VLOOKUP(A16,'Centre DW11'!$A$7:$N$160,13,FALSE),0)+
IFERROR(VLOOKUP(A16,'Centre WP11'!$A$7:$N$160,13,FALSE),0)+
IFERROR(VLOOKUP(A16,'Centre WR11'!$A$7:$N$160,13,FALSE),0)+
IFERROR(VLOOKUP(A16,'Centre WV11'!$A$7:$N$160,13,FALSE),0)</f>
        <v>0</v>
      </c>
      <c r="N16" s="44">
        <f>IFERROR(VLOOKUP(A16,'Centre DW11'!$A$7:$N$160,14,FALSE),0)+
IFERROR(VLOOKUP(A16,'Centre WP11'!$A$7:$N$160,14,FALSE),0)+
IFERROR(VLOOKUP(A16,'Centre WR11'!$A$7:$N$160,14,FALSE),0)+
IFERROR(VLOOKUP(A16,'Centre WV11'!$A$7:$N$160,14,FALSE),0)</f>
        <v>0</v>
      </c>
    </row>
    <row r="17" spans="1:14" x14ac:dyDescent="0.2">
      <c r="A17" s="33" t="s">
        <v>39</v>
      </c>
      <c r="B17" s="34" t="s">
        <v>40</v>
      </c>
      <c r="C17" s="44">
        <f>IFERROR(VLOOKUP(A17,'Centre DW11'!$A$7:$N$160,3,FALSE),0)+
IFERROR(VLOOKUP(A17,'Centre WP11'!$A$7:$N$160,3,FALSE),0)+
IFERROR(VLOOKUP(A17,'Centre WR11'!$A$7:$N$160,3,FALSE),0)+
IFERROR(VLOOKUP(A17,'Centre WV11'!$A$7:$N$160,3,FALSE),0)</f>
        <v>0</v>
      </c>
      <c r="D17" s="44">
        <f>IFERROR(VLOOKUP(A17,'Centre DW11'!$A$7:$N$160,4,FALSE),0)+
IFERROR(VLOOKUP(A17,'Centre WP11'!$A$7:$N$160,4,FALSE),0)+
IFERROR(VLOOKUP(A17,'Centre WR11'!$A$7:$N$160,4,FALSE),0)+
IFERROR(VLOOKUP(A17,'Centre WV11'!$A$7:$N$160,4,FALSE),0)</f>
        <v>0</v>
      </c>
      <c r="E17" s="44">
        <f>IFERROR(VLOOKUP(A17,'Centre DW11'!$A$7:$N$160,5,FALSE),0)+
IFERROR(VLOOKUP(A17,'Centre WP11'!$A$7:$N$160,5,FALSE),0)+
IFERROR(VLOOKUP(A17,'Centre WR11'!$A$7:$N$160,5,FALSE),0)+
IFERROR(VLOOKUP(A17,'Centre WV11'!$A$7:$N$160,5,FALSE),0)</f>
        <v>0</v>
      </c>
      <c r="F17" s="44">
        <f>IFERROR(VLOOKUP(A17,'Centre DW11'!$A$7:$N$160,6,FALSE),0)+
IFERROR(VLOOKUP(A17,'Centre WP11'!$A$7:$N$160,6,FALSE),0)+
IFERROR(VLOOKUP(A17,'Centre WR11'!$A$7:$N$160,6,FALSE),0)+
IFERROR(VLOOKUP(A17,'Centre WV11'!$A$7:$N$160,6,FALSE),0)</f>
        <v>0</v>
      </c>
      <c r="G17" s="44">
        <f>IFERROR(VLOOKUP(A17,'Centre DW11'!$A$7:$N$160,7,FALSE),0)+
IFERROR(VLOOKUP(A17,'Centre WP11'!$A$7:$N$160,7,FALSE),0)+
IFERROR(VLOOKUP(A17,'Centre WR11'!$A$7:$N$160,7,FALSE),0)+
IFERROR(VLOOKUP(A17,'Centre WV11'!$A$7:$N$160,7,FALSE),0)</f>
        <v>0</v>
      </c>
      <c r="H17" s="44">
        <f>IFERROR(VLOOKUP(A17,'Centre DW11'!$A$7:$N$160,8,FALSE),0)+
IFERROR(VLOOKUP(A17,'Centre WP11'!$A$7:$N$160,8,FALSE),0)+
IFERROR(VLOOKUP(A17,'Centre WR11'!$A$7:$N$160,8,FALSE),0)+
IFERROR(VLOOKUP(A17,'Centre WV11'!$A$7:$N$160,8,FALSE),0)</f>
        <v>0</v>
      </c>
      <c r="I17" s="44">
        <f>IFERROR(VLOOKUP(A17,'Centre DW11'!$A$7:$N$160,9,FALSE),0)+
IFERROR(VLOOKUP(A17,'Centre WP11'!$A$7:$N$160,9,FALSE),0)+
IFERROR(VLOOKUP(A17,'Centre WR11'!$A$7:$N$160,9,FALSE),0)+
IFERROR(VLOOKUP(A17,'Centre WV11'!$A$7:$N$160,9,FALSE),0)</f>
        <v>0</v>
      </c>
      <c r="J17" s="44">
        <f>IFERROR(VLOOKUP(A17,'Centre DW11'!$A$7:$N$160,10,FALSE),0)+
IFERROR(VLOOKUP(A17,'Centre WP11'!$A$7:$N$160,10,FALSE),0)+
IFERROR(VLOOKUP(A17,'Centre WR11'!$A$7:$N$160,10,FALSE),0)+
IFERROR(VLOOKUP(A17,'Centre WV11'!$A$7:$N$160,10,FALSE),0)</f>
        <v>0</v>
      </c>
      <c r="K17" s="44">
        <f>IFERROR(VLOOKUP(A17,'Centre DW11'!$A$7:$N$160,11,FALSE),0)+
IFERROR(VLOOKUP(A17,'Centre WP11'!$A$7:$N$160,11,FALSE),0)+
IFERROR(VLOOKUP(A17,'Centre WR11'!$A$7:$N$160,11,FALSE),0)+
IFERROR(VLOOKUP(A17,'Centre WV11'!$A$7:$N$160,11,FALSE),0)</f>
        <v>0</v>
      </c>
      <c r="L17" s="44">
        <f>IFERROR(VLOOKUP(A17,'Centre DW11'!$A$7:$N$160,12,FALSE),0)+
IFERROR(VLOOKUP(A17,'Centre WP11'!$A$7:$N$160,12,FALSE),0)+
IFERROR(VLOOKUP(A17,'Centre WR11'!$A$7:$N$160,12,FALSE),0)+
IFERROR(VLOOKUP(A17,'Centre WV11'!$A$7:$N$160,12,FALSE),0)</f>
        <v>0</v>
      </c>
      <c r="M17" s="44">
        <f>IFERROR(VLOOKUP(A17,'Centre DW11'!$A$7:$N$160,13,FALSE),0)+
IFERROR(VLOOKUP(A17,'Centre WP11'!$A$7:$N$160,13,FALSE),0)+
IFERROR(VLOOKUP(A17,'Centre WR11'!$A$7:$N$160,13,FALSE),0)+
IFERROR(VLOOKUP(A17,'Centre WV11'!$A$7:$N$160,13,FALSE),0)</f>
        <v>0</v>
      </c>
      <c r="N17" s="44">
        <f>IFERROR(VLOOKUP(A17,'Centre DW11'!$A$7:$N$160,14,FALSE),0)+
IFERROR(VLOOKUP(A17,'Centre WP11'!$A$7:$N$160,14,FALSE),0)+
IFERROR(VLOOKUP(A17,'Centre WR11'!$A$7:$N$160,14,FALSE),0)+
IFERROR(VLOOKUP(A17,'Centre WV11'!$A$7:$N$160,14,FALSE),0)</f>
        <v>0</v>
      </c>
    </row>
    <row r="18" spans="1:14" x14ac:dyDescent="0.2">
      <c r="A18" s="33" t="s">
        <v>41</v>
      </c>
      <c r="B18" s="34" t="s">
        <v>42</v>
      </c>
      <c r="C18" s="44">
        <f t="shared" ref="C18:M18" si="2">+C19</f>
        <v>0</v>
      </c>
      <c r="D18" s="44">
        <f t="shared" si="2"/>
        <v>0</v>
      </c>
      <c r="E18" s="44">
        <f t="shared" si="2"/>
        <v>0</v>
      </c>
      <c r="F18" s="44">
        <f t="shared" si="2"/>
        <v>0</v>
      </c>
      <c r="G18" s="44">
        <f t="shared" si="2"/>
        <v>0</v>
      </c>
      <c r="H18" s="44">
        <f t="shared" si="2"/>
        <v>0</v>
      </c>
      <c r="I18" s="44">
        <f t="shared" si="2"/>
        <v>0</v>
      </c>
      <c r="J18" s="44">
        <f t="shared" si="2"/>
        <v>0</v>
      </c>
      <c r="K18" s="44">
        <f t="shared" si="2"/>
        <v>0</v>
      </c>
      <c r="L18" s="44">
        <f t="shared" si="2"/>
        <v>0</v>
      </c>
      <c r="M18" s="44">
        <f t="shared" si="2"/>
        <v>0</v>
      </c>
      <c r="N18" s="44">
        <f t="shared" ref="N18" si="3">+N19</f>
        <v>0</v>
      </c>
    </row>
    <row r="19" spans="1:14" hidden="1" outlineLevel="1" x14ac:dyDescent="0.2">
      <c r="A19" s="9" t="s">
        <v>43</v>
      </c>
      <c r="B19" s="1" t="s">
        <v>44</v>
      </c>
      <c r="C19" s="10">
        <f>IFERROR(VLOOKUP(A19,'Centre DW11'!$A$7:$N$160,3,FALSE),0)+
IFERROR(VLOOKUP(A19,'Centre WP11'!$A$7:$N$160,3,FALSE),0)+
IFERROR(VLOOKUP(A19,'Centre WR11'!$A$7:$N$160,3,FALSE),0)+
IFERROR(VLOOKUP(A19,'Centre WV11'!$A$7:$N$160,3,FALSE),0)</f>
        <v>0</v>
      </c>
      <c r="D19" s="10">
        <f>IFERROR(VLOOKUP(A19,'Centre DW11'!$A$7:$N$160,4,FALSE),0)+
IFERROR(VLOOKUP(A19,'Centre WP11'!$A$7:$N$160,4,FALSE),0)+
IFERROR(VLOOKUP(A19,'Centre WR11'!$A$7:$N$160,4,FALSE),0)+
IFERROR(VLOOKUP(A19,'Centre WV11'!$A$7:$N$160,4,FALSE),0)</f>
        <v>0</v>
      </c>
      <c r="E19" s="10">
        <f>IFERROR(VLOOKUP(A19,'Centre DW11'!$A$7:$N$160,5,FALSE),0)+
IFERROR(VLOOKUP(A19,'Centre WP11'!$A$7:$N$160,5,FALSE),0)+
IFERROR(VLOOKUP(A19,'Centre WR11'!$A$7:$N$160,5,FALSE),0)+
IFERROR(VLOOKUP(A19,'Centre WV11'!$A$7:$N$160,5,FALSE),0)</f>
        <v>0</v>
      </c>
      <c r="F19" s="10">
        <f>IFERROR(VLOOKUP(A19,'Centre DW11'!$A$7:$N$160,6,FALSE),0)+
IFERROR(VLOOKUP(A19,'Centre WP11'!$A$7:$N$160,6,FALSE),0)+
IFERROR(VLOOKUP(A19,'Centre WR11'!$A$7:$N$160,6,FALSE),0)+
IFERROR(VLOOKUP(A19,'Centre WV11'!$A$7:$N$160,6,FALSE),0)</f>
        <v>0</v>
      </c>
      <c r="G19" s="10">
        <f>IFERROR(VLOOKUP(A19,'Centre DW11'!$A$7:$N$160,7,FALSE),0)+
IFERROR(VLOOKUP(A19,'Centre WP11'!$A$7:$N$160,7,FALSE),0)+
IFERROR(VLOOKUP(A19,'Centre WR11'!$A$7:$N$160,7,FALSE),0)+
IFERROR(VLOOKUP(A19,'Centre WV11'!$A$7:$N$160,7,FALSE),0)</f>
        <v>0</v>
      </c>
      <c r="H19" s="10">
        <f>IFERROR(VLOOKUP(A19,'Centre DW11'!$A$7:$N$160,8,FALSE),0)+
IFERROR(VLOOKUP(A19,'Centre WP11'!$A$7:$N$160,8,FALSE),0)+
IFERROR(VLOOKUP(A19,'Centre WR11'!$A$7:$N$160,8,FALSE),0)+
IFERROR(VLOOKUP(A19,'Centre WV11'!$A$7:$N$160,8,FALSE),0)</f>
        <v>0</v>
      </c>
      <c r="I19" s="10">
        <f>IFERROR(VLOOKUP(A19,'Centre DW11'!$A$7:$N$160,9,FALSE),0)+
IFERROR(VLOOKUP(A19,'Centre WP11'!$A$7:$N$160,9,FALSE),0)+
IFERROR(VLOOKUP(A19,'Centre WR11'!$A$7:$N$160,9,FALSE),0)+
IFERROR(VLOOKUP(A19,'Centre WV11'!$A$7:$N$160,9,FALSE),0)</f>
        <v>0</v>
      </c>
      <c r="J19" s="10">
        <f>IFERROR(VLOOKUP(A19,'Centre DW11'!$A$7:$N$160,10,FALSE),0)+
IFERROR(VLOOKUP(A19,'Centre WP11'!$A$7:$N$160,10,FALSE),0)+
IFERROR(VLOOKUP(A19,'Centre WR11'!$A$7:$N$160,10,FALSE),0)+
IFERROR(VLOOKUP(A19,'Centre WV11'!$A$7:$N$160,10,FALSE),0)</f>
        <v>0</v>
      </c>
      <c r="K19" s="10">
        <f>IFERROR(VLOOKUP(A19,'Centre DW11'!$A$7:$N$160,11,FALSE),0)+
IFERROR(VLOOKUP(A19,'Centre WP11'!$A$7:$N$160,11,FALSE),0)+
IFERROR(VLOOKUP(A19,'Centre WR11'!$A$7:$N$160,11,FALSE),0)+
IFERROR(VLOOKUP(A19,'Centre WV11'!$A$7:$N$160,11,FALSE),0)</f>
        <v>0</v>
      </c>
      <c r="L19" s="10">
        <f>IFERROR(VLOOKUP(A19,'Centre DW11'!$A$7:$N$160,12,FALSE),0)+
IFERROR(VLOOKUP(A19,'Centre WP11'!$A$7:$N$160,12,FALSE),0)+
IFERROR(VLOOKUP(A19,'Centre WR11'!$A$7:$N$160,12,FALSE),0)+
IFERROR(VLOOKUP(A19,'Centre WV11'!$A$7:$N$160,12,FALSE),0)</f>
        <v>0</v>
      </c>
      <c r="M19" s="10">
        <f>IFERROR(VLOOKUP(A19,'Centre DW11'!$A$7:$N$160,13,FALSE),0)+
IFERROR(VLOOKUP(A19,'Centre WP11'!$A$7:$N$160,13,FALSE),0)+
IFERROR(VLOOKUP(A19,'Centre WR11'!$A$7:$N$160,13,FALSE),0)+
IFERROR(VLOOKUP(A19,'Centre WV11'!$A$7:$N$160,13,FALSE),0)</f>
        <v>0</v>
      </c>
      <c r="N19" s="10">
        <f>IFERROR(VLOOKUP(A19,'Centre DW11'!$A$7:$N$160,14,FALSE),0)+
IFERROR(VLOOKUP(A19,'Centre WP11'!$A$7:$N$160,14,FALSE),0)+
IFERROR(VLOOKUP(A19,'Centre WR11'!$A$7:$N$160,14,FALSE),0)+
IFERROR(VLOOKUP(A19,'Centre WV11'!$A$7:$N$160,14,FALSE),0)</f>
        <v>0</v>
      </c>
    </row>
    <row r="20" spans="1:14" collapsed="1" x14ac:dyDescent="0.2">
      <c r="A20" s="33" t="s">
        <v>45</v>
      </c>
      <c r="B20" s="34" t="s">
        <v>46</v>
      </c>
      <c r="C20" s="44">
        <f>IFERROR(VLOOKUP(A20,'Centre DW11'!$A$7:$N$160,3,FALSE),0)+
IFERROR(VLOOKUP(A20,'Centre WP11'!$A$7:$N$160,3,FALSE),0)+
IFERROR(VLOOKUP(A20,'Centre WR11'!$A$7:$N$160,3,FALSE),0)+
IFERROR(VLOOKUP(A20,'Centre WV11'!$A$7:$N$160,3,FALSE),0)</f>
        <v>0</v>
      </c>
      <c r="D20" s="44">
        <f>IFERROR(VLOOKUP(A20,'Centre DW11'!$A$7:$N$160,4,FALSE),0)+
IFERROR(VLOOKUP(A20,'Centre WP11'!$A$7:$N$160,4,FALSE),0)+
IFERROR(VLOOKUP(A20,'Centre WR11'!$A$7:$N$160,4,FALSE),0)+
IFERROR(VLOOKUP(A20,'Centre WV11'!$A$7:$N$160,4,FALSE),0)</f>
        <v>0</v>
      </c>
      <c r="E20" s="44">
        <f>IFERROR(VLOOKUP(A20,'Centre DW11'!$A$7:$N$160,5,FALSE),0)+
IFERROR(VLOOKUP(A20,'Centre WP11'!$A$7:$N$160,5,FALSE),0)+
IFERROR(VLOOKUP(A20,'Centre WR11'!$A$7:$N$160,5,FALSE),0)+
IFERROR(VLOOKUP(A20,'Centre WV11'!$A$7:$N$160,5,FALSE),0)</f>
        <v>0</v>
      </c>
      <c r="F20" s="44">
        <f>IFERROR(VLOOKUP(A20,'Centre DW11'!$A$7:$N$160,6,FALSE),0)+
IFERROR(VLOOKUP(A20,'Centre WP11'!$A$7:$N$160,6,FALSE),0)+
IFERROR(VLOOKUP(A20,'Centre WR11'!$A$7:$N$160,6,FALSE),0)+
IFERROR(VLOOKUP(A20,'Centre WV11'!$A$7:$N$160,6,FALSE),0)</f>
        <v>0</v>
      </c>
      <c r="G20" s="44">
        <f>IFERROR(VLOOKUP(A20,'Centre DW11'!$A$7:$N$160,7,FALSE),0)+
IFERROR(VLOOKUP(A20,'Centre WP11'!$A$7:$N$160,7,FALSE),0)+
IFERROR(VLOOKUP(A20,'Centre WR11'!$A$7:$N$160,7,FALSE),0)+
IFERROR(VLOOKUP(A20,'Centre WV11'!$A$7:$N$160,7,FALSE),0)</f>
        <v>0</v>
      </c>
      <c r="H20" s="44">
        <f>IFERROR(VLOOKUP(A20,'Centre DW11'!$A$7:$N$160,8,FALSE),0)+
IFERROR(VLOOKUP(A20,'Centre WP11'!$A$7:$N$160,8,FALSE),0)+
IFERROR(VLOOKUP(A20,'Centre WR11'!$A$7:$N$160,8,FALSE),0)+
IFERROR(VLOOKUP(A20,'Centre WV11'!$A$7:$N$160,8,FALSE),0)</f>
        <v>0</v>
      </c>
      <c r="I20" s="44">
        <f>IFERROR(VLOOKUP(A20,'Centre DW11'!$A$7:$N$160,9,FALSE),0)+
IFERROR(VLOOKUP(A20,'Centre WP11'!$A$7:$N$160,9,FALSE),0)+
IFERROR(VLOOKUP(A20,'Centre WR11'!$A$7:$N$160,9,FALSE),0)+
IFERROR(VLOOKUP(A20,'Centre WV11'!$A$7:$N$160,9,FALSE),0)</f>
        <v>0</v>
      </c>
      <c r="J20" s="44">
        <f>IFERROR(VLOOKUP(A20,'Centre DW11'!$A$7:$N$160,10,FALSE),0)+
IFERROR(VLOOKUP(A20,'Centre WP11'!$A$7:$N$160,10,FALSE),0)+
IFERROR(VLOOKUP(A20,'Centre WR11'!$A$7:$N$160,10,FALSE),0)+
IFERROR(VLOOKUP(A20,'Centre WV11'!$A$7:$N$160,10,FALSE),0)</f>
        <v>0</v>
      </c>
      <c r="K20" s="44">
        <f>IFERROR(VLOOKUP(A20,'Centre DW11'!$A$7:$N$160,11,FALSE),0)+
IFERROR(VLOOKUP(A20,'Centre WP11'!$A$7:$N$160,11,FALSE),0)+
IFERROR(VLOOKUP(A20,'Centre WR11'!$A$7:$N$160,11,FALSE),0)+
IFERROR(VLOOKUP(A20,'Centre WV11'!$A$7:$N$160,11,FALSE),0)</f>
        <v>0</v>
      </c>
      <c r="L20" s="44">
        <f>IFERROR(VLOOKUP(A20,'Centre DW11'!$A$7:$N$160,12,FALSE),0)+
IFERROR(VLOOKUP(A20,'Centre WP11'!$A$7:$N$160,12,FALSE),0)+
IFERROR(VLOOKUP(A20,'Centre WR11'!$A$7:$N$160,12,FALSE),0)+
IFERROR(VLOOKUP(A20,'Centre WV11'!$A$7:$N$160,12,FALSE),0)</f>
        <v>0</v>
      </c>
      <c r="M20" s="44">
        <f>IFERROR(VLOOKUP(A20,'Centre DW11'!$A$7:$N$160,13,FALSE),0)+
IFERROR(VLOOKUP(A20,'Centre WP11'!$A$7:$N$160,13,FALSE),0)+
IFERROR(VLOOKUP(A20,'Centre WR11'!$A$7:$N$160,13,FALSE),0)+
IFERROR(VLOOKUP(A20,'Centre WV11'!$A$7:$N$160,13,FALSE),0)</f>
        <v>0</v>
      </c>
      <c r="N20" s="44">
        <f>IFERROR(VLOOKUP(A20,'Centre DW11'!$A$7:$N$160,14,FALSE),0)+
IFERROR(VLOOKUP(A20,'Centre WP11'!$A$7:$N$160,14,FALSE),0)+
IFERROR(VLOOKUP(A20,'Centre WR11'!$A$7:$N$160,14,FALSE),0)+
IFERROR(VLOOKUP(A20,'Centre WV11'!$A$7:$N$160,14,FALSE),0)</f>
        <v>0</v>
      </c>
    </row>
    <row r="21" spans="1:14" x14ac:dyDescent="0.2">
      <c r="A21" s="35"/>
      <c r="B21" s="35" t="s">
        <v>47</v>
      </c>
      <c r="C21" s="21">
        <f t="shared" ref="C21:M21" si="4">+C7+C16+C17+C18+C20</f>
        <v>237.4</v>
      </c>
      <c r="D21" s="21">
        <f t="shared" si="4"/>
        <v>232.1</v>
      </c>
      <c r="E21" s="21">
        <f t="shared" si="4"/>
        <v>249.8</v>
      </c>
      <c r="F21" s="21">
        <f t="shared" si="4"/>
        <v>256.39999999999998</v>
      </c>
      <c r="G21" s="21">
        <f t="shared" si="4"/>
        <v>249.89999999999998</v>
      </c>
      <c r="H21" s="21">
        <f t="shared" si="4"/>
        <v>236.89999999999998</v>
      </c>
      <c r="I21" s="21">
        <f t="shared" si="4"/>
        <v>233.6</v>
      </c>
      <c r="J21" s="21">
        <f t="shared" si="4"/>
        <v>283</v>
      </c>
      <c r="K21" s="21">
        <f t="shared" si="4"/>
        <v>291</v>
      </c>
      <c r="L21" s="21">
        <f t="shared" si="4"/>
        <v>280</v>
      </c>
      <c r="M21" s="21">
        <f t="shared" si="4"/>
        <v>253</v>
      </c>
      <c r="N21" s="21">
        <f t="shared" ref="N21" si="5">+N7+N16+N17+N18+N20</f>
        <v>350</v>
      </c>
    </row>
    <row r="22" spans="1:14" x14ac:dyDescent="0.2">
      <c r="A22" s="33" t="s">
        <v>48</v>
      </c>
      <c r="B22" s="34" t="s">
        <v>49</v>
      </c>
      <c r="C22" s="44">
        <f t="shared" ref="C22:M22" si="6">SUM(C23:C27)</f>
        <v>0.4</v>
      </c>
      <c r="D22" s="44">
        <f t="shared" si="6"/>
        <v>4</v>
      </c>
      <c r="E22" s="44">
        <f t="shared" si="6"/>
        <v>0.4</v>
      </c>
      <c r="F22" s="44">
        <f t="shared" si="6"/>
        <v>3.8</v>
      </c>
      <c r="G22" s="44">
        <f t="shared" si="6"/>
        <v>0.4</v>
      </c>
      <c r="H22" s="44">
        <f t="shared" si="6"/>
        <v>0.4</v>
      </c>
      <c r="I22" s="44">
        <f t="shared" si="6"/>
        <v>0.4</v>
      </c>
      <c r="J22" s="44">
        <f t="shared" si="6"/>
        <v>4</v>
      </c>
      <c r="K22" s="44">
        <f t="shared" si="6"/>
        <v>0.4</v>
      </c>
      <c r="L22" s="44">
        <f t="shared" si="6"/>
        <v>3.8</v>
      </c>
      <c r="M22" s="44">
        <f t="shared" si="6"/>
        <v>0.4</v>
      </c>
      <c r="N22" s="44">
        <f t="shared" ref="N22" si="7">SUM(N23:N27)</f>
        <v>0.4</v>
      </c>
    </row>
    <row r="23" spans="1:14" hidden="1" outlineLevel="1" x14ac:dyDescent="0.2">
      <c r="A23" s="9" t="s">
        <v>50</v>
      </c>
      <c r="B23" s="1" t="s">
        <v>51</v>
      </c>
      <c r="C23" s="10">
        <f>IFERROR(VLOOKUP(A23,'Centre DW11'!$A$7:$N$160,3,FALSE),0)+
IFERROR(VLOOKUP(A23,'Centre WP11'!$A$7:$N$160,3,FALSE),0)+
IFERROR(VLOOKUP(A23,'Centre WR11'!$A$7:$N$160,3,FALSE),0)+
IFERROR(VLOOKUP(A23,'Centre WV11'!$A$7:$N$160,3,FALSE),0)</f>
        <v>0</v>
      </c>
      <c r="D23" s="10">
        <f>IFERROR(VLOOKUP(A23,'Centre DW11'!$A$7:$N$160,4,FALSE),0)+
IFERROR(VLOOKUP(A23,'Centre WP11'!$A$7:$N$160,4,FALSE),0)+
IFERROR(VLOOKUP(A23,'Centre WR11'!$A$7:$N$160,4,FALSE),0)+
IFERROR(VLOOKUP(A23,'Centre WV11'!$A$7:$N$160,4,FALSE),0)</f>
        <v>0</v>
      </c>
      <c r="E23" s="10">
        <f>IFERROR(VLOOKUP(A23,'Centre DW11'!$A$7:$N$160,5,FALSE),0)+
IFERROR(VLOOKUP(A23,'Centre WP11'!$A$7:$N$160,5,FALSE),0)+
IFERROR(VLOOKUP(A23,'Centre WR11'!$A$7:$N$160,5,FALSE),0)+
IFERROR(VLOOKUP(A23,'Centre WV11'!$A$7:$N$160,5,FALSE),0)</f>
        <v>0</v>
      </c>
      <c r="F23" s="10">
        <f>IFERROR(VLOOKUP(A23,'Centre DW11'!$A$7:$N$160,6,FALSE),0)+
IFERROR(VLOOKUP(A23,'Centre WP11'!$A$7:$N$160,6,FALSE),0)+
IFERROR(VLOOKUP(A23,'Centre WR11'!$A$7:$N$160,6,FALSE),0)+
IFERROR(VLOOKUP(A23,'Centre WV11'!$A$7:$N$160,6,FALSE),0)</f>
        <v>0</v>
      </c>
      <c r="G23" s="10">
        <f>IFERROR(VLOOKUP(A23,'Centre DW11'!$A$7:$N$160,7,FALSE),0)+
IFERROR(VLOOKUP(A23,'Centre WP11'!$A$7:$N$160,7,FALSE),0)+
IFERROR(VLOOKUP(A23,'Centre WR11'!$A$7:$N$160,7,FALSE),0)+
IFERROR(VLOOKUP(A23,'Centre WV11'!$A$7:$N$160,7,FALSE),0)</f>
        <v>0</v>
      </c>
      <c r="H23" s="10">
        <f>IFERROR(VLOOKUP(A23,'Centre DW11'!$A$7:$N$160,8,FALSE),0)+
IFERROR(VLOOKUP(A23,'Centre WP11'!$A$7:$N$160,8,FALSE),0)+
IFERROR(VLOOKUP(A23,'Centre WR11'!$A$7:$N$160,8,FALSE),0)+
IFERROR(VLOOKUP(A23,'Centre WV11'!$A$7:$N$160,8,FALSE),0)</f>
        <v>0</v>
      </c>
      <c r="I23" s="10">
        <f>IFERROR(VLOOKUP(A23,'Centre DW11'!$A$7:$N$160,9,FALSE),0)+
IFERROR(VLOOKUP(A23,'Centre WP11'!$A$7:$N$160,9,FALSE),0)+
IFERROR(VLOOKUP(A23,'Centre WR11'!$A$7:$N$160,9,FALSE),0)+
IFERROR(VLOOKUP(A23,'Centre WV11'!$A$7:$N$160,9,FALSE),0)</f>
        <v>0</v>
      </c>
      <c r="J23" s="10">
        <f>IFERROR(VLOOKUP(A23,'Centre DW11'!$A$7:$N$160,10,FALSE),0)+
IFERROR(VLOOKUP(A23,'Centre WP11'!$A$7:$N$160,10,FALSE),0)+
IFERROR(VLOOKUP(A23,'Centre WR11'!$A$7:$N$160,10,FALSE),0)+
IFERROR(VLOOKUP(A23,'Centre WV11'!$A$7:$N$160,10,FALSE),0)</f>
        <v>0</v>
      </c>
      <c r="K23" s="10">
        <f>IFERROR(VLOOKUP(A23,'Centre DW11'!$A$7:$N$160,11,FALSE),0)+
IFERROR(VLOOKUP(A23,'Centre WP11'!$A$7:$N$160,11,FALSE),0)+
IFERROR(VLOOKUP(A23,'Centre WR11'!$A$7:$N$160,11,FALSE),0)+
IFERROR(VLOOKUP(A23,'Centre WV11'!$A$7:$N$160,11,FALSE),0)</f>
        <v>0</v>
      </c>
      <c r="L23" s="10">
        <f>IFERROR(VLOOKUP(A23,'Centre DW11'!$A$7:$N$160,12,FALSE),0)+
IFERROR(VLOOKUP(A23,'Centre WP11'!$A$7:$N$160,12,FALSE),0)+
IFERROR(VLOOKUP(A23,'Centre WR11'!$A$7:$N$160,12,FALSE),0)+
IFERROR(VLOOKUP(A23,'Centre WV11'!$A$7:$N$160,12,FALSE),0)</f>
        <v>0</v>
      </c>
      <c r="M23" s="10">
        <f>IFERROR(VLOOKUP(A23,'Centre DW11'!$A$7:$N$160,13,FALSE),0)+
IFERROR(VLOOKUP(A23,'Centre WP11'!$A$7:$N$160,13,FALSE),0)+
IFERROR(VLOOKUP(A23,'Centre WR11'!$A$7:$N$160,13,FALSE),0)+
IFERROR(VLOOKUP(A23,'Centre WV11'!$A$7:$N$160,13,FALSE),0)</f>
        <v>0</v>
      </c>
      <c r="N23" s="10">
        <f>IFERROR(VLOOKUP(A23,'Centre DW11'!$A$7:$N$160,14,FALSE),0)+
IFERROR(VLOOKUP(A23,'Centre WP11'!$A$7:$N$160,14,FALSE),0)+
IFERROR(VLOOKUP(A23,'Centre WR11'!$A$7:$N$160,14,FALSE),0)+
IFERROR(VLOOKUP(A23,'Centre WV11'!$A$7:$N$160,14,FALSE),0)</f>
        <v>0</v>
      </c>
    </row>
    <row r="24" spans="1:14" hidden="1" outlineLevel="1" x14ac:dyDescent="0.2">
      <c r="A24" s="9" t="s">
        <v>54</v>
      </c>
      <c r="B24" s="1" t="s">
        <v>55</v>
      </c>
      <c r="C24" s="10">
        <f>IFERROR(VLOOKUP(A24,'Centre DW11'!$A$7:$N$160,3,FALSE),0)+
IFERROR(VLOOKUP(A24,'Centre WP11'!$A$7:$N$160,3,FALSE),0)+
IFERROR(VLOOKUP(A24,'Centre WR11'!$A$7:$N$160,3,FALSE),0)+
IFERROR(VLOOKUP(A24,'Centre WV11'!$A$7:$N$160,3,FALSE),0)</f>
        <v>0.4</v>
      </c>
      <c r="D24" s="10">
        <f>IFERROR(VLOOKUP(A24,'Centre DW11'!$A$7:$N$160,4,FALSE),0)+
IFERROR(VLOOKUP(A24,'Centre WP11'!$A$7:$N$160,4,FALSE),0)+
IFERROR(VLOOKUP(A24,'Centre WR11'!$A$7:$N$160,4,FALSE),0)+
IFERROR(VLOOKUP(A24,'Centre WV11'!$A$7:$N$160,4,FALSE),0)</f>
        <v>0.4</v>
      </c>
      <c r="E24" s="10">
        <f>IFERROR(VLOOKUP(A24,'Centre DW11'!$A$7:$N$160,5,FALSE),0)+
IFERROR(VLOOKUP(A24,'Centre WP11'!$A$7:$N$160,5,FALSE),0)+
IFERROR(VLOOKUP(A24,'Centre WR11'!$A$7:$N$160,5,FALSE),0)+
IFERROR(VLOOKUP(A24,'Centre WV11'!$A$7:$N$160,5,FALSE),0)</f>
        <v>0.4</v>
      </c>
      <c r="F24" s="10">
        <f>IFERROR(VLOOKUP(A24,'Centre DW11'!$A$7:$N$160,6,FALSE),0)+
IFERROR(VLOOKUP(A24,'Centre WP11'!$A$7:$N$160,6,FALSE),0)+
IFERROR(VLOOKUP(A24,'Centre WR11'!$A$7:$N$160,6,FALSE),0)+
IFERROR(VLOOKUP(A24,'Centre WV11'!$A$7:$N$160,6,FALSE),0)</f>
        <v>0.4</v>
      </c>
      <c r="G24" s="10">
        <f>IFERROR(VLOOKUP(A24,'Centre DW11'!$A$7:$N$160,7,FALSE),0)+
IFERROR(VLOOKUP(A24,'Centre WP11'!$A$7:$N$160,7,FALSE),0)+
IFERROR(VLOOKUP(A24,'Centre WR11'!$A$7:$N$160,7,FALSE),0)+
IFERROR(VLOOKUP(A24,'Centre WV11'!$A$7:$N$160,7,FALSE),0)</f>
        <v>0.4</v>
      </c>
      <c r="H24" s="10">
        <f>IFERROR(VLOOKUP(A24,'Centre DW11'!$A$7:$N$160,8,FALSE),0)+
IFERROR(VLOOKUP(A24,'Centre WP11'!$A$7:$N$160,8,FALSE),0)+
IFERROR(VLOOKUP(A24,'Centre WR11'!$A$7:$N$160,8,FALSE),0)+
IFERROR(VLOOKUP(A24,'Centre WV11'!$A$7:$N$160,8,FALSE),0)</f>
        <v>0.4</v>
      </c>
      <c r="I24" s="10">
        <f>IFERROR(VLOOKUP(A24,'Centre DW11'!$A$7:$N$160,9,FALSE),0)+
IFERROR(VLOOKUP(A24,'Centre WP11'!$A$7:$N$160,9,FALSE),0)+
IFERROR(VLOOKUP(A24,'Centre WR11'!$A$7:$N$160,9,FALSE),0)+
IFERROR(VLOOKUP(A24,'Centre WV11'!$A$7:$N$160,9,FALSE),0)</f>
        <v>0.4</v>
      </c>
      <c r="J24" s="10">
        <f>IFERROR(VLOOKUP(A24,'Centre DW11'!$A$7:$N$160,10,FALSE),0)+
IFERROR(VLOOKUP(A24,'Centre WP11'!$A$7:$N$160,10,FALSE),0)+
IFERROR(VLOOKUP(A24,'Centre WR11'!$A$7:$N$160,10,FALSE),0)+
IFERROR(VLOOKUP(A24,'Centre WV11'!$A$7:$N$160,10,FALSE),0)</f>
        <v>0.4</v>
      </c>
      <c r="K24" s="10">
        <f>IFERROR(VLOOKUP(A24,'Centre DW11'!$A$7:$N$160,11,FALSE),0)+
IFERROR(VLOOKUP(A24,'Centre WP11'!$A$7:$N$160,11,FALSE),0)+
IFERROR(VLOOKUP(A24,'Centre WR11'!$A$7:$N$160,11,FALSE),0)+
IFERROR(VLOOKUP(A24,'Centre WV11'!$A$7:$N$160,11,FALSE),0)</f>
        <v>0.4</v>
      </c>
      <c r="L24" s="10">
        <f>IFERROR(VLOOKUP(A24,'Centre DW11'!$A$7:$N$160,12,FALSE),0)+
IFERROR(VLOOKUP(A24,'Centre WP11'!$A$7:$N$160,12,FALSE),0)+
IFERROR(VLOOKUP(A24,'Centre WR11'!$A$7:$N$160,12,FALSE),0)+
IFERROR(VLOOKUP(A24,'Centre WV11'!$A$7:$N$160,12,FALSE),0)</f>
        <v>0.4</v>
      </c>
      <c r="M24" s="10">
        <f>IFERROR(VLOOKUP(A24,'Centre DW11'!$A$7:$N$160,13,FALSE),0)+
IFERROR(VLOOKUP(A24,'Centre WP11'!$A$7:$N$160,13,FALSE),0)+
IFERROR(VLOOKUP(A24,'Centre WR11'!$A$7:$N$160,13,FALSE),0)+
IFERROR(VLOOKUP(A24,'Centre WV11'!$A$7:$N$160,13,FALSE),0)</f>
        <v>0.4</v>
      </c>
      <c r="N24" s="10">
        <f>IFERROR(VLOOKUP(A24,'Centre DW11'!$A$7:$N$160,14,FALSE),0)+
IFERROR(VLOOKUP(A24,'Centre WP11'!$A$7:$N$160,14,FALSE),0)+
IFERROR(VLOOKUP(A24,'Centre WR11'!$A$7:$N$160,14,FALSE),0)+
IFERROR(VLOOKUP(A24,'Centre WV11'!$A$7:$N$160,14,FALSE),0)</f>
        <v>0.4</v>
      </c>
    </row>
    <row r="25" spans="1:14" hidden="1" outlineLevel="1" x14ac:dyDescent="0.2">
      <c r="A25" s="9" t="s">
        <v>56</v>
      </c>
      <c r="B25" s="1" t="s">
        <v>51</v>
      </c>
      <c r="C25" s="10">
        <f>IFERROR(VLOOKUP(A25,'Centre DW11'!$A$7:$N$160,3,FALSE),0)+
IFERROR(VLOOKUP(A25,'Centre WP11'!$A$7:$N$160,3,FALSE),0)+
IFERROR(VLOOKUP(A25,'Centre WR11'!$A$7:$N$160,3,FALSE),0)+
IFERROR(VLOOKUP(A25,'Centre WV11'!$A$7:$N$160,3,FALSE),0)</f>
        <v>0</v>
      </c>
      <c r="D25" s="10">
        <f>IFERROR(VLOOKUP(A25,'Centre DW11'!$A$7:$N$160,4,FALSE),0)+
IFERROR(VLOOKUP(A25,'Centre WP11'!$A$7:$N$160,4,FALSE),0)+
IFERROR(VLOOKUP(A25,'Centre WR11'!$A$7:$N$160,4,FALSE),0)+
IFERROR(VLOOKUP(A25,'Centre WV11'!$A$7:$N$160,4,FALSE),0)</f>
        <v>3.6</v>
      </c>
      <c r="E25" s="10">
        <f>IFERROR(VLOOKUP(A25,'Centre DW11'!$A$7:$N$160,5,FALSE),0)+
IFERROR(VLOOKUP(A25,'Centre WP11'!$A$7:$N$160,5,FALSE),0)+
IFERROR(VLOOKUP(A25,'Centre WR11'!$A$7:$N$160,5,FALSE),0)+
IFERROR(VLOOKUP(A25,'Centre WV11'!$A$7:$N$160,5,FALSE),0)</f>
        <v>0</v>
      </c>
      <c r="F25" s="10">
        <f>IFERROR(VLOOKUP(A25,'Centre DW11'!$A$7:$N$160,6,FALSE),0)+
IFERROR(VLOOKUP(A25,'Centre WP11'!$A$7:$N$160,6,FALSE),0)+
IFERROR(VLOOKUP(A25,'Centre WR11'!$A$7:$N$160,6,FALSE),0)+
IFERROR(VLOOKUP(A25,'Centre WV11'!$A$7:$N$160,6,FALSE),0)</f>
        <v>3.4</v>
      </c>
      <c r="G25" s="10">
        <f>IFERROR(VLOOKUP(A25,'Centre DW11'!$A$7:$N$160,7,FALSE),0)+
IFERROR(VLOOKUP(A25,'Centre WP11'!$A$7:$N$160,7,FALSE),0)+
IFERROR(VLOOKUP(A25,'Centre WR11'!$A$7:$N$160,7,FALSE),0)+
IFERROR(VLOOKUP(A25,'Centre WV11'!$A$7:$N$160,7,FALSE),0)</f>
        <v>0</v>
      </c>
      <c r="H25" s="10">
        <f>IFERROR(VLOOKUP(A25,'Centre DW11'!$A$7:$N$160,8,FALSE),0)+
IFERROR(VLOOKUP(A25,'Centre WP11'!$A$7:$N$160,8,FALSE),0)+
IFERROR(VLOOKUP(A25,'Centre WR11'!$A$7:$N$160,8,FALSE),0)+
IFERROR(VLOOKUP(A25,'Centre WV11'!$A$7:$N$160,8,FALSE),0)</f>
        <v>0</v>
      </c>
      <c r="I25" s="10">
        <f>IFERROR(VLOOKUP(A25,'Centre DW11'!$A$7:$N$160,9,FALSE),0)+
IFERROR(VLOOKUP(A25,'Centre WP11'!$A$7:$N$160,9,FALSE),0)+
IFERROR(VLOOKUP(A25,'Centre WR11'!$A$7:$N$160,9,FALSE),0)+
IFERROR(VLOOKUP(A25,'Centre WV11'!$A$7:$N$160,9,FALSE),0)</f>
        <v>0</v>
      </c>
      <c r="J25" s="10">
        <f>IFERROR(VLOOKUP(A25,'Centre DW11'!$A$7:$N$160,10,FALSE),0)+
IFERROR(VLOOKUP(A25,'Centre WP11'!$A$7:$N$160,10,FALSE),0)+
IFERROR(VLOOKUP(A25,'Centre WR11'!$A$7:$N$160,10,FALSE),0)+
IFERROR(VLOOKUP(A25,'Centre WV11'!$A$7:$N$160,10,FALSE),0)</f>
        <v>3.6</v>
      </c>
      <c r="K25" s="10">
        <f>IFERROR(VLOOKUP(A25,'Centre DW11'!$A$7:$N$160,11,FALSE),0)+
IFERROR(VLOOKUP(A25,'Centre WP11'!$A$7:$N$160,11,FALSE),0)+
IFERROR(VLOOKUP(A25,'Centre WR11'!$A$7:$N$160,11,FALSE),0)+
IFERROR(VLOOKUP(A25,'Centre WV11'!$A$7:$N$160,11,FALSE),0)</f>
        <v>0</v>
      </c>
      <c r="L25" s="10">
        <f>IFERROR(VLOOKUP(A25,'Centre DW11'!$A$7:$N$160,12,FALSE),0)+
IFERROR(VLOOKUP(A25,'Centre WP11'!$A$7:$N$160,12,FALSE),0)+
IFERROR(VLOOKUP(A25,'Centre WR11'!$A$7:$N$160,12,FALSE),0)+
IFERROR(VLOOKUP(A25,'Centre WV11'!$A$7:$N$160,12,FALSE),0)</f>
        <v>3.4</v>
      </c>
      <c r="M25" s="10">
        <f>IFERROR(VLOOKUP(A25,'Centre DW11'!$A$7:$N$160,13,FALSE),0)+
IFERROR(VLOOKUP(A25,'Centre WP11'!$A$7:$N$160,13,FALSE),0)+
IFERROR(VLOOKUP(A25,'Centre WR11'!$A$7:$N$160,13,FALSE),0)+
IFERROR(VLOOKUP(A25,'Centre WV11'!$A$7:$N$160,13,FALSE),0)</f>
        <v>0</v>
      </c>
      <c r="N25" s="10">
        <f>IFERROR(VLOOKUP(A25,'Centre DW11'!$A$7:$N$160,14,FALSE),0)+
IFERROR(VLOOKUP(A25,'Centre WP11'!$A$7:$N$160,14,FALSE),0)+
IFERROR(VLOOKUP(A25,'Centre WR11'!$A$7:$N$160,14,FALSE),0)+
IFERROR(VLOOKUP(A25,'Centre WV11'!$A$7:$N$160,14,FALSE),0)</f>
        <v>0</v>
      </c>
    </row>
    <row r="26" spans="1:14" hidden="1" outlineLevel="1" x14ac:dyDescent="0.2">
      <c r="A26" s="9" t="s">
        <v>57</v>
      </c>
      <c r="B26" s="1" t="s">
        <v>58</v>
      </c>
      <c r="C26" s="10">
        <f>IFERROR(VLOOKUP(A26,'Centre DW11'!$A$7:$N$160,3,FALSE),0)+
IFERROR(VLOOKUP(A26,'Centre WP11'!$A$7:$N$160,3,FALSE),0)+
IFERROR(VLOOKUP(A26,'Centre WR11'!$A$7:$N$160,3,FALSE),0)+
IFERROR(VLOOKUP(A26,'Centre WV11'!$A$7:$N$160,3,FALSE),0)</f>
        <v>0</v>
      </c>
      <c r="D26" s="10">
        <f>IFERROR(VLOOKUP(A26,'Centre DW11'!$A$7:$N$160,4,FALSE),0)+
IFERROR(VLOOKUP(A26,'Centre WP11'!$A$7:$N$160,4,FALSE),0)+
IFERROR(VLOOKUP(A26,'Centre WR11'!$A$7:$N$160,4,FALSE),0)+
IFERROR(VLOOKUP(A26,'Centre WV11'!$A$7:$N$160,4,FALSE),0)</f>
        <v>0</v>
      </c>
      <c r="E26" s="10">
        <f>IFERROR(VLOOKUP(A26,'Centre DW11'!$A$7:$N$160,5,FALSE),0)+
IFERROR(VLOOKUP(A26,'Centre WP11'!$A$7:$N$160,5,FALSE),0)+
IFERROR(VLOOKUP(A26,'Centre WR11'!$A$7:$N$160,5,FALSE),0)+
IFERROR(VLOOKUP(A26,'Centre WV11'!$A$7:$N$160,5,FALSE),0)</f>
        <v>0</v>
      </c>
      <c r="F26" s="10">
        <f>IFERROR(VLOOKUP(A26,'Centre DW11'!$A$7:$N$160,6,FALSE),0)+
IFERROR(VLOOKUP(A26,'Centre WP11'!$A$7:$N$160,6,FALSE),0)+
IFERROR(VLOOKUP(A26,'Centre WR11'!$A$7:$N$160,6,FALSE),0)+
IFERROR(VLOOKUP(A26,'Centre WV11'!$A$7:$N$160,6,FALSE),0)</f>
        <v>0</v>
      </c>
      <c r="G26" s="10">
        <f>IFERROR(VLOOKUP(A26,'Centre DW11'!$A$7:$N$160,7,FALSE),0)+
IFERROR(VLOOKUP(A26,'Centre WP11'!$A$7:$N$160,7,FALSE),0)+
IFERROR(VLOOKUP(A26,'Centre WR11'!$A$7:$N$160,7,FALSE),0)+
IFERROR(VLOOKUP(A26,'Centre WV11'!$A$7:$N$160,7,FALSE),0)</f>
        <v>0</v>
      </c>
      <c r="H26" s="10">
        <f>IFERROR(VLOOKUP(A26,'Centre DW11'!$A$7:$N$160,8,FALSE),0)+
IFERROR(VLOOKUP(A26,'Centre WP11'!$A$7:$N$160,8,FALSE),0)+
IFERROR(VLOOKUP(A26,'Centre WR11'!$A$7:$N$160,8,FALSE),0)+
IFERROR(VLOOKUP(A26,'Centre WV11'!$A$7:$N$160,8,FALSE),0)</f>
        <v>0</v>
      </c>
      <c r="I26" s="10">
        <f>IFERROR(VLOOKUP(A26,'Centre DW11'!$A$7:$N$160,9,FALSE),0)+
IFERROR(VLOOKUP(A26,'Centre WP11'!$A$7:$N$160,9,FALSE),0)+
IFERROR(VLOOKUP(A26,'Centre WR11'!$A$7:$N$160,9,FALSE),0)+
IFERROR(VLOOKUP(A26,'Centre WV11'!$A$7:$N$160,9,FALSE),0)</f>
        <v>0</v>
      </c>
      <c r="J26" s="10">
        <f>IFERROR(VLOOKUP(A26,'Centre DW11'!$A$7:$N$160,10,FALSE),0)+
IFERROR(VLOOKUP(A26,'Centre WP11'!$A$7:$N$160,10,FALSE),0)+
IFERROR(VLOOKUP(A26,'Centre WR11'!$A$7:$N$160,10,FALSE),0)+
IFERROR(VLOOKUP(A26,'Centre WV11'!$A$7:$N$160,10,FALSE),0)</f>
        <v>0</v>
      </c>
      <c r="K26" s="10">
        <f>IFERROR(VLOOKUP(A26,'Centre DW11'!$A$7:$N$160,11,FALSE),0)+
IFERROR(VLOOKUP(A26,'Centre WP11'!$A$7:$N$160,11,FALSE),0)+
IFERROR(VLOOKUP(A26,'Centre WR11'!$A$7:$N$160,11,FALSE),0)+
IFERROR(VLOOKUP(A26,'Centre WV11'!$A$7:$N$160,11,FALSE),0)</f>
        <v>0</v>
      </c>
      <c r="L26" s="10">
        <f>IFERROR(VLOOKUP(A26,'Centre DW11'!$A$7:$N$160,12,FALSE),0)+
IFERROR(VLOOKUP(A26,'Centre WP11'!$A$7:$N$160,12,FALSE),0)+
IFERROR(VLOOKUP(A26,'Centre WR11'!$A$7:$N$160,12,FALSE),0)+
IFERROR(VLOOKUP(A26,'Centre WV11'!$A$7:$N$160,12,FALSE),0)</f>
        <v>0</v>
      </c>
      <c r="M26" s="10">
        <f>IFERROR(VLOOKUP(A26,'Centre DW11'!$A$7:$N$160,13,FALSE),0)+
IFERROR(VLOOKUP(A26,'Centre WP11'!$A$7:$N$160,13,FALSE),0)+
IFERROR(VLOOKUP(A26,'Centre WR11'!$A$7:$N$160,13,FALSE),0)+
IFERROR(VLOOKUP(A26,'Centre WV11'!$A$7:$N$160,13,FALSE),0)</f>
        <v>0</v>
      </c>
      <c r="N26" s="10">
        <f>IFERROR(VLOOKUP(A26,'Centre DW11'!$A$7:$N$160,14,FALSE),0)+
IFERROR(VLOOKUP(A26,'Centre WP11'!$A$7:$N$160,14,FALSE),0)+
IFERROR(VLOOKUP(A26,'Centre WR11'!$A$7:$N$160,14,FALSE),0)+
IFERROR(VLOOKUP(A26,'Centre WV11'!$A$7:$N$160,14,FALSE),0)</f>
        <v>0</v>
      </c>
    </row>
    <row r="27" spans="1:14" hidden="1" outlineLevel="1" x14ac:dyDescent="0.2">
      <c r="A27" s="9" t="s">
        <v>59</v>
      </c>
      <c r="B27" s="1" t="s">
        <v>53</v>
      </c>
      <c r="C27" s="10">
        <f>IFERROR(VLOOKUP(A27,'Centre DW11'!$A$7:$N$160,3,FALSE),0)+
IFERROR(VLOOKUP(A27,'Centre WP11'!$A$7:$N$160,3,FALSE),0)+
IFERROR(VLOOKUP(A27,'Centre WR11'!$A$7:$N$160,3,FALSE),0)+
IFERROR(VLOOKUP(A27,'Centre WV11'!$A$7:$N$160,3,FALSE),0)</f>
        <v>0</v>
      </c>
      <c r="D27" s="10">
        <f>IFERROR(VLOOKUP(A27,'Centre DW11'!$A$7:$N$160,4,FALSE),0)+
IFERROR(VLOOKUP(A27,'Centre WP11'!$A$7:$N$160,4,FALSE),0)+
IFERROR(VLOOKUP(A27,'Centre WR11'!$A$7:$N$160,4,FALSE),0)+
IFERROR(VLOOKUP(A27,'Centre WV11'!$A$7:$N$160,4,FALSE),0)</f>
        <v>0</v>
      </c>
      <c r="E27" s="10">
        <f>IFERROR(VLOOKUP(A27,'Centre DW11'!$A$7:$N$160,5,FALSE),0)+
IFERROR(VLOOKUP(A27,'Centre WP11'!$A$7:$N$160,5,FALSE),0)+
IFERROR(VLOOKUP(A27,'Centre WR11'!$A$7:$N$160,5,FALSE),0)+
IFERROR(VLOOKUP(A27,'Centre WV11'!$A$7:$N$160,5,FALSE),0)</f>
        <v>0</v>
      </c>
      <c r="F27" s="10">
        <f>IFERROR(VLOOKUP(A27,'Centre DW11'!$A$7:$N$160,6,FALSE),0)+
IFERROR(VLOOKUP(A27,'Centre WP11'!$A$7:$N$160,6,FALSE),0)+
IFERROR(VLOOKUP(A27,'Centre WR11'!$A$7:$N$160,6,FALSE),0)+
IFERROR(VLOOKUP(A27,'Centre WV11'!$A$7:$N$160,6,FALSE),0)</f>
        <v>0</v>
      </c>
      <c r="G27" s="10">
        <f>IFERROR(VLOOKUP(A27,'Centre DW11'!$A$7:$N$160,7,FALSE),0)+
IFERROR(VLOOKUP(A27,'Centre WP11'!$A$7:$N$160,7,FALSE),0)+
IFERROR(VLOOKUP(A27,'Centre WR11'!$A$7:$N$160,7,FALSE),0)+
IFERROR(VLOOKUP(A27,'Centre WV11'!$A$7:$N$160,7,FALSE),0)</f>
        <v>0</v>
      </c>
      <c r="H27" s="10">
        <f>IFERROR(VLOOKUP(A27,'Centre DW11'!$A$7:$N$160,8,FALSE),0)+
IFERROR(VLOOKUP(A27,'Centre WP11'!$A$7:$N$160,8,FALSE),0)+
IFERROR(VLOOKUP(A27,'Centre WR11'!$A$7:$N$160,8,FALSE),0)+
IFERROR(VLOOKUP(A27,'Centre WV11'!$A$7:$N$160,8,FALSE),0)</f>
        <v>0</v>
      </c>
      <c r="I27" s="10">
        <f>IFERROR(VLOOKUP(A27,'Centre DW11'!$A$7:$N$160,9,FALSE),0)+
IFERROR(VLOOKUP(A27,'Centre WP11'!$A$7:$N$160,9,FALSE),0)+
IFERROR(VLOOKUP(A27,'Centre WR11'!$A$7:$N$160,9,FALSE),0)+
IFERROR(VLOOKUP(A27,'Centre WV11'!$A$7:$N$160,9,FALSE),0)</f>
        <v>0</v>
      </c>
      <c r="J27" s="10">
        <f>IFERROR(VLOOKUP(A27,'Centre DW11'!$A$7:$N$160,10,FALSE),0)+
IFERROR(VLOOKUP(A27,'Centre WP11'!$A$7:$N$160,10,FALSE),0)+
IFERROR(VLOOKUP(A27,'Centre WR11'!$A$7:$N$160,10,FALSE),0)+
IFERROR(VLOOKUP(A27,'Centre WV11'!$A$7:$N$160,10,FALSE),0)</f>
        <v>0</v>
      </c>
      <c r="K27" s="10">
        <f>IFERROR(VLOOKUP(A27,'Centre DW11'!$A$7:$N$160,11,FALSE),0)+
IFERROR(VLOOKUP(A27,'Centre WP11'!$A$7:$N$160,11,FALSE),0)+
IFERROR(VLOOKUP(A27,'Centre WR11'!$A$7:$N$160,11,FALSE),0)+
IFERROR(VLOOKUP(A27,'Centre WV11'!$A$7:$N$160,11,FALSE),0)</f>
        <v>0</v>
      </c>
      <c r="L27" s="10">
        <f>IFERROR(VLOOKUP(A27,'Centre DW11'!$A$7:$N$160,12,FALSE),0)+
IFERROR(VLOOKUP(A27,'Centre WP11'!$A$7:$N$160,12,FALSE),0)+
IFERROR(VLOOKUP(A27,'Centre WR11'!$A$7:$N$160,12,FALSE),0)+
IFERROR(VLOOKUP(A27,'Centre WV11'!$A$7:$N$160,12,FALSE),0)</f>
        <v>0</v>
      </c>
      <c r="M27" s="10">
        <f>IFERROR(VLOOKUP(A27,'Centre DW11'!$A$7:$N$160,13,FALSE),0)+
IFERROR(VLOOKUP(A27,'Centre WP11'!$A$7:$N$160,13,FALSE),0)+
IFERROR(VLOOKUP(A27,'Centre WR11'!$A$7:$N$160,13,FALSE),0)+
IFERROR(VLOOKUP(A27,'Centre WV11'!$A$7:$N$160,13,FALSE),0)</f>
        <v>0</v>
      </c>
      <c r="N27" s="10">
        <f>IFERROR(VLOOKUP(A27,'Centre DW11'!$A$7:$N$160,14,FALSE),0)+
IFERROR(VLOOKUP(A27,'Centre WP11'!$A$7:$N$160,14,FALSE),0)+
IFERROR(VLOOKUP(A27,'Centre WR11'!$A$7:$N$160,14,FALSE),0)+
IFERROR(VLOOKUP(A27,'Centre WV11'!$A$7:$N$160,14,FALSE),0)</f>
        <v>0</v>
      </c>
    </row>
    <row r="28" spans="1:14" collapsed="1" x14ac:dyDescent="0.2">
      <c r="A28" s="33" t="s">
        <v>60</v>
      </c>
      <c r="B28" s="34" t="s">
        <v>61</v>
      </c>
      <c r="C28" s="44">
        <f>IFERROR(VLOOKUP(A28,'Centre DW11'!$A$7:$N$160,3,FALSE),0)+
IFERROR(VLOOKUP(A28,'Centre WP11'!$A$7:$N$160,3,FALSE),0)+
IFERROR(VLOOKUP(A28,'Centre WR11'!$A$7:$N$160,3,FALSE),0)+
IFERROR(VLOOKUP(A28,'Centre WV11'!$A$7:$N$160,3,FALSE),0)</f>
        <v>0</v>
      </c>
      <c r="D28" s="44">
        <f>IFERROR(VLOOKUP(A28,'Centre DW11'!$A$7:$N$160,4,FALSE),0)+
IFERROR(VLOOKUP(A28,'Centre WP11'!$A$7:$N$160,4,FALSE),0)+
IFERROR(VLOOKUP(A28,'Centre WR11'!$A$7:$N$160,4,FALSE),0)+
IFERROR(VLOOKUP(A28,'Centre WV11'!$A$7:$N$160,4,FALSE),0)</f>
        <v>0</v>
      </c>
      <c r="E28" s="44">
        <f>IFERROR(VLOOKUP(A28,'Centre DW11'!$A$7:$N$160,5,FALSE),0)+
IFERROR(VLOOKUP(A28,'Centre WP11'!$A$7:$N$160,5,FALSE),0)+
IFERROR(VLOOKUP(A28,'Centre WR11'!$A$7:$N$160,5,FALSE),0)+
IFERROR(VLOOKUP(A28,'Centre WV11'!$A$7:$N$160,5,FALSE),0)</f>
        <v>0</v>
      </c>
      <c r="F28" s="44">
        <f>IFERROR(VLOOKUP(A28,'Centre DW11'!$A$7:$N$160,6,FALSE),0)+
IFERROR(VLOOKUP(A28,'Centre WP11'!$A$7:$N$160,6,FALSE),0)+
IFERROR(VLOOKUP(A28,'Centre WR11'!$A$7:$N$160,6,FALSE),0)+
IFERROR(VLOOKUP(A28,'Centre WV11'!$A$7:$N$160,6,FALSE),0)</f>
        <v>0</v>
      </c>
      <c r="G28" s="44">
        <f>IFERROR(VLOOKUP(A28,'Centre DW11'!$A$7:$N$160,7,FALSE),0)+
IFERROR(VLOOKUP(A28,'Centre WP11'!$A$7:$N$160,7,FALSE),0)+
IFERROR(VLOOKUP(A28,'Centre WR11'!$A$7:$N$160,7,FALSE),0)+
IFERROR(VLOOKUP(A28,'Centre WV11'!$A$7:$N$160,7,FALSE),0)</f>
        <v>0</v>
      </c>
      <c r="H28" s="44">
        <f>IFERROR(VLOOKUP(A28,'Centre DW11'!$A$7:$N$160,8,FALSE),0)+
IFERROR(VLOOKUP(A28,'Centre WP11'!$A$7:$N$160,8,FALSE),0)+
IFERROR(VLOOKUP(A28,'Centre WR11'!$A$7:$N$160,8,FALSE),0)+
IFERROR(VLOOKUP(A28,'Centre WV11'!$A$7:$N$160,8,FALSE),0)</f>
        <v>0</v>
      </c>
      <c r="I28" s="44">
        <f>IFERROR(VLOOKUP(A28,'Centre DW11'!$A$7:$N$160,9,FALSE),0)+
IFERROR(VLOOKUP(A28,'Centre WP11'!$A$7:$N$160,9,FALSE),0)+
IFERROR(VLOOKUP(A28,'Centre WR11'!$A$7:$N$160,9,FALSE),0)+
IFERROR(VLOOKUP(A28,'Centre WV11'!$A$7:$N$160,9,FALSE),0)</f>
        <v>0</v>
      </c>
      <c r="J28" s="44">
        <f>IFERROR(VLOOKUP(A28,'Centre DW11'!$A$7:$N$160,10,FALSE),0)+
IFERROR(VLOOKUP(A28,'Centre WP11'!$A$7:$N$160,10,FALSE),0)+
IFERROR(VLOOKUP(A28,'Centre WR11'!$A$7:$N$160,10,FALSE),0)+
IFERROR(VLOOKUP(A28,'Centre WV11'!$A$7:$N$160,10,FALSE),0)</f>
        <v>0</v>
      </c>
      <c r="K28" s="44">
        <f>IFERROR(VLOOKUP(A28,'Centre DW11'!$A$7:$N$160,11,FALSE),0)+
IFERROR(VLOOKUP(A28,'Centre WP11'!$A$7:$N$160,11,FALSE),0)+
IFERROR(VLOOKUP(A28,'Centre WR11'!$A$7:$N$160,11,FALSE),0)+
IFERROR(VLOOKUP(A28,'Centre WV11'!$A$7:$N$160,11,FALSE),0)</f>
        <v>0</v>
      </c>
      <c r="L28" s="44">
        <f>IFERROR(VLOOKUP(A28,'Centre DW11'!$A$7:$N$160,12,FALSE),0)+
IFERROR(VLOOKUP(A28,'Centre WP11'!$A$7:$N$160,12,FALSE),0)+
IFERROR(VLOOKUP(A28,'Centre WR11'!$A$7:$N$160,12,FALSE),0)+
IFERROR(VLOOKUP(A28,'Centre WV11'!$A$7:$N$160,12,FALSE),0)</f>
        <v>0</v>
      </c>
      <c r="M28" s="44">
        <f>IFERROR(VLOOKUP(A28,'Centre DW11'!$A$7:$N$160,13,FALSE),0)+
IFERROR(VLOOKUP(A28,'Centre WP11'!$A$7:$N$160,13,FALSE),0)+
IFERROR(VLOOKUP(A28,'Centre WR11'!$A$7:$N$160,13,FALSE),0)+
IFERROR(VLOOKUP(A28,'Centre WV11'!$A$7:$N$160,13,FALSE),0)</f>
        <v>0</v>
      </c>
      <c r="N28" s="44">
        <f>IFERROR(VLOOKUP(A28,'Centre DW11'!$A$7:$N$160,14,FALSE),0)+
IFERROR(VLOOKUP(A28,'Centre WP11'!$A$7:$N$160,14,FALSE),0)+
IFERROR(VLOOKUP(A28,'Centre WR11'!$A$7:$N$160,14,FALSE),0)+
IFERROR(VLOOKUP(A28,'Centre WV11'!$A$7:$N$160,14,FALSE),0)</f>
        <v>0</v>
      </c>
    </row>
    <row r="29" spans="1:14" x14ac:dyDescent="0.2">
      <c r="A29" s="33" t="s">
        <v>62</v>
      </c>
      <c r="B29" s="34" t="s">
        <v>63</v>
      </c>
      <c r="C29" s="44">
        <f>IFERROR(VLOOKUP(A29,'Centre DW11'!$A$7:$N$160,3,FALSE),0)+
IFERROR(VLOOKUP(A29,'Centre WP11'!$A$7:$N$160,3,FALSE),0)+
IFERROR(VLOOKUP(A29,'Centre WR11'!$A$7:$N$160,3,FALSE),0)+
IFERROR(VLOOKUP(A29,'Centre WV11'!$A$7:$N$160,3,FALSE),0)</f>
        <v>0</v>
      </c>
      <c r="D29" s="44">
        <f>IFERROR(VLOOKUP(A29,'Centre DW11'!$A$7:$N$160,4,FALSE),0)+
IFERROR(VLOOKUP(A29,'Centre WP11'!$A$7:$N$160,4,FALSE),0)+
IFERROR(VLOOKUP(A29,'Centre WR11'!$A$7:$N$160,4,FALSE),0)+
IFERROR(VLOOKUP(A29,'Centre WV11'!$A$7:$N$160,4,FALSE),0)</f>
        <v>0</v>
      </c>
      <c r="E29" s="44">
        <f>IFERROR(VLOOKUP(A29,'Centre DW11'!$A$7:$N$160,5,FALSE),0)+
IFERROR(VLOOKUP(A29,'Centre WP11'!$A$7:$N$160,5,FALSE),0)+
IFERROR(VLOOKUP(A29,'Centre WR11'!$A$7:$N$160,5,FALSE),0)+
IFERROR(VLOOKUP(A29,'Centre WV11'!$A$7:$N$160,5,FALSE),0)</f>
        <v>0</v>
      </c>
      <c r="F29" s="44">
        <f>IFERROR(VLOOKUP(A29,'Centre DW11'!$A$7:$N$160,6,FALSE),0)+
IFERROR(VLOOKUP(A29,'Centre WP11'!$A$7:$N$160,6,FALSE),0)+
IFERROR(VLOOKUP(A29,'Centre WR11'!$A$7:$N$160,6,FALSE),0)+
IFERROR(VLOOKUP(A29,'Centre WV11'!$A$7:$N$160,6,FALSE),0)</f>
        <v>0</v>
      </c>
      <c r="G29" s="44">
        <f>IFERROR(VLOOKUP(A29,'Centre DW11'!$A$7:$N$160,7,FALSE),0)+
IFERROR(VLOOKUP(A29,'Centre WP11'!$A$7:$N$160,7,FALSE),0)+
IFERROR(VLOOKUP(A29,'Centre WR11'!$A$7:$N$160,7,FALSE),0)+
IFERROR(VLOOKUP(A29,'Centre WV11'!$A$7:$N$160,7,FALSE),0)</f>
        <v>0</v>
      </c>
      <c r="H29" s="44">
        <f>IFERROR(VLOOKUP(A29,'Centre DW11'!$A$7:$N$160,8,FALSE),0)+
IFERROR(VLOOKUP(A29,'Centre WP11'!$A$7:$N$160,8,FALSE),0)+
IFERROR(VLOOKUP(A29,'Centre WR11'!$A$7:$N$160,8,FALSE),0)+
IFERROR(VLOOKUP(A29,'Centre WV11'!$A$7:$N$160,8,FALSE),0)</f>
        <v>0</v>
      </c>
      <c r="I29" s="44">
        <f>IFERROR(VLOOKUP(A29,'Centre DW11'!$A$7:$N$160,9,FALSE),0)+
IFERROR(VLOOKUP(A29,'Centre WP11'!$A$7:$N$160,9,FALSE),0)+
IFERROR(VLOOKUP(A29,'Centre WR11'!$A$7:$N$160,9,FALSE),0)+
IFERROR(VLOOKUP(A29,'Centre WV11'!$A$7:$N$160,9,FALSE),0)</f>
        <v>0</v>
      </c>
      <c r="J29" s="44">
        <f>IFERROR(VLOOKUP(A29,'Centre DW11'!$A$7:$N$160,10,FALSE),0)+
IFERROR(VLOOKUP(A29,'Centre WP11'!$A$7:$N$160,10,FALSE),0)+
IFERROR(VLOOKUP(A29,'Centre WR11'!$A$7:$N$160,10,FALSE),0)+
IFERROR(VLOOKUP(A29,'Centre WV11'!$A$7:$N$160,10,FALSE),0)</f>
        <v>0</v>
      </c>
      <c r="K29" s="44">
        <f>IFERROR(VLOOKUP(A29,'Centre DW11'!$A$7:$N$160,11,FALSE),0)+
IFERROR(VLOOKUP(A29,'Centre WP11'!$A$7:$N$160,11,FALSE),0)+
IFERROR(VLOOKUP(A29,'Centre WR11'!$A$7:$N$160,11,FALSE),0)+
IFERROR(VLOOKUP(A29,'Centre WV11'!$A$7:$N$160,11,FALSE),0)</f>
        <v>0</v>
      </c>
      <c r="L29" s="44">
        <f>IFERROR(VLOOKUP(A29,'Centre DW11'!$A$7:$N$160,12,FALSE),0)+
IFERROR(VLOOKUP(A29,'Centre WP11'!$A$7:$N$160,12,FALSE),0)+
IFERROR(VLOOKUP(A29,'Centre WR11'!$A$7:$N$160,12,FALSE),0)+
IFERROR(VLOOKUP(A29,'Centre WV11'!$A$7:$N$160,12,FALSE),0)</f>
        <v>0</v>
      </c>
      <c r="M29" s="44">
        <f>IFERROR(VLOOKUP(A29,'Centre DW11'!$A$7:$N$160,13,FALSE),0)+
IFERROR(VLOOKUP(A29,'Centre WP11'!$A$7:$N$160,13,FALSE),0)+
IFERROR(VLOOKUP(A29,'Centre WR11'!$A$7:$N$160,13,FALSE),0)+
IFERROR(VLOOKUP(A29,'Centre WV11'!$A$7:$N$160,13,FALSE),0)</f>
        <v>0</v>
      </c>
      <c r="N29" s="44">
        <f>IFERROR(VLOOKUP(A29,'Centre DW11'!$A$7:$N$160,14,FALSE),0)+
IFERROR(VLOOKUP(A29,'Centre WP11'!$A$7:$N$160,14,FALSE),0)+
IFERROR(VLOOKUP(A29,'Centre WR11'!$A$7:$N$160,14,FALSE),0)+
IFERROR(VLOOKUP(A29,'Centre WV11'!$A$7:$N$160,14,FALSE),0)</f>
        <v>0</v>
      </c>
    </row>
    <row r="30" spans="1:14" x14ac:dyDescent="0.2">
      <c r="A30" s="33" t="s">
        <v>64</v>
      </c>
      <c r="B30" s="34" t="s">
        <v>65</v>
      </c>
      <c r="C30" s="44">
        <f t="shared" ref="C30:I30" si="8">+C31</f>
        <v>0</v>
      </c>
      <c r="D30" s="44">
        <f t="shared" si="8"/>
        <v>0</v>
      </c>
      <c r="E30" s="44">
        <f t="shared" si="8"/>
        <v>3.6</v>
      </c>
      <c r="F30" s="44">
        <f t="shared" si="8"/>
        <v>4.4000000000000004</v>
      </c>
      <c r="G30" s="44">
        <f t="shared" si="8"/>
        <v>0</v>
      </c>
      <c r="H30" s="44">
        <f t="shared" si="8"/>
        <v>0</v>
      </c>
      <c r="I30" s="44">
        <f t="shared" si="8"/>
        <v>-8</v>
      </c>
      <c r="J30" s="44">
        <f>+J31</f>
        <v>3.6</v>
      </c>
      <c r="K30" s="44">
        <f t="shared" ref="K30:N30" si="9">+K31</f>
        <v>4.4000000000000004</v>
      </c>
      <c r="L30" s="44">
        <f t="shared" si="9"/>
        <v>3.6</v>
      </c>
      <c r="M30" s="44">
        <f t="shared" si="9"/>
        <v>4.4000000000000004</v>
      </c>
      <c r="N30" s="44">
        <f t="shared" si="9"/>
        <v>0</v>
      </c>
    </row>
    <row r="31" spans="1:14" hidden="1" outlineLevel="1" x14ac:dyDescent="0.2">
      <c r="A31" s="9" t="s">
        <v>66</v>
      </c>
      <c r="B31" s="1" t="s">
        <v>67</v>
      </c>
      <c r="C31" s="10">
        <f>IFERROR(VLOOKUP(A31,'Centre DW11'!$A$7:$N$160,3,FALSE),0)+
IFERROR(VLOOKUP(A31,'Centre WP11'!$A$7:$N$160,3,FALSE),0)+
IFERROR(VLOOKUP(A31,'Centre WR11'!$A$7:$N$160,3,FALSE),0)+
IFERROR(VLOOKUP(A31,'Centre WV11'!$A$7:$N$160,3,FALSE),0)</f>
        <v>0</v>
      </c>
      <c r="D31" s="10">
        <f>IFERROR(VLOOKUP(A31,'Centre DW11'!$A$7:$N$160,4,FALSE),0)+
IFERROR(VLOOKUP(A31,'Centre WP11'!$A$7:$N$160,4,FALSE),0)+
IFERROR(VLOOKUP(A31,'Centre WR11'!$A$7:$N$160,4,FALSE),0)+
IFERROR(VLOOKUP(A31,'Centre WV11'!$A$7:$N$160,4,FALSE),0)</f>
        <v>0</v>
      </c>
      <c r="E31" s="10">
        <f>IFERROR(VLOOKUP(A31,'Centre DW11'!$A$7:$N$160,5,FALSE),0)+
IFERROR(VLOOKUP(A31,'Centre WP11'!$A$7:$N$160,5,FALSE),0)+
IFERROR(VLOOKUP(A31,'Centre WR11'!$A$7:$N$160,5,FALSE),0)+
IFERROR(VLOOKUP(A31,'Centre WV11'!$A$7:$N$160,5,FALSE),0)</f>
        <v>3.6</v>
      </c>
      <c r="F31" s="10">
        <f>IFERROR(VLOOKUP(A31,'Centre DW11'!$A$7:$N$160,6,FALSE),0)+
IFERROR(VLOOKUP(A31,'Centre WP11'!$A$7:$N$160,6,FALSE),0)+
IFERROR(VLOOKUP(A31,'Centre WR11'!$A$7:$N$160,6,FALSE),0)+
IFERROR(VLOOKUP(A31,'Centre WV11'!$A$7:$N$160,6,FALSE),0)</f>
        <v>4.4000000000000004</v>
      </c>
      <c r="G31" s="10">
        <f>IFERROR(VLOOKUP(A31,'Centre DW11'!$A$7:$N$160,7,FALSE),0)+
IFERROR(VLOOKUP(A31,'Centre WP11'!$A$7:$N$160,7,FALSE),0)+
IFERROR(VLOOKUP(A31,'Centre WR11'!$A$7:$N$160,7,FALSE),0)+
IFERROR(VLOOKUP(A31,'Centre WV11'!$A$7:$N$160,7,FALSE),0)</f>
        <v>0</v>
      </c>
      <c r="H31" s="10">
        <f>IFERROR(VLOOKUP(A31,'Centre DW11'!$A$7:$N$160,8,FALSE),0)+
IFERROR(VLOOKUP(A31,'Centre WP11'!$A$7:$N$160,8,FALSE),0)+
IFERROR(VLOOKUP(A31,'Centre WR11'!$A$7:$N$160,8,FALSE),0)+
IFERROR(VLOOKUP(A31,'Centre WV11'!$A$7:$N$160,8,FALSE),0)</f>
        <v>0</v>
      </c>
      <c r="I31" s="10">
        <f>IFERROR(VLOOKUP(A31,'Centre DW11'!$A$7:$N$160,9,FALSE),0)+
IFERROR(VLOOKUP(A31,'Centre WP11'!$A$7:$N$160,9,FALSE),0)+
IFERROR(VLOOKUP(A31,'Centre WR11'!$A$7:$N$160,9,FALSE),0)+
IFERROR(VLOOKUP(A31,'Centre WV11'!$A$7:$N$160,9,FALSE),0)</f>
        <v>-8</v>
      </c>
      <c r="J31" s="10">
        <f>IFERROR(VLOOKUP(A31,'Centre DW11'!$A$7:$N$160,10,FALSE),0)+
IFERROR(VLOOKUP(A31,'Centre WP11'!$A$7:$N$160,10,FALSE),0)+
IFERROR(VLOOKUP(A31,'Centre WR11'!$A$7:$N$160,10,FALSE),0)+
IFERROR(VLOOKUP(A31,'Centre WV11'!$A$7:$N$160,10,FALSE),0)</f>
        <v>3.6</v>
      </c>
      <c r="K31" s="10">
        <f>IFERROR(VLOOKUP(A31,'Centre DW11'!$A$7:$N$160,11,FALSE),0)+
IFERROR(VLOOKUP(A31,'Centre WP11'!$A$7:$N$160,11,FALSE),0)+
IFERROR(VLOOKUP(A31,'Centre WR11'!$A$7:$N$160,11,FALSE),0)+
IFERROR(VLOOKUP(A31,'Centre WV11'!$A$7:$N$160,11,FALSE),0)</f>
        <v>4.4000000000000004</v>
      </c>
      <c r="L31" s="10">
        <f>IFERROR(VLOOKUP(A31,'Centre DW11'!$A$7:$N$160,12,FALSE),0)+
IFERROR(VLOOKUP(A31,'Centre WP11'!$A$7:$N$160,12,FALSE),0)+
IFERROR(VLOOKUP(A31,'Centre WR11'!$A$7:$N$160,12,FALSE),0)+
IFERROR(VLOOKUP(A31,'Centre WV11'!$A$7:$N$160,12,FALSE),0)</f>
        <v>3.6</v>
      </c>
      <c r="M31" s="10">
        <f>IFERROR(VLOOKUP(A31,'Centre DW11'!$A$7:$N$160,13,FALSE),0)+
IFERROR(VLOOKUP(A31,'Centre WP11'!$A$7:$N$160,13,FALSE),0)+
IFERROR(VLOOKUP(A31,'Centre WR11'!$A$7:$N$160,13,FALSE),0)+
IFERROR(VLOOKUP(A31,'Centre WV11'!$A$7:$N$160,13,FALSE),0)</f>
        <v>4.4000000000000004</v>
      </c>
      <c r="N31" s="10">
        <f>IFERROR(VLOOKUP(A31,'Centre DW11'!$A$7:$N$160,14,FALSE),0)+
IFERROR(VLOOKUP(A31,'Centre WP11'!$A$7:$N$160,14,FALSE),0)+
IFERROR(VLOOKUP(A31,'Centre WR11'!$A$7:$N$160,14,FALSE),0)+
IFERROR(VLOOKUP(A31,'Centre WV11'!$A$7:$N$160,14,FALSE),0)</f>
        <v>0</v>
      </c>
    </row>
    <row r="32" spans="1:14" collapsed="1" x14ac:dyDescent="0.2">
      <c r="A32" s="33" t="s">
        <v>68</v>
      </c>
      <c r="B32" s="34" t="s">
        <v>69</v>
      </c>
      <c r="C32" s="44">
        <f t="shared" ref="C32:I32" si="10">+C33</f>
        <v>0</v>
      </c>
      <c r="D32" s="44">
        <f t="shared" si="10"/>
        <v>0</v>
      </c>
      <c r="E32" s="44">
        <f t="shared" si="10"/>
        <v>0</v>
      </c>
      <c r="F32" s="44">
        <f t="shared" si="10"/>
        <v>0</v>
      </c>
      <c r="G32" s="44">
        <f t="shared" si="10"/>
        <v>0</v>
      </c>
      <c r="H32" s="44">
        <f t="shared" si="10"/>
        <v>0</v>
      </c>
      <c r="I32" s="44">
        <f t="shared" si="10"/>
        <v>0</v>
      </c>
      <c r="J32" s="44">
        <f>+J33</f>
        <v>0</v>
      </c>
      <c r="K32" s="44">
        <f t="shared" ref="K32:N32" si="11">+K33</f>
        <v>0</v>
      </c>
      <c r="L32" s="44">
        <f t="shared" si="11"/>
        <v>0</v>
      </c>
      <c r="M32" s="44">
        <f t="shared" si="11"/>
        <v>0</v>
      </c>
      <c r="N32" s="44">
        <f t="shared" si="11"/>
        <v>0</v>
      </c>
    </row>
    <row r="33" spans="1:14" hidden="1" outlineLevel="1" x14ac:dyDescent="0.2">
      <c r="A33" s="9" t="s">
        <v>70</v>
      </c>
      <c r="B33" s="1" t="s">
        <v>71</v>
      </c>
      <c r="C33" s="10">
        <f>IFERROR(VLOOKUP(A33,'Centre DW11'!$A$7:$N$160,3,FALSE),0)+
IFERROR(VLOOKUP(A33,'Centre WP11'!$A$7:$N$160,3,FALSE),0)+
IFERROR(VLOOKUP(A33,'Centre WR11'!$A$7:$N$160,3,FALSE),0)+
IFERROR(VLOOKUP(A33,'Centre WV11'!$A$7:$N$160,3,FALSE),0)</f>
        <v>0</v>
      </c>
      <c r="D33" s="10">
        <f>IFERROR(VLOOKUP(A33,'Centre DW11'!$A$7:$N$160,4,FALSE),0)+
IFERROR(VLOOKUP(A33,'Centre WP11'!$A$7:$N$160,4,FALSE),0)+
IFERROR(VLOOKUP(A33,'Centre WR11'!$A$7:$N$160,4,FALSE),0)+
IFERROR(VLOOKUP(A33,'Centre WV11'!$A$7:$N$160,4,FALSE),0)</f>
        <v>0</v>
      </c>
      <c r="E33" s="10">
        <f>IFERROR(VLOOKUP(A33,'Centre DW11'!$A$7:$N$160,5,FALSE),0)+
IFERROR(VLOOKUP(A33,'Centre WP11'!$A$7:$N$160,5,FALSE),0)+
IFERROR(VLOOKUP(A33,'Centre WR11'!$A$7:$N$160,5,FALSE),0)+
IFERROR(VLOOKUP(A33,'Centre WV11'!$A$7:$N$160,5,FALSE),0)</f>
        <v>0</v>
      </c>
      <c r="F33" s="10">
        <f>IFERROR(VLOOKUP(A33,'Centre DW11'!$A$7:$N$160,6,FALSE),0)+
IFERROR(VLOOKUP(A33,'Centre WP11'!$A$7:$N$160,6,FALSE),0)+
IFERROR(VLOOKUP(A33,'Centre WR11'!$A$7:$N$160,6,FALSE),0)+
IFERROR(VLOOKUP(A33,'Centre WV11'!$A$7:$N$160,6,FALSE),0)</f>
        <v>0</v>
      </c>
      <c r="G33" s="10">
        <f>IFERROR(VLOOKUP(A33,'Centre DW11'!$A$7:$N$160,7,FALSE),0)+
IFERROR(VLOOKUP(A33,'Centre WP11'!$A$7:$N$160,7,FALSE),0)+
IFERROR(VLOOKUP(A33,'Centre WR11'!$A$7:$N$160,7,FALSE),0)+
IFERROR(VLOOKUP(A33,'Centre WV11'!$A$7:$N$160,7,FALSE),0)</f>
        <v>0</v>
      </c>
      <c r="H33" s="10">
        <f>IFERROR(VLOOKUP(A33,'Centre DW11'!$A$7:$N$160,8,FALSE),0)+
IFERROR(VLOOKUP(A33,'Centre WP11'!$A$7:$N$160,8,FALSE),0)+
IFERROR(VLOOKUP(A33,'Centre WR11'!$A$7:$N$160,8,FALSE),0)+
IFERROR(VLOOKUP(A33,'Centre WV11'!$A$7:$N$160,8,FALSE),0)</f>
        <v>0</v>
      </c>
      <c r="I33" s="10">
        <f>IFERROR(VLOOKUP(A33,'Centre DW11'!$A$7:$N$160,9,FALSE),0)+
IFERROR(VLOOKUP(A33,'Centre WP11'!$A$7:$N$160,9,FALSE),0)+
IFERROR(VLOOKUP(A33,'Centre WR11'!$A$7:$N$160,9,FALSE),0)+
IFERROR(VLOOKUP(A33,'Centre WV11'!$A$7:$N$160,9,FALSE),0)</f>
        <v>0</v>
      </c>
      <c r="J33" s="10">
        <f>IFERROR(VLOOKUP(A33,'Centre DW11'!$A$7:$N$160,10,FALSE),0)+
IFERROR(VLOOKUP(A33,'Centre WP11'!$A$7:$N$160,10,FALSE),0)+
IFERROR(VLOOKUP(A33,'Centre WR11'!$A$7:$N$160,10,FALSE),0)+
IFERROR(VLOOKUP(A33,'Centre WV11'!$A$7:$N$160,10,FALSE),0)</f>
        <v>0</v>
      </c>
      <c r="K33" s="10">
        <f>IFERROR(VLOOKUP(A33,'Centre DW11'!$A$7:$N$160,11,FALSE),0)+
IFERROR(VLOOKUP(A33,'Centre WP11'!$A$7:$N$160,11,FALSE),0)+
IFERROR(VLOOKUP(A33,'Centre WR11'!$A$7:$N$160,11,FALSE),0)+
IFERROR(VLOOKUP(A33,'Centre WV11'!$A$7:$N$160,11,FALSE),0)</f>
        <v>0</v>
      </c>
      <c r="L33" s="10">
        <f>IFERROR(VLOOKUP(A33,'Centre DW11'!$A$7:$N$160,12,FALSE),0)+
IFERROR(VLOOKUP(A33,'Centre WP11'!$A$7:$N$160,12,FALSE),0)+
IFERROR(VLOOKUP(A33,'Centre WR11'!$A$7:$N$160,12,FALSE),0)+
IFERROR(VLOOKUP(A33,'Centre WV11'!$A$7:$N$160,12,FALSE),0)</f>
        <v>0</v>
      </c>
      <c r="M33" s="10">
        <f>IFERROR(VLOOKUP(A33,'Centre DW11'!$A$7:$N$160,13,FALSE),0)+
IFERROR(VLOOKUP(A33,'Centre WP11'!$A$7:$N$160,13,FALSE),0)+
IFERROR(VLOOKUP(A33,'Centre WR11'!$A$7:$N$160,13,FALSE),0)+
IFERROR(VLOOKUP(A33,'Centre WV11'!$A$7:$N$160,13,FALSE),0)</f>
        <v>0</v>
      </c>
      <c r="N33" s="10">
        <f>IFERROR(VLOOKUP(A33,'Centre DW11'!$A$7:$N$160,14,FALSE),0)+
IFERROR(VLOOKUP(A33,'Centre WP11'!$A$7:$N$160,14,FALSE),0)+
IFERROR(VLOOKUP(A33,'Centre WR11'!$A$7:$N$160,14,FALSE),0)+
IFERROR(VLOOKUP(A33,'Centre WV11'!$A$7:$N$160,14,FALSE),0)</f>
        <v>0</v>
      </c>
    </row>
    <row r="34" spans="1:14" collapsed="1" x14ac:dyDescent="0.2">
      <c r="A34" s="36"/>
      <c r="B34" s="36" t="s">
        <v>72</v>
      </c>
      <c r="C34" s="45">
        <f t="shared" ref="C34:M34" si="12">+C22+C28+C29+C30+C32</f>
        <v>0.4</v>
      </c>
      <c r="D34" s="45">
        <f t="shared" si="12"/>
        <v>4</v>
      </c>
      <c r="E34" s="45">
        <f t="shared" si="12"/>
        <v>4</v>
      </c>
      <c r="F34" s="45">
        <f t="shared" si="12"/>
        <v>8.1999999999999993</v>
      </c>
      <c r="G34" s="45">
        <f t="shared" si="12"/>
        <v>0.4</v>
      </c>
      <c r="H34" s="45">
        <f t="shared" si="12"/>
        <v>0.4</v>
      </c>
      <c r="I34" s="45">
        <f t="shared" si="12"/>
        <v>-7.6</v>
      </c>
      <c r="J34" s="45">
        <f t="shared" si="12"/>
        <v>7.6</v>
      </c>
      <c r="K34" s="45">
        <f t="shared" si="12"/>
        <v>4.8000000000000007</v>
      </c>
      <c r="L34" s="45">
        <f t="shared" si="12"/>
        <v>7.4</v>
      </c>
      <c r="M34" s="45">
        <f t="shared" si="12"/>
        <v>4.8000000000000007</v>
      </c>
      <c r="N34" s="45">
        <f t="shared" ref="N34" si="13">+N22+N28+N29+N30+N32</f>
        <v>0.4</v>
      </c>
    </row>
    <row r="35" spans="1:14" x14ac:dyDescent="0.2">
      <c r="A35" s="35"/>
      <c r="B35" s="35" t="s">
        <v>73</v>
      </c>
      <c r="C35" s="21">
        <f t="shared" ref="C35:M35" si="14">+C21-C34</f>
        <v>237</v>
      </c>
      <c r="D35" s="21">
        <f t="shared" si="14"/>
        <v>228.1</v>
      </c>
      <c r="E35" s="21">
        <f t="shared" si="14"/>
        <v>245.8</v>
      </c>
      <c r="F35" s="21">
        <f t="shared" si="14"/>
        <v>248.2</v>
      </c>
      <c r="G35" s="21">
        <f t="shared" si="14"/>
        <v>249.49999999999997</v>
      </c>
      <c r="H35" s="21">
        <f t="shared" si="14"/>
        <v>236.49999999999997</v>
      </c>
      <c r="I35" s="21">
        <f t="shared" si="14"/>
        <v>241.2</v>
      </c>
      <c r="J35" s="21">
        <f t="shared" si="14"/>
        <v>275.39999999999998</v>
      </c>
      <c r="K35" s="21">
        <f t="shared" si="14"/>
        <v>286.2</v>
      </c>
      <c r="L35" s="21">
        <f t="shared" si="14"/>
        <v>272.60000000000002</v>
      </c>
      <c r="M35" s="21">
        <f t="shared" si="14"/>
        <v>248.2</v>
      </c>
      <c r="N35" s="21">
        <f t="shared" ref="N35" si="15">+N21-N34</f>
        <v>349.6</v>
      </c>
    </row>
    <row r="36" spans="1:14" x14ac:dyDescent="0.2">
      <c r="A36" s="9" t="s">
        <v>74</v>
      </c>
      <c r="B36" s="1" t="s">
        <v>74</v>
      </c>
      <c r="C36" s="10" t="s">
        <v>74</v>
      </c>
      <c r="D36" s="10" t="s">
        <v>74</v>
      </c>
      <c r="E36" s="10" t="s">
        <v>74</v>
      </c>
      <c r="F36" s="10" t="s">
        <v>74</v>
      </c>
      <c r="G36" s="10" t="s">
        <v>74</v>
      </c>
      <c r="H36" s="10" t="s">
        <v>74</v>
      </c>
      <c r="I36" s="10" t="s">
        <v>74</v>
      </c>
      <c r="J36" s="10" t="s">
        <v>74</v>
      </c>
      <c r="K36" s="10" t="s">
        <v>74</v>
      </c>
      <c r="L36" s="10" t="s">
        <v>74</v>
      </c>
      <c r="M36" s="10" t="s">
        <v>74</v>
      </c>
      <c r="N36" s="10" t="s">
        <v>74</v>
      </c>
    </row>
    <row r="37" spans="1:14" x14ac:dyDescent="0.2">
      <c r="A37" s="33" t="s">
        <v>75</v>
      </c>
      <c r="B37" s="34" t="s">
        <v>76</v>
      </c>
      <c r="C37" s="44">
        <f t="shared" ref="C37:M37" si="16">SUM(C38:C56)</f>
        <v>78.199999999999989</v>
      </c>
      <c r="D37" s="44">
        <f t="shared" si="16"/>
        <v>71.899999999999991</v>
      </c>
      <c r="E37" s="44">
        <f t="shared" si="16"/>
        <v>83.100000000000009</v>
      </c>
      <c r="F37" s="44">
        <f t="shared" si="16"/>
        <v>76.000000000000014</v>
      </c>
      <c r="G37" s="44">
        <f t="shared" si="16"/>
        <v>78.8</v>
      </c>
      <c r="H37" s="44">
        <f t="shared" si="16"/>
        <v>81.2</v>
      </c>
      <c r="I37" s="44">
        <f t="shared" si="16"/>
        <v>71</v>
      </c>
      <c r="J37" s="44">
        <f t="shared" si="16"/>
        <v>81.900000000000006</v>
      </c>
      <c r="K37" s="44">
        <f t="shared" si="16"/>
        <v>75.800000000000011</v>
      </c>
      <c r="L37" s="44">
        <f t="shared" si="16"/>
        <v>69.3</v>
      </c>
      <c r="M37" s="44">
        <f t="shared" si="16"/>
        <v>77.300000000000011</v>
      </c>
      <c r="N37" s="44">
        <f t="shared" ref="N37" si="17">SUM(N38:N56)</f>
        <v>79.7</v>
      </c>
    </row>
    <row r="38" spans="1:14" hidden="1" outlineLevel="1" x14ac:dyDescent="0.2">
      <c r="A38" s="9" t="s">
        <v>77</v>
      </c>
      <c r="B38" s="1" t="s">
        <v>78</v>
      </c>
      <c r="C38" s="10">
        <f>IFERROR(VLOOKUP(A38,'Centre DW11'!$A$7:$N$160,3,FALSE),0)+
IFERROR(VLOOKUP(A38,'Centre WP11'!$A$7:$N$160,3,FALSE),0)+
IFERROR(VLOOKUP(A38,'Centre WR11'!$A$7:$N$160,3,FALSE),0)+
IFERROR(VLOOKUP(A38,'Centre WV11'!$A$7:$N$160,3,FALSE),0)</f>
        <v>34.1</v>
      </c>
      <c r="D38" s="10">
        <f>IFERROR(VLOOKUP(A38,'Centre DW11'!$A$7:$N$160,4,FALSE),0)+
IFERROR(VLOOKUP(A38,'Centre WP11'!$A$7:$N$160,4,FALSE),0)+
IFERROR(VLOOKUP(A38,'Centre WR11'!$A$7:$N$160,4,FALSE),0)+
IFERROR(VLOOKUP(A38,'Centre WV11'!$A$7:$N$160,4,FALSE),0)</f>
        <v>35.4</v>
      </c>
      <c r="E38" s="10">
        <f>IFERROR(VLOOKUP(A38,'Centre DW11'!$A$7:$N$160,5,FALSE),0)+
IFERROR(VLOOKUP(A38,'Centre WP11'!$A$7:$N$160,5,FALSE),0)+
IFERROR(VLOOKUP(A38,'Centre WR11'!$A$7:$N$160,5,FALSE),0)+
IFERROR(VLOOKUP(A38,'Centre WV11'!$A$7:$N$160,5,FALSE),0)</f>
        <v>38.200000000000003</v>
      </c>
      <c r="F38" s="10">
        <f>IFERROR(VLOOKUP(A38,'Centre DW11'!$A$7:$N$160,6,FALSE),0)+
IFERROR(VLOOKUP(A38,'Centre WP11'!$A$7:$N$160,6,FALSE),0)+
IFERROR(VLOOKUP(A38,'Centre WR11'!$A$7:$N$160,6,FALSE),0)+
IFERROR(VLOOKUP(A38,'Centre WV11'!$A$7:$N$160,6,FALSE),0)</f>
        <v>39.200000000000003</v>
      </c>
      <c r="G38" s="10">
        <f>IFERROR(VLOOKUP(A38,'Centre DW11'!$A$7:$N$160,7,FALSE),0)+
IFERROR(VLOOKUP(A38,'Centre WP11'!$A$7:$N$160,7,FALSE),0)+
IFERROR(VLOOKUP(A38,'Centre WR11'!$A$7:$N$160,7,FALSE),0)+
IFERROR(VLOOKUP(A38,'Centre WV11'!$A$7:$N$160,7,FALSE),0)</f>
        <v>41.5</v>
      </c>
      <c r="H38" s="10">
        <f>IFERROR(VLOOKUP(A38,'Centre DW11'!$A$7:$N$160,8,FALSE),0)+
IFERROR(VLOOKUP(A38,'Centre WP11'!$A$7:$N$160,8,FALSE),0)+
IFERROR(VLOOKUP(A38,'Centre WR11'!$A$7:$N$160,8,FALSE),0)+
IFERROR(VLOOKUP(A38,'Centre WV11'!$A$7:$N$160,8,FALSE),0)</f>
        <v>39.9</v>
      </c>
      <c r="I38" s="10">
        <f>IFERROR(VLOOKUP(A38,'Centre DW11'!$A$7:$N$160,9,FALSE),0)+
IFERROR(VLOOKUP(A38,'Centre WP11'!$A$7:$N$160,9,FALSE),0)+
IFERROR(VLOOKUP(A38,'Centre WR11'!$A$7:$N$160,9,FALSE),0)+
IFERROR(VLOOKUP(A38,'Centre WV11'!$A$7:$N$160,9,FALSE),0)</f>
        <v>32.299999999999997</v>
      </c>
      <c r="J38" s="10">
        <f>IFERROR(VLOOKUP(A38,'Centre DW11'!$A$7:$N$160,10,FALSE),0)+
IFERROR(VLOOKUP(A38,'Centre WP11'!$A$7:$N$160,10,FALSE),0)+
IFERROR(VLOOKUP(A38,'Centre WR11'!$A$7:$N$160,10,FALSE),0)+
IFERROR(VLOOKUP(A38,'Centre WV11'!$A$7:$N$160,10,FALSE),0)</f>
        <v>37</v>
      </c>
      <c r="K38" s="10">
        <f>IFERROR(VLOOKUP(A38,'Centre DW11'!$A$7:$N$160,11,FALSE),0)+
IFERROR(VLOOKUP(A38,'Centre WP11'!$A$7:$N$160,11,FALSE),0)+
IFERROR(VLOOKUP(A38,'Centre WR11'!$A$7:$N$160,11,FALSE),0)+
IFERROR(VLOOKUP(A38,'Centre WV11'!$A$7:$N$160,11,FALSE),0)</f>
        <v>39</v>
      </c>
      <c r="L38" s="10">
        <f>IFERROR(VLOOKUP(A38,'Centre DW11'!$A$7:$N$160,12,FALSE),0)+
IFERROR(VLOOKUP(A38,'Centre WP11'!$A$7:$N$160,12,FALSE),0)+
IFERROR(VLOOKUP(A38,'Centre WR11'!$A$7:$N$160,12,FALSE),0)+
IFERROR(VLOOKUP(A38,'Centre WV11'!$A$7:$N$160,12,FALSE),0)</f>
        <v>32</v>
      </c>
      <c r="M38" s="10">
        <f>IFERROR(VLOOKUP(A38,'Centre DW11'!$A$7:$N$160,13,FALSE),0)+
IFERROR(VLOOKUP(A38,'Centre WP11'!$A$7:$N$160,13,FALSE),0)+
IFERROR(VLOOKUP(A38,'Centre WR11'!$A$7:$N$160,13,FALSE),0)+
IFERROR(VLOOKUP(A38,'Centre WV11'!$A$7:$N$160,13,FALSE),0)</f>
        <v>36</v>
      </c>
      <c r="N38" s="10">
        <f>IFERROR(VLOOKUP(A38,'Centre DW11'!$A$7:$N$160,14,FALSE),0)+
IFERROR(VLOOKUP(A38,'Centre WP11'!$A$7:$N$160,14,FALSE),0)+
IFERROR(VLOOKUP(A38,'Centre WR11'!$A$7:$N$160,14,FALSE),0)+
IFERROR(VLOOKUP(A38,'Centre WV11'!$A$7:$N$160,14,FALSE),0)</f>
        <v>41</v>
      </c>
    </row>
    <row r="39" spans="1:14" hidden="1" outlineLevel="1" x14ac:dyDescent="0.2">
      <c r="A39" s="9" t="s">
        <v>79</v>
      </c>
      <c r="B39" s="1" t="s">
        <v>80</v>
      </c>
      <c r="C39" s="10">
        <f>IFERROR(VLOOKUP(A39,'Centre DW11'!$A$7:$N$160,3,FALSE),0)+
IFERROR(VLOOKUP(A39,'Centre WP11'!$A$7:$N$160,3,FALSE),0)+
IFERROR(VLOOKUP(A39,'Centre WR11'!$A$7:$N$160,3,FALSE),0)+
IFERROR(VLOOKUP(A39,'Centre WV11'!$A$7:$N$160,3,FALSE),0)</f>
        <v>0.5</v>
      </c>
      <c r="D39" s="10">
        <f>IFERROR(VLOOKUP(A39,'Centre DW11'!$A$7:$N$160,4,FALSE),0)+
IFERROR(VLOOKUP(A39,'Centre WP11'!$A$7:$N$160,4,FALSE),0)+
IFERROR(VLOOKUP(A39,'Centre WR11'!$A$7:$N$160,4,FALSE),0)+
IFERROR(VLOOKUP(A39,'Centre WV11'!$A$7:$N$160,4,FALSE),0)</f>
        <v>0.5</v>
      </c>
      <c r="E39" s="10">
        <f>IFERROR(VLOOKUP(A39,'Centre DW11'!$A$7:$N$160,5,FALSE),0)+
IFERROR(VLOOKUP(A39,'Centre WP11'!$A$7:$N$160,5,FALSE),0)+
IFERROR(VLOOKUP(A39,'Centre WR11'!$A$7:$N$160,5,FALSE),0)+
IFERROR(VLOOKUP(A39,'Centre WV11'!$A$7:$N$160,5,FALSE),0)</f>
        <v>0.5</v>
      </c>
      <c r="F39" s="10">
        <f>IFERROR(VLOOKUP(A39,'Centre DW11'!$A$7:$N$160,6,FALSE),0)+
IFERROR(VLOOKUP(A39,'Centre WP11'!$A$7:$N$160,6,FALSE),0)+
IFERROR(VLOOKUP(A39,'Centre WR11'!$A$7:$N$160,6,FALSE),0)+
IFERROR(VLOOKUP(A39,'Centre WV11'!$A$7:$N$160,6,FALSE),0)</f>
        <v>0.5</v>
      </c>
      <c r="G39" s="10">
        <f>IFERROR(VLOOKUP(A39,'Centre DW11'!$A$7:$N$160,7,FALSE),0)+
IFERROR(VLOOKUP(A39,'Centre WP11'!$A$7:$N$160,7,FALSE),0)+
IFERROR(VLOOKUP(A39,'Centre WR11'!$A$7:$N$160,7,FALSE),0)+
IFERROR(VLOOKUP(A39,'Centre WV11'!$A$7:$N$160,7,FALSE),0)</f>
        <v>0.5</v>
      </c>
      <c r="H39" s="10">
        <f>IFERROR(VLOOKUP(A39,'Centre DW11'!$A$7:$N$160,8,FALSE),0)+
IFERROR(VLOOKUP(A39,'Centre WP11'!$A$7:$N$160,8,FALSE),0)+
IFERROR(VLOOKUP(A39,'Centre WR11'!$A$7:$N$160,8,FALSE),0)+
IFERROR(VLOOKUP(A39,'Centre WV11'!$A$7:$N$160,8,FALSE),0)</f>
        <v>0.5</v>
      </c>
      <c r="I39" s="10">
        <f>IFERROR(VLOOKUP(A39,'Centre DW11'!$A$7:$N$160,9,FALSE),0)+
IFERROR(VLOOKUP(A39,'Centre WP11'!$A$7:$N$160,9,FALSE),0)+
IFERROR(VLOOKUP(A39,'Centre WR11'!$A$7:$N$160,9,FALSE),0)+
IFERROR(VLOOKUP(A39,'Centre WV11'!$A$7:$N$160,9,FALSE),0)</f>
        <v>0</v>
      </c>
      <c r="J39" s="10">
        <f>IFERROR(VLOOKUP(A39,'Centre DW11'!$A$7:$N$160,10,FALSE),0)+
IFERROR(VLOOKUP(A39,'Centre WP11'!$A$7:$N$160,10,FALSE),0)+
IFERROR(VLOOKUP(A39,'Centre WR11'!$A$7:$N$160,10,FALSE),0)+
IFERROR(VLOOKUP(A39,'Centre WV11'!$A$7:$N$160,10,FALSE),0)</f>
        <v>0.5</v>
      </c>
      <c r="K39" s="10">
        <f>IFERROR(VLOOKUP(A39,'Centre DW11'!$A$7:$N$160,11,FALSE),0)+
IFERROR(VLOOKUP(A39,'Centre WP11'!$A$7:$N$160,11,FALSE),0)+
IFERROR(VLOOKUP(A39,'Centre WR11'!$A$7:$N$160,11,FALSE),0)+
IFERROR(VLOOKUP(A39,'Centre WV11'!$A$7:$N$160,11,FALSE),0)</f>
        <v>0.5</v>
      </c>
      <c r="L39" s="10">
        <f>IFERROR(VLOOKUP(A39,'Centre DW11'!$A$7:$N$160,12,FALSE),0)+
IFERROR(VLOOKUP(A39,'Centre WP11'!$A$7:$N$160,12,FALSE),0)+
IFERROR(VLOOKUP(A39,'Centre WR11'!$A$7:$N$160,12,FALSE),0)+
IFERROR(VLOOKUP(A39,'Centre WV11'!$A$7:$N$160,12,FALSE),0)</f>
        <v>0.5</v>
      </c>
      <c r="M39" s="10">
        <f>IFERROR(VLOOKUP(A39,'Centre DW11'!$A$7:$N$160,13,FALSE),0)+
IFERROR(VLOOKUP(A39,'Centre WP11'!$A$7:$N$160,13,FALSE),0)+
IFERROR(VLOOKUP(A39,'Centre WR11'!$A$7:$N$160,13,FALSE),0)+
IFERROR(VLOOKUP(A39,'Centre WV11'!$A$7:$N$160,13,FALSE),0)</f>
        <v>0.5</v>
      </c>
      <c r="N39" s="10">
        <f>IFERROR(VLOOKUP(A39,'Centre DW11'!$A$7:$N$160,14,FALSE),0)+
IFERROR(VLOOKUP(A39,'Centre WP11'!$A$7:$N$160,14,FALSE),0)+
IFERROR(VLOOKUP(A39,'Centre WR11'!$A$7:$N$160,14,FALSE),0)+
IFERROR(VLOOKUP(A39,'Centre WV11'!$A$7:$N$160,14,FALSE),0)</f>
        <v>0</v>
      </c>
    </row>
    <row r="40" spans="1:14" hidden="1" outlineLevel="1" x14ac:dyDescent="0.2">
      <c r="A40" s="9" t="s">
        <v>81</v>
      </c>
      <c r="B40" s="1" t="s">
        <v>82</v>
      </c>
      <c r="C40" s="10">
        <f>IFERROR(VLOOKUP(A40,'Centre DW11'!$A$7:$N$160,3,FALSE),0)+
IFERROR(VLOOKUP(A40,'Centre WP11'!$A$7:$N$160,3,FALSE),0)+
IFERROR(VLOOKUP(A40,'Centre WR11'!$A$7:$N$160,3,FALSE),0)+
IFERROR(VLOOKUP(A40,'Centre WV11'!$A$7:$N$160,3,FALSE),0)</f>
        <v>8.4</v>
      </c>
      <c r="D40" s="10">
        <f>IFERROR(VLOOKUP(A40,'Centre DW11'!$A$7:$N$160,4,FALSE),0)+
IFERROR(VLOOKUP(A40,'Centre WP11'!$A$7:$N$160,4,FALSE),0)+
IFERROR(VLOOKUP(A40,'Centre WR11'!$A$7:$N$160,4,FALSE),0)+
IFERROR(VLOOKUP(A40,'Centre WV11'!$A$7:$N$160,4,FALSE),0)</f>
        <v>8.4</v>
      </c>
      <c r="E40" s="10">
        <f>IFERROR(VLOOKUP(A40,'Centre DW11'!$A$7:$N$160,5,FALSE),0)+
IFERROR(VLOOKUP(A40,'Centre WP11'!$A$7:$N$160,5,FALSE),0)+
IFERROR(VLOOKUP(A40,'Centre WR11'!$A$7:$N$160,5,FALSE),0)+
IFERROR(VLOOKUP(A40,'Centre WV11'!$A$7:$N$160,5,FALSE),0)</f>
        <v>8.6999999999999993</v>
      </c>
      <c r="F40" s="10">
        <f>IFERROR(VLOOKUP(A40,'Centre DW11'!$A$7:$N$160,6,FALSE),0)+
IFERROR(VLOOKUP(A40,'Centre WP11'!$A$7:$N$160,6,FALSE),0)+
IFERROR(VLOOKUP(A40,'Centre WR11'!$A$7:$N$160,6,FALSE),0)+
IFERROR(VLOOKUP(A40,'Centre WV11'!$A$7:$N$160,6,FALSE),0)</f>
        <v>8.6999999999999993</v>
      </c>
      <c r="G40" s="10">
        <f>IFERROR(VLOOKUP(A40,'Centre DW11'!$A$7:$N$160,7,FALSE),0)+
IFERROR(VLOOKUP(A40,'Centre WP11'!$A$7:$N$160,7,FALSE),0)+
IFERROR(VLOOKUP(A40,'Centre WR11'!$A$7:$N$160,7,FALSE),0)+
IFERROR(VLOOKUP(A40,'Centre WV11'!$A$7:$N$160,7,FALSE),0)</f>
        <v>8.9</v>
      </c>
      <c r="H40" s="10">
        <f>IFERROR(VLOOKUP(A40,'Centre DW11'!$A$7:$N$160,8,FALSE),0)+
IFERROR(VLOOKUP(A40,'Centre WP11'!$A$7:$N$160,8,FALSE),0)+
IFERROR(VLOOKUP(A40,'Centre WR11'!$A$7:$N$160,8,FALSE),0)+
IFERROR(VLOOKUP(A40,'Centre WV11'!$A$7:$N$160,8,FALSE),0)</f>
        <v>6.2</v>
      </c>
      <c r="I40" s="10">
        <f>IFERROR(VLOOKUP(A40,'Centre DW11'!$A$7:$N$160,9,FALSE),0)+
IFERROR(VLOOKUP(A40,'Centre WP11'!$A$7:$N$160,9,FALSE),0)+
IFERROR(VLOOKUP(A40,'Centre WR11'!$A$7:$N$160,9,FALSE),0)+
IFERROR(VLOOKUP(A40,'Centre WV11'!$A$7:$N$160,9,FALSE),0)</f>
        <v>6.8</v>
      </c>
      <c r="J40" s="10">
        <f>IFERROR(VLOOKUP(A40,'Centre DW11'!$A$7:$N$160,10,FALSE),0)+
IFERROR(VLOOKUP(A40,'Centre WP11'!$A$7:$N$160,10,FALSE),0)+
IFERROR(VLOOKUP(A40,'Centre WR11'!$A$7:$N$160,10,FALSE),0)+
IFERROR(VLOOKUP(A40,'Centre WV11'!$A$7:$N$160,10,FALSE),0)</f>
        <v>8.6999999999999993</v>
      </c>
      <c r="K40" s="10">
        <f>IFERROR(VLOOKUP(A40,'Centre DW11'!$A$7:$N$160,11,FALSE),0)+
IFERROR(VLOOKUP(A40,'Centre WP11'!$A$7:$N$160,11,FALSE),0)+
IFERROR(VLOOKUP(A40,'Centre WR11'!$A$7:$N$160,11,FALSE),0)+
IFERROR(VLOOKUP(A40,'Centre WV11'!$A$7:$N$160,11,FALSE),0)</f>
        <v>8.6999999999999993</v>
      </c>
      <c r="L40" s="10">
        <f>IFERROR(VLOOKUP(A40,'Centre DW11'!$A$7:$N$160,12,FALSE),0)+
IFERROR(VLOOKUP(A40,'Centre WP11'!$A$7:$N$160,12,FALSE),0)+
IFERROR(VLOOKUP(A40,'Centre WR11'!$A$7:$N$160,12,FALSE),0)+
IFERROR(VLOOKUP(A40,'Centre WV11'!$A$7:$N$160,12,FALSE),0)</f>
        <v>8.9</v>
      </c>
      <c r="M40" s="10">
        <f>IFERROR(VLOOKUP(A40,'Centre DW11'!$A$7:$N$160,13,FALSE),0)+
IFERROR(VLOOKUP(A40,'Centre WP11'!$A$7:$N$160,13,FALSE),0)+
IFERROR(VLOOKUP(A40,'Centre WR11'!$A$7:$N$160,13,FALSE),0)+
IFERROR(VLOOKUP(A40,'Centre WV11'!$A$7:$N$160,13,FALSE),0)</f>
        <v>6.2</v>
      </c>
      <c r="N40" s="10">
        <f>IFERROR(VLOOKUP(A40,'Centre DW11'!$A$7:$N$160,14,FALSE),0)+
IFERROR(VLOOKUP(A40,'Centre WP11'!$A$7:$N$160,14,FALSE),0)+
IFERROR(VLOOKUP(A40,'Centre WR11'!$A$7:$N$160,14,FALSE),0)+
IFERROR(VLOOKUP(A40,'Centre WV11'!$A$7:$N$160,14,FALSE),0)</f>
        <v>6.8</v>
      </c>
    </row>
    <row r="41" spans="1:14" hidden="1" outlineLevel="1" x14ac:dyDescent="0.2">
      <c r="A41" s="9" t="s">
        <v>83</v>
      </c>
      <c r="B41" s="1" t="s">
        <v>84</v>
      </c>
      <c r="C41" s="10">
        <f>IFERROR(VLOOKUP(A41,'Centre DW11'!$A$7:$N$160,3,FALSE),0)+
IFERROR(VLOOKUP(A41,'Centre WP11'!$A$7:$N$160,3,FALSE),0)+
IFERROR(VLOOKUP(A41,'Centre WR11'!$A$7:$N$160,3,FALSE),0)+
IFERROR(VLOOKUP(A41,'Centre WV11'!$A$7:$N$160,3,FALSE),0)</f>
        <v>0</v>
      </c>
      <c r="D41" s="10">
        <f>IFERROR(VLOOKUP(A41,'Centre DW11'!$A$7:$N$160,4,FALSE),0)+
IFERROR(VLOOKUP(A41,'Centre WP11'!$A$7:$N$160,4,FALSE),0)+
IFERROR(VLOOKUP(A41,'Centre WR11'!$A$7:$N$160,4,FALSE),0)+
IFERROR(VLOOKUP(A41,'Centre WV11'!$A$7:$N$160,4,FALSE),0)</f>
        <v>0</v>
      </c>
      <c r="E41" s="10">
        <f>IFERROR(VLOOKUP(A41,'Centre DW11'!$A$7:$N$160,5,FALSE),0)+
IFERROR(VLOOKUP(A41,'Centre WP11'!$A$7:$N$160,5,FALSE),0)+
IFERROR(VLOOKUP(A41,'Centre WR11'!$A$7:$N$160,5,FALSE),0)+
IFERROR(VLOOKUP(A41,'Centre WV11'!$A$7:$N$160,5,FALSE),0)</f>
        <v>0</v>
      </c>
      <c r="F41" s="10">
        <f>IFERROR(VLOOKUP(A41,'Centre DW11'!$A$7:$N$160,6,FALSE),0)+
IFERROR(VLOOKUP(A41,'Centre WP11'!$A$7:$N$160,6,FALSE),0)+
IFERROR(VLOOKUP(A41,'Centre WR11'!$A$7:$N$160,6,FALSE),0)+
IFERROR(VLOOKUP(A41,'Centre WV11'!$A$7:$N$160,6,FALSE),0)</f>
        <v>0</v>
      </c>
      <c r="G41" s="10">
        <f>IFERROR(VLOOKUP(A41,'Centre DW11'!$A$7:$N$160,7,FALSE),0)+
IFERROR(VLOOKUP(A41,'Centre WP11'!$A$7:$N$160,7,FALSE),0)+
IFERROR(VLOOKUP(A41,'Centre WR11'!$A$7:$N$160,7,FALSE),0)+
IFERROR(VLOOKUP(A41,'Centre WV11'!$A$7:$N$160,7,FALSE),0)</f>
        <v>0</v>
      </c>
      <c r="H41" s="10">
        <f>IFERROR(VLOOKUP(A41,'Centre DW11'!$A$7:$N$160,8,FALSE),0)+
IFERROR(VLOOKUP(A41,'Centre WP11'!$A$7:$N$160,8,FALSE),0)+
IFERROR(VLOOKUP(A41,'Centre WR11'!$A$7:$N$160,8,FALSE),0)+
IFERROR(VLOOKUP(A41,'Centre WV11'!$A$7:$N$160,8,FALSE),0)</f>
        <v>0</v>
      </c>
      <c r="I41" s="10">
        <f>IFERROR(VLOOKUP(A41,'Centre DW11'!$A$7:$N$160,9,FALSE),0)+
IFERROR(VLOOKUP(A41,'Centre WP11'!$A$7:$N$160,9,FALSE),0)+
IFERROR(VLOOKUP(A41,'Centre WR11'!$A$7:$N$160,9,FALSE),0)+
IFERROR(VLOOKUP(A41,'Centre WV11'!$A$7:$N$160,9,FALSE),0)</f>
        <v>0</v>
      </c>
      <c r="J41" s="10">
        <f>IFERROR(VLOOKUP(A41,'Centre DW11'!$A$7:$N$160,10,FALSE),0)+
IFERROR(VLOOKUP(A41,'Centre WP11'!$A$7:$N$160,10,FALSE),0)+
IFERROR(VLOOKUP(A41,'Centre WR11'!$A$7:$N$160,10,FALSE),0)+
IFERROR(VLOOKUP(A41,'Centre WV11'!$A$7:$N$160,10,FALSE),0)</f>
        <v>0</v>
      </c>
      <c r="K41" s="10">
        <f>IFERROR(VLOOKUP(A41,'Centre DW11'!$A$7:$N$160,11,FALSE),0)+
IFERROR(VLOOKUP(A41,'Centre WP11'!$A$7:$N$160,11,FALSE),0)+
IFERROR(VLOOKUP(A41,'Centre WR11'!$A$7:$N$160,11,FALSE),0)+
IFERROR(VLOOKUP(A41,'Centre WV11'!$A$7:$N$160,11,FALSE),0)</f>
        <v>0</v>
      </c>
      <c r="L41" s="10">
        <f>IFERROR(VLOOKUP(A41,'Centre DW11'!$A$7:$N$160,12,FALSE),0)+
IFERROR(VLOOKUP(A41,'Centre WP11'!$A$7:$N$160,12,FALSE),0)+
IFERROR(VLOOKUP(A41,'Centre WR11'!$A$7:$N$160,12,FALSE),0)+
IFERROR(VLOOKUP(A41,'Centre WV11'!$A$7:$N$160,12,FALSE),0)</f>
        <v>0</v>
      </c>
      <c r="M41" s="10">
        <f>IFERROR(VLOOKUP(A41,'Centre DW11'!$A$7:$N$160,13,FALSE),0)+
IFERROR(VLOOKUP(A41,'Centre WP11'!$A$7:$N$160,13,FALSE),0)+
IFERROR(VLOOKUP(A41,'Centre WR11'!$A$7:$N$160,13,FALSE),0)+
IFERROR(VLOOKUP(A41,'Centre WV11'!$A$7:$N$160,13,FALSE),0)</f>
        <v>0</v>
      </c>
      <c r="N41" s="10">
        <f>IFERROR(VLOOKUP(A41,'Centre DW11'!$A$7:$N$160,14,FALSE),0)+
IFERROR(VLOOKUP(A41,'Centre WP11'!$A$7:$N$160,14,FALSE),0)+
IFERROR(VLOOKUP(A41,'Centre WR11'!$A$7:$N$160,14,FALSE),0)+
IFERROR(VLOOKUP(A41,'Centre WV11'!$A$7:$N$160,14,FALSE),0)</f>
        <v>0</v>
      </c>
    </row>
    <row r="42" spans="1:14" hidden="1" outlineLevel="1" x14ac:dyDescent="0.2">
      <c r="A42" s="9" t="s">
        <v>85</v>
      </c>
      <c r="B42" s="1" t="s">
        <v>86</v>
      </c>
      <c r="C42" s="10">
        <f>IFERROR(VLOOKUP(A42,'Centre DW11'!$A$7:$N$160,3,FALSE),0)+
IFERROR(VLOOKUP(A42,'Centre WP11'!$A$7:$N$160,3,FALSE),0)+
IFERROR(VLOOKUP(A42,'Centre WR11'!$A$7:$N$160,3,FALSE),0)+
IFERROR(VLOOKUP(A42,'Centre WV11'!$A$7:$N$160,3,FALSE),0)</f>
        <v>0.6</v>
      </c>
      <c r="D42" s="10">
        <f>IFERROR(VLOOKUP(A42,'Centre DW11'!$A$7:$N$160,4,FALSE),0)+
IFERROR(VLOOKUP(A42,'Centre WP11'!$A$7:$N$160,4,FALSE),0)+
IFERROR(VLOOKUP(A42,'Centre WR11'!$A$7:$N$160,4,FALSE),0)+
IFERROR(VLOOKUP(A42,'Centre WV11'!$A$7:$N$160,4,FALSE),0)</f>
        <v>0.5</v>
      </c>
      <c r="E42" s="10">
        <f>IFERROR(VLOOKUP(A42,'Centre DW11'!$A$7:$N$160,5,FALSE),0)+
IFERROR(VLOOKUP(A42,'Centre WP11'!$A$7:$N$160,5,FALSE),0)+
IFERROR(VLOOKUP(A42,'Centre WR11'!$A$7:$N$160,5,FALSE),0)+
IFERROR(VLOOKUP(A42,'Centre WV11'!$A$7:$N$160,5,FALSE),0)</f>
        <v>0.5</v>
      </c>
      <c r="F42" s="10">
        <f>IFERROR(VLOOKUP(A42,'Centre DW11'!$A$7:$N$160,6,FALSE),0)+
IFERROR(VLOOKUP(A42,'Centre WP11'!$A$7:$N$160,6,FALSE),0)+
IFERROR(VLOOKUP(A42,'Centre WR11'!$A$7:$N$160,6,FALSE),0)+
IFERROR(VLOOKUP(A42,'Centre WV11'!$A$7:$N$160,6,FALSE),0)</f>
        <v>0.6</v>
      </c>
      <c r="G42" s="10">
        <f>IFERROR(VLOOKUP(A42,'Centre DW11'!$A$7:$N$160,7,FALSE),0)+
IFERROR(VLOOKUP(A42,'Centre WP11'!$A$7:$N$160,7,FALSE),0)+
IFERROR(VLOOKUP(A42,'Centre WR11'!$A$7:$N$160,7,FALSE),0)+
IFERROR(VLOOKUP(A42,'Centre WV11'!$A$7:$N$160,7,FALSE),0)</f>
        <v>1.4</v>
      </c>
      <c r="H42" s="10">
        <f>IFERROR(VLOOKUP(A42,'Centre DW11'!$A$7:$N$160,8,FALSE),0)+
IFERROR(VLOOKUP(A42,'Centre WP11'!$A$7:$N$160,8,FALSE),0)+
IFERROR(VLOOKUP(A42,'Centre WR11'!$A$7:$N$160,8,FALSE),0)+
IFERROR(VLOOKUP(A42,'Centre WV11'!$A$7:$N$160,8,FALSE),0)</f>
        <v>1.5</v>
      </c>
      <c r="I42" s="10">
        <f>IFERROR(VLOOKUP(A42,'Centre DW11'!$A$7:$N$160,9,FALSE),0)+
IFERROR(VLOOKUP(A42,'Centre WP11'!$A$7:$N$160,9,FALSE),0)+
IFERROR(VLOOKUP(A42,'Centre WR11'!$A$7:$N$160,9,FALSE),0)+
IFERROR(VLOOKUP(A42,'Centre WV11'!$A$7:$N$160,9,FALSE),0)</f>
        <v>1.2</v>
      </c>
      <c r="J42" s="10">
        <f>IFERROR(VLOOKUP(A42,'Centre DW11'!$A$7:$N$160,10,FALSE),0)+
IFERROR(VLOOKUP(A42,'Centre WP11'!$A$7:$N$160,10,FALSE),0)+
IFERROR(VLOOKUP(A42,'Centre WR11'!$A$7:$N$160,10,FALSE),0)+
IFERROR(VLOOKUP(A42,'Centre WV11'!$A$7:$N$160,10,FALSE),0)</f>
        <v>0.5</v>
      </c>
      <c r="K42" s="10">
        <f>IFERROR(VLOOKUP(A42,'Centre DW11'!$A$7:$N$160,11,FALSE),0)+
IFERROR(VLOOKUP(A42,'Centre WP11'!$A$7:$N$160,11,FALSE),0)+
IFERROR(VLOOKUP(A42,'Centre WR11'!$A$7:$N$160,11,FALSE),0)+
IFERROR(VLOOKUP(A42,'Centre WV11'!$A$7:$N$160,11,FALSE),0)</f>
        <v>0.6</v>
      </c>
      <c r="L42" s="10">
        <f>IFERROR(VLOOKUP(A42,'Centre DW11'!$A$7:$N$160,12,FALSE),0)+
IFERROR(VLOOKUP(A42,'Centre WP11'!$A$7:$N$160,12,FALSE),0)+
IFERROR(VLOOKUP(A42,'Centre WR11'!$A$7:$N$160,12,FALSE),0)+
IFERROR(VLOOKUP(A42,'Centre WV11'!$A$7:$N$160,12,FALSE),0)</f>
        <v>1.4</v>
      </c>
      <c r="M42" s="10">
        <f>IFERROR(VLOOKUP(A42,'Centre DW11'!$A$7:$N$160,13,FALSE),0)+
IFERROR(VLOOKUP(A42,'Centre WP11'!$A$7:$N$160,13,FALSE),0)+
IFERROR(VLOOKUP(A42,'Centre WR11'!$A$7:$N$160,13,FALSE),0)+
IFERROR(VLOOKUP(A42,'Centre WV11'!$A$7:$N$160,13,FALSE),0)</f>
        <v>1.5</v>
      </c>
      <c r="N42" s="10">
        <f>IFERROR(VLOOKUP(A42,'Centre DW11'!$A$7:$N$160,14,FALSE),0)+
IFERROR(VLOOKUP(A42,'Centre WP11'!$A$7:$N$160,14,FALSE),0)+
IFERROR(VLOOKUP(A42,'Centre WR11'!$A$7:$N$160,14,FALSE),0)+
IFERROR(VLOOKUP(A42,'Centre WV11'!$A$7:$N$160,14,FALSE),0)</f>
        <v>1.2</v>
      </c>
    </row>
    <row r="43" spans="1:14" hidden="1" outlineLevel="1" x14ac:dyDescent="0.2">
      <c r="A43" s="9" t="s">
        <v>87</v>
      </c>
      <c r="B43" s="1" t="s">
        <v>88</v>
      </c>
      <c r="C43" s="10">
        <f>IFERROR(VLOOKUP(A43,'Centre DW11'!$A$7:$N$160,3,FALSE),0)+
IFERROR(VLOOKUP(A43,'Centre WP11'!$A$7:$N$160,3,FALSE),0)+
IFERROR(VLOOKUP(A43,'Centre WR11'!$A$7:$N$160,3,FALSE),0)+
IFERROR(VLOOKUP(A43,'Centre WV11'!$A$7:$N$160,3,FALSE),0)</f>
        <v>4</v>
      </c>
      <c r="D43" s="10">
        <f>IFERROR(VLOOKUP(A43,'Centre DW11'!$A$7:$N$160,4,FALSE),0)+
IFERROR(VLOOKUP(A43,'Centre WP11'!$A$7:$N$160,4,FALSE),0)+
IFERROR(VLOOKUP(A43,'Centre WR11'!$A$7:$N$160,4,FALSE),0)+
IFERROR(VLOOKUP(A43,'Centre WV11'!$A$7:$N$160,4,FALSE),0)</f>
        <v>3.8</v>
      </c>
      <c r="E43" s="10">
        <f>IFERROR(VLOOKUP(A43,'Centre DW11'!$A$7:$N$160,5,FALSE),0)+
IFERROR(VLOOKUP(A43,'Centre WP11'!$A$7:$N$160,5,FALSE),0)+
IFERROR(VLOOKUP(A43,'Centre WR11'!$A$7:$N$160,5,FALSE),0)+
IFERROR(VLOOKUP(A43,'Centre WV11'!$A$7:$N$160,5,FALSE),0)</f>
        <v>3.5</v>
      </c>
      <c r="F43" s="10">
        <f>IFERROR(VLOOKUP(A43,'Centre DW11'!$A$7:$N$160,6,FALSE),0)+
IFERROR(VLOOKUP(A43,'Centre WP11'!$A$7:$N$160,6,FALSE),0)+
IFERROR(VLOOKUP(A43,'Centre WR11'!$A$7:$N$160,6,FALSE),0)+
IFERROR(VLOOKUP(A43,'Centre WV11'!$A$7:$N$160,6,FALSE),0)</f>
        <v>3.4</v>
      </c>
      <c r="G43" s="10">
        <f>IFERROR(VLOOKUP(A43,'Centre DW11'!$A$7:$N$160,7,FALSE),0)+
IFERROR(VLOOKUP(A43,'Centre WP11'!$A$7:$N$160,7,FALSE),0)+
IFERROR(VLOOKUP(A43,'Centre WR11'!$A$7:$N$160,7,FALSE),0)+
IFERROR(VLOOKUP(A43,'Centre WV11'!$A$7:$N$160,7,FALSE),0)</f>
        <v>3.9</v>
      </c>
      <c r="H43" s="10">
        <f>IFERROR(VLOOKUP(A43,'Centre DW11'!$A$7:$N$160,8,FALSE),0)+
IFERROR(VLOOKUP(A43,'Centre WP11'!$A$7:$N$160,8,FALSE),0)+
IFERROR(VLOOKUP(A43,'Centre WR11'!$A$7:$N$160,8,FALSE),0)+
IFERROR(VLOOKUP(A43,'Centre WV11'!$A$7:$N$160,8,FALSE),0)</f>
        <v>3.3</v>
      </c>
      <c r="I43" s="10">
        <f>IFERROR(VLOOKUP(A43,'Centre DW11'!$A$7:$N$160,9,FALSE),0)+
IFERROR(VLOOKUP(A43,'Centre WP11'!$A$7:$N$160,9,FALSE),0)+
IFERROR(VLOOKUP(A43,'Centre WR11'!$A$7:$N$160,9,FALSE),0)+
IFERROR(VLOOKUP(A43,'Centre WV11'!$A$7:$N$160,9,FALSE),0)</f>
        <v>3.2</v>
      </c>
      <c r="J43" s="10">
        <f>IFERROR(VLOOKUP(A43,'Centre DW11'!$A$7:$N$160,10,FALSE),0)+
IFERROR(VLOOKUP(A43,'Centre WP11'!$A$7:$N$160,10,FALSE),0)+
IFERROR(VLOOKUP(A43,'Centre WR11'!$A$7:$N$160,10,FALSE),0)+
IFERROR(VLOOKUP(A43,'Centre WV11'!$A$7:$N$160,10,FALSE),0)</f>
        <v>3.5</v>
      </c>
      <c r="K43" s="10">
        <f>IFERROR(VLOOKUP(A43,'Centre DW11'!$A$7:$N$160,11,FALSE),0)+
IFERROR(VLOOKUP(A43,'Centre WP11'!$A$7:$N$160,11,FALSE),0)+
IFERROR(VLOOKUP(A43,'Centre WR11'!$A$7:$N$160,11,FALSE),0)+
IFERROR(VLOOKUP(A43,'Centre WV11'!$A$7:$N$160,11,FALSE),0)</f>
        <v>3.4</v>
      </c>
      <c r="L43" s="10">
        <f>IFERROR(VLOOKUP(A43,'Centre DW11'!$A$7:$N$160,12,FALSE),0)+
IFERROR(VLOOKUP(A43,'Centre WP11'!$A$7:$N$160,12,FALSE),0)+
IFERROR(VLOOKUP(A43,'Centre WR11'!$A$7:$N$160,12,FALSE),0)+
IFERROR(VLOOKUP(A43,'Centre WV11'!$A$7:$N$160,12,FALSE),0)</f>
        <v>3.9</v>
      </c>
      <c r="M43" s="10">
        <f>IFERROR(VLOOKUP(A43,'Centre DW11'!$A$7:$N$160,13,FALSE),0)+
IFERROR(VLOOKUP(A43,'Centre WP11'!$A$7:$N$160,13,FALSE),0)+
IFERROR(VLOOKUP(A43,'Centre WR11'!$A$7:$N$160,13,FALSE),0)+
IFERROR(VLOOKUP(A43,'Centre WV11'!$A$7:$N$160,13,FALSE),0)</f>
        <v>3.3</v>
      </c>
      <c r="N43" s="10">
        <f>IFERROR(VLOOKUP(A43,'Centre DW11'!$A$7:$N$160,14,FALSE),0)+
IFERROR(VLOOKUP(A43,'Centre WP11'!$A$7:$N$160,14,FALSE),0)+
IFERROR(VLOOKUP(A43,'Centre WR11'!$A$7:$N$160,14,FALSE),0)+
IFERROR(VLOOKUP(A43,'Centre WV11'!$A$7:$N$160,14,FALSE),0)</f>
        <v>3.2</v>
      </c>
    </row>
    <row r="44" spans="1:14" hidden="1" outlineLevel="1" x14ac:dyDescent="0.2">
      <c r="A44" s="9" t="s">
        <v>89</v>
      </c>
      <c r="B44" s="1" t="s">
        <v>90</v>
      </c>
      <c r="C44" s="10">
        <f>IFERROR(VLOOKUP(A44,'Centre DW11'!$A$7:$N$160,3,FALSE),0)+
IFERROR(VLOOKUP(A44,'Centre WP11'!$A$7:$N$160,3,FALSE),0)+
IFERROR(VLOOKUP(A44,'Centre WR11'!$A$7:$N$160,3,FALSE),0)+
IFERROR(VLOOKUP(A44,'Centre WV11'!$A$7:$N$160,3,FALSE),0)</f>
        <v>4.4000000000000004</v>
      </c>
      <c r="D44" s="10">
        <f>IFERROR(VLOOKUP(A44,'Centre DW11'!$A$7:$N$160,4,FALSE),0)+
IFERROR(VLOOKUP(A44,'Centre WP11'!$A$7:$N$160,4,FALSE),0)+
IFERROR(VLOOKUP(A44,'Centre WR11'!$A$7:$N$160,4,FALSE),0)+
IFERROR(VLOOKUP(A44,'Centre WV11'!$A$7:$N$160,4,FALSE),0)</f>
        <v>4.2</v>
      </c>
      <c r="E44" s="10">
        <f>IFERROR(VLOOKUP(A44,'Centre DW11'!$A$7:$N$160,5,FALSE),0)+
IFERROR(VLOOKUP(A44,'Centre WP11'!$A$7:$N$160,5,FALSE),0)+
IFERROR(VLOOKUP(A44,'Centre WR11'!$A$7:$N$160,5,FALSE),0)+
IFERROR(VLOOKUP(A44,'Centre WV11'!$A$7:$N$160,5,FALSE),0)</f>
        <v>4.0999999999999996</v>
      </c>
      <c r="F44" s="10">
        <f>IFERROR(VLOOKUP(A44,'Centre DW11'!$A$7:$N$160,6,FALSE),0)+
IFERROR(VLOOKUP(A44,'Centre WP11'!$A$7:$N$160,6,FALSE),0)+
IFERROR(VLOOKUP(A44,'Centre WR11'!$A$7:$N$160,6,FALSE),0)+
IFERROR(VLOOKUP(A44,'Centre WV11'!$A$7:$N$160,6,FALSE),0)</f>
        <v>3.6</v>
      </c>
      <c r="G44" s="10">
        <f>IFERROR(VLOOKUP(A44,'Centre DW11'!$A$7:$N$160,7,FALSE),0)+
IFERROR(VLOOKUP(A44,'Centre WP11'!$A$7:$N$160,7,FALSE),0)+
IFERROR(VLOOKUP(A44,'Centre WR11'!$A$7:$N$160,7,FALSE),0)+
IFERROR(VLOOKUP(A44,'Centre WV11'!$A$7:$N$160,7,FALSE),0)</f>
        <v>4.3</v>
      </c>
      <c r="H44" s="10">
        <f>IFERROR(VLOOKUP(A44,'Centre DW11'!$A$7:$N$160,8,FALSE),0)+
IFERROR(VLOOKUP(A44,'Centre WP11'!$A$7:$N$160,8,FALSE),0)+
IFERROR(VLOOKUP(A44,'Centre WR11'!$A$7:$N$160,8,FALSE),0)+
IFERROR(VLOOKUP(A44,'Centre WV11'!$A$7:$N$160,8,FALSE),0)</f>
        <v>3.9</v>
      </c>
      <c r="I44" s="10">
        <f>IFERROR(VLOOKUP(A44,'Centre DW11'!$A$7:$N$160,9,FALSE),0)+
IFERROR(VLOOKUP(A44,'Centre WP11'!$A$7:$N$160,9,FALSE),0)+
IFERROR(VLOOKUP(A44,'Centre WR11'!$A$7:$N$160,9,FALSE),0)+
IFERROR(VLOOKUP(A44,'Centre WV11'!$A$7:$N$160,9,FALSE),0)</f>
        <v>3.4</v>
      </c>
      <c r="J44" s="10">
        <f>IFERROR(VLOOKUP(A44,'Centre DW11'!$A$7:$N$160,10,FALSE),0)+
IFERROR(VLOOKUP(A44,'Centre WP11'!$A$7:$N$160,10,FALSE),0)+
IFERROR(VLOOKUP(A44,'Centre WR11'!$A$7:$N$160,10,FALSE),0)+
IFERROR(VLOOKUP(A44,'Centre WV11'!$A$7:$N$160,10,FALSE),0)</f>
        <v>4.0999999999999996</v>
      </c>
      <c r="K44" s="10">
        <f>IFERROR(VLOOKUP(A44,'Centre DW11'!$A$7:$N$160,11,FALSE),0)+
IFERROR(VLOOKUP(A44,'Centre WP11'!$A$7:$N$160,11,FALSE),0)+
IFERROR(VLOOKUP(A44,'Centre WR11'!$A$7:$N$160,11,FALSE),0)+
IFERROR(VLOOKUP(A44,'Centre WV11'!$A$7:$N$160,11,FALSE),0)</f>
        <v>3.6</v>
      </c>
      <c r="L44" s="10">
        <f>IFERROR(VLOOKUP(A44,'Centre DW11'!$A$7:$N$160,12,FALSE),0)+
IFERROR(VLOOKUP(A44,'Centre WP11'!$A$7:$N$160,12,FALSE),0)+
IFERROR(VLOOKUP(A44,'Centre WR11'!$A$7:$N$160,12,FALSE),0)+
IFERROR(VLOOKUP(A44,'Centre WV11'!$A$7:$N$160,12,FALSE),0)</f>
        <v>4.3</v>
      </c>
      <c r="M44" s="10">
        <f>IFERROR(VLOOKUP(A44,'Centre DW11'!$A$7:$N$160,13,FALSE),0)+
IFERROR(VLOOKUP(A44,'Centre WP11'!$A$7:$N$160,13,FALSE),0)+
IFERROR(VLOOKUP(A44,'Centre WR11'!$A$7:$N$160,13,FALSE),0)+
IFERROR(VLOOKUP(A44,'Centre WV11'!$A$7:$N$160,13,FALSE),0)</f>
        <v>3.9</v>
      </c>
      <c r="N44" s="10">
        <f>IFERROR(VLOOKUP(A44,'Centre DW11'!$A$7:$N$160,14,FALSE),0)+
IFERROR(VLOOKUP(A44,'Centre WP11'!$A$7:$N$160,14,FALSE),0)+
IFERROR(VLOOKUP(A44,'Centre WR11'!$A$7:$N$160,14,FALSE),0)+
IFERROR(VLOOKUP(A44,'Centre WV11'!$A$7:$N$160,14,FALSE),0)</f>
        <v>3.4</v>
      </c>
    </row>
    <row r="45" spans="1:14" hidden="1" outlineLevel="1" x14ac:dyDescent="0.2">
      <c r="A45" s="9" t="s">
        <v>93</v>
      </c>
      <c r="B45" s="1" t="s">
        <v>94</v>
      </c>
      <c r="C45" s="10">
        <f>IFERROR(VLOOKUP(A45,'Centre DW11'!$A$7:$N$160,3,FALSE),0)+
IFERROR(VLOOKUP(A45,'Centre WP11'!$A$7:$N$160,3,FALSE),0)+
IFERROR(VLOOKUP(A45,'Centre WR11'!$A$7:$N$160,3,FALSE),0)+
IFERROR(VLOOKUP(A45,'Centre WV11'!$A$7:$N$160,3,FALSE),0)</f>
        <v>5</v>
      </c>
      <c r="D45" s="10">
        <f>IFERROR(VLOOKUP(A45,'Centre DW11'!$A$7:$N$160,4,FALSE),0)+
IFERROR(VLOOKUP(A45,'Centre WP11'!$A$7:$N$160,4,FALSE),0)+
IFERROR(VLOOKUP(A45,'Centre WR11'!$A$7:$N$160,4,FALSE),0)+
IFERROR(VLOOKUP(A45,'Centre WV11'!$A$7:$N$160,4,FALSE),0)</f>
        <v>5.3</v>
      </c>
      <c r="E45" s="10">
        <f>IFERROR(VLOOKUP(A45,'Centre DW11'!$A$7:$N$160,5,FALSE),0)+
IFERROR(VLOOKUP(A45,'Centre WP11'!$A$7:$N$160,5,FALSE),0)+
IFERROR(VLOOKUP(A45,'Centre WR11'!$A$7:$N$160,5,FALSE),0)+
IFERROR(VLOOKUP(A45,'Centre WV11'!$A$7:$N$160,5,FALSE),0)</f>
        <v>5.5</v>
      </c>
      <c r="F45" s="10">
        <f>IFERROR(VLOOKUP(A45,'Centre DW11'!$A$7:$N$160,6,FALSE),0)+
IFERROR(VLOOKUP(A45,'Centre WP11'!$A$7:$N$160,6,FALSE),0)+
IFERROR(VLOOKUP(A45,'Centre WR11'!$A$7:$N$160,6,FALSE),0)+
IFERROR(VLOOKUP(A45,'Centre WV11'!$A$7:$N$160,6,FALSE),0)</f>
        <v>5.0999999999999996</v>
      </c>
      <c r="G45" s="10">
        <f>IFERROR(VLOOKUP(A45,'Centre DW11'!$A$7:$N$160,7,FALSE),0)+
IFERROR(VLOOKUP(A45,'Centre WP11'!$A$7:$N$160,7,FALSE),0)+
IFERROR(VLOOKUP(A45,'Centre WR11'!$A$7:$N$160,7,FALSE),0)+
IFERROR(VLOOKUP(A45,'Centre WV11'!$A$7:$N$160,7,FALSE),0)</f>
        <v>3.9</v>
      </c>
      <c r="H45" s="10">
        <f>IFERROR(VLOOKUP(A45,'Centre DW11'!$A$7:$N$160,8,FALSE),0)+
IFERROR(VLOOKUP(A45,'Centre WP11'!$A$7:$N$160,8,FALSE),0)+
IFERROR(VLOOKUP(A45,'Centre WR11'!$A$7:$N$160,8,FALSE),0)+
IFERROR(VLOOKUP(A45,'Centre WV11'!$A$7:$N$160,8,FALSE),0)</f>
        <v>3.7</v>
      </c>
      <c r="I45" s="10">
        <f>IFERROR(VLOOKUP(A45,'Centre DW11'!$A$7:$N$160,9,FALSE),0)+
IFERROR(VLOOKUP(A45,'Centre WP11'!$A$7:$N$160,9,FALSE),0)+
IFERROR(VLOOKUP(A45,'Centre WR11'!$A$7:$N$160,9,FALSE),0)+
IFERROR(VLOOKUP(A45,'Centre WV11'!$A$7:$N$160,9,FALSE),0)</f>
        <v>5.2</v>
      </c>
      <c r="J45" s="10">
        <f>IFERROR(VLOOKUP(A45,'Centre DW11'!$A$7:$N$160,10,FALSE),0)+
IFERROR(VLOOKUP(A45,'Centre WP11'!$A$7:$N$160,10,FALSE),0)+
IFERROR(VLOOKUP(A45,'Centre WR11'!$A$7:$N$160,10,FALSE),0)+
IFERROR(VLOOKUP(A45,'Centre WV11'!$A$7:$N$160,10,FALSE),0)</f>
        <v>5.5</v>
      </c>
      <c r="K45" s="10">
        <f>IFERROR(VLOOKUP(A45,'Centre DW11'!$A$7:$N$160,11,FALSE),0)+
IFERROR(VLOOKUP(A45,'Centre WP11'!$A$7:$N$160,11,FALSE),0)+
IFERROR(VLOOKUP(A45,'Centre WR11'!$A$7:$N$160,11,FALSE),0)+
IFERROR(VLOOKUP(A45,'Centre WV11'!$A$7:$N$160,11,FALSE),0)</f>
        <v>5.0999999999999996</v>
      </c>
      <c r="L45" s="10">
        <f>IFERROR(VLOOKUP(A45,'Centre DW11'!$A$7:$N$160,12,FALSE),0)+
IFERROR(VLOOKUP(A45,'Centre WP11'!$A$7:$N$160,12,FALSE),0)+
IFERROR(VLOOKUP(A45,'Centre WR11'!$A$7:$N$160,12,FALSE),0)+
IFERROR(VLOOKUP(A45,'Centre WV11'!$A$7:$N$160,12,FALSE),0)</f>
        <v>3.9</v>
      </c>
      <c r="M45" s="10">
        <f>IFERROR(VLOOKUP(A45,'Centre DW11'!$A$7:$N$160,13,FALSE),0)+
IFERROR(VLOOKUP(A45,'Centre WP11'!$A$7:$N$160,13,FALSE),0)+
IFERROR(VLOOKUP(A45,'Centre WR11'!$A$7:$N$160,13,FALSE),0)+
IFERROR(VLOOKUP(A45,'Centre WV11'!$A$7:$N$160,13,FALSE),0)</f>
        <v>3.7</v>
      </c>
      <c r="N45" s="10">
        <f>IFERROR(VLOOKUP(A45,'Centre DW11'!$A$7:$N$160,14,FALSE),0)+
IFERROR(VLOOKUP(A45,'Centre WP11'!$A$7:$N$160,14,FALSE),0)+
IFERROR(VLOOKUP(A45,'Centre WR11'!$A$7:$N$160,14,FALSE),0)+
IFERROR(VLOOKUP(A45,'Centre WV11'!$A$7:$N$160,14,FALSE),0)</f>
        <v>5.2</v>
      </c>
    </row>
    <row r="46" spans="1:14" hidden="1" outlineLevel="1" x14ac:dyDescent="0.2">
      <c r="A46" s="9" t="s">
        <v>95</v>
      </c>
      <c r="B46" s="1" t="s">
        <v>96</v>
      </c>
      <c r="C46" s="10">
        <f>IFERROR(VLOOKUP(A46,'Centre DW11'!$A$7:$N$160,3,FALSE),0)+
IFERROR(VLOOKUP(A46,'Centre WP11'!$A$7:$N$160,3,FALSE),0)+
IFERROR(VLOOKUP(A46,'Centre WR11'!$A$7:$N$160,3,FALSE),0)+
IFERROR(VLOOKUP(A46,'Centre WV11'!$A$7:$N$160,3,FALSE),0)</f>
        <v>0.8</v>
      </c>
      <c r="D46" s="10">
        <f>IFERROR(VLOOKUP(A46,'Centre DW11'!$A$7:$N$160,4,FALSE),0)+
IFERROR(VLOOKUP(A46,'Centre WP11'!$A$7:$N$160,4,FALSE),0)+
IFERROR(VLOOKUP(A46,'Centre WR11'!$A$7:$N$160,4,FALSE),0)+
IFERROR(VLOOKUP(A46,'Centre WV11'!$A$7:$N$160,4,FALSE),0)</f>
        <v>0.8</v>
      </c>
      <c r="E46" s="10">
        <f>IFERROR(VLOOKUP(A46,'Centre DW11'!$A$7:$N$160,5,FALSE),0)+
IFERROR(VLOOKUP(A46,'Centre WP11'!$A$7:$N$160,5,FALSE),0)+
IFERROR(VLOOKUP(A46,'Centre WR11'!$A$7:$N$160,5,FALSE),0)+
IFERROR(VLOOKUP(A46,'Centre WV11'!$A$7:$N$160,5,FALSE),0)</f>
        <v>0.8</v>
      </c>
      <c r="F46" s="10">
        <f>IFERROR(VLOOKUP(A46,'Centre DW11'!$A$7:$N$160,6,FALSE),0)+
IFERROR(VLOOKUP(A46,'Centre WP11'!$A$7:$N$160,6,FALSE),0)+
IFERROR(VLOOKUP(A46,'Centre WR11'!$A$7:$N$160,6,FALSE),0)+
IFERROR(VLOOKUP(A46,'Centre WV11'!$A$7:$N$160,6,FALSE),0)</f>
        <v>0.5</v>
      </c>
      <c r="G46" s="10">
        <f>IFERROR(VLOOKUP(A46,'Centre DW11'!$A$7:$N$160,7,FALSE),0)+
IFERROR(VLOOKUP(A46,'Centre WP11'!$A$7:$N$160,7,FALSE),0)+
IFERROR(VLOOKUP(A46,'Centre WR11'!$A$7:$N$160,7,FALSE),0)+
IFERROR(VLOOKUP(A46,'Centre WV11'!$A$7:$N$160,7,FALSE),0)</f>
        <v>0.6</v>
      </c>
      <c r="H46" s="10">
        <f>IFERROR(VLOOKUP(A46,'Centre DW11'!$A$7:$N$160,8,FALSE),0)+
IFERROR(VLOOKUP(A46,'Centre WP11'!$A$7:$N$160,8,FALSE),0)+
IFERROR(VLOOKUP(A46,'Centre WR11'!$A$7:$N$160,8,FALSE),0)+
IFERROR(VLOOKUP(A46,'Centre WV11'!$A$7:$N$160,8,FALSE),0)</f>
        <v>0.5</v>
      </c>
      <c r="I46" s="10">
        <f>IFERROR(VLOOKUP(A46,'Centre DW11'!$A$7:$N$160,9,FALSE),0)+
IFERROR(VLOOKUP(A46,'Centre WP11'!$A$7:$N$160,9,FALSE),0)+
IFERROR(VLOOKUP(A46,'Centre WR11'!$A$7:$N$160,9,FALSE),0)+
IFERROR(VLOOKUP(A46,'Centre WV11'!$A$7:$N$160,9,FALSE),0)</f>
        <v>0.2</v>
      </c>
      <c r="J46" s="10">
        <f>IFERROR(VLOOKUP(A46,'Centre DW11'!$A$7:$N$160,10,FALSE),0)+
IFERROR(VLOOKUP(A46,'Centre WP11'!$A$7:$N$160,10,FALSE),0)+
IFERROR(VLOOKUP(A46,'Centre WR11'!$A$7:$N$160,10,FALSE),0)+
IFERROR(VLOOKUP(A46,'Centre WV11'!$A$7:$N$160,10,FALSE),0)</f>
        <v>0.8</v>
      </c>
      <c r="K46" s="10">
        <f>IFERROR(VLOOKUP(A46,'Centre DW11'!$A$7:$N$160,11,FALSE),0)+
IFERROR(VLOOKUP(A46,'Centre WP11'!$A$7:$N$160,11,FALSE),0)+
IFERROR(VLOOKUP(A46,'Centre WR11'!$A$7:$N$160,11,FALSE),0)+
IFERROR(VLOOKUP(A46,'Centre WV11'!$A$7:$N$160,11,FALSE),0)</f>
        <v>0.5</v>
      </c>
      <c r="L46" s="10">
        <f>IFERROR(VLOOKUP(A46,'Centre DW11'!$A$7:$N$160,12,FALSE),0)+
IFERROR(VLOOKUP(A46,'Centre WP11'!$A$7:$N$160,12,FALSE),0)+
IFERROR(VLOOKUP(A46,'Centre WR11'!$A$7:$N$160,12,FALSE),0)+
IFERROR(VLOOKUP(A46,'Centre WV11'!$A$7:$N$160,12,FALSE),0)</f>
        <v>0.6</v>
      </c>
      <c r="M46" s="10">
        <f>IFERROR(VLOOKUP(A46,'Centre DW11'!$A$7:$N$160,13,FALSE),0)+
IFERROR(VLOOKUP(A46,'Centre WP11'!$A$7:$N$160,13,FALSE),0)+
IFERROR(VLOOKUP(A46,'Centre WR11'!$A$7:$N$160,13,FALSE),0)+
IFERROR(VLOOKUP(A46,'Centre WV11'!$A$7:$N$160,13,FALSE),0)</f>
        <v>0.5</v>
      </c>
      <c r="N46" s="10">
        <f>IFERROR(VLOOKUP(A46,'Centre DW11'!$A$7:$N$160,14,FALSE),0)+
IFERROR(VLOOKUP(A46,'Centre WP11'!$A$7:$N$160,14,FALSE),0)+
IFERROR(VLOOKUP(A46,'Centre WR11'!$A$7:$N$160,14,FALSE),0)+
IFERROR(VLOOKUP(A46,'Centre WV11'!$A$7:$N$160,14,FALSE),0)</f>
        <v>0.2</v>
      </c>
    </row>
    <row r="47" spans="1:14" hidden="1" outlineLevel="1" x14ac:dyDescent="0.2">
      <c r="A47" s="9" t="s">
        <v>97</v>
      </c>
      <c r="B47" s="1" t="s">
        <v>98</v>
      </c>
      <c r="C47" s="10">
        <f>IFERROR(VLOOKUP(A47,'Centre DW11'!$A$7:$N$160,3,FALSE),0)+
IFERROR(VLOOKUP(A47,'Centre WP11'!$A$7:$N$160,3,FALSE),0)+
IFERROR(VLOOKUP(A47,'Centre WR11'!$A$7:$N$160,3,FALSE),0)+
IFERROR(VLOOKUP(A47,'Centre WV11'!$A$7:$N$160,3,FALSE),0)</f>
        <v>1.9</v>
      </c>
      <c r="D47" s="10">
        <f>IFERROR(VLOOKUP(A47,'Centre DW11'!$A$7:$N$160,4,FALSE),0)+
IFERROR(VLOOKUP(A47,'Centre WP11'!$A$7:$N$160,4,FALSE),0)+
IFERROR(VLOOKUP(A47,'Centre WR11'!$A$7:$N$160,4,FALSE),0)+
IFERROR(VLOOKUP(A47,'Centre WV11'!$A$7:$N$160,4,FALSE),0)</f>
        <v>5</v>
      </c>
      <c r="E47" s="10">
        <f>IFERROR(VLOOKUP(A47,'Centre DW11'!$A$7:$N$160,5,FALSE),0)+
IFERROR(VLOOKUP(A47,'Centre WP11'!$A$7:$N$160,5,FALSE),0)+
IFERROR(VLOOKUP(A47,'Centre WR11'!$A$7:$N$160,5,FALSE),0)+
IFERROR(VLOOKUP(A47,'Centre WV11'!$A$7:$N$160,5,FALSE),0)</f>
        <v>4.3</v>
      </c>
      <c r="F47" s="10">
        <f>IFERROR(VLOOKUP(A47,'Centre DW11'!$A$7:$N$160,6,FALSE),0)+
IFERROR(VLOOKUP(A47,'Centre WP11'!$A$7:$N$160,6,FALSE),0)+
IFERROR(VLOOKUP(A47,'Centre WR11'!$A$7:$N$160,6,FALSE),0)+
IFERROR(VLOOKUP(A47,'Centre WV11'!$A$7:$N$160,6,FALSE),0)</f>
        <v>5.3</v>
      </c>
      <c r="G47" s="10">
        <f>IFERROR(VLOOKUP(A47,'Centre DW11'!$A$7:$N$160,7,FALSE),0)+
IFERROR(VLOOKUP(A47,'Centre WP11'!$A$7:$N$160,7,FALSE),0)+
IFERROR(VLOOKUP(A47,'Centre WR11'!$A$7:$N$160,7,FALSE),0)+
IFERROR(VLOOKUP(A47,'Centre WV11'!$A$7:$N$160,7,FALSE),0)</f>
        <v>-0.1</v>
      </c>
      <c r="H47" s="10">
        <f>IFERROR(VLOOKUP(A47,'Centre DW11'!$A$7:$N$160,8,FALSE),0)+
IFERROR(VLOOKUP(A47,'Centre WP11'!$A$7:$N$160,8,FALSE),0)+
IFERROR(VLOOKUP(A47,'Centre WR11'!$A$7:$N$160,8,FALSE),0)+
IFERROR(VLOOKUP(A47,'Centre WV11'!$A$7:$N$160,8,FALSE),0)</f>
        <v>8.6000000000000014</v>
      </c>
      <c r="I47" s="10">
        <f>IFERROR(VLOOKUP(A47,'Centre DW11'!$A$7:$N$160,9,FALSE),0)+
IFERROR(VLOOKUP(A47,'Centre WP11'!$A$7:$N$160,9,FALSE),0)+
IFERROR(VLOOKUP(A47,'Centre WR11'!$A$7:$N$160,9,FALSE),0)+
IFERROR(VLOOKUP(A47,'Centre WV11'!$A$7:$N$160,9,FALSE),0)</f>
        <v>8.8000000000000007</v>
      </c>
      <c r="J47" s="10">
        <f>IFERROR(VLOOKUP(A47,'Centre DW11'!$A$7:$N$160,10,FALSE),0)+
IFERROR(VLOOKUP(A47,'Centre WP11'!$A$7:$N$160,10,FALSE),0)+
IFERROR(VLOOKUP(A47,'Centre WR11'!$A$7:$N$160,10,FALSE),0)+
IFERROR(VLOOKUP(A47,'Centre WV11'!$A$7:$N$160,10,FALSE),0)</f>
        <v>4.3</v>
      </c>
      <c r="K47" s="10">
        <f>IFERROR(VLOOKUP(A47,'Centre DW11'!$A$7:$N$160,11,FALSE),0)+
IFERROR(VLOOKUP(A47,'Centre WP11'!$A$7:$N$160,11,FALSE),0)+
IFERROR(VLOOKUP(A47,'Centre WR11'!$A$7:$N$160,11,FALSE),0)+
IFERROR(VLOOKUP(A47,'Centre WV11'!$A$7:$N$160,11,FALSE),0)</f>
        <v>5.3</v>
      </c>
      <c r="L47" s="10">
        <f>IFERROR(VLOOKUP(A47,'Centre DW11'!$A$7:$N$160,12,FALSE),0)+
IFERROR(VLOOKUP(A47,'Centre WP11'!$A$7:$N$160,12,FALSE),0)+
IFERROR(VLOOKUP(A47,'Centre WR11'!$A$7:$N$160,12,FALSE),0)+
IFERROR(VLOOKUP(A47,'Centre WV11'!$A$7:$N$160,12,FALSE),0)</f>
        <v>-0.1</v>
      </c>
      <c r="M47" s="10">
        <f>IFERROR(VLOOKUP(A47,'Centre DW11'!$A$7:$N$160,13,FALSE),0)+
IFERROR(VLOOKUP(A47,'Centre WP11'!$A$7:$N$160,13,FALSE),0)+
IFERROR(VLOOKUP(A47,'Centre WR11'!$A$7:$N$160,13,FALSE),0)+
IFERROR(VLOOKUP(A47,'Centre WV11'!$A$7:$N$160,13,FALSE),0)</f>
        <v>8.6000000000000014</v>
      </c>
      <c r="N47" s="10">
        <f>IFERROR(VLOOKUP(A47,'Centre DW11'!$A$7:$N$160,14,FALSE),0)+
IFERROR(VLOOKUP(A47,'Centre WP11'!$A$7:$N$160,14,FALSE),0)+
IFERROR(VLOOKUP(A47,'Centre WR11'!$A$7:$N$160,14,FALSE),0)+
IFERROR(VLOOKUP(A47,'Centre WV11'!$A$7:$N$160,14,FALSE),0)</f>
        <v>8.8000000000000007</v>
      </c>
    </row>
    <row r="48" spans="1:14" hidden="1" outlineLevel="1" x14ac:dyDescent="0.2">
      <c r="A48" s="9" t="s">
        <v>303</v>
      </c>
      <c r="B48" s="1" t="s">
        <v>304</v>
      </c>
      <c r="C48" s="10">
        <f>IFERROR(VLOOKUP(A48,'Centre DW11'!$A$7:$N$160,3,FALSE),0)+
IFERROR(VLOOKUP(A48,'Centre WP11'!$A$7:$N$160,3,FALSE),0)+
IFERROR(VLOOKUP(A48,'Centre WR11'!$A$7:$N$160,3,FALSE),0)+
IFERROR(VLOOKUP(A48,'Centre WV11'!$A$7:$N$160,3,FALSE),0)</f>
        <v>0</v>
      </c>
      <c r="D48" s="10">
        <f>IFERROR(VLOOKUP(A48,'Centre DW11'!$A$7:$N$160,4,FALSE),0)+
IFERROR(VLOOKUP(A48,'Centre WP11'!$A$7:$N$160,4,FALSE),0)+
IFERROR(VLOOKUP(A48,'Centre WR11'!$A$7:$N$160,4,FALSE),0)+
IFERROR(VLOOKUP(A48,'Centre WV11'!$A$7:$N$160,4,FALSE),0)</f>
        <v>0.1</v>
      </c>
      <c r="E48" s="10">
        <f>IFERROR(VLOOKUP(A48,'Centre DW11'!$A$7:$N$160,5,FALSE),0)+
IFERROR(VLOOKUP(A48,'Centre WP11'!$A$7:$N$160,5,FALSE),0)+
IFERROR(VLOOKUP(A48,'Centre WR11'!$A$7:$N$160,5,FALSE),0)+
IFERROR(VLOOKUP(A48,'Centre WV11'!$A$7:$N$160,5,FALSE),0)</f>
        <v>0</v>
      </c>
      <c r="F48" s="10">
        <f>IFERROR(VLOOKUP(A48,'Centre DW11'!$A$7:$N$160,6,FALSE),0)+
IFERROR(VLOOKUP(A48,'Centre WP11'!$A$7:$N$160,6,FALSE),0)+
IFERROR(VLOOKUP(A48,'Centre WR11'!$A$7:$N$160,6,FALSE),0)+
IFERROR(VLOOKUP(A48,'Centre WV11'!$A$7:$N$160,6,FALSE),0)</f>
        <v>0</v>
      </c>
      <c r="G48" s="10">
        <f>IFERROR(VLOOKUP(A48,'Centre DW11'!$A$7:$N$160,7,FALSE),0)+
IFERROR(VLOOKUP(A48,'Centre WP11'!$A$7:$N$160,7,FALSE),0)+
IFERROR(VLOOKUP(A48,'Centre WR11'!$A$7:$N$160,7,FALSE),0)+
IFERROR(VLOOKUP(A48,'Centre WV11'!$A$7:$N$160,7,FALSE),0)</f>
        <v>0</v>
      </c>
      <c r="H48" s="10">
        <f>IFERROR(VLOOKUP(A48,'Centre DW11'!$A$7:$N$160,8,FALSE),0)+
IFERROR(VLOOKUP(A48,'Centre WP11'!$A$7:$N$160,8,FALSE),0)+
IFERROR(VLOOKUP(A48,'Centre WR11'!$A$7:$N$160,8,FALSE),0)+
IFERROR(VLOOKUP(A48,'Centre WV11'!$A$7:$N$160,8,FALSE),0)</f>
        <v>0</v>
      </c>
      <c r="I48" s="10">
        <f>IFERROR(VLOOKUP(A48,'Centre DW11'!$A$7:$N$160,9,FALSE),0)+
IFERROR(VLOOKUP(A48,'Centre WP11'!$A$7:$N$160,9,FALSE),0)+
IFERROR(VLOOKUP(A48,'Centre WR11'!$A$7:$N$160,9,FALSE),0)+
IFERROR(VLOOKUP(A48,'Centre WV11'!$A$7:$N$160,9,FALSE),0)</f>
        <v>0</v>
      </c>
      <c r="J48" s="10">
        <f>IFERROR(VLOOKUP(A48,'Centre DW11'!$A$7:$N$160,10,FALSE),0)+
IFERROR(VLOOKUP(A48,'Centre WP11'!$A$7:$N$160,10,FALSE),0)+
IFERROR(VLOOKUP(A48,'Centre WR11'!$A$7:$N$160,10,FALSE),0)+
IFERROR(VLOOKUP(A48,'Centre WV11'!$A$7:$N$160,10,FALSE),0)</f>
        <v>0</v>
      </c>
      <c r="K48" s="10">
        <f>IFERROR(VLOOKUP(A48,'Centre DW11'!$A$7:$N$160,11,FALSE),0)+
IFERROR(VLOOKUP(A48,'Centre WP11'!$A$7:$N$160,11,FALSE),0)+
IFERROR(VLOOKUP(A48,'Centre WR11'!$A$7:$N$160,11,FALSE),0)+
IFERROR(VLOOKUP(A48,'Centre WV11'!$A$7:$N$160,11,FALSE),0)</f>
        <v>0</v>
      </c>
      <c r="L48" s="10">
        <f>IFERROR(VLOOKUP(A48,'Centre DW11'!$A$7:$N$160,12,FALSE),0)+
IFERROR(VLOOKUP(A48,'Centre WP11'!$A$7:$N$160,12,FALSE),0)+
IFERROR(VLOOKUP(A48,'Centre WR11'!$A$7:$N$160,12,FALSE),0)+
IFERROR(VLOOKUP(A48,'Centre WV11'!$A$7:$N$160,12,FALSE),0)</f>
        <v>0</v>
      </c>
      <c r="M48" s="10">
        <f>IFERROR(VLOOKUP(A48,'Centre DW11'!$A$7:$N$160,13,FALSE),0)+
IFERROR(VLOOKUP(A48,'Centre WP11'!$A$7:$N$160,13,FALSE),0)+
IFERROR(VLOOKUP(A48,'Centre WR11'!$A$7:$N$160,13,FALSE),0)+
IFERROR(VLOOKUP(A48,'Centre WV11'!$A$7:$N$160,13,FALSE),0)</f>
        <v>0</v>
      </c>
      <c r="N48" s="10">
        <f>IFERROR(VLOOKUP(A48,'Centre DW11'!$A$7:$N$160,14,FALSE),0)+
IFERROR(VLOOKUP(A48,'Centre WP11'!$A$7:$N$160,14,FALSE),0)+
IFERROR(VLOOKUP(A48,'Centre WR11'!$A$7:$N$160,14,FALSE),0)+
IFERROR(VLOOKUP(A48,'Centre WV11'!$A$7:$N$160,14,FALSE),0)</f>
        <v>0</v>
      </c>
    </row>
    <row r="49" spans="1:14" hidden="1" outlineLevel="1" x14ac:dyDescent="0.2">
      <c r="A49" s="9" t="s">
        <v>99</v>
      </c>
      <c r="B49" s="1" t="s">
        <v>100</v>
      </c>
      <c r="C49" s="10">
        <f>IFERROR(VLOOKUP(A49,'Centre DW11'!$A$7:$N$160,3,FALSE),0)+
IFERROR(VLOOKUP(A49,'Centre WP11'!$A$7:$N$160,3,FALSE),0)+
IFERROR(VLOOKUP(A49,'Centre WR11'!$A$7:$N$160,3,FALSE),0)+
IFERROR(VLOOKUP(A49,'Centre WV11'!$A$7:$N$160,3,FALSE),0)</f>
        <v>0</v>
      </c>
      <c r="D49" s="10">
        <f>IFERROR(VLOOKUP(A49,'Centre DW11'!$A$7:$N$160,4,FALSE),0)+
IFERROR(VLOOKUP(A49,'Centre WP11'!$A$7:$N$160,4,FALSE),0)+
IFERROR(VLOOKUP(A49,'Centre WR11'!$A$7:$N$160,4,FALSE),0)+
IFERROR(VLOOKUP(A49,'Centre WV11'!$A$7:$N$160,4,FALSE),0)</f>
        <v>0</v>
      </c>
      <c r="E49" s="10">
        <f>IFERROR(VLOOKUP(A49,'Centre DW11'!$A$7:$N$160,5,FALSE),0)+
IFERROR(VLOOKUP(A49,'Centre WP11'!$A$7:$N$160,5,FALSE),0)+
IFERROR(VLOOKUP(A49,'Centre WR11'!$A$7:$N$160,5,FALSE),0)+
IFERROR(VLOOKUP(A49,'Centre WV11'!$A$7:$N$160,5,FALSE),0)</f>
        <v>0</v>
      </c>
      <c r="F49" s="10">
        <f>IFERROR(VLOOKUP(A49,'Centre DW11'!$A$7:$N$160,6,FALSE),0)+
IFERROR(VLOOKUP(A49,'Centre WP11'!$A$7:$N$160,6,FALSE),0)+
IFERROR(VLOOKUP(A49,'Centre WR11'!$A$7:$N$160,6,FALSE),0)+
IFERROR(VLOOKUP(A49,'Centre WV11'!$A$7:$N$160,6,FALSE),0)</f>
        <v>0</v>
      </c>
      <c r="G49" s="10">
        <f>IFERROR(VLOOKUP(A49,'Centre DW11'!$A$7:$N$160,7,FALSE),0)+
IFERROR(VLOOKUP(A49,'Centre WP11'!$A$7:$N$160,7,FALSE),0)+
IFERROR(VLOOKUP(A49,'Centre WR11'!$A$7:$N$160,7,FALSE),0)+
IFERROR(VLOOKUP(A49,'Centre WV11'!$A$7:$N$160,7,FALSE),0)</f>
        <v>0</v>
      </c>
      <c r="H49" s="10">
        <f>IFERROR(VLOOKUP(A49,'Centre DW11'!$A$7:$N$160,8,FALSE),0)+
IFERROR(VLOOKUP(A49,'Centre WP11'!$A$7:$N$160,8,FALSE),0)+
IFERROR(VLOOKUP(A49,'Centre WR11'!$A$7:$N$160,8,FALSE),0)+
IFERROR(VLOOKUP(A49,'Centre WV11'!$A$7:$N$160,8,FALSE),0)</f>
        <v>0</v>
      </c>
      <c r="I49" s="10">
        <f>IFERROR(VLOOKUP(A49,'Centre DW11'!$A$7:$N$160,9,FALSE),0)+
IFERROR(VLOOKUP(A49,'Centre WP11'!$A$7:$N$160,9,FALSE),0)+
IFERROR(VLOOKUP(A49,'Centre WR11'!$A$7:$N$160,9,FALSE),0)+
IFERROR(VLOOKUP(A49,'Centre WV11'!$A$7:$N$160,9,FALSE),0)</f>
        <v>0</v>
      </c>
      <c r="J49" s="10">
        <f>IFERROR(VLOOKUP(A49,'Centre DW11'!$A$7:$N$160,10,FALSE),0)+
IFERROR(VLOOKUP(A49,'Centre WP11'!$A$7:$N$160,10,FALSE),0)+
IFERROR(VLOOKUP(A49,'Centre WR11'!$A$7:$N$160,10,FALSE),0)+
IFERROR(VLOOKUP(A49,'Centre WV11'!$A$7:$N$160,10,FALSE),0)</f>
        <v>0</v>
      </c>
      <c r="K49" s="10">
        <f>IFERROR(VLOOKUP(A49,'Centre DW11'!$A$7:$N$160,11,FALSE),0)+
IFERROR(VLOOKUP(A49,'Centre WP11'!$A$7:$N$160,11,FALSE),0)+
IFERROR(VLOOKUP(A49,'Centre WR11'!$A$7:$N$160,11,FALSE),0)+
IFERROR(VLOOKUP(A49,'Centre WV11'!$A$7:$N$160,11,FALSE),0)</f>
        <v>0</v>
      </c>
      <c r="L49" s="10">
        <f>IFERROR(VLOOKUP(A49,'Centre DW11'!$A$7:$N$160,12,FALSE),0)+
IFERROR(VLOOKUP(A49,'Centre WP11'!$A$7:$N$160,12,FALSE),0)+
IFERROR(VLOOKUP(A49,'Centre WR11'!$A$7:$N$160,12,FALSE),0)+
IFERROR(VLOOKUP(A49,'Centre WV11'!$A$7:$N$160,12,FALSE),0)</f>
        <v>0</v>
      </c>
      <c r="M49" s="10">
        <f>IFERROR(VLOOKUP(A49,'Centre DW11'!$A$7:$N$160,13,FALSE),0)+
IFERROR(VLOOKUP(A49,'Centre WP11'!$A$7:$N$160,13,FALSE),0)+
IFERROR(VLOOKUP(A49,'Centre WR11'!$A$7:$N$160,13,FALSE),0)+
IFERROR(VLOOKUP(A49,'Centre WV11'!$A$7:$N$160,13,FALSE),0)</f>
        <v>0</v>
      </c>
      <c r="N49" s="10">
        <f>IFERROR(VLOOKUP(A49,'Centre DW11'!$A$7:$N$160,14,FALSE),0)+
IFERROR(VLOOKUP(A49,'Centre WP11'!$A$7:$N$160,14,FALSE),0)+
IFERROR(VLOOKUP(A49,'Centre WR11'!$A$7:$N$160,14,FALSE),0)+
IFERROR(VLOOKUP(A49,'Centre WV11'!$A$7:$N$160,14,FALSE),0)</f>
        <v>0</v>
      </c>
    </row>
    <row r="50" spans="1:14" hidden="1" outlineLevel="1" x14ac:dyDescent="0.2">
      <c r="A50" s="9" t="s">
        <v>101</v>
      </c>
      <c r="B50" s="1" t="s">
        <v>102</v>
      </c>
      <c r="C50" s="10">
        <f>IFERROR(VLOOKUP(A50,'Centre DW11'!$A$7:$N$160,3,FALSE),0)+
IFERROR(VLOOKUP(A50,'Centre WP11'!$A$7:$N$160,3,FALSE),0)+
IFERROR(VLOOKUP(A50,'Centre WR11'!$A$7:$N$160,3,FALSE),0)+
IFERROR(VLOOKUP(A50,'Centre WV11'!$A$7:$N$160,3,FALSE),0)</f>
        <v>1.9</v>
      </c>
      <c r="D50" s="10">
        <f>IFERROR(VLOOKUP(A50,'Centre DW11'!$A$7:$N$160,4,FALSE),0)+
IFERROR(VLOOKUP(A50,'Centre WP11'!$A$7:$N$160,4,FALSE),0)+
IFERROR(VLOOKUP(A50,'Centre WR11'!$A$7:$N$160,4,FALSE),0)+
IFERROR(VLOOKUP(A50,'Centre WV11'!$A$7:$N$160,4,FALSE),0)</f>
        <v>1.4</v>
      </c>
      <c r="E50" s="10">
        <f>IFERROR(VLOOKUP(A50,'Centre DW11'!$A$7:$N$160,5,FALSE),0)+
IFERROR(VLOOKUP(A50,'Centre WP11'!$A$7:$N$160,5,FALSE),0)+
IFERROR(VLOOKUP(A50,'Centre WR11'!$A$7:$N$160,5,FALSE),0)+
IFERROR(VLOOKUP(A50,'Centre WV11'!$A$7:$N$160,5,FALSE),0)</f>
        <v>0</v>
      </c>
      <c r="F50" s="10">
        <f>IFERROR(VLOOKUP(A50,'Centre DW11'!$A$7:$N$160,6,FALSE),0)+
IFERROR(VLOOKUP(A50,'Centre WP11'!$A$7:$N$160,6,FALSE),0)+
IFERROR(VLOOKUP(A50,'Centre WR11'!$A$7:$N$160,6,FALSE),0)+
IFERROR(VLOOKUP(A50,'Centre WV11'!$A$7:$N$160,6,FALSE),0)</f>
        <v>0</v>
      </c>
      <c r="G50" s="10">
        <f>IFERROR(VLOOKUP(A50,'Centre DW11'!$A$7:$N$160,7,FALSE),0)+
IFERROR(VLOOKUP(A50,'Centre WP11'!$A$7:$N$160,7,FALSE),0)+
IFERROR(VLOOKUP(A50,'Centre WR11'!$A$7:$N$160,7,FALSE),0)+
IFERROR(VLOOKUP(A50,'Centre WV11'!$A$7:$N$160,7,FALSE),0)</f>
        <v>1.2</v>
      </c>
      <c r="H50" s="10">
        <f>IFERROR(VLOOKUP(A50,'Centre DW11'!$A$7:$N$160,8,FALSE),0)+
IFERROR(VLOOKUP(A50,'Centre WP11'!$A$7:$N$160,8,FALSE),0)+
IFERROR(VLOOKUP(A50,'Centre WR11'!$A$7:$N$160,8,FALSE),0)+
IFERROR(VLOOKUP(A50,'Centre WV11'!$A$7:$N$160,8,FALSE),0)</f>
        <v>0</v>
      </c>
      <c r="I50" s="10">
        <f>IFERROR(VLOOKUP(A50,'Centre DW11'!$A$7:$N$160,9,FALSE),0)+
IFERROR(VLOOKUP(A50,'Centre WP11'!$A$7:$N$160,9,FALSE),0)+
IFERROR(VLOOKUP(A50,'Centre WR11'!$A$7:$N$160,9,FALSE),0)+
IFERROR(VLOOKUP(A50,'Centre WV11'!$A$7:$N$160,9,FALSE),0)</f>
        <v>0</v>
      </c>
      <c r="J50" s="10">
        <f>IFERROR(VLOOKUP(A50,'Centre DW11'!$A$7:$N$160,10,FALSE),0)+
IFERROR(VLOOKUP(A50,'Centre WP11'!$A$7:$N$160,10,FALSE),0)+
IFERROR(VLOOKUP(A50,'Centre WR11'!$A$7:$N$160,10,FALSE),0)+
IFERROR(VLOOKUP(A50,'Centre WV11'!$A$7:$N$160,10,FALSE),0)</f>
        <v>0</v>
      </c>
      <c r="K50" s="10">
        <f>IFERROR(VLOOKUP(A50,'Centre DW11'!$A$7:$N$160,11,FALSE),0)+
IFERROR(VLOOKUP(A50,'Centre WP11'!$A$7:$N$160,11,FALSE),0)+
IFERROR(VLOOKUP(A50,'Centre WR11'!$A$7:$N$160,11,FALSE),0)+
IFERROR(VLOOKUP(A50,'Centre WV11'!$A$7:$N$160,11,FALSE),0)</f>
        <v>0</v>
      </c>
      <c r="L50" s="10">
        <f>IFERROR(VLOOKUP(A50,'Centre DW11'!$A$7:$N$160,12,FALSE),0)+
IFERROR(VLOOKUP(A50,'Centre WP11'!$A$7:$N$160,12,FALSE),0)+
IFERROR(VLOOKUP(A50,'Centre WR11'!$A$7:$N$160,12,FALSE),0)+
IFERROR(VLOOKUP(A50,'Centre WV11'!$A$7:$N$160,12,FALSE),0)</f>
        <v>1.2</v>
      </c>
      <c r="M50" s="10">
        <f>IFERROR(VLOOKUP(A50,'Centre DW11'!$A$7:$N$160,13,FALSE),0)+
IFERROR(VLOOKUP(A50,'Centre WP11'!$A$7:$N$160,13,FALSE),0)+
IFERROR(VLOOKUP(A50,'Centre WR11'!$A$7:$N$160,13,FALSE),0)+
IFERROR(VLOOKUP(A50,'Centre WV11'!$A$7:$N$160,13,FALSE),0)</f>
        <v>0</v>
      </c>
      <c r="N50" s="10">
        <f>IFERROR(VLOOKUP(A50,'Centre DW11'!$A$7:$N$160,14,FALSE),0)+
IFERROR(VLOOKUP(A50,'Centre WP11'!$A$7:$N$160,14,FALSE),0)+
IFERROR(VLOOKUP(A50,'Centre WR11'!$A$7:$N$160,14,FALSE),0)+
IFERROR(VLOOKUP(A50,'Centre WV11'!$A$7:$N$160,14,FALSE),0)</f>
        <v>0</v>
      </c>
    </row>
    <row r="51" spans="1:14" hidden="1" outlineLevel="1" x14ac:dyDescent="0.2">
      <c r="A51" s="9" t="s">
        <v>103</v>
      </c>
      <c r="B51" s="1" t="s">
        <v>104</v>
      </c>
      <c r="C51" s="10">
        <f>IFERROR(VLOOKUP(A51,'Centre DW11'!$A$7:$N$160,3,FALSE),0)+
IFERROR(VLOOKUP(A51,'Centre WP11'!$A$7:$N$160,3,FALSE),0)+
IFERROR(VLOOKUP(A51,'Centre WR11'!$A$7:$N$160,3,FALSE),0)+
IFERROR(VLOOKUP(A51,'Centre WV11'!$A$7:$N$160,3,FALSE),0)</f>
        <v>3.2</v>
      </c>
      <c r="D51" s="10">
        <f>IFERROR(VLOOKUP(A51,'Centre DW11'!$A$7:$N$160,4,FALSE),0)+
IFERROR(VLOOKUP(A51,'Centre WP11'!$A$7:$N$160,4,FALSE),0)+
IFERROR(VLOOKUP(A51,'Centre WR11'!$A$7:$N$160,4,FALSE),0)+
IFERROR(VLOOKUP(A51,'Centre WV11'!$A$7:$N$160,4,FALSE),0)</f>
        <v>3.2</v>
      </c>
      <c r="E51" s="10">
        <f>IFERROR(VLOOKUP(A51,'Centre DW11'!$A$7:$N$160,5,FALSE),0)+
IFERROR(VLOOKUP(A51,'Centre WP11'!$A$7:$N$160,5,FALSE),0)+
IFERROR(VLOOKUP(A51,'Centre WR11'!$A$7:$N$160,5,FALSE),0)+
IFERROR(VLOOKUP(A51,'Centre WV11'!$A$7:$N$160,5,FALSE),0)</f>
        <v>3.1</v>
      </c>
      <c r="F51" s="10">
        <f>IFERROR(VLOOKUP(A51,'Centre DW11'!$A$7:$N$160,6,FALSE),0)+
IFERROR(VLOOKUP(A51,'Centre WP11'!$A$7:$N$160,6,FALSE),0)+
IFERROR(VLOOKUP(A51,'Centre WR11'!$A$7:$N$160,6,FALSE),0)+
IFERROR(VLOOKUP(A51,'Centre WV11'!$A$7:$N$160,6,FALSE),0)</f>
        <v>3.4</v>
      </c>
      <c r="G51" s="10">
        <f>IFERROR(VLOOKUP(A51,'Centre DW11'!$A$7:$N$160,7,FALSE),0)+
IFERROR(VLOOKUP(A51,'Centre WP11'!$A$7:$N$160,7,FALSE),0)+
IFERROR(VLOOKUP(A51,'Centre WR11'!$A$7:$N$160,7,FALSE),0)+
IFERROR(VLOOKUP(A51,'Centre WV11'!$A$7:$N$160,7,FALSE),0)</f>
        <v>3.3</v>
      </c>
      <c r="H51" s="10">
        <f>IFERROR(VLOOKUP(A51,'Centre DW11'!$A$7:$N$160,8,FALSE),0)+
IFERROR(VLOOKUP(A51,'Centre WP11'!$A$7:$N$160,8,FALSE),0)+
IFERROR(VLOOKUP(A51,'Centre WR11'!$A$7:$N$160,8,FALSE),0)+
IFERROR(VLOOKUP(A51,'Centre WV11'!$A$7:$N$160,8,FALSE),0)</f>
        <v>3.4</v>
      </c>
      <c r="I51" s="10">
        <f>IFERROR(VLOOKUP(A51,'Centre DW11'!$A$7:$N$160,9,FALSE),0)+
IFERROR(VLOOKUP(A51,'Centre WP11'!$A$7:$N$160,9,FALSE),0)+
IFERROR(VLOOKUP(A51,'Centre WR11'!$A$7:$N$160,9,FALSE),0)+
IFERROR(VLOOKUP(A51,'Centre WV11'!$A$7:$N$160,9,FALSE),0)</f>
        <v>3.5</v>
      </c>
      <c r="J51" s="10">
        <f>IFERROR(VLOOKUP(A51,'Centre DW11'!$A$7:$N$160,10,FALSE),0)+
IFERROR(VLOOKUP(A51,'Centre WP11'!$A$7:$N$160,10,FALSE),0)+
IFERROR(VLOOKUP(A51,'Centre WR11'!$A$7:$N$160,10,FALSE),0)+
IFERROR(VLOOKUP(A51,'Centre WV11'!$A$7:$N$160,10,FALSE),0)</f>
        <v>3.1</v>
      </c>
      <c r="K51" s="10">
        <f>IFERROR(VLOOKUP(A51,'Centre DW11'!$A$7:$N$160,11,FALSE),0)+
IFERROR(VLOOKUP(A51,'Centre WP11'!$A$7:$N$160,11,FALSE),0)+
IFERROR(VLOOKUP(A51,'Centre WR11'!$A$7:$N$160,11,FALSE),0)+
IFERROR(VLOOKUP(A51,'Centre WV11'!$A$7:$N$160,11,FALSE),0)</f>
        <v>3.4</v>
      </c>
      <c r="L51" s="10">
        <f>IFERROR(VLOOKUP(A51,'Centre DW11'!$A$7:$N$160,12,FALSE),0)+
IFERROR(VLOOKUP(A51,'Centre WP11'!$A$7:$N$160,12,FALSE),0)+
IFERROR(VLOOKUP(A51,'Centre WR11'!$A$7:$N$160,12,FALSE),0)+
IFERROR(VLOOKUP(A51,'Centre WV11'!$A$7:$N$160,12,FALSE),0)</f>
        <v>3.3</v>
      </c>
      <c r="M51" s="10">
        <f>IFERROR(VLOOKUP(A51,'Centre DW11'!$A$7:$N$160,13,FALSE),0)+
IFERROR(VLOOKUP(A51,'Centre WP11'!$A$7:$N$160,13,FALSE),0)+
IFERROR(VLOOKUP(A51,'Centre WR11'!$A$7:$N$160,13,FALSE),0)+
IFERROR(VLOOKUP(A51,'Centre WV11'!$A$7:$N$160,13,FALSE),0)</f>
        <v>3.4</v>
      </c>
      <c r="N51" s="10">
        <f>IFERROR(VLOOKUP(A51,'Centre DW11'!$A$7:$N$160,14,FALSE),0)+
IFERROR(VLOOKUP(A51,'Centre WP11'!$A$7:$N$160,14,FALSE),0)+
IFERROR(VLOOKUP(A51,'Centre WR11'!$A$7:$N$160,14,FALSE),0)+
IFERROR(VLOOKUP(A51,'Centre WV11'!$A$7:$N$160,14,FALSE),0)</f>
        <v>3.5</v>
      </c>
    </row>
    <row r="52" spans="1:14" hidden="1" outlineLevel="1" x14ac:dyDescent="0.2">
      <c r="A52" s="9" t="s">
        <v>305</v>
      </c>
      <c r="B52" s="1" t="s">
        <v>306</v>
      </c>
      <c r="C52" s="10">
        <f>IFERROR(VLOOKUP(A52,'Centre DW11'!$A$7:$N$160,3,FALSE),0)+
IFERROR(VLOOKUP(A52,'Centre WP11'!$A$7:$N$160,3,FALSE),0)+
IFERROR(VLOOKUP(A52,'Centre WR11'!$A$7:$N$160,3,FALSE),0)+
IFERROR(VLOOKUP(A52,'Centre WV11'!$A$7:$N$160,3,FALSE),0)</f>
        <v>0</v>
      </c>
      <c r="D52" s="10">
        <f>IFERROR(VLOOKUP(A52,'Centre DW11'!$A$7:$N$160,4,FALSE),0)+
IFERROR(VLOOKUP(A52,'Centre WP11'!$A$7:$N$160,4,FALSE),0)+
IFERROR(VLOOKUP(A52,'Centre WR11'!$A$7:$N$160,4,FALSE),0)+
IFERROR(VLOOKUP(A52,'Centre WV11'!$A$7:$N$160,4,FALSE),0)</f>
        <v>0</v>
      </c>
      <c r="E52" s="10">
        <f>IFERROR(VLOOKUP(A52,'Centre DW11'!$A$7:$N$160,5,FALSE),0)+
IFERROR(VLOOKUP(A52,'Centre WP11'!$A$7:$N$160,5,FALSE),0)+
IFERROR(VLOOKUP(A52,'Centre WR11'!$A$7:$N$160,5,FALSE),0)+
IFERROR(VLOOKUP(A52,'Centre WV11'!$A$7:$N$160,5,FALSE),0)</f>
        <v>0</v>
      </c>
      <c r="F52" s="10">
        <f>IFERROR(VLOOKUP(A52,'Centre DW11'!$A$7:$N$160,6,FALSE),0)+
IFERROR(VLOOKUP(A52,'Centre WP11'!$A$7:$N$160,6,FALSE),0)+
IFERROR(VLOOKUP(A52,'Centre WR11'!$A$7:$N$160,6,FALSE),0)+
IFERROR(VLOOKUP(A52,'Centre WV11'!$A$7:$N$160,6,FALSE),0)</f>
        <v>0</v>
      </c>
      <c r="G52" s="10">
        <f>IFERROR(VLOOKUP(A52,'Centre DW11'!$A$7:$N$160,7,FALSE),0)+
IFERROR(VLOOKUP(A52,'Centre WP11'!$A$7:$N$160,7,FALSE),0)+
IFERROR(VLOOKUP(A52,'Centre WR11'!$A$7:$N$160,7,FALSE),0)+
IFERROR(VLOOKUP(A52,'Centre WV11'!$A$7:$N$160,7,FALSE),0)</f>
        <v>0</v>
      </c>
      <c r="H52" s="10">
        <f>IFERROR(VLOOKUP(A52,'Centre DW11'!$A$7:$N$160,8,FALSE),0)+
IFERROR(VLOOKUP(A52,'Centre WP11'!$A$7:$N$160,8,FALSE),0)+
IFERROR(VLOOKUP(A52,'Centre WR11'!$A$7:$N$160,8,FALSE),0)+
IFERROR(VLOOKUP(A52,'Centre WV11'!$A$7:$N$160,8,FALSE),0)</f>
        <v>0</v>
      </c>
      <c r="I52" s="10">
        <f>IFERROR(VLOOKUP(A52,'Centre DW11'!$A$7:$N$160,9,FALSE),0)+
IFERROR(VLOOKUP(A52,'Centre WP11'!$A$7:$N$160,9,FALSE),0)+
IFERROR(VLOOKUP(A52,'Centre WR11'!$A$7:$N$160,9,FALSE),0)+
IFERROR(VLOOKUP(A52,'Centre WV11'!$A$7:$N$160,9,FALSE),0)</f>
        <v>0</v>
      </c>
      <c r="J52" s="10">
        <f>IFERROR(VLOOKUP(A52,'Centre DW11'!$A$7:$N$160,10,FALSE),0)+
IFERROR(VLOOKUP(A52,'Centre WP11'!$A$7:$N$160,10,FALSE),0)+
IFERROR(VLOOKUP(A52,'Centre WR11'!$A$7:$N$160,10,FALSE),0)+
IFERROR(VLOOKUP(A52,'Centre WV11'!$A$7:$N$160,10,FALSE),0)</f>
        <v>0</v>
      </c>
      <c r="K52" s="10">
        <f>IFERROR(VLOOKUP(A52,'Centre DW11'!$A$7:$N$160,11,FALSE),0)+
IFERROR(VLOOKUP(A52,'Centre WP11'!$A$7:$N$160,11,FALSE),0)+
IFERROR(VLOOKUP(A52,'Centre WR11'!$A$7:$N$160,11,FALSE),0)+
IFERROR(VLOOKUP(A52,'Centre WV11'!$A$7:$N$160,11,FALSE),0)</f>
        <v>0</v>
      </c>
      <c r="L52" s="10">
        <f>IFERROR(VLOOKUP(A52,'Centre DW11'!$A$7:$N$160,12,FALSE),0)+
IFERROR(VLOOKUP(A52,'Centre WP11'!$A$7:$N$160,12,FALSE),0)+
IFERROR(VLOOKUP(A52,'Centre WR11'!$A$7:$N$160,12,FALSE),0)+
IFERROR(VLOOKUP(A52,'Centre WV11'!$A$7:$N$160,12,FALSE),0)</f>
        <v>0</v>
      </c>
      <c r="M52" s="10">
        <f>IFERROR(VLOOKUP(A52,'Centre DW11'!$A$7:$N$160,13,FALSE),0)+
IFERROR(VLOOKUP(A52,'Centre WP11'!$A$7:$N$160,13,FALSE),0)+
IFERROR(VLOOKUP(A52,'Centre WR11'!$A$7:$N$160,13,FALSE),0)+
IFERROR(VLOOKUP(A52,'Centre WV11'!$A$7:$N$160,13,FALSE),0)</f>
        <v>0</v>
      </c>
      <c r="N52" s="10">
        <f>IFERROR(VLOOKUP(A52,'Centre DW11'!$A$7:$N$160,14,FALSE),0)+
IFERROR(VLOOKUP(A52,'Centre WP11'!$A$7:$N$160,14,FALSE),0)+
IFERROR(VLOOKUP(A52,'Centre WR11'!$A$7:$N$160,14,FALSE),0)+
IFERROR(VLOOKUP(A52,'Centre WV11'!$A$7:$N$160,14,FALSE),0)</f>
        <v>0</v>
      </c>
    </row>
    <row r="53" spans="1:14" hidden="1" outlineLevel="1" x14ac:dyDescent="0.2">
      <c r="A53" s="9" t="s">
        <v>105</v>
      </c>
      <c r="B53" s="1" t="s">
        <v>106</v>
      </c>
      <c r="C53" s="10">
        <f>IFERROR(VLOOKUP(A53,'Centre DW11'!$A$7:$N$160,3,FALSE),0)+
IFERROR(VLOOKUP(A53,'Centre WP11'!$A$7:$N$160,3,FALSE),0)+
IFERROR(VLOOKUP(A53,'Centre WR11'!$A$7:$N$160,3,FALSE),0)+
IFERROR(VLOOKUP(A53,'Centre WV11'!$A$7:$N$160,3,FALSE),0)</f>
        <v>12.5</v>
      </c>
      <c r="D53" s="10">
        <f>IFERROR(VLOOKUP(A53,'Centre DW11'!$A$7:$N$160,4,FALSE),0)+
IFERROR(VLOOKUP(A53,'Centre WP11'!$A$7:$N$160,4,FALSE),0)+
IFERROR(VLOOKUP(A53,'Centre WR11'!$A$7:$N$160,4,FALSE),0)+
IFERROR(VLOOKUP(A53,'Centre WV11'!$A$7:$N$160,4,FALSE),0)</f>
        <v>2.1999999999999997</v>
      </c>
      <c r="E53" s="10">
        <f>IFERROR(VLOOKUP(A53,'Centre DW11'!$A$7:$N$160,5,FALSE),0)+
IFERROR(VLOOKUP(A53,'Centre WP11'!$A$7:$N$160,5,FALSE),0)+
IFERROR(VLOOKUP(A53,'Centre WR11'!$A$7:$N$160,5,FALSE),0)+
IFERROR(VLOOKUP(A53,'Centre WV11'!$A$7:$N$160,5,FALSE),0)</f>
        <v>11.5</v>
      </c>
      <c r="F53" s="10">
        <f>IFERROR(VLOOKUP(A53,'Centre DW11'!$A$7:$N$160,6,FALSE),0)+
IFERROR(VLOOKUP(A53,'Centre WP11'!$A$7:$N$160,6,FALSE),0)+
IFERROR(VLOOKUP(A53,'Centre WR11'!$A$7:$N$160,6,FALSE),0)+
IFERROR(VLOOKUP(A53,'Centre WV11'!$A$7:$N$160,6,FALSE),0)</f>
        <v>5.5</v>
      </c>
      <c r="G53" s="10">
        <f>IFERROR(VLOOKUP(A53,'Centre DW11'!$A$7:$N$160,7,FALSE),0)+
IFERROR(VLOOKUP(A53,'Centre WP11'!$A$7:$N$160,7,FALSE),0)+
IFERROR(VLOOKUP(A53,'Centre WR11'!$A$7:$N$160,7,FALSE),0)+
IFERROR(VLOOKUP(A53,'Centre WV11'!$A$7:$N$160,7,FALSE),0)</f>
        <v>7.5</v>
      </c>
      <c r="H53" s="10">
        <f>IFERROR(VLOOKUP(A53,'Centre DW11'!$A$7:$N$160,8,FALSE),0)+
IFERROR(VLOOKUP(A53,'Centre WP11'!$A$7:$N$160,8,FALSE),0)+
IFERROR(VLOOKUP(A53,'Centre WR11'!$A$7:$N$160,8,FALSE),0)+
IFERROR(VLOOKUP(A53,'Centre WV11'!$A$7:$N$160,8,FALSE),0)</f>
        <v>-8.4</v>
      </c>
      <c r="I53" s="10">
        <f>IFERROR(VLOOKUP(A53,'Centre DW11'!$A$7:$N$160,9,FALSE),0)+
IFERROR(VLOOKUP(A53,'Centre WP11'!$A$7:$N$160,9,FALSE),0)+
IFERROR(VLOOKUP(A53,'Centre WR11'!$A$7:$N$160,9,FALSE),0)+
IFERROR(VLOOKUP(A53,'Centre WV11'!$A$7:$N$160,9,FALSE),0)</f>
        <v>7.8</v>
      </c>
      <c r="J53" s="10">
        <f>IFERROR(VLOOKUP(A53,'Centre DW11'!$A$7:$N$160,10,FALSE),0)+
IFERROR(VLOOKUP(A53,'Centre WP11'!$A$7:$N$160,10,FALSE),0)+
IFERROR(VLOOKUP(A53,'Centre WR11'!$A$7:$N$160,10,FALSE),0)+
IFERROR(VLOOKUP(A53,'Centre WV11'!$A$7:$N$160,10,FALSE),0)</f>
        <v>11.3</v>
      </c>
      <c r="K53" s="10">
        <f>IFERROR(VLOOKUP(A53,'Centre DW11'!$A$7:$N$160,11,FALSE),0)+
IFERROR(VLOOKUP(A53,'Centre WP11'!$A$7:$N$160,11,FALSE),0)+
IFERROR(VLOOKUP(A53,'Centre WR11'!$A$7:$N$160,11,FALSE),0)+
IFERROR(VLOOKUP(A53,'Centre WV11'!$A$7:$N$160,11,FALSE),0)</f>
        <v>5.5</v>
      </c>
      <c r="L53" s="10">
        <f>IFERROR(VLOOKUP(A53,'Centre DW11'!$A$7:$N$160,12,FALSE),0)+
IFERROR(VLOOKUP(A53,'Centre WP11'!$A$7:$N$160,12,FALSE),0)+
IFERROR(VLOOKUP(A53,'Centre WR11'!$A$7:$N$160,12,FALSE),0)+
IFERROR(VLOOKUP(A53,'Centre WV11'!$A$7:$N$160,12,FALSE),0)</f>
        <v>7.5</v>
      </c>
      <c r="M53" s="10">
        <f>IFERROR(VLOOKUP(A53,'Centre DW11'!$A$7:$N$160,13,FALSE),0)+
IFERROR(VLOOKUP(A53,'Centre WP11'!$A$7:$N$160,13,FALSE),0)+
IFERROR(VLOOKUP(A53,'Centre WR11'!$A$7:$N$160,13,FALSE),0)+
IFERROR(VLOOKUP(A53,'Centre WV11'!$A$7:$N$160,13,FALSE),0)</f>
        <v>-8.4</v>
      </c>
      <c r="N53" s="10">
        <f>IFERROR(VLOOKUP(A53,'Centre DW11'!$A$7:$N$160,14,FALSE),0)+
IFERROR(VLOOKUP(A53,'Centre WP11'!$A$7:$N$160,14,FALSE),0)+
IFERROR(VLOOKUP(A53,'Centre WR11'!$A$7:$N$160,14,FALSE),0)+
IFERROR(VLOOKUP(A53,'Centre WV11'!$A$7:$N$160,14,FALSE),0)</f>
        <v>7.8</v>
      </c>
    </row>
    <row r="54" spans="1:14" hidden="1" outlineLevel="1" x14ac:dyDescent="0.2">
      <c r="A54" s="9" t="s">
        <v>107</v>
      </c>
      <c r="B54" s="1" t="s">
        <v>108</v>
      </c>
      <c r="C54" s="10">
        <f>IFERROR(VLOOKUP(A54,'Centre DW11'!$A$7:$N$160,3,FALSE),0)+
IFERROR(VLOOKUP(A54,'Centre WP11'!$A$7:$N$160,3,FALSE),0)+
IFERROR(VLOOKUP(A54,'Centre WR11'!$A$7:$N$160,3,FALSE),0)+
IFERROR(VLOOKUP(A54,'Centre WV11'!$A$7:$N$160,3,FALSE),0)</f>
        <v>0.8</v>
      </c>
      <c r="D54" s="10">
        <f>IFERROR(VLOOKUP(A54,'Centre DW11'!$A$7:$N$160,4,FALSE),0)+
IFERROR(VLOOKUP(A54,'Centre WP11'!$A$7:$N$160,4,FALSE),0)+
IFERROR(VLOOKUP(A54,'Centre WR11'!$A$7:$N$160,4,FALSE),0)+
IFERROR(VLOOKUP(A54,'Centre WV11'!$A$7:$N$160,4,FALSE),0)</f>
        <v>1.1000000000000001</v>
      </c>
      <c r="E54" s="10">
        <f>IFERROR(VLOOKUP(A54,'Centre DW11'!$A$7:$N$160,5,FALSE),0)+
IFERROR(VLOOKUP(A54,'Centre WP11'!$A$7:$N$160,5,FALSE),0)+
IFERROR(VLOOKUP(A54,'Centre WR11'!$A$7:$N$160,5,FALSE),0)+
IFERROR(VLOOKUP(A54,'Centre WV11'!$A$7:$N$160,5,FALSE),0)</f>
        <v>2.2000000000000002</v>
      </c>
      <c r="F54" s="10">
        <f>IFERROR(VLOOKUP(A54,'Centre DW11'!$A$7:$N$160,6,FALSE),0)+
IFERROR(VLOOKUP(A54,'Centre WP11'!$A$7:$N$160,6,FALSE),0)+
IFERROR(VLOOKUP(A54,'Centre WR11'!$A$7:$N$160,6,FALSE),0)+
IFERROR(VLOOKUP(A54,'Centre WV11'!$A$7:$N$160,6,FALSE),0)</f>
        <v>0.2</v>
      </c>
      <c r="G54" s="10">
        <f>IFERROR(VLOOKUP(A54,'Centre DW11'!$A$7:$N$160,7,FALSE),0)+
IFERROR(VLOOKUP(A54,'Centre WP11'!$A$7:$N$160,7,FALSE),0)+
IFERROR(VLOOKUP(A54,'Centre WR11'!$A$7:$N$160,7,FALSE),0)+
IFERROR(VLOOKUP(A54,'Centre WV11'!$A$7:$N$160,7,FALSE),0)</f>
        <v>0.4</v>
      </c>
      <c r="H54" s="10">
        <f>IFERROR(VLOOKUP(A54,'Centre DW11'!$A$7:$N$160,8,FALSE),0)+
IFERROR(VLOOKUP(A54,'Centre WP11'!$A$7:$N$160,8,FALSE),0)+
IFERROR(VLOOKUP(A54,'Centre WR11'!$A$7:$N$160,8,FALSE),0)+
IFERROR(VLOOKUP(A54,'Centre WV11'!$A$7:$N$160,8,FALSE),0)</f>
        <v>15.7</v>
      </c>
      <c r="I54" s="10">
        <f>IFERROR(VLOOKUP(A54,'Centre DW11'!$A$7:$N$160,9,FALSE),0)+
IFERROR(VLOOKUP(A54,'Centre WP11'!$A$7:$N$160,9,FALSE),0)+
IFERROR(VLOOKUP(A54,'Centre WR11'!$A$7:$N$160,9,FALSE),0)+
IFERROR(VLOOKUP(A54,'Centre WV11'!$A$7:$N$160,9,FALSE),0)</f>
        <v>0.3</v>
      </c>
      <c r="J54" s="10">
        <f>IFERROR(VLOOKUP(A54,'Centre DW11'!$A$7:$N$160,10,FALSE),0)+
IFERROR(VLOOKUP(A54,'Centre WP11'!$A$7:$N$160,10,FALSE),0)+
IFERROR(VLOOKUP(A54,'Centre WR11'!$A$7:$N$160,10,FALSE),0)+
IFERROR(VLOOKUP(A54,'Centre WV11'!$A$7:$N$160,10,FALSE),0)</f>
        <v>2.4000000000000004</v>
      </c>
      <c r="K54" s="10">
        <f>IFERROR(VLOOKUP(A54,'Centre DW11'!$A$7:$N$160,11,FALSE),0)+
IFERROR(VLOOKUP(A54,'Centre WP11'!$A$7:$N$160,11,FALSE),0)+
IFERROR(VLOOKUP(A54,'Centre WR11'!$A$7:$N$160,11,FALSE),0)+
IFERROR(VLOOKUP(A54,'Centre WV11'!$A$7:$N$160,11,FALSE),0)</f>
        <v>0.2</v>
      </c>
      <c r="L54" s="10">
        <f>IFERROR(VLOOKUP(A54,'Centre DW11'!$A$7:$N$160,12,FALSE),0)+
IFERROR(VLOOKUP(A54,'Centre WP11'!$A$7:$N$160,12,FALSE),0)+
IFERROR(VLOOKUP(A54,'Centre WR11'!$A$7:$N$160,12,FALSE),0)+
IFERROR(VLOOKUP(A54,'Centre WV11'!$A$7:$N$160,12,FALSE),0)</f>
        <v>0.4</v>
      </c>
      <c r="M54" s="10">
        <f>IFERROR(VLOOKUP(A54,'Centre DW11'!$A$7:$N$160,13,FALSE),0)+
IFERROR(VLOOKUP(A54,'Centre WP11'!$A$7:$N$160,13,FALSE),0)+
IFERROR(VLOOKUP(A54,'Centre WR11'!$A$7:$N$160,13,FALSE),0)+
IFERROR(VLOOKUP(A54,'Centre WV11'!$A$7:$N$160,13,FALSE),0)</f>
        <v>15.7</v>
      </c>
      <c r="N54" s="10">
        <f>IFERROR(VLOOKUP(A54,'Centre DW11'!$A$7:$N$160,14,FALSE),0)+
IFERROR(VLOOKUP(A54,'Centre WP11'!$A$7:$N$160,14,FALSE),0)+
IFERROR(VLOOKUP(A54,'Centre WR11'!$A$7:$N$160,14,FALSE),0)+
IFERROR(VLOOKUP(A54,'Centre WV11'!$A$7:$N$160,14,FALSE),0)</f>
        <v>0.3</v>
      </c>
    </row>
    <row r="55" spans="1:14" hidden="1" outlineLevel="1" x14ac:dyDescent="0.2">
      <c r="A55" s="9" t="s">
        <v>109</v>
      </c>
      <c r="B55" s="1" t="s">
        <v>110</v>
      </c>
      <c r="C55" s="10">
        <f>IFERROR(VLOOKUP(A55,'Centre DW11'!$A$7:$N$160,3,FALSE),0)+
IFERROR(VLOOKUP(A55,'Centre WP11'!$A$7:$N$160,3,FALSE),0)+
IFERROR(VLOOKUP(A55,'Centre WR11'!$A$7:$N$160,3,FALSE),0)+
IFERROR(VLOOKUP(A55,'Centre WV11'!$A$7:$N$160,3,FALSE),0)</f>
        <v>0.1</v>
      </c>
      <c r="D55" s="10">
        <f>IFERROR(VLOOKUP(A55,'Centre DW11'!$A$7:$N$160,4,FALSE),0)+
IFERROR(VLOOKUP(A55,'Centre WP11'!$A$7:$N$160,4,FALSE),0)+
IFERROR(VLOOKUP(A55,'Centre WR11'!$A$7:$N$160,4,FALSE),0)+
IFERROR(VLOOKUP(A55,'Centre WV11'!$A$7:$N$160,4,FALSE),0)</f>
        <v>0</v>
      </c>
      <c r="E55" s="10">
        <f>IFERROR(VLOOKUP(A55,'Centre DW11'!$A$7:$N$160,5,FALSE),0)+
IFERROR(VLOOKUP(A55,'Centre WP11'!$A$7:$N$160,5,FALSE),0)+
IFERROR(VLOOKUP(A55,'Centre WR11'!$A$7:$N$160,5,FALSE),0)+
IFERROR(VLOOKUP(A55,'Centre WV11'!$A$7:$N$160,5,FALSE),0)</f>
        <v>0.2</v>
      </c>
      <c r="F55" s="10">
        <f>IFERROR(VLOOKUP(A55,'Centre DW11'!$A$7:$N$160,6,FALSE),0)+
IFERROR(VLOOKUP(A55,'Centre WP11'!$A$7:$N$160,6,FALSE),0)+
IFERROR(VLOOKUP(A55,'Centre WR11'!$A$7:$N$160,6,FALSE),0)+
IFERROR(VLOOKUP(A55,'Centre WV11'!$A$7:$N$160,6,FALSE),0)</f>
        <v>0</v>
      </c>
      <c r="G55" s="10">
        <f>IFERROR(VLOOKUP(A55,'Centre DW11'!$A$7:$N$160,7,FALSE),0)+
IFERROR(VLOOKUP(A55,'Centre WP11'!$A$7:$N$160,7,FALSE),0)+
IFERROR(VLOOKUP(A55,'Centre WR11'!$A$7:$N$160,7,FALSE),0)+
IFERROR(VLOOKUP(A55,'Centre WV11'!$A$7:$N$160,7,FALSE),0)</f>
        <v>0.6</v>
      </c>
      <c r="H55" s="10">
        <f>IFERROR(VLOOKUP(A55,'Centre DW11'!$A$7:$N$160,8,FALSE),0)+
IFERROR(VLOOKUP(A55,'Centre WP11'!$A$7:$N$160,8,FALSE),0)+
IFERROR(VLOOKUP(A55,'Centre WR11'!$A$7:$N$160,8,FALSE),0)+
IFERROR(VLOOKUP(A55,'Centre WV11'!$A$7:$N$160,8,FALSE),0)</f>
        <v>2.4</v>
      </c>
      <c r="I55" s="10">
        <f>IFERROR(VLOOKUP(A55,'Centre DW11'!$A$7:$N$160,9,FALSE),0)+
IFERROR(VLOOKUP(A55,'Centre WP11'!$A$7:$N$160,9,FALSE),0)+
IFERROR(VLOOKUP(A55,'Centre WR11'!$A$7:$N$160,9,FALSE),0)+
IFERROR(VLOOKUP(A55,'Centre WV11'!$A$7:$N$160,9,FALSE),0)</f>
        <v>-1.7</v>
      </c>
      <c r="J55" s="10">
        <f>IFERROR(VLOOKUP(A55,'Centre DW11'!$A$7:$N$160,10,FALSE),0)+
IFERROR(VLOOKUP(A55,'Centre WP11'!$A$7:$N$160,10,FALSE),0)+
IFERROR(VLOOKUP(A55,'Centre WR11'!$A$7:$N$160,10,FALSE),0)+
IFERROR(VLOOKUP(A55,'Centre WV11'!$A$7:$N$160,10,FALSE),0)</f>
        <v>0.2</v>
      </c>
      <c r="K55" s="10">
        <f>IFERROR(VLOOKUP(A55,'Centre DW11'!$A$7:$N$160,11,FALSE),0)+
IFERROR(VLOOKUP(A55,'Centre WP11'!$A$7:$N$160,11,FALSE),0)+
IFERROR(VLOOKUP(A55,'Centre WR11'!$A$7:$N$160,11,FALSE),0)+
IFERROR(VLOOKUP(A55,'Centre WV11'!$A$7:$N$160,11,FALSE),0)</f>
        <v>0</v>
      </c>
      <c r="L55" s="10">
        <f>IFERROR(VLOOKUP(A55,'Centre DW11'!$A$7:$N$160,12,FALSE),0)+
IFERROR(VLOOKUP(A55,'Centre WP11'!$A$7:$N$160,12,FALSE),0)+
IFERROR(VLOOKUP(A55,'Centre WR11'!$A$7:$N$160,12,FALSE),0)+
IFERROR(VLOOKUP(A55,'Centre WV11'!$A$7:$N$160,12,FALSE),0)</f>
        <v>0.6</v>
      </c>
      <c r="M55" s="10">
        <f>IFERROR(VLOOKUP(A55,'Centre DW11'!$A$7:$N$160,13,FALSE),0)+
IFERROR(VLOOKUP(A55,'Centre WP11'!$A$7:$N$160,13,FALSE),0)+
IFERROR(VLOOKUP(A55,'Centre WR11'!$A$7:$N$160,13,FALSE),0)+
IFERROR(VLOOKUP(A55,'Centre WV11'!$A$7:$N$160,13,FALSE),0)</f>
        <v>2.4</v>
      </c>
      <c r="N55" s="10">
        <f>IFERROR(VLOOKUP(A55,'Centre DW11'!$A$7:$N$160,14,FALSE),0)+
IFERROR(VLOOKUP(A55,'Centre WP11'!$A$7:$N$160,14,FALSE),0)+
IFERROR(VLOOKUP(A55,'Centre WR11'!$A$7:$N$160,14,FALSE),0)+
IFERROR(VLOOKUP(A55,'Centre WV11'!$A$7:$N$160,14,FALSE),0)</f>
        <v>-1.7</v>
      </c>
    </row>
    <row r="56" spans="1:14" hidden="1" outlineLevel="1" x14ac:dyDescent="0.2">
      <c r="A56" s="9" t="s">
        <v>307</v>
      </c>
      <c r="B56" s="1" t="s">
        <v>308</v>
      </c>
      <c r="C56" s="10">
        <f>IFERROR(VLOOKUP(A56,'Centre DW11'!$A$7:$N$160,3,FALSE),0)+
IFERROR(VLOOKUP(A56,'Centre WP11'!$A$7:$N$160,3,FALSE),0)+
IFERROR(VLOOKUP(A56,'Centre WR11'!$A$7:$N$160,3,FALSE),0)+
IFERROR(VLOOKUP(A56,'Centre WV11'!$A$7:$N$160,3,FALSE),0)</f>
        <v>0</v>
      </c>
      <c r="D56" s="10">
        <f>IFERROR(VLOOKUP(A56,'Centre DW11'!$A$7:$N$160,4,FALSE),0)+
IFERROR(VLOOKUP(A56,'Centre WP11'!$A$7:$N$160,4,FALSE),0)+
IFERROR(VLOOKUP(A56,'Centre WR11'!$A$7:$N$160,4,FALSE),0)+
IFERROR(VLOOKUP(A56,'Centre WV11'!$A$7:$N$160,4,FALSE),0)</f>
        <v>0</v>
      </c>
      <c r="E56" s="10">
        <f>IFERROR(VLOOKUP(A56,'Centre DW11'!$A$7:$N$160,5,FALSE),0)+
IFERROR(VLOOKUP(A56,'Centre WP11'!$A$7:$N$160,5,FALSE),0)+
IFERROR(VLOOKUP(A56,'Centre WR11'!$A$7:$N$160,5,FALSE),0)+
IFERROR(VLOOKUP(A56,'Centre WV11'!$A$7:$N$160,5,FALSE),0)</f>
        <v>0</v>
      </c>
      <c r="F56" s="10">
        <f>IFERROR(VLOOKUP(A56,'Centre DW11'!$A$7:$N$160,6,FALSE),0)+
IFERROR(VLOOKUP(A56,'Centre WP11'!$A$7:$N$160,6,FALSE),0)+
IFERROR(VLOOKUP(A56,'Centre WR11'!$A$7:$N$160,6,FALSE),0)+
IFERROR(VLOOKUP(A56,'Centre WV11'!$A$7:$N$160,6,FALSE),0)</f>
        <v>0</v>
      </c>
      <c r="G56" s="10">
        <f>IFERROR(VLOOKUP(A56,'Centre DW11'!$A$7:$N$160,7,FALSE),0)+
IFERROR(VLOOKUP(A56,'Centre WP11'!$A$7:$N$160,7,FALSE),0)+
IFERROR(VLOOKUP(A56,'Centre WR11'!$A$7:$N$160,7,FALSE),0)+
IFERROR(VLOOKUP(A56,'Centre WV11'!$A$7:$N$160,7,FALSE),0)</f>
        <v>0.9</v>
      </c>
      <c r="H56" s="10">
        <f>IFERROR(VLOOKUP(A56,'Centre DW11'!$A$7:$N$160,8,FALSE),0)+
IFERROR(VLOOKUP(A56,'Centre WP11'!$A$7:$N$160,8,FALSE),0)+
IFERROR(VLOOKUP(A56,'Centre WR11'!$A$7:$N$160,8,FALSE),0)+
IFERROR(VLOOKUP(A56,'Centre WV11'!$A$7:$N$160,8,FALSE),0)</f>
        <v>0</v>
      </c>
      <c r="I56" s="10">
        <f>IFERROR(VLOOKUP(A56,'Centre DW11'!$A$7:$N$160,9,FALSE),0)+
IFERROR(VLOOKUP(A56,'Centre WP11'!$A$7:$N$160,9,FALSE),0)+
IFERROR(VLOOKUP(A56,'Centre WR11'!$A$7:$N$160,9,FALSE),0)+
IFERROR(VLOOKUP(A56,'Centre WV11'!$A$7:$N$160,9,FALSE),0)</f>
        <v>0</v>
      </c>
      <c r="J56" s="10">
        <f>IFERROR(VLOOKUP(A56,'Centre DW11'!$A$7:$N$160,10,FALSE),0)+
IFERROR(VLOOKUP(A56,'Centre WP11'!$A$7:$N$160,10,FALSE),0)+
IFERROR(VLOOKUP(A56,'Centre WR11'!$A$7:$N$160,10,FALSE),0)+
IFERROR(VLOOKUP(A56,'Centre WV11'!$A$7:$N$160,10,FALSE),0)</f>
        <v>0</v>
      </c>
      <c r="K56" s="10">
        <f>IFERROR(VLOOKUP(A56,'Centre DW11'!$A$7:$N$160,11,FALSE),0)+
IFERROR(VLOOKUP(A56,'Centre WP11'!$A$7:$N$160,11,FALSE),0)+
IFERROR(VLOOKUP(A56,'Centre WR11'!$A$7:$N$160,11,FALSE),0)+
IFERROR(VLOOKUP(A56,'Centre WV11'!$A$7:$N$160,11,FALSE),0)</f>
        <v>0</v>
      </c>
      <c r="L56" s="10">
        <f>IFERROR(VLOOKUP(A56,'Centre DW11'!$A$7:$N$160,12,FALSE),0)+
IFERROR(VLOOKUP(A56,'Centre WP11'!$A$7:$N$160,12,FALSE),0)+
IFERROR(VLOOKUP(A56,'Centre WR11'!$A$7:$N$160,12,FALSE),0)+
IFERROR(VLOOKUP(A56,'Centre WV11'!$A$7:$N$160,12,FALSE),0)</f>
        <v>0.9</v>
      </c>
      <c r="M56" s="10">
        <f>IFERROR(VLOOKUP(A56,'Centre DW11'!$A$7:$N$160,13,FALSE),0)+
IFERROR(VLOOKUP(A56,'Centre WP11'!$A$7:$N$160,13,FALSE),0)+
IFERROR(VLOOKUP(A56,'Centre WR11'!$A$7:$N$160,13,FALSE),0)+
IFERROR(VLOOKUP(A56,'Centre WV11'!$A$7:$N$160,13,FALSE),0)</f>
        <v>0</v>
      </c>
      <c r="N56" s="10">
        <f>IFERROR(VLOOKUP(A56,'Centre DW11'!$A$7:$N$160,14,FALSE),0)+
IFERROR(VLOOKUP(A56,'Centre WP11'!$A$7:$N$160,14,FALSE),0)+
IFERROR(VLOOKUP(A56,'Centre WR11'!$A$7:$N$160,14,FALSE),0)+
IFERROR(VLOOKUP(A56,'Centre WV11'!$A$7:$N$160,14,FALSE),0)</f>
        <v>0</v>
      </c>
    </row>
    <row r="57" spans="1:14" collapsed="1" x14ac:dyDescent="0.2">
      <c r="A57" s="33" t="s">
        <v>111</v>
      </c>
      <c r="B57" s="34" t="s">
        <v>112</v>
      </c>
      <c r="C57" s="44">
        <f t="shared" ref="C57:M57" si="18">SUM(C58:C62)</f>
        <v>1.8</v>
      </c>
      <c r="D57" s="44">
        <f t="shared" si="18"/>
        <v>3.5</v>
      </c>
      <c r="E57" s="44">
        <f t="shared" si="18"/>
        <v>4.1999999999999993</v>
      </c>
      <c r="F57" s="44">
        <f t="shared" si="18"/>
        <v>0.8</v>
      </c>
      <c r="G57" s="44">
        <f t="shared" si="18"/>
        <v>1.3</v>
      </c>
      <c r="H57" s="44">
        <f t="shared" si="18"/>
        <v>1.5</v>
      </c>
      <c r="I57" s="44">
        <f t="shared" si="18"/>
        <v>1.4</v>
      </c>
      <c r="J57" s="44">
        <f t="shared" si="18"/>
        <v>4.1999999999999993</v>
      </c>
      <c r="K57" s="44">
        <f t="shared" si="18"/>
        <v>0.8</v>
      </c>
      <c r="L57" s="44">
        <f t="shared" si="18"/>
        <v>1.3</v>
      </c>
      <c r="M57" s="44">
        <f t="shared" si="18"/>
        <v>1.5</v>
      </c>
      <c r="N57" s="44">
        <f t="shared" ref="N57" si="19">SUM(N58:N62)</f>
        <v>1.4</v>
      </c>
    </row>
    <row r="58" spans="1:14" hidden="1" outlineLevel="1" x14ac:dyDescent="0.2">
      <c r="A58" s="9" t="s">
        <v>113</v>
      </c>
      <c r="B58" s="1" t="s">
        <v>114</v>
      </c>
      <c r="C58" s="10">
        <f>IFERROR(VLOOKUP(A58,'Centre DW11'!$A$7:$N$160,3,FALSE),0)+
IFERROR(VLOOKUP(A58,'Centre WP11'!$A$7:$N$160,3,FALSE),0)+
IFERROR(VLOOKUP(A58,'Centre WR11'!$A$7:$N$160,3,FALSE),0)+
IFERROR(VLOOKUP(A58,'Centre WV11'!$A$7:$N$160,3,FALSE),0)</f>
        <v>0.2</v>
      </c>
      <c r="D58" s="10">
        <f>IFERROR(VLOOKUP(A58,'Centre DW11'!$A$7:$N$160,4,FALSE),0)+
IFERROR(VLOOKUP(A58,'Centre WP11'!$A$7:$N$160,4,FALSE),0)+
IFERROR(VLOOKUP(A58,'Centre WR11'!$A$7:$N$160,4,FALSE),0)+
IFERROR(VLOOKUP(A58,'Centre WV11'!$A$7:$N$160,4,FALSE),0)</f>
        <v>0</v>
      </c>
      <c r="E58" s="10">
        <f>IFERROR(VLOOKUP(A58,'Centre DW11'!$A$7:$N$160,5,FALSE),0)+
IFERROR(VLOOKUP(A58,'Centre WP11'!$A$7:$N$160,5,FALSE),0)+
IFERROR(VLOOKUP(A58,'Centre WR11'!$A$7:$N$160,5,FALSE),0)+
IFERROR(VLOOKUP(A58,'Centre WV11'!$A$7:$N$160,5,FALSE),0)</f>
        <v>0.9</v>
      </c>
      <c r="F58" s="10">
        <f>IFERROR(VLOOKUP(A58,'Centre DW11'!$A$7:$N$160,6,FALSE),0)+
IFERROR(VLOOKUP(A58,'Centre WP11'!$A$7:$N$160,6,FALSE),0)+
IFERROR(VLOOKUP(A58,'Centre WR11'!$A$7:$N$160,6,FALSE),0)+
IFERROR(VLOOKUP(A58,'Centre WV11'!$A$7:$N$160,6,FALSE),0)</f>
        <v>-0.6</v>
      </c>
      <c r="G58" s="10">
        <f>IFERROR(VLOOKUP(A58,'Centre DW11'!$A$7:$N$160,7,FALSE),0)+
IFERROR(VLOOKUP(A58,'Centre WP11'!$A$7:$N$160,7,FALSE),0)+
IFERROR(VLOOKUP(A58,'Centre WR11'!$A$7:$N$160,7,FALSE),0)+
IFERROR(VLOOKUP(A58,'Centre WV11'!$A$7:$N$160,7,FALSE),0)</f>
        <v>0</v>
      </c>
      <c r="H58" s="10">
        <f>IFERROR(VLOOKUP(A58,'Centre DW11'!$A$7:$N$160,8,FALSE),0)+
IFERROR(VLOOKUP(A58,'Centre WP11'!$A$7:$N$160,8,FALSE),0)+
IFERROR(VLOOKUP(A58,'Centre WR11'!$A$7:$N$160,8,FALSE),0)+
IFERROR(VLOOKUP(A58,'Centre WV11'!$A$7:$N$160,8,FALSE),0)</f>
        <v>0</v>
      </c>
      <c r="I58" s="10">
        <f>IFERROR(VLOOKUP(A58,'Centre DW11'!$A$7:$N$160,9,FALSE),0)+
IFERROR(VLOOKUP(A58,'Centre WP11'!$A$7:$N$160,9,FALSE),0)+
IFERROR(VLOOKUP(A58,'Centre WR11'!$A$7:$N$160,9,FALSE),0)+
IFERROR(VLOOKUP(A58,'Centre WV11'!$A$7:$N$160,9,FALSE),0)</f>
        <v>0</v>
      </c>
      <c r="J58" s="10">
        <f>IFERROR(VLOOKUP(A58,'Centre DW11'!$A$7:$N$160,10,FALSE),0)+
IFERROR(VLOOKUP(A58,'Centre WP11'!$A$7:$N$160,10,FALSE),0)+
IFERROR(VLOOKUP(A58,'Centre WR11'!$A$7:$N$160,10,FALSE),0)+
IFERROR(VLOOKUP(A58,'Centre WV11'!$A$7:$N$160,10,FALSE),0)</f>
        <v>0.9</v>
      </c>
      <c r="K58" s="10">
        <f>IFERROR(VLOOKUP(A58,'Centre DW11'!$A$7:$N$160,11,FALSE),0)+
IFERROR(VLOOKUP(A58,'Centre WP11'!$A$7:$N$160,11,FALSE),0)+
IFERROR(VLOOKUP(A58,'Centre WR11'!$A$7:$N$160,11,FALSE),0)+
IFERROR(VLOOKUP(A58,'Centre WV11'!$A$7:$N$160,11,FALSE),0)</f>
        <v>-0.6</v>
      </c>
      <c r="L58" s="10">
        <f>IFERROR(VLOOKUP(A58,'Centre DW11'!$A$7:$N$160,12,FALSE),0)+
IFERROR(VLOOKUP(A58,'Centre WP11'!$A$7:$N$160,12,FALSE),0)+
IFERROR(VLOOKUP(A58,'Centre WR11'!$A$7:$N$160,12,FALSE),0)+
IFERROR(VLOOKUP(A58,'Centre WV11'!$A$7:$N$160,12,FALSE),0)</f>
        <v>0</v>
      </c>
      <c r="M58" s="10">
        <f>IFERROR(VLOOKUP(A58,'Centre DW11'!$A$7:$N$160,13,FALSE),0)+
IFERROR(VLOOKUP(A58,'Centre WP11'!$A$7:$N$160,13,FALSE),0)+
IFERROR(VLOOKUP(A58,'Centre WR11'!$A$7:$N$160,13,FALSE),0)+
IFERROR(VLOOKUP(A58,'Centre WV11'!$A$7:$N$160,13,FALSE),0)</f>
        <v>0</v>
      </c>
      <c r="N58" s="10">
        <f>IFERROR(VLOOKUP(A58,'Centre DW11'!$A$7:$N$160,14,FALSE),0)+
IFERROR(VLOOKUP(A58,'Centre WP11'!$A$7:$N$160,14,FALSE),0)+
IFERROR(VLOOKUP(A58,'Centre WR11'!$A$7:$N$160,14,FALSE),0)+
IFERROR(VLOOKUP(A58,'Centre WV11'!$A$7:$N$160,14,FALSE),0)</f>
        <v>0</v>
      </c>
    </row>
    <row r="59" spans="1:14" hidden="1" outlineLevel="1" x14ac:dyDescent="0.2">
      <c r="A59" s="9" t="s">
        <v>115</v>
      </c>
      <c r="B59" s="1" t="s">
        <v>116</v>
      </c>
      <c r="C59" s="10">
        <f>IFERROR(VLOOKUP(A59,'Centre DW11'!$A$7:$N$160,3,FALSE),0)+
IFERROR(VLOOKUP(A59,'Centre WP11'!$A$7:$N$160,3,FALSE),0)+
IFERROR(VLOOKUP(A59,'Centre WR11'!$A$7:$N$160,3,FALSE),0)+
IFERROR(VLOOKUP(A59,'Centre WV11'!$A$7:$N$160,3,FALSE),0)</f>
        <v>1.5</v>
      </c>
      <c r="D59" s="10">
        <f>IFERROR(VLOOKUP(A59,'Centre DW11'!$A$7:$N$160,4,FALSE),0)+
IFERROR(VLOOKUP(A59,'Centre WP11'!$A$7:$N$160,4,FALSE),0)+
IFERROR(VLOOKUP(A59,'Centre WR11'!$A$7:$N$160,4,FALSE),0)+
IFERROR(VLOOKUP(A59,'Centre WV11'!$A$7:$N$160,4,FALSE),0)</f>
        <v>3.1</v>
      </c>
      <c r="E59" s="10">
        <f>IFERROR(VLOOKUP(A59,'Centre DW11'!$A$7:$N$160,5,FALSE),0)+
IFERROR(VLOOKUP(A59,'Centre WP11'!$A$7:$N$160,5,FALSE),0)+
IFERROR(VLOOKUP(A59,'Centre WR11'!$A$7:$N$160,5,FALSE),0)+
IFERROR(VLOOKUP(A59,'Centre WV11'!$A$7:$N$160,5,FALSE),0)</f>
        <v>1.4</v>
      </c>
      <c r="F59" s="10">
        <f>IFERROR(VLOOKUP(A59,'Centre DW11'!$A$7:$N$160,6,FALSE),0)+
IFERROR(VLOOKUP(A59,'Centre WP11'!$A$7:$N$160,6,FALSE),0)+
IFERROR(VLOOKUP(A59,'Centre WR11'!$A$7:$N$160,6,FALSE),0)+
IFERROR(VLOOKUP(A59,'Centre WV11'!$A$7:$N$160,6,FALSE),0)</f>
        <v>1.3</v>
      </c>
      <c r="G59" s="10">
        <f>IFERROR(VLOOKUP(A59,'Centre DW11'!$A$7:$N$160,7,FALSE),0)+
IFERROR(VLOOKUP(A59,'Centre WP11'!$A$7:$N$160,7,FALSE),0)+
IFERROR(VLOOKUP(A59,'Centre WR11'!$A$7:$N$160,7,FALSE),0)+
IFERROR(VLOOKUP(A59,'Centre WV11'!$A$7:$N$160,7,FALSE),0)</f>
        <v>1.2</v>
      </c>
      <c r="H59" s="10">
        <f>IFERROR(VLOOKUP(A59,'Centre DW11'!$A$7:$N$160,8,FALSE),0)+
IFERROR(VLOOKUP(A59,'Centre WP11'!$A$7:$N$160,8,FALSE),0)+
IFERROR(VLOOKUP(A59,'Centre WR11'!$A$7:$N$160,8,FALSE),0)+
IFERROR(VLOOKUP(A59,'Centre WV11'!$A$7:$N$160,8,FALSE),0)</f>
        <v>1.5</v>
      </c>
      <c r="I59" s="10">
        <f>IFERROR(VLOOKUP(A59,'Centre DW11'!$A$7:$N$160,9,FALSE),0)+
IFERROR(VLOOKUP(A59,'Centre WP11'!$A$7:$N$160,9,FALSE),0)+
IFERROR(VLOOKUP(A59,'Centre WR11'!$A$7:$N$160,9,FALSE),0)+
IFERROR(VLOOKUP(A59,'Centre WV11'!$A$7:$N$160,9,FALSE),0)</f>
        <v>-0.2</v>
      </c>
      <c r="J59" s="10">
        <f>IFERROR(VLOOKUP(A59,'Centre DW11'!$A$7:$N$160,10,FALSE),0)+
IFERROR(VLOOKUP(A59,'Centre WP11'!$A$7:$N$160,10,FALSE),0)+
IFERROR(VLOOKUP(A59,'Centre WR11'!$A$7:$N$160,10,FALSE),0)+
IFERROR(VLOOKUP(A59,'Centre WV11'!$A$7:$N$160,10,FALSE),0)</f>
        <v>1.4</v>
      </c>
      <c r="K59" s="10">
        <f>IFERROR(VLOOKUP(A59,'Centre DW11'!$A$7:$N$160,11,FALSE),0)+
IFERROR(VLOOKUP(A59,'Centre WP11'!$A$7:$N$160,11,FALSE),0)+
IFERROR(VLOOKUP(A59,'Centre WR11'!$A$7:$N$160,11,FALSE),0)+
IFERROR(VLOOKUP(A59,'Centre WV11'!$A$7:$N$160,11,FALSE),0)</f>
        <v>1.3</v>
      </c>
      <c r="L59" s="10">
        <f>IFERROR(VLOOKUP(A59,'Centre DW11'!$A$7:$N$160,12,FALSE),0)+
IFERROR(VLOOKUP(A59,'Centre WP11'!$A$7:$N$160,12,FALSE),0)+
IFERROR(VLOOKUP(A59,'Centre WR11'!$A$7:$N$160,12,FALSE),0)+
IFERROR(VLOOKUP(A59,'Centre WV11'!$A$7:$N$160,12,FALSE),0)</f>
        <v>1.2</v>
      </c>
      <c r="M59" s="10">
        <f>IFERROR(VLOOKUP(A59,'Centre DW11'!$A$7:$N$160,13,FALSE),0)+
IFERROR(VLOOKUP(A59,'Centre WP11'!$A$7:$N$160,13,FALSE),0)+
IFERROR(VLOOKUP(A59,'Centre WR11'!$A$7:$N$160,13,FALSE),0)+
IFERROR(VLOOKUP(A59,'Centre WV11'!$A$7:$N$160,13,FALSE),0)</f>
        <v>1.5</v>
      </c>
      <c r="N59" s="10">
        <f>IFERROR(VLOOKUP(A59,'Centre DW11'!$A$7:$N$160,14,FALSE),0)+
IFERROR(VLOOKUP(A59,'Centre WP11'!$A$7:$N$160,14,FALSE),0)+
IFERROR(VLOOKUP(A59,'Centre WR11'!$A$7:$N$160,14,FALSE),0)+
IFERROR(VLOOKUP(A59,'Centre WV11'!$A$7:$N$160,14,FALSE),0)</f>
        <v>-0.2</v>
      </c>
    </row>
    <row r="60" spans="1:14" hidden="1" outlineLevel="1" x14ac:dyDescent="0.2">
      <c r="A60" s="9" t="s">
        <v>311</v>
      </c>
      <c r="B60" s="1" t="s">
        <v>312</v>
      </c>
      <c r="C60" s="10">
        <f>IFERROR(VLOOKUP(A60,'Centre DW11'!$A$7:$N$160,3,FALSE),0)+
IFERROR(VLOOKUP(A60,'Centre WP11'!$A$7:$N$160,3,FALSE),0)+
IFERROR(VLOOKUP(A60,'Centre WR11'!$A$7:$N$160,3,FALSE),0)+
IFERROR(VLOOKUP(A60,'Centre WV11'!$A$7:$N$160,3,FALSE),0)</f>
        <v>0.1</v>
      </c>
      <c r="D60" s="10">
        <f>IFERROR(VLOOKUP(A60,'Centre DW11'!$A$7:$N$160,4,FALSE),0)+
IFERROR(VLOOKUP(A60,'Centre WP11'!$A$7:$N$160,4,FALSE),0)+
IFERROR(VLOOKUP(A60,'Centre WR11'!$A$7:$N$160,4,FALSE),0)+
IFERROR(VLOOKUP(A60,'Centre WV11'!$A$7:$N$160,4,FALSE),0)</f>
        <v>0</v>
      </c>
      <c r="E60" s="10">
        <f>IFERROR(VLOOKUP(A60,'Centre DW11'!$A$7:$N$160,5,FALSE),0)+
IFERROR(VLOOKUP(A60,'Centre WP11'!$A$7:$N$160,5,FALSE),0)+
IFERROR(VLOOKUP(A60,'Centre WR11'!$A$7:$N$160,5,FALSE),0)+
IFERROR(VLOOKUP(A60,'Centre WV11'!$A$7:$N$160,5,FALSE),0)</f>
        <v>1.3</v>
      </c>
      <c r="F60" s="10">
        <f>IFERROR(VLOOKUP(A60,'Centre DW11'!$A$7:$N$160,6,FALSE),0)+
IFERROR(VLOOKUP(A60,'Centre WP11'!$A$7:$N$160,6,FALSE),0)+
IFERROR(VLOOKUP(A60,'Centre WR11'!$A$7:$N$160,6,FALSE),0)+
IFERROR(VLOOKUP(A60,'Centre WV11'!$A$7:$N$160,6,FALSE),0)</f>
        <v>0.1</v>
      </c>
      <c r="G60" s="10">
        <f>IFERROR(VLOOKUP(A60,'Centre DW11'!$A$7:$N$160,7,FALSE),0)+
IFERROR(VLOOKUP(A60,'Centre WP11'!$A$7:$N$160,7,FALSE),0)+
IFERROR(VLOOKUP(A60,'Centre WR11'!$A$7:$N$160,7,FALSE),0)+
IFERROR(VLOOKUP(A60,'Centre WV11'!$A$7:$N$160,7,FALSE),0)</f>
        <v>0.1</v>
      </c>
      <c r="H60" s="10">
        <f>IFERROR(VLOOKUP(A60,'Centre DW11'!$A$7:$N$160,8,FALSE),0)+
IFERROR(VLOOKUP(A60,'Centre WP11'!$A$7:$N$160,8,FALSE),0)+
IFERROR(VLOOKUP(A60,'Centre WR11'!$A$7:$N$160,8,FALSE),0)+
IFERROR(VLOOKUP(A60,'Centre WV11'!$A$7:$N$160,8,FALSE),0)</f>
        <v>0</v>
      </c>
      <c r="I60" s="10">
        <f>IFERROR(VLOOKUP(A60,'Centre DW11'!$A$7:$N$160,9,FALSE),0)+
IFERROR(VLOOKUP(A60,'Centre WP11'!$A$7:$N$160,9,FALSE),0)+
IFERROR(VLOOKUP(A60,'Centre WR11'!$A$7:$N$160,9,FALSE),0)+
IFERROR(VLOOKUP(A60,'Centre WV11'!$A$7:$N$160,9,FALSE),0)</f>
        <v>0.79999999999999993</v>
      </c>
      <c r="J60" s="10">
        <f>IFERROR(VLOOKUP(A60,'Centre DW11'!$A$7:$N$160,10,FALSE),0)+
IFERROR(VLOOKUP(A60,'Centre WP11'!$A$7:$N$160,10,FALSE),0)+
IFERROR(VLOOKUP(A60,'Centre WR11'!$A$7:$N$160,10,FALSE),0)+
IFERROR(VLOOKUP(A60,'Centre WV11'!$A$7:$N$160,10,FALSE),0)</f>
        <v>1.3</v>
      </c>
      <c r="K60" s="10">
        <f>IFERROR(VLOOKUP(A60,'Centre DW11'!$A$7:$N$160,11,FALSE),0)+
IFERROR(VLOOKUP(A60,'Centre WP11'!$A$7:$N$160,11,FALSE),0)+
IFERROR(VLOOKUP(A60,'Centre WR11'!$A$7:$N$160,11,FALSE),0)+
IFERROR(VLOOKUP(A60,'Centre WV11'!$A$7:$N$160,11,FALSE),0)</f>
        <v>0.1</v>
      </c>
      <c r="L60" s="10">
        <f>IFERROR(VLOOKUP(A60,'Centre DW11'!$A$7:$N$160,12,FALSE),0)+
IFERROR(VLOOKUP(A60,'Centre WP11'!$A$7:$N$160,12,FALSE),0)+
IFERROR(VLOOKUP(A60,'Centre WR11'!$A$7:$N$160,12,FALSE),0)+
IFERROR(VLOOKUP(A60,'Centre WV11'!$A$7:$N$160,12,FALSE),0)</f>
        <v>0.1</v>
      </c>
      <c r="M60" s="10">
        <f>IFERROR(VLOOKUP(A60,'Centre DW11'!$A$7:$N$160,13,FALSE),0)+
IFERROR(VLOOKUP(A60,'Centre WP11'!$A$7:$N$160,13,FALSE),0)+
IFERROR(VLOOKUP(A60,'Centre WR11'!$A$7:$N$160,13,FALSE),0)+
IFERROR(VLOOKUP(A60,'Centre WV11'!$A$7:$N$160,13,FALSE),0)</f>
        <v>0</v>
      </c>
      <c r="N60" s="10">
        <f>IFERROR(VLOOKUP(A60,'Centre DW11'!$A$7:$N$160,14,FALSE),0)+
IFERROR(VLOOKUP(A60,'Centre WP11'!$A$7:$N$160,14,FALSE),0)+
IFERROR(VLOOKUP(A60,'Centre WR11'!$A$7:$N$160,14,FALSE),0)+
IFERROR(VLOOKUP(A60,'Centre WV11'!$A$7:$N$160,14,FALSE),0)</f>
        <v>0.79999999999999993</v>
      </c>
    </row>
    <row r="61" spans="1:14" hidden="1" outlineLevel="1" x14ac:dyDescent="0.2">
      <c r="A61" s="9" t="s">
        <v>117</v>
      </c>
      <c r="B61" s="1" t="s">
        <v>118</v>
      </c>
      <c r="C61" s="10">
        <f>IFERROR(VLOOKUP(A61,'Centre DW11'!$A$7:$N$160,3,FALSE),0)+
IFERROR(VLOOKUP(A61,'Centre WP11'!$A$7:$N$160,3,FALSE),0)+
IFERROR(VLOOKUP(A61,'Centre WR11'!$A$7:$N$160,3,FALSE),0)+
IFERROR(VLOOKUP(A61,'Centre WV11'!$A$7:$N$160,3,FALSE),0)</f>
        <v>0</v>
      </c>
      <c r="D61" s="10">
        <f>IFERROR(VLOOKUP(A61,'Centre DW11'!$A$7:$N$160,4,FALSE),0)+
IFERROR(VLOOKUP(A61,'Centre WP11'!$A$7:$N$160,4,FALSE),0)+
IFERROR(VLOOKUP(A61,'Centre WR11'!$A$7:$N$160,4,FALSE),0)+
IFERROR(VLOOKUP(A61,'Centre WV11'!$A$7:$N$160,4,FALSE),0)</f>
        <v>0.4</v>
      </c>
      <c r="E61" s="10">
        <f>IFERROR(VLOOKUP(A61,'Centre DW11'!$A$7:$N$160,5,FALSE),0)+
IFERROR(VLOOKUP(A61,'Centre WP11'!$A$7:$N$160,5,FALSE),0)+
IFERROR(VLOOKUP(A61,'Centre WR11'!$A$7:$N$160,5,FALSE),0)+
IFERROR(VLOOKUP(A61,'Centre WV11'!$A$7:$N$160,5,FALSE),0)</f>
        <v>0.6</v>
      </c>
      <c r="F61" s="10">
        <f>IFERROR(VLOOKUP(A61,'Centre DW11'!$A$7:$N$160,6,FALSE),0)+
IFERROR(VLOOKUP(A61,'Centre WP11'!$A$7:$N$160,6,FALSE),0)+
IFERROR(VLOOKUP(A61,'Centre WR11'!$A$7:$N$160,6,FALSE),0)+
IFERROR(VLOOKUP(A61,'Centre WV11'!$A$7:$N$160,6,FALSE),0)</f>
        <v>0</v>
      </c>
      <c r="G61" s="10">
        <f>IFERROR(VLOOKUP(A61,'Centre DW11'!$A$7:$N$160,7,FALSE),0)+
IFERROR(VLOOKUP(A61,'Centre WP11'!$A$7:$N$160,7,FALSE),0)+
IFERROR(VLOOKUP(A61,'Centre WR11'!$A$7:$N$160,7,FALSE),0)+
IFERROR(VLOOKUP(A61,'Centre WV11'!$A$7:$N$160,7,FALSE),0)</f>
        <v>0</v>
      </c>
      <c r="H61" s="10">
        <f>IFERROR(VLOOKUP(A61,'Centre DW11'!$A$7:$N$160,8,FALSE),0)+
IFERROR(VLOOKUP(A61,'Centre WP11'!$A$7:$N$160,8,FALSE),0)+
IFERROR(VLOOKUP(A61,'Centre WR11'!$A$7:$N$160,8,FALSE),0)+
IFERROR(VLOOKUP(A61,'Centre WV11'!$A$7:$N$160,8,FALSE),0)</f>
        <v>0</v>
      </c>
      <c r="I61" s="10">
        <f>IFERROR(VLOOKUP(A61,'Centre DW11'!$A$7:$N$160,9,FALSE),0)+
IFERROR(VLOOKUP(A61,'Centre WP11'!$A$7:$N$160,9,FALSE),0)+
IFERROR(VLOOKUP(A61,'Centre WR11'!$A$7:$N$160,9,FALSE),0)+
IFERROR(VLOOKUP(A61,'Centre WV11'!$A$7:$N$160,9,FALSE),0)</f>
        <v>0.8</v>
      </c>
      <c r="J61" s="10">
        <f>IFERROR(VLOOKUP(A61,'Centre DW11'!$A$7:$N$160,10,FALSE),0)+
IFERROR(VLOOKUP(A61,'Centre WP11'!$A$7:$N$160,10,FALSE),0)+
IFERROR(VLOOKUP(A61,'Centre WR11'!$A$7:$N$160,10,FALSE),0)+
IFERROR(VLOOKUP(A61,'Centre WV11'!$A$7:$N$160,10,FALSE),0)</f>
        <v>0.6</v>
      </c>
      <c r="K61" s="10">
        <f>IFERROR(VLOOKUP(A61,'Centre DW11'!$A$7:$N$160,11,FALSE),0)+
IFERROR(VLOOKUP(A61,'Centre WP11'!$A$7:$N$160,11,FALSE),0)+
IFERROR(VLOOKUP(A61,'Centre WR11'!$A$7:$N$160,11,FALSE),0)+
IFERROR(VLOOKUP(A61,'Centre WV11'!$A$7:$N$160,11,FALSE),0)</f>
        <v>0</v>
      </c>
      <c r="L61" s="10">
        <f>IFERROR(VLOOKUP(A61,'Centre DW11'!$A$7:$N$160,12,FALSE),0)+
IFERROR(VLOOKUP(A61,'Centre WP11'!$A$7:$N$160,12,FALSE),0)+
IFERROR(VLOOKUP(A61,'Centre WR11'!$A$7:$N$160,12,FALSE),0)+
IFERROR(VLOOKUP(A61,'Centre WV11'!$A$7:$N$160,12,FALSE),0)</f>
        <v>0</v>
      </c>
      <c r="M61" s="10">
        <f>IFERROR(VLOOKUP(A61,'Centre DW11'!$A$7:$N$160,13,FALSE),0)+
IFERROR(VLOOKUP(A61,'Centre WP11'!$A$7:$N$160,13,FALSE),0)+
IFERROR(VLOOKUP(A61,'Centre WR11'!$A$7:$N$160,13,FALSE),0)+
IFERROR(VLOOKUP(A61,'Centre WV11'!$A$7:$N$160,13,FALSE),0)</f>
        <v>0</v>
      </c>
      <c r="N61" s="10">
        <f>IFERROR(VLOOKUP(A61,'Centre DW11'!$A$7:$N$160,14,FALSE),0)+
IFERROR(VLOOKUP(A61,'Centre WP11'!$A$7:$N$160,14,FALSE),0)+
IFERROR(VLOOKUP(A61,'Centre WR11'!$A$7:$N$160,14,FALSE),0)+
IFERROR(VLOOKUP(A61,'Centre WV11'!$A$7:$N$160,14,FALSE),0)</f>
        <v>0.8</v>
      </c>
    </row>
    <row r="62" spans="1:14" hidden="1" outlineLevel="1" x14ac:dyDescent="0.2">
      <c r="A62" s="9" t="s">
        <v>313</v>
      </c>
      <c r="B62" s="1" t="s">
        <v>314</v>
      </c>
      <c r="C62" s="10">
        <f>IFERROR(VLOOKUP(A62,'Centre DW11'!$A$7:$N$160,3,FALSE),0)+
IFERROR(VLOOKUP(A62,'Centre WP11'!$A$7:$N$160,3,FALSE),0)+
IFERROR(VLOOKUP(A62,'Centre WR11'!$A$7:$N$160,3,FALSE),0)+
IFERROR(VLOOKUP(A62,'Centre WV11'!$A$7:$N$160,3,FALSE),0)</f>
        <v>0</v>
      </c>
      <c r="D62" s="10">
        <f>IFERROR(VLOOKUP(A62,'Centre DW11'!$A$7:$N$160,4,FALSE),0)+
IFERROR(VLOOKUP(A62,'Centre WP11'!$A$7:$N$160,4,FALSE),0)+
IFERROR(VLOOKUP(A62,'Centre WR11'!$A$7:$N$160,4,FALSE),0)+
IFERROR(VLOOKUP(A62,'Centre WV11'!$A$7:$N$160,4,FALSE),0)</f>
        <v>0</v>
      </c>
      <c r="E62" s="10">
        <f>IFERROR(VLOOKUP(A62,'Centre DW11'!$A$7:$N$160,5,FALSE),0)+
IFERROR(VLOOKUP(A62,'Centre WP11'!$A$7:$N$160,5,FALSE),0)+
IFERROR(VLOOKUP(A62,'Centre WR11'!$A$7:$N$160,5,FALSE),0)+
IFERROR(VLOOKUP(A62,'Centre WV11'!$A$7:$N$160,5,FALSE),0)</f>
        <v>0</v>
      </c>
      <c r="F62" s="10">
        <f>IFERROR(VLOOKUP(A62,'Centre DW11'!$A$7:$N$160,6,FALSE),0)+
IFERROR(VLOOKUP(A62,'Centre WP11'!$A$7:$N$160,6,FALSE),0)+
IFERROR(VLOOKUP(A62,'Centre WR11'!$A$7:$N$160,6,FALSE),0)+
IFERROR(VLOOKUP(A62,'Centre WV11'!$A$7:$N$160,6,FALSE),0)</f>
        <v>0</v>
      </c>
      <c r="G62" s="10">
        <f>IFERROR(VLOOKUP(A62,'Centre DW11'!$A$7:$N$160,7,FALSE),0)+
IFERROR(VLOOKUP(A62,'Centre WP11'!$A$7:$N$160,7,FALSE),0)+
IFERROR(VLOOKUP(A62,'Centre WR11'!$A$7:$N$160,7,FALSE),0)+
IFERROR(VLOOKUP(A62,'Centre WV11'!$A$7:$N$160,7,FALSE),0)</f>
        <v>0</v>
      </c>
      <c r="H62" s="10">
        <f>IFERROR(VLOOKUP(A62,'Centre DW11'!$A$7:$N$160,8,FALSE),0)+
IFERROR(VLOOKUP(A62,'Centre WP11'!$A$7:$N$160,8,FALSE),0)+
IFERROR(VLOOKUP(A62,'Centre WR11'!$A$7:$N$160,8,FALSE),0)+
IFERROR(VLOOKUP(A62,'Centre WV11'!$A$7:$N$160,8,FALSE),0)</f>
        <v>0</v>
      </c>
      <c r="I62" s="10">
        <f>IFERROR(VLOOKUP(A62,'Centre DW11'!$A$7:$N$160,9,FALSE),0)+
IFERROR(VLOOKUP(A62,'Centre WP11'!$A$7:$N$160,9,FALSE),0)+
IFERROR(VLOOKUP(A62,'Centre WR11'!$A$7:$N$160,9,FALSE),0)+
IFERROR(VLOOKUP(A62,'Centre WV11'!$A$7:$N$160,9,FALSE),0)</f>
        <v>0</v>
      </c>
      <c r="J62" s="10">
        <f>IFERROR(VLOOKUP(A62,'Centre DW11'!$A$7:$N$160,10,FALSE),0)+
IFERROR(VLOOKUP(A62,'Centre WP11'!$A$7:$N$160,10,FALSE),0)+
IFERROR(VLOOKUP(A62,'Centre WR11'!$A$7:$N$160,10,FALSE),0)+
IFERROR(VLOOKUP(A62,'Centre WV11'!$A$7:$N$160,10,FALSE),0)</f>
        <v>0</v>
      </c>
      <c r="K62" s="10">
        <f>IFERROR(VLOOKUP(A62,'Centre DW11'!$A$7:$N$160,11,FALSE),0)+
IFERROR(VLOOKUP(A62,'Centre WP11'!$A$7:$N$160,11,FALSE),0)+
IFERROR(VLOOKUP(A62,'Centre WR11'!$A$7:$N$160,11,FALSE),0)+
IFERROR(VLOOKUP(A62,'Centre WV11'!$A$7:$N$160,11,FALSE),0)</f>
        <v>0</v>
      </c>
      <c r="L62" s="10">
        <f>IFERROR(VLOOKUP(A62,'Centre DW11'!$A$7:$N$160,12,FALSE),0)+
IFERROR(VLOOKUP(A62,'Centre WP11'!$A$7:$N$160,12,FALSE),0)+
IFERROR(VLOOKUP(A62,'Centre WR11'!$A$7:$N$160,12,FALSE),0)+
IFERROR(VLOOKUP(A62,'Centre WV11'!$A$7:$N$160,12,FALSE),0)</f>
        <v>0</v>
      </c>
      <c r="M62" s="10">
        <f>IFERROR(VLOOKUP(A62,'Centre DW11'!$A$7:$N$160,13,FALSE),0)+
IFERROR(VLOOKUP(A62,'Centre WP11'!$A$7:$N$160,13,FALSE),0)+
IFERROR(VLOOKUP(A62,'Centre WR11'!$A$7:$N$160,13,FALSE),0)+
IFERROR(VLOOKUP(A62,'Centre WV11'!$A$7:$N$160,13,FALSE),0)</f>
        <v>0</v>
      </c>
      <c r="N62" s="10">
        <f>IFERROR(VLOOKUP(A62,'Centre DW11'!$A$7:$N$160,14,FALSE),0)+
IFERROR(VLOOKUP(A62,'Centre WP11'!$A$7:$N$160,14,FALSE),0)+
IFERROR(VLOOKUP(A62,'Centre WR11'!$A$7:$N$160,14,FALSE),0)+
IFERROR(VLOOKUP(A62,'Centre WV11'!$A$7:$N$160,14,FALSE),0)</f>
        <v>0</v>
      </c>
    </row>
    <row r="63" spans="1:14" collapsed="1" x14ac:dyDescent="0.2">
      <c r="A63" s="33" t="s">
        <v>119</v>
      </c>
      <c r="B63" s="34" t="s">
        <v>120</v>
      </c>
      <c r="C63" s="44">
        <f t="shared" ref="C63:M63" si="20">SUM(C64:C65)</f>
        <v>0.9</v>
      </c>
      <c r="D63" s="44">
        <f t="shared" si="20"/>
        <v>0.9</v>
      </c>
      <c r="E63" s="44">
        <f t="shared" si="20"/>
        <v>0.5</v>
      </c>
      <c r="F63" s="44">
        <f t="shared" si="20"/>
        <v>0.5</v>
      </c>
      <c r="G63" s="44">
        <f t="shared" si="20"/>
        <v>0.5</v>
      </c>
      <c r="H63" s="44">
        <f t="shared" si="20"/>
        <v>0.4</v>
      </c>
      <c r="I63" s="44">
        <f t="shared" si="20"/>
        <v>0.5</v>
      </c>
      <c r="J63" s="44">
        <f t="shared" si="20"/>
        <v>0.5</v>
      </c>
      <c r="K63" s="44">
        <f t="shared" si="20"/>
        <v>0.5</v>
      </c>
      <c r="L63" s="44">
        <f t="shared" si="20"/>
        <v>0.5</v>
      </c>
      <c r="M63" s="44">
        <f t="shared" si="20"/>
        <v>0.5</v>
      </c>
      <c r="N63" s="44">
        <f t="shared" ref="N63" si="21">SUM(N64:N65)</f>
        <v>0.4</v>
      </c>
    </row>
    <row r="64" spans="1:14" hidden="1" outlineLevel="1" x14ac:dyDescent="0.2">
      <c r="A64" s="9" t="s">
        <v>121</v>
      </c>
      <c r="B64" s="1" t="s">
        <v>122</v>
      </c>
      <c r="C64" s="10">
        <f>IFERROR(VLOOKUP(A64,'Centre DW11'!$A$7:$N$160,3,FALSE),0)+
IFERROR(VLOOKUP(A64,'Centre WP11'!$A$7:$N$160,3,FALSE),0)+
IFERROR(VLOOKUP(A64,'Centre WR11'!$A$7:$N$160,3,FALSE),0)+
IFERROR(VLOOKUP(A64,'Centre WV11'!$A$7:$N$160,3,FALSE),0)</f>
        <v>0.5</v>
      </c>
      <c r="D64" s="10">
        <f>IFERROR(VLOOKUP(A64,'Centre DW11'!$A$7:$N$160,4,FALSE),0)+
IFERROR(VLOOKUP(A64,'Centre WP11'!$A$7:$N$160,4,FALSE),0)+
IFERROR(VLOOKUP(A64,'Centre WR11'!$A$7:$N$160,4,FALSE),0)+
IFERROR(VLOOKUP(A64,'Centre WV11'!$A$7:$N$160,4,FALSE),0)</f>
        <v>0.5</v>
      </c>
      <c r="E64" s="10">
        <f>IFERROR(VLOOKUP(A64,'Centre DW11'!$A$7:$N$160,5,FALSE),0)+
IFERROR(VLOOKUP(A64,'Centre WP11'!$A$7:$N$160,5,FALSE),0)+
IFERROR(VLOOKUP(A64,'Centre WR11'!$A$7:$N$160,5,FALSE),0)+
IFERROR(VLOOKUP(A64,'Centre WV11'!$A$7:$N$160,5,FALSE),0)</f>
        <v>0.1</v>
      </c>
      <c r="F64" s="10">
        <f>IFERROR(VLOOKUP(A64,'Centre DW11'!$A$7:$N$160,6,FALSE),0)+
IFERROR(VLOOKUP(A64,'Centre WP11'!$A$7:$N$160,6,FALSE),0)+
IFERROR(VLOOKUP(A64,'Centre WR11'!$A$7:$N$160,6,FALSE),0)+
IFERROR(VLOOKUP(A64,'Centre WV11'!$A$7:$N$160,6,FALSE),0)</f>
        <v>0.1</v>
      </c>
      <c r="G64" s="10">
        <f>IFERROR(VLOOKUP(A64,'Centre DW11'!$A$7:$N$160,7,FALSE),0)+
IFERROR(VLOOKUP(A64,'Centre WP11'!$A$7:$N$160,7,FALSE),0)+
IFERROR(VLOOKUP(A64,'Centre WR11'!$A$7:$N$160,7,FALSE),0)+
IFERROR(VLOOKUP(A64,'Centre WV11'!$A$7:$N$160,7,FALSE),0)</f>
        <v>0.1</v>
      </c>
      <c r="H64" s="10">
        <f>IFERROR(VLOOKUP(A64,'Centre DW11'!$A$7:$N$160,8,FALSE),0)+
IFERROR(VLOOKUP(A64,'Centre WP11'!$A$7:$N$160,8,FALSE),0)+
IFERROR(VLOOKUP(A64,'Centre WR11'!$A$7:$N$160,8,FALSE),0)+
IFERROR(VLOOKUP(A64,'Centre WV11'!$A$7:$N$160,8,FALSE),0)</f>
        <v>0.1</v>
      </c>
      <c r="I64" s="10">
        <f>IFERROR(VLOOKUP(A64,'Centre DW11'!$A$7:$N$160,9,FALSE),0)+
IFERROR(VLOOKUP(A64,'Centre WP11'!$A$7:$N$160,9,FALSE),0)+
IFERROR(VLOOKUP(A64,'Centre WR11'!$A$7:$N$160,9,FALSE),0)+
IFERROR(VLOOKUP(A64,'Centre WV11'!$A$7:$N$160,9,FALSE),0)</f>
        <v>0.1</v>
      </c>
      <c r="J64" s="10">
        <f>IFERROR(VLOOKUP(A64,'Centre DW11'!$A$7:$N$160,10,FALSE),0)+
IFERROR(VLOOKUP(A64,'Centre WP11'!$A$7:$N$160,10,FALSE),0)+
IFERROR(VLOOKUP(A64,'Centre WR11'!$A$7:$N$160,10,FALSE),0)+
IFERROR(VLOOKUP(A64,'Centre WV11'!$A$7:$N$160,10,FALSE),0)</f>
        <v>0.1</v>
      </c>
      <c r="K64" s="10">
        <f>IFERROR(VLOOKUP(A64,'Centre DW11'!$A$7:$N$160,11,FALSE),0)+
IFERROR(VLOOKUP(A64,'Centre WP11'!$A$7:$N$160,11,FALSE),0)+
IFERROR(VLOOKUP(A64,'Centre WR11'!$A$7:$N$160,11,FALSE),0)+
IFERROR(VLOOKUP(A64,'Centre WV11'!$A$7:$N$160,11,FALSE),0)</f>
        <v>0.1</v>
      </c>
      <c r="L64" s="10">
        <f>IFERROR(VLOOKUP(A64,'Centre DW11'!$A$7:$N$160,12,FALSE),0)+
IFERROR(VLOOKUP(A64,'Centre WP11'!$A$7:$N$160,12,FALSE),0)+
IFERROR(VLOOKUP(A64,'Centre WR11'!$A$7:$N$160,12,FALSE),0)+
IFERROR(VLOOKUP(A64,'Centre WV11'!$A$7:$N$160,12,FALSE),0)</f>
        <v>0.1</v>
      </c>
      <c r="M64" s="10">
        <f>IFERROR(VLOOKUP(A64,'Centre DW11'!$A$7:$N$160,13,FALSE),0)+
IFERROR(VLOOKUP(A64,'Centre WP11'!$A$7:$N$160,13,FALSE),0)+
IFERROR(VLOOKUP(A64,'Centre WR11'!$A$7:$N$160,13,FALSE),0)+
IFERROR(VLOOKUP(A64,'Centre WV11'!$A$7:$N$160,13,FALSE),0)</f>
        <v>0.1</v>
      </c>
      <c r="N64" s="10">
        <f>IFERROR(VLOOKUP(A64,'Centre DW11'!$A$7:$N$160,14,FALSE),0)+
IFERROR(VLOOKUP(A64,'Centre WP11'!$A$7:$N$160,14,FALSE),0)+
IFERROR(VLOOKUP(A64,'Centre WR11'!$A$7:$N$160,14,FALSE),0)+
IFERROR(VLOOKUP(A64,'Centre WV11'!$A$7:$N$160,14,FALSE),0)</f>
        <v>0.1</v>
      </c>
    </row>
    <row r="65" spans="1:14" hidden="1" outlineLevel="1" x14ac:dyDescent="0.2">
      <c r="A65" s="9" t="s">
        <v>123</v>
      </c>
      <c r="B65" s="1" t="s">
        <v>124</v>
      </c>
      <c r="C65" s="10">
        <f>IFERROR(VLOOKUP(A65,'Centre DW11'!$A$7:$N$160,3,FALSE),0)+
IFERROR(VLOOKUP(A65,'Centre WP11'!$A$7:$N$160,3,FALSE),0)+
IFERROR(VLOOKUP(A65,'Centre WR11'!$A$7:$N$160,3,FALSE),0)+
IFERROR(VLOOKUP(A65,'Centre WV11'!$A$7:$N$160,3,FALSE),0)</f>
        <v>0.4</v>
      </c>
      <c r="D65" s="10">
        <f>IFERROR(VLOOKUP(A65,'Centre DW11'!$A$7:$N$160,4,FALSE),0)+
IFERROR(VLOOKUP(A65,'Centre WP11'!$A$7:$N$160,4,FALSE),0)+
IFERROR(VLOOKUP(A65,'Centre WR11'!$A$7:$N$160,4,FALSE),0)+
IFERROR(VLOOKUP(A65,'Centre WV11'!$A$7:$N$160,4,FALSE),0)</f>
        <v>0.4</v>
      </c>
      <c r="E65" s="10">
        <f>IFERROR(VLOOKUP(A65,'Centre DW11'!$A$7:$N$160,5,FALSE),0)+
IFERROR(VLOOKUP(A65,'Centre WP11'!$A$7:$N$160,5,FALSE),0)+
IFERROR(VLOOKUP(A65,'Centre WR11'!$A$7:$N$160,5,FALSE),0)+
IFERROR(VLOOKUP(A65,'Centre WV11'!$A$7:$N$160,5,FALSE),0)</f>
        <v>0.4</v>
      </c>
      <c r="F65" s="10">
        <f>IFERROR(VLOOKUP(A65,'Centre DW11'!$A$7:$N$160,6,FALSE),0)+
IFERROR(VLOOKUP(A65,'Centre WP11'!$A$7:$N$160,6,FALSE),0)+
IFERROR(VLOOKUP(A65,'Centre WR11'!$A$7:$N$160,6,FALSE),0)+
IFERROR(VLOOKUP(A65,'Centre WV11'!$A$7:$N$160,6,FALSE),0)</f>
        <v>0.4</v>
      </c>
      <c r="G65" s="10">
        <f>IFERROR(VLOOKUP(A65,'Centre DW11'!$A$7:$N$160,7,FALSE),0)+
IFERROR(VLOOKUP(A65,'Centre WP11'!$A$7:$N$160,7,FALSE),0)+
IFERROR(VLOOKUP(A65,'Centre WR11'!$A$7:$N$160,7,FALSE),0)+
IFERROR(VLOOKUP(A65,'Centre WV11'!$A$7:$N$160,7,FALSE),0)</f>
        <v>0.4</v>
      </c>
      <c r="H65" s="10">
        <f>IFERROR(VLOOKUP(A65,'Centre DW11'!$A$7:$N$160,8,FALSE),0)+
IFERROR(VLOOKUP(A65,'Centre WP11'!$A$7:$N$160,8,FALSE),0)+
IFERROR(VLOOKUP(A65,'Centre WR11'!$A$7:$N$160,8,FALSE),0)+
IFERROR(VLOOKUP(A65,'Centre WV11'!$A$7:$N$160,8,FALSE),0)</f>
        <v>0.3</v>
      </c>
      <c r="I65" s="10">
        <f>IFERROR(VLOOKUP(A65,'Centre DW11'!$A$7:$N$160,9,FALSE),0)+
IFERROR(VLOOKUP(A65,'Centre WP11'!$A$7:$N$160,9,FALSE),0)+
IFERROR(VLOOKUP(A65,'Centre WR11'!$A$7:$N$160,9,FALSE),0)+
IFERROR(VLOOKUP(A65,'Centre WV11'!$A$7:$N$160,9,FALSE),0)</f>
        <v>0.4</v>
      </c>
      <c r="J65" s="10">
        <f>IFERROR(VLOOKUP(A65,'Centre DW11'!$A$7:$N$160,10,FALSE),0)+
IFERROR(VLOOKUP(A65,'Centre WP11'!$A$7:$N$160,10,FALSE),0)+
IFERROR(VLOOKUP(A65,'Centre WR11'!$A$7:$N$160,10,FALSE),0)+
IFERROR(VLOOKUP(A65,'Centre WV11'!$A$7:$N$160,10,FALSE),0)</f>
        <v>0.4</v>
      </c>
      <c r="K65" s="10">
        <f>IFERROR(VLOOKUP(A65,'Centre DW11'!$A$7:$N$160,11,FALSE),0)+
IFERROR(VLOOKUP(A65,'Centre WP11'!$A$7:$N$160,11,FALSE),0)+
IFERROR(VLOOKUP(A65,'Centre WR11'!$A$7:$N$160,11,FALSE),0)+
IFERROR(VLOOKUP(A65,'Centre WV11'!$A$7:$N$160,11,FALSE),0)</f>
        <v>0.4</v>
      </c>
      <c r="L65" s="10">
        <f>IFERROR(VLOOKUP(A65,'Centre DW11'!$A$7:$N$160,12,FALSE),0)+
IFERROR(VLOOKUP(A65,'Centre WP11'!$A$7:$N$160,12,FALSE),0)+
IFERROR(VLOOKUP(A65,'Centre WR11'!$A$7:$N$160,12,FALSE),0)+
IFERROR(VLOOKUP(A65,'Centre WV11'!$A$7:$N$160,12,FALSE),0)</f>
        <v>0.4</v>
      </c>
      <c r="M65" s="10">
        <f>IFERROR(VLOOKUP(A65,'Centre DW11'!$A$7:$N$160,13,FALSE),0)+
IFERROR(VLOOKUP(A65,'Centre WP11'!$A$7:$N$160,13,FALSE),0)+
IFERROR(VLOOKUP(A65,'Centre WR11'!$A$7:$N$160,13,FALSE),0)+
IFERROR(VLOOKUP(A65,'Centre WV11'!$A$7:$N$160,13,FALSE),0)</f>
        <v>0.4</v>
      </c>
      <c r="N65" s="10">
        <f>IFERROR(VLOOKUP(A65,'Centre DW11'!$A$7:$N$160,14,FALSE),0)+
IFERROR(VLOOKUP(A65,'Centre WP11'!$A$7:$N$160,14,FALSE),0)+
IFERROR(VLOOKUP(A65,'Centre WR11'!$A$7:$N$160,14,FALSE),0)+
IFERROR(VLOOKUP(A65,'Centre WV11'!$A$7:$N$160,14,FALSE),0)</f>
        <v>0.3</v>
      </c>
    </row>
    <row r="66" spans="1:14" collapsed="1" x14ac:dyDescent="0.2">
      <c r="A66" s="33" t="s">
        <v>127</v>
      </c>
      <c r="B66" s="34" t="s">
        <v>128</v>
      </c>
      <c r="C66" s="44">
        <f t="shared" ref="C66:M66" si="22">SUM(C67:C70)</f>
        <v>13.200000000000001</v>
      </c>
      <c r="D66" s="44">
        <f t="shared" si="22"/>
        <v>14</v>
      </c>
      <c r="E66" s="44">
        <f t="shared" si="22"/>
        <v>13.1</v>
      </c>
      <c r="F66" s="44">
        <f t="shared" si="22"/>
        <v>22.3</v>
      </c>
      <c r="G66" s="44">
        <f t="shared" si="22"/>
        <v>22.900000000000002</v>
      </c>
      <c r="H66" s="44">
        <f t="shared" si="22"/>
        <v>23</v>
      </c>
      <c r="I66" s="44">
        <f t="shared" si="22"/>
        <v>23.1</v>
      </c>
      <c r="J66" s="44">
        <f t="shared" si="22"/>
        <v>39.200000000000003</v>
      </c>
      <c r="K66" s="44">
        <f t="shared" si="22"/>
        <v>40</v>
      </c>
      <c r="L66" s="44">
        <f t="shared" si="22"/>
        <v>41</v>
      </c>
      <c r="M66" s="44">
        <f t="shared" si="22"/>
        <v>40</v>
      </c>
      <c r="N66" s="44">
        <f t="shared" ref="N66" si="23">SUM(N67:N70)</f>
        <v>37.200000000000003</v>
      </c>
    </row>
    <row r="67" spans="1:14" hidden="1" outlineLevel="1" x14ac:dyDescent="0.2">
      <c r="A67" s="9" t="s">
        <v>129</v>
      </c>
      <c r="B67" s="1" t="s">
        <v>130</v>
      </c>
      <c r="C67" s="10">
        <f>IFERROR(VLOOKUP(A67,'Centre DW11'!$A$7:$N$160,3,FALSE),0)+
IFERROR(VLOOKUP(A67,'Centre WP11'!$A$7:$N$160,3,FALSE),0)+
IFERROR(VLOOKUP(A67,'Centre WR11'!$A$7:$N$160,3,FALSE),0)+
IFERROR(VLOOKUP(A67,'Centre WV11'!$A$7:$N$160,3,FALSE),0)</f>
        <v>13.200000000000001</v>
      </c>
      <c r="D67" s="10">
        <f>IFERROR(VLOOKUP(A67,'Centre DW11'!$A$7:$N$160,4,FALSE),0)+
IFERROR(VLOOKUP(A67,'Centre WP11'!$A$7:$N$160,4,FALSE),0)+
IFERROR(VLOOKUP(A67,'Centre WR11'!$A$7:$N$160,4,FALSE),0)+
IFERROR(VLOOKUP(A67,'Centre WV11'!$A$7:$N$160,4,FALSE),0)</f>
        <v>13.1</v>
      </c>
      <c r="E67" s="10">
        <f>IFERROR(VLOOKUP(A67,'Centre DW11'!$A$7:$N$160,5,FALSE),0)+
IFERROR(VLOOKUP(A67,'Centre WP11'!$A$7:$N$160,5,FALSE),0)+
IFERROR(VLOOKUP(A67,'Centre WR11'!$A$7:$N$160,5,FALSE),0)+
IFERROR(VLOOKUP(A67,'Centre WV11'!$A$7:$N$160,5,FALSE),0)</f>
        <v>13.1</v>
      </c>
      <c r="F67" s="10">
        <f>IFERROR(VLOOKUP(A67,'Centre DW11'!$A$7:$N$160,6,FALSE),0)+
IFERROR(VLOOKUP(A67,'Centre WP11'!$A$7:$N$160,6,FALSE),0)+
IFERROR(VLOOKUP(A67,'Centre WR11'!$A$7:$N$160,6,FALSE),0)+
IFERROR(VLOOKUP(A67,'Centre WV11'!$A$7:$N$160,6,FALSE),0)</f>
        <v>22.3</v>
      </c>
      <c r="G67" s="10">
        <f>IFERROR(VLOOKUP(A67,'Centre DW11'!$A$7:$N$160,7,FALSE),0)+
IFERROR(VLOOKUP(A67,'Centre WP11'!$A$7:$N$160,7,FALSE),0)+
IFERROR(VLOOKUP(A67,'Centre WR11'!$A$7:$N$160,7,FALSE),0)+
IFERROR(VLOOKUP(A67,'Centre WV11'!$A$7:$N$160,7,FALSE),0)</f>
        <v>22.8</v>
      </c>
      <c r="H67" s="10">
        <f>IFERROR(VLOOKUP(A67,'Centre DW11'!$A$7:$N$160,8,FALSE),0)+
IFERROR(VLOOKUP(A67,'Centre WP11'!$A$7:$N$160,8,FALSE),0)+
IFERROR(VLOOKUP(A67,'Centre WR11'!$A$7:$N$160,8,FALSE),0)+
IFERROR(VLOOKUP(A67,'Centre WV11'!$A$7:$N$160,8,FALSE),0)</f>
        <v>23</v>
      </c>
      <c r="I67" s="10">
        <f>IFERROR(VLOOKUP(A67,'Centre DW11'!$A$7:$N$160,9,FALSE),0)+
IFERROR(VLOOKUP(A67,'Centre WP11'!$A$7:$N$160,9,FALSE),0)+
IFERROR(VLOOKUP(A67,'Centre WR11'!$A$7:$N$160,9,FALSE),0)+
IFERROR(VLOOKUP(A67,'Centre WV11'!$A$7:$N$160,9,FALSE),0)</f>
        <v>23.1</v>
      </c>
      <c r="J67" s="10">
        <f>IFERROR(VLOOKUP(A67,'Centre DW11'!$A$7:$N$160,10,FALSE),0)+
IFERROR(VLOOKUP(A67,'Centre WP11'!$A$7:$N$160,10,FALSE),0)+
IFERROR(VLOOKUP(A67,'Centre WR11'!$A$7:$N$160,10,FALSE),0)+
IFERROR(VLOOKUP(A67,'Centre WV11'!$A$7:$N$160,10,FALSE),0)</f>
        <v>39.200000000000003</v>
      </c>
      <c r="K67" s="10">
        <f>IFERROR(VLOOKUP(A67,'Centre DW11'!$A$7:$N$160,11,FALSE),0)+
IFERROR(VLOOKUP(A67,'Centre WP11'!$A$7:$N$160,11,FALSE),0)+
IFERROR(VLOOKUP(A67,'Centre WR11'!$A$7:$N$160,11,FALSE),0)+
IFERROR(VLOOKUP(A67,'Centre WV11'!$A$7:$N$160,11,FALSE),0)</f>
        <v>40</v>
      </c>
      <c r="L67" s="10">
        <f>IFERROR(VLOOKUP(A67,'Centre DW11'!$A$7:$N$160,12,FALSE),0)+
IFERROR(VLOOKUP(A67,'Centre WP11'!$A$7:$N$160,12,FALSE),0)+
IFERROR(VLOOKUP(A67,'Centre WR11'!$A$7:$N$160,12,FALSE),0)+
IFERROR(VLOOKUP(A67,'Centre WV11'!$A$7:$N$160,12,FALSE),0)</f>
        <v>41</v>
      </c>
      <c r="M67" s="10">
        <f>IFERROR(VLOOKUP(A67,'Centre DW11'!$A$7:$N$160,13,FALSE),0)+
IFERROR(VLOOKUP(A67,'Centre WP11'!$A$7:$N$160,13,FALSE),0)+
IFERROR(VLOOKUP(A67,'Centre WR11'!$A$7:$N$160,13,FALSE),0)+
IFERROR(VLOOKUP(A67,'Centre WV11'!$A$7:$N$160,13,FALSE),0)</f>
        <v>40</v>
      </c>
      <c r="N67" s="10">
        <f>IFERROR(VLOOKUP(A67,'Centre DW11'!$A$7:$N$160,14,FALSE),0)+
IFERROR(VLOOKUP(A67,'Centre WP11'!$A$7:$N$160,14,FALSE),0)+
IFERROR(VLOOKUP(A67,'Centre WR11'!$A$7:$N$160,14,FALSE),0)+
IFERROR(VLOOKUP(A67,'Centre WV11'!$A$7:$N$160,14,FALSE),0)</f>
        <v>37.200000000000003</v>
      </c>
    </row>
    <row r="68" spans="1:14" hidden="1" outlineLevel="1" x14ac:dyDescent="0.2">
      <c r="A68" s="9" t="s">
        <v>371</v>
      </c>
      <c r="B68" s="1" t="s">
        <v>372</v>
      </c>
      <c r="C68" s="10">
        <f>IFERROR(VLOOKUP(A68,'Centre DW11'!$A$7:$N$160,3,FALSE),0)+
IFERROR(VLOOKUP(A68,'Centre WP11'!$A$7:$N$160,3,FALSE),0)+
IFERROR(VLOOKUP(A68,'Centre WR11'!$A$7:$N$160,3,FALSE),0)+
IFERROR(VLOOKUP(A68,'Centre WV11'!$A$7:$N$160,3,FALSE),0)</f>
        <v>0</v>
      </c>
      <c r="D68" s="10">
        <f>IFERROR(VLOOKUP(A68,'Centre DW11'!$A$7:$N$160,4,FALSE),0)+
IFERROR(VLOOKUP(A68,'Centre WP11'!$A$7:$N$160,4,FALSE),0)+
IFERROR(VLOOKUP(A68,'Centre WR11'!$A$7:$N$160,4,FALSE),0)+
IFERROR(VLOOKUP(A68,'Centre WV11'!$A$7:$N$160,4,FALSE),0)</f>
        <v>0</v>
      </c>
      <c r="E68" s="10">
        <f>IFERROR(VLOOKUP(A68,'Centre DW11'!$A$7:$N$160,5,FALSE),0)+
IFERROR(VLOOKUP(A68,'Centre WP11'!$A$7:$N$160,5,FALSE),0)+
IFERROR(VLOOKUP(A68,'Centre WR11'!$A$7:$N$160,5,FALSE),0)+
IFERROR(VLOOKUP(A68,'Centre WV11'!$A$7:$N$160,5,FALSE),0)</f>
        <v>0</v>
      </c>
      <c r="F68" s="10">
        <f>IFERROR(VLOOKUP(A68,'Centre DW11'!$A$7:$N$160,6,FALSE),0)+
IFERROR(VLOOKUP(A68,'Centre WP11'!$A$7:$N$160,6,FALSE),0)+
IFERROR(VLOOKUP(A68,'Centre WR11'!$A$7:$N$160,6,FALSE),0)+
IFERROR(VLOOKUP(A68,'Centre WV11'!$A$7:$N$160,6,FALSE),0)</f>
        <v>0</v>
      </c>
      <c r="G68" s="10">
        <f>IFERROR(VLOOKUP(A68,'Centre DW11'!$A$7:$N$160,7,FALSE),0)+
IFERROR(VLOOKUP(A68,'Centre WP11'!$A$7:$N$160,7,FALSE),0)+
IFERROR(VLOOKUP(A68,'Centre WR11'!$A$7:$N$160,7,FALSE),0)+
IFERROR(VLOOKUP(A68,'Centre WV11'!$A$7:$N$160,7,FALSE),0)</f>
        <v>0.1</v>
      </c>
      <c r="H68" s="10">
        <f>IFERROR(VLOOKUP(A68,'Centre DW11'!$A$7:$N$160,8,FALSE),0)+
IFERROR(VLOOKUP(A68,'Centre WP11'!$A$7:$N$160,8,FALSE),0)+
IFERROR(VLOOKUP(A68,'Centre WR11'!$A$7:$N$160,8,FALSE),0)+
IFERROR(VLOOKUP(A68,'Centre WV11'!$A$7:$N$160,8,FALSE),0)</f>
        <v>0</v>
      </c>
      <c r="I68" s="10">
        <f>IFERROR(VLOOKUP(A68,'Centre DW11'!$A$7:$N$160,9,FALSE),0)+
IFERROR(VLOOKUP(A68,'Centre WP11'!$A$7:$N$160,9,FALSE),0)+
IFERROR(VLOOKUP(A68,'Centre WR11'!$A$7:$N$160,9,FALSE),0)+
IFERROR(VLOOKUP(A68,'Centre WV11'!$A$7:$N$160,9,FALSE),0)</f>
        <v>0</v>
      </c>
      <c r="J68" s="10">
        <f>IFERROR(VLOOKUP(A68,'Centre DW11'!$A$7:$N$160,10,FALSE),0)+
IFERROR(VLOOKUP(A68,'Centre WP11'!$A$7:$N$160,10,FALSE),0)+
IFERROR(VLOOKUP(A68,'Centre WR11'!$A$7:$N$160,10,FALSE),0)+
IFERROR(VLOOKUP(A68,'Centre WV11'!$A$7:$N$160,10,FALSE),0)</f>
        <v>0</v>
      </c>
      <c r="K68" s="10">
        <f>IFERROR(VLOOKUP(A68,'Centre DW11'!$A$7:$N$160,11,FALSE),0)+
IFERROR(VLOOKUP(A68,'Centre WP11'!$A$7:$N$160,11,FALSE),0)+
IFERROR(VLOOKUP(A68,'Centre WR11'!$A$7:$N$160,11,FALSE),0)+
IFERROR(VLOOKUP(A68,'Centre WV11'!$A$7:$N$160,11,FALSE),0)</f>
        <v>0</v>
      </c>
      <c r="L68" s="10">
        <f>IFERROR(VLOOKUP(A68,'Centre DW11'!$A$7:$N$160,12,FALSE),0)+
IFERROR(VLOOKUP(A68,'Centre WP11'!$A$7:$N$160,12,FALSE),0)+
IFERROR(VLOOKUP(A68,'Centre WR11'!$A$7:$N$160,12,FALSE),0)+
IFERROR(VLOOKUP(A68,'Centre WV11'!$A$7:$N$160,12,FALSE),0)</f>
        <v>0</v>
      </c>
      <c r="M68" s="10">
        <f>IFERROR(VLOOKUP(A68,'Centre DW11'!$A$7:$N$160,13,FALSE),0)+
IFERROR(VLOOKUP(A68,'Centre WP11'!$A$7:$N$160,13,FALSE),0)+
IFERROR(VLOOKUP(A68,'Centre WR11'!$A$7:$N$160,13,FALSE),0)+
IFERROR(VLOOKUP(A68,'Centre WV11'!$A$7:$N$160,13,FALSE),0)</f>
        <v>0</v>
      </c>
      <c r="N68" s="10">
        <f>IFERROR(VLOOKUP(A68,'Centre DW11'!$A$7:$N$160,14,FALSE),0)+
IFERROR(VLOOKUP(A68,'Centre WP11'!$A$7:$N$160,14,FALSE),0)+
IFERROR(VLOOKUP(A68,'Centre WR11'!$A$7:$N$160,14,FALSE),0)+
IFERROR(VLOOKUP(A68,'Centre WV11'!$A$7:$N$160,14,FALSE),0)</f>
        <v>0</v>
      </c>
    </row>
    <row r="69" spans="1:14" hidden="1" outlineLevel="1" x14ac:dyDescent="0.2">
      <c r="A69" s="9" t="s">
        <v>131</v>
      </c>
      <c r="B69" s="1" t="s">
        <v>132</v>
      </c>
      <c r="C69" s="10">
        <f>IFERROR(VLOOKUP(A69,'Centre DW11'!$A$7:$N$160,3,FALSE),0)+
IFERROR(VLOOKUP(A69,'Centre WP11'!$A$7:$N$160,3,FALSE),0)+
IFERROR(VLOOKUP(A69,'Centre WR11'!$A$7:$N$160,3,FALSE),0)+
IFERROR(VLOOKUP(A69,'Centre WV11'!$A$7:$N$160,3,FALSE),0)</f>
        <v>0</v>
      </c>
      <c r="D69" s="10">
        <f>IFERROR(VLOOKUP(A69,'Centre DW11'!$A$7:$N$160,4,FALSE),0)+
IFERROR(VLOOKUP(A69,'Centre WP11'!$A$7:$N$160,4,FALSE),0)+
IFERROR(VLOOKUP(A69,'Centre WR11'!$A$7:$N$160,4,FALSE),0)+
IFERROR(VLOOKUP(A69,'Centre WV11'!$A$7:$N$160,4,FALSE),0)</f>
        <v>0</v>
      </c>
      <c r="E69" s="10">
        <f>IFERROR(VLOOKUP(A69,'Centre DW11'!$A$7:$N$160,5,FALSE),0)+
IFERROR(VLOOKUP(A69,'Centre WP11'!$A$7:$N$160,5,FALSE),0)+
IFERROR(VLOOKUP(A69,'Centre WR11'!$A$7:$N$160,5,FALSE),0)+
IFERROR(VLOOKUP(A69,'Centre WV11'!$A$7:$N$160,5,FALSE),0)</f>
        <v>0</v>
      </c>
      <c r="F69" s="10">
        <f>IFERROR(VLOOKUP(A69,'Centre DW11'!$A$7:$N$160,6,FALSE),0)+
IFERROR(VLOOKUP(A69,'Centre WP11'!$A$7:$N$160,6,FALSE),0)+
IFERROR(VLOOKUP(A69,'Centre WR11'!$A$7:$N$160,6,FALSE),0)+
IFERROR(VLOOKUP(A69,'Centre WV11'!$A$7:$N$160,6,FALSE),0)</f>
        <v>0</v>
      </c>
      <c r="G69" s="10">
        <f>IFERROR(VLOOKUP(A69,'Centre DW11'!$A$7:$N$160,7,FALSE),0)+
IFERROR(VLOOKUP(A69,'Centre WP11'!$A$7:$N$160,7,FALSE),0)+
IFERROR(VLOOKUP(A69,'Centre WR11'!$A$7:$N$160,7,FALSE),0)+
IFERROR(VLOOKUP(A69,'Centre WV11'!$A$7:$N$160,7,FALSE),0)</f>
        <v>0</v>
      </c>
      <c r="H69" s="10">
        <f>IFERROR(VLOOKUP(A69,'Centre DW11'!$A$7:$N$160,8,FALSE),0)+
IFERROR(VLOOKUP(A69,'Centre WP11'!$A$7:$N$160,8,FALSE),0)+
IFERROR(VLOOKUP(A69,'Centre WR11'!$A$7:$N$160,8,FALSE),0)+
IFERROR(VLOOKUP(A69,'Centre WV11'!$A$7:$N$160,8,FALSE),0)</f>
        <v>0</v>
      </c>
      <c r="I69" s="10">
        <f>IFERROR(VLOOKUP(A69,'Centre DW11'!$A$7:$N$160,9,FALSE),0)+
IFERROR(VLOOKUP(A69,'Centre WP11'!$A$7:$N$160,9,FALSE),0)+
IFERROR(VLOOKUP(A69,'Centre WR11'!$A$7:$N$160,9,FALSE),0)+
IFERROR(VLOOKUP(A69,'Centre WV11'!$A$7:$N$160,9,FALSE),0)</f>
        <v>0</v>
      </c>
      <c r="J69" s="10">
        <f>IFERROR(VLOOKUP(A69,'Centre DW11'!$A$7:$N$160,10,FALSE),0)+
IFERROR(VLOOKUP(A69,'Centre WP11'!$A$7:$N$160,10,FALSE),0)+
IFERROR(VLOOKUP(A69,'Centre WR11'!$A$7:$N$160,10,FALSE),0)+
IFERROR(VLOOKUP(A69,'Centre WV11'!$A$7:$N$160,10,FALSE),0)</f>
        <v>0</v>
      </c>
      <c r="K69" s="10">
        <f>IFERROR(VLOOKUP(A69,'Centre DW11'!$A$7:$N$160,11,FALSE),0)+
IFERROR(VLOOKUP(A69,'Centre WP11'!$A$7:$N$160,11,FALSE),0)+
IFERROR(VLOOKUP(A69,'Centre WR11'!$A$7:$N$160,11,FALSE),0)+
IFERROR(VLOOKUP(A69,'Centre WV11'!$A$7:$N$160,11,FALSE),0)</f>
        <v>0</v>
      </c>
      <c r="L69" s="10">
        <f>IFERROR(VLOOKUP(A69,'Centre DW11'!$A$7:$N$160,12,FALSE),0)+
IFERROR(VLOOKUP(A69,'Centre WP11'!$A$7:$N$160,12,FALSE),0)+
IFERROR(VLOOKUP(A69,'Centre WR11'!$A$7:$N$160,12,FALSE),0)+
IFERROR(VLOOKUP(A69,'Centre WV11'!$A$7:$N$160,12,FALSE),0)</f>
        <v>0</v>
      </c>
      <c r="M69" s="10">
        <f>IFERROR(VLOOKUP(A69,'Centre DW11'!$A$7:$N$160,13,FALSE),0)+
IFERROR(VLOOKUP(A69,'Centre WP11'!$A$7:$N$160,13,FALSE),0)+
IFERROR(VLOOKUP(A69,'Centre WR11'!$A$7:$N$160,13,FALSE),0)+
IFERROR(VLOOKUP(A69,'Centre WV11'!$A$7:$N$160,13,FALSE),0)</f>
        <v>0</v>
      </c>
      <c r="N69" s="10">
        <f>IFERROR(VLOOKUP(A69,'Centre DW11'!$A$7:$N$160,14,FALSE),0)+
IFERROR(VLOOKUP(A69,'Centre WP11'!$A$7:$N$160,14,FALSE),0)+
IFERROR(VLOOKUP(A69,'Centre WR11'!$A$7:$N$160,14,FALSE),0)+
IFERROR(VLOOKUP(A69,'Centre WV11'!$A$7:$N$160,14,FALSE),0)</f>
        <v>0</v>
      </c>
    </row>
    <row r="70" spans="1:14" hidden="1" outlineLevel="1" x14ac:dyDescent="0.2">
      <c r="A70" s="9" t="s">
        <v>325</v>
      </c>
      <c r="B70" s="1" t="s">
        <v>326</v>
      </c>
      <c r="C70" s="10">
        <f>IFERROR(VLOOKUP(A70,'Centre DW11'!$A$7:$N$160,3,FALSE),0)+
IFERROR(VLOOKUP(A70,'Centre WP11'!$A$7:$N$160,3,FALSE),0)+
IFERROR(VLOOKUP(A70,'Centre WR11'!$A$7:$N$160,3,FALSE),0)+
IFERROR(VLOOKUP(A70,'Centre WV11'!$A$7:$N$160,3,FALSE),0)</f>
        <v>0</v>
      </c>
      <c r="D70" s="10">
        <f>IFERROR(VLOOKUP(A70,'Centre DW11'!$A$7:$N$160,4,FALSE),0)+
IFERROR(VLOOKUP(A70,'Centre WP11'!$A$7:$N$160,4,FALSE),0)+
IFERROR(VLOOKUP(A70,'Centre WR11'!$A$7:$N$160,4,FALSE),0)+
IFERROR(VLOOKUP(A70,'Centre WV11'!$A$7:$N$160,4,FALSE),0)</f>
        <v>0.9</v>
      </c>
      <c r="E70" s="10">
        <f>IFERROR(VLOOKUP(A70,'Centre DW11'!$A$7:$N$160,5,FALSE),0)+
IFERROR(VLOOKUP(A70,'Centre WP11'!$A$7:$N$160,5,FALSE),0)+
IFERROR(VLOOKUP(A70,'Centre WR11'!$A$7:$N$160,5,FALSE),0)+
IFERROR(VLOOKUP(A70,'Centre WV11'!$A$7:$N$160,5,FALSE),0)</f>
        <v>0</v>
      </c>
      <c r="F70" s="10">
        <f>IFERROR(VLOOKUP(A70,'Centre DW11'!$A$7:$N$160,6,FALSE),0)+
IFERROR(VLOOKUP(A70,'Centre WP11'!$A$7:$N$160,6,FALSE),0)+
IFERROR(VLOOKUP(A70,'Centre WR11'!$A$7:$N$160,6,FALSE),0)+
IFERROR(VLOOKUP(A70,'Centre WV11'!$A$7:$N$160,6,FALSE),0)</f>
        <v>0</v>
      </c>
      <c r="G70" s="10">
        <f>IFERROR(VLOOKUP(A70,'Centre DW11'!$A$7:$N$160,7,FALSE),0)+
IFERROR(VLOOKUP(A70,'Centre WP11'!$A$7:$N$160,7,FALSE),0)+
IFERROR(VLOOKUP(A70,'Centre WR11'!$A$7:$N$160,7,FALSE),0)+
IFERROR(VLOOKUP(A70,'Centre WV11'!$A$7:$N$160,7,FALSE),0)</f>
        <v>0</v>
      </c>
      <c r="H70" s="10">
        <f>IFERROR(VLOOKUP(A70,'Centre DW11'!$A$7:$N$160,8,FALSE),0)+
IFERROR(VLOOKUP(A70,'Centre WP11'!$A$7:$N$160,8,FALSE),0)+
IFERROR(VLOOKUP(A70,'Centre WR11'!$A$7:$N$160,8,FALSE),0)+
IFERROR(VLOOKUP(A70,'Centre WV11'!$A$7:$N$160,8,FALSE),0)</f>
        <v>0</v>
      </c>
      <c r="I70" s="10">
        <f>IFERROR(VLOOKUP(A70,'Centre DW11'!$A$7:$N$160,9,FALSE),0)+
IFERROR(VLOOKUP(A70,'Centre WP11'!$A$7:$N$160,9,FALSE),0)+
IFERROR(VLOOKUP(A70,'Centre WR11'!$A$7:$N$160,9,FALSE),0)+
IFERROR(VLOOKUP(A70,'Centre WV11'!$A$7:$N$160,9,FALSE),0)</f>
        <v>0</v>
      </c>
      <c r="J70" s="10">
        <f>IFERROR(VLOOKUP(A70,'Centre DW11'!$A$7:$N$160,10,FALSE),0)+
IFERROR(VLOOKUP(A70,'Centre WP11'!$A$7:$N$160,10,FALSE),0)+
IFERROR(VLOOKUP(A70,'Centre WR11'!$A$7:$N$160,10,FALSE),0)+
IFERROR(VLOOKUP(A70,'Centre WV11'!$A$7:$N$160,10,FALSE),0)</f>
        <v>0</v>
      </c>
      <c r="K70" s="10">
        <f>IFERROR(VLOOKUP(A70,'Centre DW11'!$A$7:$N$160,11,FALSE),0)+
IFERROR(VLOOKUP(A70,'Centre WP11'!$A$7:$N$160,11,FALSE),0)+
IFERROR(VLOOKUP(A70,'Centre WR11'!$A$7:$N$160,11,FALSE),0)+
IFERROR(VLOOKUP(A70,'Centre WV11'!$A$7:$N$160,11,FALSE),0)</f>
        <v>0</v>
      </c>
      <c r="L70" s="10">
        <f>IFERROR(VLOOKUP(A70,'Centre DW11'!$A$7:$N$160,12,FALSE),0)+
IFERROR(VLOOKUP(A70,'Centre WP11'!$A$7:$N$160,12,FALSE),0)+
IFERROR(VLOOKUP(A70,'Centre WR11'!$A$7:$N$160,12,FALSE),0)+
IFERROR(VLOOKUP(A70,'Centre WV11'!$A$7:$N$160,12,FALSE),0)</f>
        <v>0</v>
      </c>
      <c r="M70" s="10">
        <f>IFERROR(VLOOKUP(A70,'Centre DW11'!$A$7:$N$160,13,FALSE),0)+
IFERROR(VLOOKUP(A70,'Centre WP11'!$A$7:$N$160,13,FALSE),0)+
IFERROR(VLOOKUP(A70,'Centre WR11'!$A$7:$N$160,13,FALSE),0)+
IFERROR(VLOOKUP(A70,'Centre WV11'!$A$7:$N$160,13,FALSE),0)</f>
        <v>0</v>
      </c>
      <c r="N70" s="10">
        <f>IFERROR(VLOOKUP(A70,'Centre DW11'!$A$7:$N$160,14,FALSE),0)+
IFERROR(VLOOKUP(A70,'Centre WP11'!$A$7:$N$160,14,FALSE),0)+
IFERROR(VLOOKUP(A70,'Centre WR11'!$A$7:$N$160,14,FALSE),0)+
IFERROR(VLOOKUP(A70,'Centre WV11'!$A$7:$N$160,14,FALSE),0)</f>
        <v>0</v>
      </c>
    </row>
    <row r="71" spans="1:14" collapsed="1" x14ac:dyDescent="0.2">
      <c r="A71" s="33" t="s">
        <v>133</v>
      </c>
      <c r="B71" s="34" t="s">
        <v>134</v>
      </c>
      <c r="C71" s="44">
        <f t="shared" ref="C71:M71" si="24">SUM(C72:C79)</f>
        <v>15.5</v>
      </c>
      <c r="D71" s="44">
        <f t="shared" si="24"/>
        <v>15.7</v>
      </c>
      <c r="E71" s="44">
        <f t="shared" si="24"/>
        <v>17.2</v>
      </c>
      <c r="F71" s="44">
        <f t="shared" si="24"/>
        <v>9.6999999999999993</v>
      </c>
      <c r="G71" s="44">
        <f t="shared" si="24"/>
        <v>30.900000000000002</v>
      </c>
      <c r="H71" s="44">
        <f t="shared" si="24"/>
        <v>15.6</v>
      </c>
      <c r="I71" s="44">
        <f t="shared" si="24"/>
        <v>4</v>
      </c>
      <c r="J71" s="44">
        <f t="shared" si="24"/>
        <v>18.5</v>
      </c>
      <c r="K71" s="44">
        <f t="shared" si="24"/>
        <v>18.600000000000001</v>
      </c>
      <c r="L71" s="44">
        <f t="shared" si="24"/>
        <v>28.2</v>
      </c>
      <c r="M71" s="44">
        <f t="shared" si="24"/>
        <v>19.7</v>
      </c>
      <c r="N71" s="44">
        <f t="shared" ref="N71" si="25">SUM(N72:N79)</f>
        <v>23.6</v>
      </c>
    </row>
    <row r="72" spans="1:14" hidden="1" outlineLevel="1" x14ac:dyDescent="0.2">
      <c r="A72" s="9" t="s">
        <v>327</v>
      </c>
      <c r="B72" s="1" t="s">
        <v>328</v>
      </c>
      <c r="C72" s="10">
        <f>IFERROR(VLOOKUP(A72,'Centre DW11'!$A$7:$N$160,3,FALSE),0)+
IFERROR(VLOOKUP(A72,'Centre WP11'!$A$7:$N$160,3,FALSE),0)+
IFERROR(VLOOKUP(A72,'Centre WR11'!$A$7:$N$160,3,FALSE),0)+
IFERROR(VLOOKUP(A72,'Centre WV11'!$A$7:$N$160,3,FALSE),0)</f>
        <v>0</v>
      </c>
      <c r="D72" s="10">
        <f>IFERROR(VLOOKUP(A72,'Centre DW11'!$A$7:$N$160,4,FALSE),0)+
IFERROR(VLOOKUP(A72,'Centre WP11'!$A$7:$N$160,4,FALSE),0)+
IFERROR(VLOOKUP(A72,'Centre WR11'!$A$7:$N$160,4,FALSE),0)+
IFERROR(VLOOKUP(A72,'Centre WV11'!$A$7:$N$160,4,FALSE),0)</f>
        <v>0</v>
      </c>
      <c r="E72" s="10">
        <f>IFERROR(VLOOKUP(A72,'Centre DW11'!$A$7:$N$160,5,FALSE),0)+
IFERROR(VLOOKUP(A72,'Centre WP11'!$A$7:$N$160,5,FALSE),0)+
IFERROR(VLOOKUP(A72,'Centre WR11'!$A$7:$N$160,5,FALSE),0)+
IFERROR(VLOOKUP(A72,'Centre WV11'!$A$7:$N$160,5,FALSE),0)</f>
        <v>0</v>
      </c>
      <c r="F72" s="10">
        <f>IFERROR(VLOOKUP(A72,'Centre DW11'!$A$7:$N$160,6,FALSE),0)+
IFERROR(VLOOKUP(A72,'Centre WP11'!$A$7:$N$160,6,FALSE),0)+
IFERROR(VLOOKUP(A72,'Centre WR11'!$A$7:$N$160,6,FALSE),0)+
IFERROR(VLOOKUP(A72,'Centre WV11'!$A$7:$N$160,6,FALSE),0)</f>
        <v>0</v>
      </c>
      <c r="G72" s="10">
        <f>IFERROR(VLOOKUP(A72,'Centre DW11'!$A$7:$N$160,7,FALSE),0)+
IFERROR(VLOOKUP(A72,'Centre WP11'!$A$7:$N$160,7,FALSE),0)+
IFERROR(VLOOKUP(A72,'Centre WR11'!$A$7:$N$160,7,FALSE),0)+
IFERROR(VLOOKUP(A72,'Centre WV11'!$A$7:$N$160,7,FALSE),0)</f>
        <v>0</v>
      </c>
      <c r="H72" s="10">
        <f>IFERROR(VLOOKUP(A72,'Centre DW11'!$A$7:$N$160,8,FALSE),0)+
IFERROR(VLOOKUP(A72,'Centre WP11'!$A$7:$N$160,8,FALSE),0)+
IFERROR(VLOOKUP(A72,'Centre WR11'!$A$7:$N$160,8,FALSE),0)+
IFERROR(VLOOKUP(A72,'Centre WV11'!$A$7:$N$160,8,FALSE),0)</f>
        <v>0</v>
      </c>
      <c r="I72" s="10">
        <f>IFERROR(VLOOKUP(A72,'Centre DW11'!$A$7:$N$160,9,FALSE),0)+
IFERROR(VLOOKUP(A72,'Centre WP11'!$A$7:$N$160,9,FALSE),0)+
IFERROR(VLOOKUP(A72,'Centre WR11'!$A$7:$N$160,9,FALSE),0)+
IFERROR(VLOOKUP(A72,'Centre WV11'!$A$7:$N$160,9,FALSE),0)</f>
        <v>0</v>
      </c>
      <c r="J72" s="10">
        <f>IFERROR(VLOOKUP(A72,'Centre DW11'!$A$7:$N$160,10,FALSE),0)+
IFERROR(VLOOKUP(A72,'Centre WP11'!$A$7:$N$160,10,FALSE),0)+
IFERROR(VLOOKUP(A72,'Centre WR11'!$A$7:$N$160,10,FALSE),0)+
IFERROR(VLOOKUP(A72,'Centre WV11'!$A$7:$N$160,10,FALSE),0)</f>
        <v>0</v>
      </c>
      <c r="K72" s="10">
        <f>IFERROR(VLOOKUP(A72,'Centre DW11'!$A$7:$N$160,11,FALSE),0)+
IFERROR(VLOOKUP(A72,'Centre WP11'!$A$7:$N$160,11,FALSE),0)+
IFERROR(VLOOKUP(A72,'Centre WR11'!$A$7:$N$160,11,FALSE),0)+
IFERROR(VLOOKUP(A72,'Centre WV11'!$A$7:$N$160,11,FALSE),0)</f>
        <v>0</v>
      </c>
      <c r="L72" s="10">
        <f>IFERROR(VLOOKUP(A72,'Centre DW11'!$A$7:$N$160,12,FALSE),0)+
IFERROR(VLOOKUP(A72,'Centre WP11'!$A$7:$N$160,12,FALSE),0)+
IFERROR(VLOOKUP(A72,'Centre WR11'!$A$7:$N$160,12,FALSE),0)+
IFERROR(VLOOKUP(A72,'Centre WV11'!$A$7:$N$160,12,FALSE),0)</f>
        <v>0</v>
      </c>
      <c r="M72" s="10">
        <f>IFERROR(VLOOKUP(A72,'Centre DW11'!$A$7:$N$160,13,FALSE),0)+
IFERROR(VLOOKUP(A72,'Centre WP11'!$A$7:$N$160,13,FALSE),0)+
IFERROR(VLOOKUP(A72,'Centre WR11'!$A$7:$N$160,13,FALSE),0)+
IFERROR(VLOOKUP(A72,'Centre WV11'!$A$7:$N$160,13,FALSE),0)</f>
        <v>0</v>
      </c>
      <c r="N72" s="10">
        <f>IFERROR(VLOOKUP(A72,'Centre DW11'!$A$7:$N$160,14,FALSE),0)+
IFERROR(VLOOKUP(A72,'Centre WP11'!$A$7:$N$160,14,FALSE),0)+
IFERROR(VLOOKUP(A72,'Centre WR11'!$A$7:$N$160,14,FALSE),0)+
IFERROR(VLOOKUP(A72,'Centre WV11'!$A$7:$N$160,14,FALSE),0)</f>
        <v>0</v>
      </c>
    </row>
    <row r="73" spans="1:14" hidden="1" outlineLevel="1" x14ac:dyDescent="0.2">
      <c r="A73" s="9" t="s">
        <v>329</v>
      </c>
      <c r="B73" s="1" t="s">
        <v>330</v>
      </c>
      <c r="C73" s="10">
        <f>IFERROR(VLOOKUP(A73,'Centre DW11'!$A$7:$N$160,3,FALSE),0)+
IFERROR(VLOOKUP(A73,'Centre WP11'!$A$7:$N$160,3,FALSE),0)+
IFERROR(VLOOKUP(A73,'Centre WR11'!$A$7:$N$160,3,FALSE),0)+
IFERROR(VLOOKUP(A73,'Centre WV11'!$A$7:$N$160,3,FALSE),0)</f>
        <v>15.5</v>
      </c>
      <c r="D73" s="10">
        <f>IFERROR(VLOOKUP(A73,'Centre DW11'!$A$7:$N$160,4,FALSE),0)+
IFERROR(VLOOKUP(A73,'Centre WP11'!$A$7:$N$160,4,FALSE),0)+
IFERROR(VLOOKUP(A73,'Centre WR11'!$A$7:$N$160,4,FALSE),0)+
IFERROR(VLOOKUP(A73,'Centre WV11'!$A$7:$N$160,4,FALSE),0)</f>
        <v>15.6</v>
      </c>
      <c r="E73" s="10">
        <f>IFERROR(VLOOKUP(A73,'Centre DW11'!$A$7:$N$160,5,FALSE),0)+
IFERROR(VLOOKUP(A73,'Centre WP11'!$A$7:$N$160,5,FALSE),0)+
IFERROR(VLOOKUP(A73,'Centre WR11'!$A$7:$N$160,5,FALSE),0)+
IFERROR(VLOOKUP(A73,'Centre WV11'!$A$7:$N$160,5,FALSE),0)</f>
        <v>15.4</v>
      </c>
      <c r="F73" s="10">
        <f>IFERROR(VLOOKUP(A73,'Centre DW11'!$A$7:$N$160,6,FALSE),0)+
IFERROR(VLOOKUP(A73,'Centre WP11'!$A$7:$N$160,6,FALSE),0)+
IFERROR(VLOOKUP(A73,'Centre WR11'!$A$7:$N$160,6,FALSE),0)+
IFERROR(VLOOKUP(A73,'Centre WV11'!$A$7:$N$160,6,FALSE),0)</f>
        <v>9.6999999999999993</v>
      </c>
      <c r="G73" s="10">
        <f>IFERROR(VLOOKUP(A73,'Centre DW11'!$A$7:$N$160,7,FALSE),0)+
IFERROR(VLOOKUP(A73,'Centre WP11'!$A$7:$N$160,7,FALSE),0)+
IFERROR(VLOOKUP(A73,'Centre WR11'!$A$7:$N$160,7,FALSE),0)+
IFERROR(VLOOKUP(A73,'Centre WV11'!$A$7:$N$160,7,FALSE),0)</f>
        <v>15.6</v>
      </c>
      <c r="H73" s="10">
        <f>IFERROR(VLOOKUP(A73,'Centre DW11'!$A$7:$N$160,8,FALSE),0)+
IFERROR(VLOOKUP(A73,'Centre WP11'!$A$7:$N$160,8,FALSE),0)+
IFERROR(VLOOKUP(A73,'Centre WR11'!$A$7:$N$160,8,FALSE),0)+
IFERROR(VLOOKUP(A73,'Centre WV11'!$A$7:$N$160,8,FALSE),0)</f>
        <v>15.6</v>
      </c>
      <c r="I73" s="10">
        <f>IFERROR(VLOOKUP(A73,'Centre DW11'!$A$7:$N$160,9,FALSE),0)+
IFERROR(VLOOKUP(A73,'Centre WP11'!$A$7:$N$160,9,FALSE),0)+
IFERROR(VLOOKUP(A73,'Centre WR11'!$A$7:$N$160,9,FALSE),0)+
IFERROR(VLOOKUP(A73,'Centre WV11'!$A$7:$N$160,9,FALSE),0)</f>
        <v>4</v>
      </c>
      <c r="J73" s="10">
        <f>IFERROR(VLOOKUP(A73,'Centre DW11'!$A$7:$N$160,10,FALSE),0)+
IFERROR(VLOOKUP(A73,'Centre WP11'!$A$7:$N$160,10,FALSE),0)+
IFERROR(VLOOKUP(A73,'Centre WR11'!$A$7:$N$160,10,FALSE),0)+
IFERROR(VLOOKUP(A73,'Centre WV11'!$A$7:$N$160,10,FALSE),0)</f>
        <v>18.5</v>
      </c>
      <c r="K73" s="10">
        <f>IFERROR(VLOOKUP(A73,'Centre DW11'!$A$7:$N$160,11,FALSE),0)+
IFERROR(VLOOKUP(A73,'Centre WP11'!$A$7:$N$160,11,FALSE),0)+
IFERROR(VLOOKUP(A73,'Centre WR11'!$A$7:$N$160,11,FALSE),0)+
IFERROR(VLOOKUP(A73,'Centre WV11'!$A$7:$N$160,11,FALSE),0)</f>
        <v>18.600000000000001</v>
      </c>
      <c r="L73" s="10">
        <f>IFERROR(VLOOKUP(A73,'Centre DW11'!$A$7:$N$160,12,FALSE),0)+
IFERROR(VLOOKUP(A73,'Centre WP11'!$A$7:$N$160,12,FALSE),0)+
IFERROR(VLOOKUP(A73,'Centre WR11'!$A$7:$N$160,12,FALSE),0)+
IFERROR(VLOOKUP(A73,'Centre WV11'!$A$7:$N$160,12,FALSE),0)</f>
        <v>26.4</v>
      </c>
      <c r="M73" s="10">
        <f>IFERROR(VLOOKUP(A73,'Centre DW11'!$A$7:$N$160,13,FALSE),0)+
IFERROR(VLOOKUP(A73,'Centre WP11'!$A$7:$N$160,13,FALSE),0)+
IFERROR(VLOOKUP(A73,'Centre WR11'!$A$7:$N$160,13,FALSE),0)+
IFERROR(VLOOKUP(A73,'Centre WV11'!$A$7:$N$160,13,FALSE),0)</f>
        <v>19.7</v>
      </c>
      <c r="N73" s="10">
        <f>IFERROR(VLOOKUP(A73,'Centre DW11'!$A$7:$N$160,14,FALSE),0)+
IFERROR(VLOOKUP(A73,'Centre WP11'!$A$7:$N$160,14,FALSE),0)+
IFERROR(VLOOKUP(A73,'Centre WR11'!$A$7:$N$160,14,FALSE),0)+
IFERROR(VLOOKUP(A73,'Centre WV11'!$A$7:$N$160,14,FALSE),0)</f>
        <v>17.600000000000001</v>
      </c>
    </row>
    <row r="74" spans="1:14" hidden="1" outlineLevel="1" x14ac:dyDescent="0.2">
      <c r="A74" s="9" t="s">
        <v>331</v>
      </c>
      <c r="B74" s="1" t="s">
        <v>332</v>
      </c>
      <c r="C74" s="10">
        <f>IFERROR(VLOOKUP(A74,'Centre DW11'!$A$7:$N$160,3,FALSE),0)+
IFERROR(VLOOKUP(A74,'Centre WP11'!$A$7:$N$160,3,FALSE),0)+
IFERROR(VLOOKUP(A74,'Centre WR11'!$A$7:$N$160,3,FALSE),0)+
IFERROR(VLOOKUP(A74,'Centre WV11'!$A$7:$N$160,3,FALSE),0)</f>
        <v>0</v>
      </c>
      <c r="D74" s="10">
        <f>IFERROR(VLOOKUP(A74,'Centre DW11'!$A$7:$N$160,4,FALSE),0)+
IFERROR(VLOOKUP(A74,'Centre WP11'!$A$7:$N$160,4,FALSE),0)+
IFERROR(VLOOKUP(A74,'Centre WR11'!$A$7:$N$160,4,FALSE),0)+
IFERROR(VLOOKUP(A74,'Centre WV11'!$A$7:$N$160,4,FALSE),0)</f>
        <v>0</v>
      </c>
      <c r="E74" s="10">
        <f>IFERROR(VLOOKUP(A74,'Centre DW11'!$A$7:$N$160,5,FALSE),0)+
IFERROR(VLOOKUP(A74,'Centre WP11'!$A$7:$N$160,5,FALSE),0)+
IFERROR(VLOOKUP(A74,'Centre WR11'!$A$7:$N$160,5,FALSE),0)+
IFERROR(VLOOKUP(A74,'Centre WV11'!$A$7:$N$160,5,FALSE),0)</f>
        <v>1.8</v>
      </c>
      <c r="F74" s="10">
        <f>IFERROR(VLOOKUP(A74,'Centre DW11'!$A$7:$N$160,6,FALSE),0)+
IFERROR(VLOOKUP(A74,'Centre WP11'!$A$7:$N$160,6,FALSE),0)+
IFERROR(VLOOKUP(A74,'Centre WR11'!$A$7:$N$160,6,FALSE),0)+
IFERROR(VLOOKUP(A74,'Centre WV11'!$A$7:$N$160,6,FALSE),0)</f>
        <v>0</v>
      </c>
      <c r="G74" s="10">
        <f>IFERROR(VLOOKUP(A74,'Centre DW11'!$A$7:$N$160,7,FALSE),0)+
IFERROR(VLOOKUP(A74,'Centre WP11'!$A$7:$N$160,7,FALSE),0)+
IFERROR(VLOOKUP(A74,'Centre WR11'!$A$7:$N$160,7,FALSE),0)+
IFERROR(VLOOKUP(A74,'Centre WV11'!$A$7:$N$160,7,FALSE),0)</f>
        <v>6</v>
      </c>
      <c r="H74" s="10">
        <f>IFERROR(VLOOKUP(A74,'Centre DW11'!$A$7:$N$160,8,FALSE),0)+
IFERROR(VLOOKUP(A74,'Centre WP11'!$A$7:$N$160,8,FALSE),0)+
IFERROR(VLOOKUP(A74,'Centre WR11'!$A$7:$N$160,8,FALSE),0)+
IFERROR(VLOOKUP(A74,'Centre WV11'!$A$7:$N$160,8,FALSE),0)</f>
        <v>0</v>
      </c>
      <c r="I74" s="10">
        <f>IFERROR(VLOOKUP(A74,'Centre DW11'!$A$7:$N$160,9,FALSE),0)+
IFERROR(VLOOKUP(A74,'Centre WP11'!$A$7:$N$160,9,FALSE),0)+
IFERROR(VLOOKUP(A74,'Centre WR11'!$A$7:$N$160,9,FALSE),0)+
IFERROR(VLOOKUP(A74,'Centre WV11'!$A$7:$N$160,9,FALSE),0)</f>
        <v>0</v>
      </c>
      <c r="J74" s="10">
        <f>IFERROR(VLOOKUP(A74,'Centre DW11'!$A$7:$N$160,10,FALSE),0)+
IFERROR(VLOOKUP(A74,'Centre WP11'!$A$7:$N$160,10,FALSE),0)+
IFERROR(VLOOKUP(A74,'Centre WR11'!$A$7:$N$160,10,FALSE),0)+
IFERROR(VLOOKUP(A74,'Centre WV11'!$A$7:$N$160,10,FALSE),0)</f>
        <v>0</v>
      </c>
      <c r="K74" s="10">
        <f>IFERROR(VLOOKUP(A74,'Centre DW11'!$A$7:$N$160,11,FALSE),0)+
IFERROR(VLOOKUP(A74,'Centre WP11'!$A$7:$N$160,11,FALSE),0)+
IFERROR(VLOOKUP(A74,'Centre WR11'!$A$7:$N$160,11,FALSE),0)+
IFERROR(VLOOKUP(A74,'Centre WV11'!$A$7:$N$160,11,FALSE),0)</f>
        <v>0</v>
      </c>
      <c r="L74" s="10">
        <f>IFERROR(VLOOKUP(A74,'Centre DW11'!$A$7:$N$160,12,FALSE),0)+
IFERROR(VLOOKUP(A74,'Centre WP11'!$A$7:$N$160,12,FALSE),0)+
IFERROR(VLOOKUP(A74,'Centre WR11'!$A$7:$N$160,12,FALSE),0)+
IFERROR(VLOOKUP(A74,'Centre WV11'!$A$7:$N$160,12,FALSE),0)</f>
        <v>1.8</v>
      </c>
      <c r="M74" s="10">
        <f>IFERROR(VLOOKUP(A74,'Centre DW11'!$A$7:$N$160,13,FALSE),0)+
IFERROR(VLOOKUP(A74,'Centre WP11'!$A$7:$N$160,13,FALSE),0)+
IFERROR(VLOOKUP(A74,'Centre WR11'!$A$7:$N$160,13,FALSE),0)+
IFERROR(VLOOKUP(A74,'Centre WV11'!$A$7:$N$160,13,FALSE),0)</f>
        <v>0</v>
      </c>
      <c r="N74" s="10">
        <f>IFERROR(VLOOKUP(A74,'Centre DW11'!$A$7:$N$160,14,FALSE),0)+
IFERROR(VLOOKUP(A74,'Centre WP11'!$A$7:$N$160,14,FALSE),0)+
IFERROR(VLOOKUP(A74,'Centre WR11'!$A$7:$N$160,14,FALSE),0)+
IFERROR(VLOOKUP(A74,'Centre WV11'!$A$7:$N$160,14,FALSE),0)</f>
        <v>6</v>
      </c>
    </row>
    <row r="75" spans="1:14" hidden="1" outlineLevel="1" x14ac:dyDescent="0.2">
      <c r="A75" s="9" t="s">
        <v>135</v>
      </c>
      <c r="B75" s="1" t="s">
        <v>136</v>
      </c>
      <c r="C75" s="10">
        <f>IFERROR(VLOOKUP(A75,'Centre DW11'!$A$7:$N$160,3,FALSE),0)+
IFERROR(VLOOKUP(A75,'Centre WP11'!$A$7:$N$160,3,FALSE),0)+
IFERROR(VLOOKUP(A75,'Centre WR11'!$A$7:$N$160,3,FALSE),0)+
IFERROR(VLOOKUP(A75,'Centre WV11'!$A$7:$N$160,3,FALSE),0)</f>
        <v>0</v>
      </c>
      <c r="D75" s="10">
        <f>IFERROR(VLOOKUP(A75,'Centre DW11'!$A$7:$N$160,4,FALSE),0)+
IFERROR(VLOOKUP(A75,'Centre WP11'!$A$7:$N$160,4,FALSE),0)+
IFERROR(VLOOKUP(A75,'Centre WR11'!$A$7:$N$160,4,FALSE),0)+
IFERROR(VLOOKUP(A75,'Centre WV11'!$A$7:$N$160,4,FALSE),0)</f>
        <v>0</v>
      </c>
      <c r="E75" s="10">
        <f>IFERROR(VLOOKUP(A75,'Centre DW11'!$A$7:$N$160,5,FALSE),0)+
IFERROR(VLOOKUP(A75,'Centre WP11'!$A$7:$N$160,5,FALSE),0)+
IFERROR(VLOOKUP(A75,'Centre WR11'!$A$7:$N$160,5,FALSE),0)+
IFERROR(VLOOKUP(A75,'Centre WV11'!$A$7:$N$160,5,FALSE),0)</f>
        <v>0</v>
      </c>
      <c r="F75" s="10">
        <f>IFERROR(VLOOKUP(A75,'Centre DW11'!$A$7:$N$160,6,FALSE),0)+
IFERROR(VLOOKUP(A75,'Centre WP11'!$A$7:$N$160,6,FALSE),0)+
IFERROR(VLOOKUP(A75,'Centre WR11'!$A$7:$N$160,6,FALSE),0)+
IFERROR(VLOOKUP(A75,'Centre WV11'!$A$7:$N$160,6,FALSE),0)</f>
        <v>0</v>
      </c>
      <c r="G75" s="10">
        <f>IFERROR(VLOOKUP(A75,'Centre DW11'!$A$7:$N$160,7,FALSE),0)+
IFERROR(VLOOKUP(A75,'Centre WP11'!$A$7:$N$160,7,FALSE),0)+
IFERROR(VLOOKUP(A75,'Centre WR11'!$A$7:$N$160,7,FALSE),0)+
IFERROR(VLOOKUP(A75,'Centre WV11'!$A$7:$N$160,7,FALSE),0)</f>
        <v>0</v>
      </c>
      <c r="H75" s="10">
        <f>IFERROR(VLOOKUP(A75,'Centre DW11'!$A$7:$N$160,8,FALSE),0)+
IFERROR(VLOOKUP(A75,'Centre WP11'!$A$7:$N$160,8,FALSE),0)+
IFERROR(VLOOKUP(A75,'Centre WR11'!$A$7:$N$160,8,FALSE),0)+
IFERROR(VLOOKUP(A75,'Centre WV11'!$A$7:$N$160,8,FALSE),0)</f>
        <v>0</v>
      </c>
      <c r="I75" s="10">
        <f>IFERROR(VLOOKUP(A75,'Centre DW11'!$A$7:$N$160,9,FALSE),0)+
IFERROR(VLOOKUP(A75,'Centre WP11'!$A$7:$N$160,9,FALSE),0)+
IFERROR(VLOOKUP(A75,'Centre WR11'!$A$7:$N$160,9,FALSE),0)+
IFERROR(VLOOKUP(A75,'Centre WV11'!$A$7:$N$160,9,FALSE),0)</f>
        <v>0</v>
      </c>
      <c r="J75" s="10">
        <f>IFERROR(VLOOKUP(A75,'Centre DW11'!$A$7:$N$160,10,FALSE),0)+
IFERROR(VLOOKUP(A75,'Centre WP11'!$A$7:$N$160,10,FALSE),0)+
IFERROR(VLOOKUP(A75,'Centre WR11'!$A$7:$N$160,10,FALSE),0)+
IFERROR(VLOOKUP(A75,'Centre WV11'!$A$7:$N$160,10,FALSE),0)</f>
        <v>0</v>
      </c>
      <c r="K75" s="10">
        <f>IFERROR(VLOOKUP(A75,'Centre DW11'!$A$7:$N$160,11,FALSE),0)+
IFERROR(VLOOKUP(A75,'Centre WP11'!$A$7:$N$160,11,FALSE),0)+
IFERROR(VLOOKUP(A75,'Centre WR11'!$A$7:$N$160,11,FALSE),0)+
IFERROR(VLOOKUP(A75,'Centre WV11'!$A$7:$N$160,11,FALSE),0)</f>
        <v>0</v>
      </c>
      <c r="L75" s="10">
        <f>IFERROR(VLOOKUP(A75,'Centre DW11'!$A$7:$N$160,12,FALSE),0)+
IFERROR(VLOOKUP(A75,'Centre WP11'!$A$7:$N$160,12,FALSE),0)+
IFERROR(VLOOKUP(A75,'Centre WR11'!$A$7:$N$160,12,FALSE),0)+
IFERROR(VLOOKUP(A75,'Centre WV11'!$A$7:$N$160,12,FALSE),0)</f>
        <v>0</v>
      </c>
      <c r="M75" s="10">
        <f>IFERROR(VLOOKUP(A75,'Centre DW11'!$A$7:$N$160,13,FALSE),0)+
IFERROR(VLOOKUP(A75,'Centre WP11'!$A$7:$N$160,13,FALSE),0)+
IFERROR(VLOOKUP(A75,'Centre WR11'!$A$7:$N$160,13,FALSE),0)+
IFERROR(VLOOKUP(A75,'Centre WV11'!$A$7:$N$160,13,FALSE),0)</f>
        <v>0</v>
      </c>
      <c r="N75" s="10">
        <f>IFERROR(VLOOKUP(A75,'Centre DW11'!$A$7:$N$160,14,FALSE),0)+
IFERROR(VLOOKUP(A75,'Centre WP11'!$A$7:$N$160,14,FALSE),0)+
IFERROR(VLOOKUP(A75,'Centre WR11'!$A$7:$N$160,14,FALSE),0)+
IFERROR(VLOOKUP(A75,'Centre WV11'!$A$7:$N$160,14,FALSE),0)</f>
        <v>0</v>
      </c>
    </row>
    <row r="76" spans="1:14" hidden="1" outlineLevel="1" x14ac:dyDescent="0.2">
      <c r="A76" s="9" t="s">
        <v>373</v>
      </c>
      <c r="B76" s="1" t="s">
        <v>374</v>
      </c>
      <c r="C76" s="10">
        <f>IFERROR(VLOOKUP(A76,'Centre DW11'!$A$7:$N$160,3,FALSE),0)+
IFERROR(VLOOKUP(A76,'Centre WP11'!$A$7:$N$160,3,FALSE),0)+
IFERROR(VLOOKUP(A76,'Centre WR11'!$A$7:$N$160,3,FALSE),0)+
IFERROR(VLOOKUP(A76,'Centre WV11'!$A$7:$N$160,3,FALSE),0)</f>
        <v>0</v>
      </c>
      <c r="D76" s="10">
        <f>IFERROR(VLOOKUP(A76,'Centre DW11'!$A$7:$N$160,4,FALSE),0)+
IFERROR(VLOOKUP(A76,'Centre WP11'!$A$7:$N$160,4,FALSE),0)+
IFERROR(VLOOKUP(A76,'Centre WR11'!$A$7:$N$160,4,FALSE),0)+
IFERROR(VLOOKUP(A76,'Centre WV11'!$A$7:$N$160,4,FALSE),0)</f>
        <v>0</v>
      </c>
      <c r="E76" s="10">
        <f>IFERROR(VLOOKUP(A76,'Centre DW11'!$A$7:$N$160,5,FALSE),0)+
IFERROR(VLOOKUP(A76,'Centre WP11'!$A$7:$N$160,5,FALSE),0)+
IFERROR(VLOOKUP(A76,'Centre WR11'!$A$7:$N$160,5,FALSE),0)+
IFERROR(VLOOKUP(A76,'Centre WV11'!$A$7:$N$160,5,FALSE),0)</f>
        <v>0</v>
      </c>
      <c r="F76" s="10">
        <f>IFERROR(VLOOKUP(A76,'Centre DW11'!$A$7:$N$160,6,FALSE),0)+
IFERROR(VLOOKUP(A76,'Centre WP11'!$A$7:$N$160,6,FALSE),0)+
IFERROR(VLOOKUP(A76,'Centre WR11'!$A$7:$N$160,6,FALSE),0)+
IFERROR(VLOOKUP(A76,'Centre WV11'!$A$7:$N$160,6,FALSE),0)</f>
        <v>0</v>
      </c>
      <c r="G76" s="10">
        <f>IFERROR(VLOOKUP(A76,'Centre DW11'!$A$7:$N$160,7,FALSE),0)+
IFERROR(VLOOKUP(A76,'Centre WP11'!$A$7:$N$160,7,FALSE),0)+
IFERROR(VLOOKUP(A76,'Centre WR11'!$A$7:$N$160,7,FALSE),0)+
IFERROR(VLOOKUP(A76,'Centre WV11'!$A$7:$N$160,7,FALSE),0)</f>
        <v>0</v>
      </c>
      <c r="H76" s="10">
        <f>IFERROR(VLOOKUP(A76,'Centre DW11'!$A$7:$N$160,8,FALSE),0)+
IFERROR(VLOOKUP(A76,'Centre WP11'!$A$7:$N$160,8,FALSE),0)+
IFERROR(VLOOKUP(A76,'Centre WR11'!$A$7:$N$160,8,FALSE),0)+
IFERROR(VLOOKUP(A76,'Centre WV11'!$A$7:$N$160,8,FALSE),0)</f>
        <v>0</v>
      </c>
      <c r="I76" s="10">
        <f>IFERROR(VLOOKUP(A76,'Centre DW11'!$A$7:$N$160,9,FALSE),0)+
IFERROR(VLOOKUP(A76,'Centre WP11'!$A$7:$N$160,9,FALSE),0)+
IFERROR(VLOOKUP(A76,'Centre WR11'!$A$7:$N$160,9,FALSE),0)+
IFERROR(VLOOKUP(A76,'Centre WV11'!$A$7:$N$160,9,FALSE),0)</f>
        <v>0</v>
      </c>
      <c r="J76" s="10">
        <f>IFERROR(VLOOKUP(A76,'Centre DW11'!$A$7:$N$160,10,FALSE),0)+
IFERROR(VLOOKUP(A76,'Centre WP11'!$A$7:$N$160,10,FALSE),0)+
IFERROR(VLOOKUP(A76,'Centre WR11'!$A$7:$N$160,10,FALSE),0)+
IFERROR(VLOOKUP(A76,'Centre WV11'!$A$7:$N$160,10,FALSE),0)</f>
        <v>0</v>
      </c>
      <c r="K76" s="10">
        <f>IFERROR(VLOOKUP(A76,'Centre DW11'!$A$7:$N$160,11,FALSE),0)+
IFERROR(VLOOKUP(A76,'Centre WP11'!$A$7:$N$160,11,FALSE),0)+
IFERROR(VLOOKUP(A76,'Centre WR11'!$A$7:$N$160,11,FALSE),0)+
IFERROR(VLOOKUP(A76,'Centre WV11'!$A$7:$N$160,11,FALSE),0)</f>
        <v>0</v>
      </c>
      <c r="L76" s="10">
        <f>IFERROR(VLOOKUP(A76,'Centre DW11'!$A$7:$N$160,12,FALSE),0)+
IFERROR(VLOOKUP(A76,'Centre WP11'!$A$7:$N$160,12,FALSE),0)+
IFERROR(VLOOKUP(A76,'Centre WR11'!$A$7:$N$160,12,FALSE),0)+
IFERROR(VLOOKUP(A76,'Centre WV11'!$A$7:$N$160,12,FALSE),0)</f>
        <v>0</v>
      </c>
      <c r="M76" s="10">
        <f>IFERROR(VLOOKUP(A76,'Centre DW11'!$A$7:$N$160,13,FALSE),0)+
IFERROR(VLOOKUP(A76,'Centre WP11'!$A$7:$N$160,13,FALSE),0)+
IFERROR(VLOOKUP(A76,'Centre WR11'!$A$7:$N$160,13,FALSE),0)+
IFERROR(VLOOKUP(A76,'Centre WV11'!$A$7:$N$160,13,FALSE),0)</f>
        <v>0</v>
      </c>
      <c r="N76" s="10">
        <f>IFERROR(VLOOKUP(A76,'Centre DW11'!$A$7:$N$160,14,FALSE),0)+
IFERROR(VLOOKUP(A76,'Centre WP11'!$A$7:$N$160,14,FALSE),0)+
IFERROR(VLOOKUP(A76,'Centre WR11'!$A$7:$N$160,14,FALSE),0)+
IFERROR(VLOOKUP(A76,'Centre WV11'!$A$7:$N$160,14,FALSE),0)</f>
        <v>0</v>
      </c>
    </row>
    <row r="77" spans="1:14" hidden="1" outlineLevel="1" x14ac:dyDescent="0.2">
      <c r="A77" s="9" t="s">
        <v>335</v>
      </c>
      <c r="B77" s="1" t="s">
        <v>336</v>
      </c>
      <c r="C77" s="10">
        <f>IFERROR(VLOOKUP(A77,'Centre DW11'!$A$7:$N$160,3,FALSE),0)+
IFERROR(VLOOKUP(A77,'Centre WP11'!$A$7:$N$160,3,FALSE),0)+
IFERROR(VLOOKUP(A77,'Centre WR11'!$A$7:$N$160,3,FALSE),0)+
IFERROR(VLOOKUP(A77,'Centre WV11'!$A$7:$N$160,3,FALSE),0)</f>
        <v>0</v>
      </c>
      <c r="D77" s="10">
        <f>IFERROR(VLOOKUP(A77,'Centre DW11'!$A$7:$N$160,4,FALSE),0)+
IFERROR(VLOOKUP(A77,'Centre WP11'!$A$7:$N$160,4,FALSE),0)+
IFERROR(VLOOKUP(A77,'Centre WR11'!$A$7:$N$160,4,FALSE),0)+
IFERROR(VLOOKUP(A77,'Centre WV11'!$A$7:$N$160,4,FALSE),0)</f>
        <v>0.1</v>
      </c>
      <c r="E77" s="10">
        <f>IFERROR(VLOOKUP(A77,'Centre DW11'!$A$7:$N$160,5,FALSE),0)+
IFERROR(VLOOKUP(A77,'Centre WP11'!$A$7:$N$160,5,FALSE),0)+
IFERROR(VLOOKUP(A77,'Centre WR11'!$A$7:$N$160,5,FALSE),0)+
IFERROR(VLOOKUP(A77,'Centre WV11'!$A$7:$N$160,5,FALSE),0)</f>
        <v>0</v>
      </c>
      <c r="F77" s="10">
        <f>IFERROR(VLOOKUP(A77,'Centre DW11'!$A$7:$N$160,6,FALSE),0)+
IFERROR(VLOOKUP(A77,'Centre WP11'!$A$7:$N$160,6,FALSE),0)+
IFERROR(VLOOKUP(A77,'Centre WR11'!$A$7:$N$160,6,FALSE),0)+
IFERROR(VLOOKUP(A77,'Centre WV11'!$A$7:$N$160,6,FALSE),0)</f>
        <v>0</v>
      </c>
      <c r="G77" s="10">
        <f>IFERROR(VLOOKUP(A77,'Centre DW11'!$A$7:$N$160,7,FALSE),0)+
IFERROR(VLOOKUP(A77,'Centre WP11'!$A$7:$N$160,7,FALSE),0)+
IFERROR(VLOOKUP(A77,'Centre WR11'!$A$7:$N$160,7,FALSE),0)+
IFERROR(VLOOKUP(A77,'Centre WV11'!$A$7:$N$160,7,FALSE),0)</f>
        <v>8.5</v>
      </c>
      <c r="H77" s="10">
        <f>IFERROR(VLOOKUP(A77,'Centre DW11'!$A$7:$N$160,8,FALSE),0)+
IFERROR(VLOOKUP(A77,'Centre WP11'!$A$7:$N$160,8,FALSE),0)+
IFERROR(VLOOKUP(A77,'Centre WR11'!$A$7:$N$160,8,FALSE),0)+
IFERROR(VLOOKUP(A77,'Centre WV11'!$A$7:$N$160,8,FALSE),0)</f>
        <v>0</v>
      </c>
      <c r="I77" s="10">
        <f>IFERROR(VLOOKUP(A77,'Centre DW11'!$A$7:$N$160,9,FALSE),0)+
IFERROR(VLOOKUP(A77,'Centre WP11'!$A$7:$N$160,9,FALSE),0)+
IFERROR(VLOOKUP(A77,'Centre WR11'!$A$7:$N$160,9,FALSE),0)+
IFERROR(VLOOKUP(A77,'Centre WV11'!$A$7:$N$160,9,FALSE),0)</f>
        <v>0</v>
      </c>
      <c r="J77" s="10">
        <f>IFERROR(VLOOKUP(A77,'Centre DW11'!$A$7:$N$160,10,FALSE),0)+
IFERROR(VLOOKUP(A77,'Centre WP11'!$A$7:$N$160,10,FALSE),0)+
IFERROR(VLOOKUP(A77,'Centre WR11'!$A$7:$N$160,10,FALSE),0)+
IFERROR(VLOOKUP(A77,'Centre WV11'!$A$7:$N$160,10,FALSE),0)</f>
        <v>0</v>
      </c>
      <c r="K77" s="10">
        <f>IFERROR(VLOOKUP(A77,'Centre DW11'!$A$7:$N$160,11,FALSE),0)+
IFERROR(VLOOKUP(A77,'Centre WP11'!$A$7:$N$160,11,FALSE),0)+
IFERROR(VLOOKUP(A77,'Centre WR11'!$A$7:$N$160,11,FALSE),0)+
IFERROR(VLOOKUP(A77,'Centre WV11'!$A$7:$N$160,11,FALSE),0)</f>
        <v>0</v>
      </c>
      <c r="L77" s="10">
        <f>IFERROR(VLOOKUP(A77,'Centre DW11'!$A$7:$N$160,12,FALSE),0)+
IFERROR(VLOOKUP(A77,'Centre WP11'!$A$7:$N$160,12,FALSE),0)+
IFERROR(VLOOKUP(A77,'Centre WR11'!$A$7:$N$160,12,FALSE),0)+
IFERROR(VLOOKUP(A77,'Centre WV11'!$A$7:$N$160,12,FALSE),0)</f>
        <v>0</v>
      </c>
      <c r="M77" s="10">
        <f>IFERROR(VLOOKUP(A77,'Centre DW11'!$A$7:$N$160,13,FALSE),0)+
IFERROR(VLOOKUP(A77,'Centre WP11'!$A$7:$N$160,13,FALSE),0)+
IFERROR(VLOOKUP(A77,'Centre WR11'!$A$7:$N$160,13,FALSE),0)+
IFERROR(VLOOKUP(A77,'Centre WV11'!$A$7:$N$160,13,FALSE),0)</f>
        <v>0</v>
      </c>
      <c r="N77" s="10">
        <f>IFERROR(VLOOKUP(A77,'Centre DW11'!$A$7:$N$160,14,FALSE),0)+
IFERROR(VLOOKUP(A77,'Centre WP11'!$A$7:$N$160,14,FALSE),0)+
IFERROR(VLOOKUP(A77,'Centre WR11'!$A$7:$N$160,14,FALSE),0)+
IFERROR(VLOOKUP(A77,'Centre WV11'!$A$7:$N$160,14,FALSE),0)</f>
        <v>0</v>
      </c>
    </row>
    <row r="78" spans="1:14" hidden="1" outlineLevel="1" x14ac:dyDescent="0.2">
      <c r="A78" s="9" t="s">
        <v>375</v>
      </c>
      <c r="B78" s="1" t="s">
        <v>376</v>
      </c>
      <c r="C78" s="10">
        <f>IFERROR(VLOOKUP(A78,'Centre DW11'!$A$7:$N$160,3,FALSE),0)+
IFERROR(VLOOKUP(A78,'Centre WP11'!$A$7:$N$160,3,FALSE),0)+
IFERROR(VLOOKUP(A78,'Centre WR11'!$A$7:$N$160,3,FALSE),0)+
IFERROR(VLOOKUP(A78,'Centre WV11'!$A$7:$N$160,3,FALSE),0)</f>
        <v>0</v>
      </c>
      <c r="D78" s="10">
        <f>IFERROR(VLOOKUP(A78,'Centre DW11'!$A$7:$N$160,4,FALSE),0)+
IFERROR(VLOOKUP(A78,'Centre WP11'!$A$7:$N$160,4,FALSE),0)+
IFERROR(VLOOKUP(A78,'Centre WR11'!$A$7:$N$160,4,FALSE),0)+
IFERROR(VLOOKUP(A78,'Centre WV11'!$A$7:$N$160,4,FALSE),0)</f>
        <v>0</v>
      </c>
      <c r="E78" s="10">
        <f>IFERROR(VLOOKUP(A78,'Centre DW11'!$A$7:$N$160,5,FALSE),0)+
IFERROR(VLOOKUP(A78,'Centre WP11'!$A$7:$N$160,5,FALSE),0)+
IFERROR(VLOOKUP(A78,'Centre WR11'!$A$7:$N$160,5,FALSE),0)+
IFERROR(VLOOKUP(A78,'Centre WV11'!$A$7:$N$160,5,FALSE),0)</f>
        <v>0</v>
      </c>
      <c r="F78" s="10">
        <f>IFERROR(VLOOKUP(A78,'Centre DW11'!$A$7:$N$160,6,FALSE),0)+
IFERROR(VLOOKUP(A78,'Centre WP11'!$A$7:$N$160,6,FALSE),0)+
IFERROR(VLOOKUP(A78,'Centre WR11'!$A$7:$N$160,6,FALSE),0)+
IFERROR(VLOOKUP(A78,'Centre WV11'!$A$7:$N$160,6,FALSE),0)</f>
        <v>0</v>
      </c>
      <c r="G78" s="10">
        <f>IFERROR(VLOOKUP(A78,'Centre DW11'!$A$7:$N$160,7,FALSE),0)+
IFERROR(VLOOKUP(A78,'Centre WP11'!$A$7:$N$160,7,FALSE),0)+
IFERROR(VLOOKUP(A78,'Centre WR11'!$A$7:$N$160,7,FALSE),0)+
IFERROR(VLOOKUP(A78,'Centre WV11'!$A$7:$N$160,7,FALSE),0)</f>
        <v>0</v>
      </c>
      <c r="H78" s="10">
        <f>IFERROR(VLOOKUP(A78,'Centre DW11'!$A$7:$N$160,8,FALSE),0)+
IFERROR(VLOOKUP(A78,'Centre WP11'!$A$7:$N$160,8,FALSE),0)+
IFERROR(VLOOKUP(A78,'Centre WR11'!$A$7:$N$160,8,FALSE),0)+
IFERROR(VLOOKUP(A78,'Centre WV11'!$A$7:$N$160,8,FALSE),0)</f>
        <v>0</v>
      </c>
      <c r="I78" s="10">
        <f>IFERROR(VLOOKUP(A78,'Centre DW11'!$A$7:$N$160,9,FALSE),0)+
IFERROR(VLOOKUP(A78,'Centre WP11'!$A$7:$N$160,9,FALSE),0)+
IFERROR(VLOOKUP(A78,'Centre WR11'!$A$7:$N$160,9,FALSE),0)+
IFERROR(VLOOKUP(A78,'Centre WV11'!$A$7:$N$160,9,FALSE),0)</f>
        <v>0</v>
      </c>
      <c r="J78" s="10">
        <f>IFERROR(VLOOKUP(A78,'Centre DW11'!$A$7:$N$160,10,FALSE),0)+
IFERROR(VLOOKUP(A78,'Centre WP11'!$A$7:$N$160,10,FALSE),0)+
IFERROR(VLOOKUP(A78,'Centre WR11'!$A$7:$N$160,10,FALSE),0)+
IFERROR(VLOOKUP(A78,'Centre WV11'!$A$7:$N$160,10,FALSE),0)</f>
        <v>0</v>
      </c>
      <c r="K78" s="10">
        <f>IFERROR(VLOOKUP(A78,'Centre DW11'!$A$7:$N$160,11,FALSE),0)+
IFERROR(VLOOKUP(A78,'Centre WP11'!$A$7:$N$160,11,FALSE),0)+
IFERROR(VLOOKUP(A78,'Centre WR11'!$A$7:$N$160,11,FALSE),0)+
IFERROR(VLOOKUP(A78,'Centre WV11'!$A$7:$N$160,11,FALSE),0)</f>
        <v>0</v>
      </c>
      <c r="L78" s="10">
        <f>IFERROR(VLOOKUP(A78,'Centre DW11'!$A$7:$N$160,12,FALSE),0)+
IFERROR(VLOOKUP(A78,'Centre WP11'!$A$7:$N$160,12,FALSE),0)+
IFERROR(VLOOKUP(A78,'Centre WR11'!$A$7:$N$160,12,FALSE),0)+
IFERROR(VLOOKUP(A78,'Centre WV11'!$A$7:$N$160,12,FALSE),0)</f>
        <v>0</v>
      </c>
      <c r="M78" s="10">
        <f>IFERROR(VLOOKUP(A78,'Centre DW11'!$A$7:$N$160,13,FALSE),0)+
IFERROR(VLOOKUP(A78,'Centre WP11'!$A$7:$N$160,13,FALSE),0)+
IFERROR(VLOOKUP(A78,'Centre WR11'!$A$7:$N$160,13,FALSE),0)+
IFERROR(VLOOKUP(A78,'Centre WV11'!$A$7:$N$160,13,FALSE),0)</f>
        <v>0</v>
      </c>
      <c r="N78" s="10">
        <f>IFERROR(VLOOKUP(A78,'Centre DW11'!$A$7:$N$160,14,FALSE),0)+
IFERROR(VLOOKUP(A78,'Centre WP11'!$A$7:$N$160,14,FALSE),0)+
IFERROR(VLOOKUP(A78,'Centre WR11'!$A$7:$N$160,14,FALSE),0)+
IFERROR(VLOOKUP(A78,'Centre WV11'!$A$7:$N$160,14,FALSE),0)</f>
        <v>0</v>
      </c>
    </row>
    <row r="79" spans="1:14" hidden="1" outlineLevel="1" x14ac:dyDescent="0.2">
      <c r="A79" s="9" t="s">
        <v>337</v>
      </c>
      <c r="B79" s="1" t="s">
        <v>338</v>
      </c>
      <c r="C79" s="10">
        <f>IFERROR(VLOOKUP(A79,'Centre DW11'!$A$7:$N$160,3,FALSE),0)+
IFERROR(VLOOKUP(A79,'Centre WP11'!$A$7:$N$160,3,FALSE),0)+
IFERROR(VLOOKUP(A79,'Centre WR11'!$A$7:$N$160,3,FALSE),0)+
IFERROR(VLOOKUP(A79,'Centre WV11'!$A$7:$N$160,3,FALSE),0)</f>
        <v>0</v>
      </c>
      <c r="D79" s="10">
        <f>IFERROR(VLOOKUP(A79,'Centre DW11'!$A$7:$N$160,4,FALSE),0)+
IFERROR(VLOOKUP(A79,'Centre WP11'!$A$7:$N$160,4,FALSE),0)+
IFERROR(VLOOKUP(A79,'Centre WR11'!$A$7:$N$160,4,FALSE),0)+
IFERROR(VLOOKUP(A79,'Centre WV11'!$A$7:$N$160,4,FALSE),0)</f>
        <v>0</v>
      </c>
      <c r="E79" s="10">
        <f>IFERROR(VLOOKUP(A79,'Centre DW11'!$A$7:$N$160,5,FALSE),0)+
IFERROR(VLOOKUP(A79,'Centre WP11'!$A$7:$N$160,5,FALSE),0)+
IFERROR(VLOOKUP(A79,'Centre WR11'!$A$7:$N$160,5,FALSE),0)+
IFERROR(VLOOKUP(A79,'Centre WV11'!$A$7:$N$160,5,FALSE),0)</f>
        <v>0</v>
      </c>
      <c r="F79" s="10">
        <f>IFERROR(VLOOKUP(A79,'Centre DW11'!$A$7:$N$160,6,FALSE),0)+
IFERROR(VLOOKUP(A79,'Centre WP11'!$A$7:$N$160,6,FALSE),0)+
IFERROR(VLOOKUP(A79,'Centre WR11'!$A$7:$N$160,6,FALSE),0)+
IFERROR(VLOOKUP(A79,'Centre WV11'!$A$7:$N$160,6,FALSE),0)</f>
        <v>0</v>
      </c>
      <c r="G79" s="10">
        <f>IFERROR(VLOOKUP(A79,'Centre DW11'!$A$7:$N$160,7,FALSE),0)+
IFERROR(VLOOKUP(A79,'Centre WP11'!$A$7:$N$160,7,FALSE),0)+
IFERROR(VLOOKUP(A79,'Centre WR11'!$A$7:$N$160,7,FALSE),0)+
IFERROR(VLOOKUP(A79,'Centre WV11'!$A$7:$N$160,7,FALSE),0)</f>
        <v>0.8</v>
      </c>
      <c r="H79" s="10">
        <f>IFERROR(VLOOKUP(A79,'Centre DW11'!$A$7:$N$160,8,FALSE),0)+
IFERROR(VLOOKUP(A79,'Centre WP11'!$A$7:$N$160,8,FALSE),0)+
IFERROR(VLOOKUP(A79,'Centre WR11'!$A$7:$N$160,8,FALSE),0)+
IFERROR(VLOOKUP(A79,'Centre WV11'!$A$7:$N$160,8,FALSE),0)</f>
        <v>0</v>
      </c>
      <c r="I79" s="10">
        <f>IFERROR(VLOOKUP(A79,'Centre DW11'!$A$7:$N$160,9,FALSE),0)+
IFERROR(VLOOKUP(A79,'Centre WP11'!$A$7:$N$160,9,FALSE),0)+
IFERROR(VLOOKUP(A79,'Centre WR11'!$A$7:$N$160,9,FALSE),0)+
IFERROR(VLOOKUP(A79,'Centre WV11'!$A$7:$N$160,9,FALSE),0)</f>
        <v>0</v>
      </c>
      <c r="J79" s="10">
        <f>IFERROR(VLOOKUP(A79,'Centre DW11'!$A$7:$N$160,10,FALSE),0)+
IFERROR(VLOOKUP(A79,'Centre WP11'!$A$7:$N$160,10,FALSE),0)+
IFERROR(VLOOKUP(A79,'Centre WR11'!$A$7:$N$160,10,FALSE),0)+
IFERROR(VLOOKUP(A79,'Centre WV11'!$A$7:$N$160,10,FALSE),0)</f>
        <v>0</v>
      </c>
      <c r="K79" s="10">
        <f>IFERROR(VLOOKUP(A79,'Centre DW11'!$A$7:$N$160,11,FALSE),0)+
IFERROR(VLOOKUP(A79,'Centre WP11'!$A$7:$N$160,11,FALSE),0)+
IFERROR(VLOOKUP(A79,'Centre WR11'!$A$7:$N$160,11,FALSE),0)+
IFERROR(VLOOKUP(A79,'Centre WV11'!$A$7:$N$160,11,FALSE),0)</f>
        <v>0</v>
      </c>
      <c r="L79" s="10">
        <f>IFERROR(VLOOKUP(A79,'Centre DW11'!$A$7:$N$160,12,FALSE),0)+
IFERROR(VLOOKUP(A79,'Centre WP11'!$A$7:$N$160,12,FALSE),0)+
IFERROR(VLOOKUP(A79,'Centre WR11'!$A$7:$N$160,12,FALSE),0)+
IFERROR(VLOOKUP(A79,'Centre WV11'!$A$7:$N$160,12,FALSE),0)</f>
        <v>0</v>
      </c>
      <c r="M79" s="10">
        <f>IFERROR(VLOOKUP(A79,'Centre DW11'!$A$7:$N$160,13,FALSE),0)+
IFERROR(VLOOKUP(A79,'Centre WP11'!$A$7:$N$160,13,FALSE),0)+
IFERROR(VLOOKUP(A79,'Centre WR11'!$A$7:$N$160,13,FALSE),0)+
IFERROR(VLOOKUP(A79,'Centre WV11'!$A$7:$N$160,13,FALSE),0)</f>
        <v>0</v>
      </c>
      <c r="N79" s="10">
        <f>IFERROR(VLOOKUP(A79,'Centre DW11'!$A$7:$N$160,14,FALSE),0)+
IFERROR(VLOOKUP(A79,'Centre WP11'!$A$7:$N$160,14,FALSE),0)+
IFERROR(VLOOKUP(A79,'Centre WR11'!$A$7:$N$160,14,FALSE),0)+
IFERROR(VLOOKUP(A79,'Centre WV11'!$A$7:$N$160,14,FALSE),0)</f>
        <v>0</v>
      </c>
    </row>
    <row r="80" spans="1:14" collapsed="1" x14ac:dyDescent="0.2">
      <c r="A80" s="33" t="s">
        <v>137</v>
      </c>
      <c r="B80" s="34" t="s">
        <v>138</v>
      </c>
      <c r="C80" s="44">
        <f t="shared" ref="C80:M80" si="26">SUM(C81:C87)</f>
        <v>14.799999999999999</v>
      </c>
      <c r="D80" s="44">
        <f t="shared" si="26"/>
        <v>14.7</v>
      </c>
      <c r="E80" s="44">
        <f t="shared" si="26"/>
        <v>14.5</v>
      </c>
      <c r="F80" s="44">
        <f t="shared" si="26"/>
        <v>15.7</v>
      </c>
      <c r="G80" s="44">
        <f t="shared" si="26"/>
        <v>15.399999999999999</v>
      </c>
      <c r="H80" s="44">
        <f t="shared" si="26"/>
        <v>-3.9999999999999996</v>
      </c>
      <c r="I80" s="44">
        <f t="shared" si="26"/>
        <v>16.899999999999999</v>
      </c>
      <c r="J80" s="44">
        <f t="shared" si="26"/>
        <v>12.499999999999998</v>
      </c>
      <c r="K80" s="44">
        <f t="shared" si="26"/>
        <v>14.2</v>
      </c>
      <c r="L80" s="44">
        <f t="shared" si="26"/>
        <v>13.299999999999999</v>
      </c>
      <c r="M80" s="44">
        <f t="shared" si="26"/>
        <v>15.2</v>
      </c>
      <c r="N80" s="44">
        <f t="shared" ref="N80" si="27">SUM(N81:N87)</f>
        <v>-2.8000000000000003</v>
      </c>
    </row>
    <row r="81" spans="1:14" hidden="1" outlineLevel="1" x14ac:dyDescent="0.2">
      <c r="A81" s="9" t="s">
        <v>377</v>
      </c>
      <c r="B81" s="1" t="s">
        <v>378</v>
      </c>
      <c r="C81" s="10">
        <f>IFERROR(VLOOKUP(A81,'Centre DW11'!$A$7:$N$160,3,FALSE),0)+
IFERROR(VLOOKUP(A81,'Centre WP11'!$A$7:$N$160,3,FALSE),0)+
IFERROR(VLOOKUP(A81,'Centre WR11'!$A$7:$N$160,3,FALSE),0)+
IFERROR(VLOOKUP(A81,'Centre WV11'!$A$7:$N$160,3,FALSE),0)</f>
        <v>0.5</v>
      </c>
      <c r="D81" s="10">
        <f>IFERROR(VLOOKUP(A81,'Centre DW11'!$A$7:$N$160,4,FALSE),0)+
IFERROR(VLOOKUP(A81,'Centre WP11'!$A$7:$N$160,4,FALSE),0)+
IFERROR(VLOOKUP(A81,'Centre WR11'!$A$7:$N$160,4,FALSE),0)+
IFERROR(VLOOKUP(A81,'Centre WV11'!$A$7:$N$160,4,FALSE),0)</f>
        <v>0.5</v>
      </c>
      <c r="E81" s="10">
        <f>IFERROR(VLOOKUP(A81,'Centre DW11'!$A$7:$N$160,5,FALSE),0)+
IFERROR(VLOOKUP(A81,'Centre WP11'!$A$7:$N$160,5,FALSE),0)+
IFERROR(VLOOKUP(A81,'Centre WR11'!$A$7:$N$160,5,FALSE),0)+
IFERROR(VLOOKUP(A81,'Centre WV11'!$A$7:$N$160,5,FALSE),0)</f>
        <v>0.5</v>
      </c>
      <c r="F81" s="10">
        <f>IFERROR(VLOOKUP(A81,'Centre DW11'!$A$7:$N$160,6,FALSE),0)+
IFERROR(VLOOKUP(A81,'Centre WP11'!$A$7:$N$160,6,FALSE),0)+
IFERROR(VLOOKUP(A81,'Centre WR11'!$A$7:$N$160,6,FALSE),0)+
IFERROR(VLOOKUP(A81,'Centre WV11'!$A$7:$N$160,6,FALSE),0)</f>
        <v>0.5</v>
      </c>
      <c r="G81" s="10">
        <f>IFERROR(VLOOKUP(A81,'Centre DW11'!$A$7:$N$160,7,FALSE),0)+
IFERROR(VLOOKUP(A81,'Centre WP11'!$A$7:$N$160,7,FALSE),0)+
IFERROR(VLOOKUP(A81,'Centre WR11'!$A$7:$N$160,7,FALSE),0)+
IFERROR(VLOOKUP(A81,'Centre WV11'!$A$7:$N$160,7,FALSE),0)</f>
        <v>0.5</v>
      </c>
      <c r="H81" s="10">
        <f>IFERROR(VLOOKUP(A81,'Centre DW11'!$A$7:$N$160,8,FALSE),0)+
IFERROR(VLOOKUP(A81,'Centre WP11'!$A$7:$N$160,8,FALSE),0)+
IFERROR(VLOOKUP(A81,'Centre WR11'!$A$7:$N$160,8,FALSE),0)+
IFERROR(VLOOKUP(A81,'Centre WV11'!$A$7:$N$160,8,FALSE),0)</f>
        <v>0</v>
      </c>
      <c r="I81" s="10">
        <f>IFERROR(VLOOKUP(A81,'Centre DW11'!$A$7:$N$160,9,FALSE),0)+
IFERROR(VLOOKUP(A81,'Centre WP11'!$A$7:$N$160,9,FALSE),0)+
IFERROR(VLOOKUP(A81,'Centre WR11'!$A$7:$N$160,9,FALSE),0)+
IFERROR(VLOOKUP(A81,'Centre WV11'!$A$7:$N$160,9,FALSE),0)</f>
        <v>0.9</v>
      </c>
      <c r="J81" s="10">
        <f>IFERROR(VLOOKUP(A81,'Centre DW11'!$A$7:$N$160,10,FALSE),0)+
IFERROR(VLOOKUP(A81,'Centre WP11'!$A$7:$N$160,10,FALSE),0)+
IFERROR(VLOOKUP(A81,'Centre WR11'!$A$7:$N$160,10,FALSE),0)+
IFERROR(VLOOKUP(A81,'Centre WV11'!$A$7:$N$160,10,FALSE),0)</f>
        <v>0.5</v>
      </c>
      <c r="K81" s="10">
        <f>IFERROR(VLOOKUP(A81,'Centre DW11'!$A$7:$N$160,11,FALSE),0)+
IFERROR(VLOOKUP(A81,'Centre WP11'!$A$7:$N$160,11,FALSE),0)+
IFERROR(VLOOKUP(A81,'Centre WR11'!$A$7:$N$160,11,FALSE),0)+
IFERROR(VLOOKUP(A81,'Centre WV11'!$A$7:$N$160,11,FALSE),0)</f>
        <v>0.5</v>
      </c>
      <c r="L81" s="10">
        <f>IFERROR(VLOOKUP(A81,'Centre DW11'!$A$7:$N$160,12,FALSE),0)+
IFERROR(VLOOKUP(A81,'Centre WP11'!$A$7:$N$160,12,FALSE),0)+
IFERROR(VLOOKUP(A81,'Centre WR11'!$A$7:$N$160,12,FALSE),0)+
IFERROR(VLOOKUP(A81,'Centre WV11'!$A$7:$N$160,12,FALSE),0)</f>
        <v>0.5</v>
      </c>
      <c r="M81" s="10">
        <f>IFERROR(VLOOKUP(A81,'Centre DW11'!$A$7:$N$160,13,FALSE),0)+
IFERROR(VLOOKUP(A81,'Centre WP11'!$A$7:$N$160,13,FALSE),0)+
IFERROR(VLOOKUP(A81,'Centre WR11'!$A$7:$N$160,13,FALSE),0)+
IFERROR(VLOOKUP(A81,'Centre WV11'!$A$7:$N$160,13,FALSE),0)</f>
        <v>0.5</v>
      </c>
      <c r="N81" s="10">
        <f>IFERROR(VLOOKUP(A81,'Centre DW11'!$A$7:$N$160,14,FALSE),0)+
IFERROR(VLOOKUP(A81,'Centre WP11'!$A$7:$N$160,14,FALSE),0)+
IFERROR(VLOOKUP(A81,'Centre WR11'!$A$7:$N$160,14,FALSE),0)+
IFERROR(VLOOKUP(A81,'Centre WV11'!$A$7:$N$160,14,FALSE),0)</f>
        <v>0</v>
      </c>
    </row>
    <row r="82" spans="1:14" hidden="1" outlineLevel="1" x14ac:dyDescent="0.2">
      <c r="A82" s="9" t="s">
        <v>339</v>
      </c>
      <c r="B82" s="1" t="s">
        <v>340</v>
      </c>
      <c r="C82" s="10">
        <f>IFERROR(VLOOKUP(A82,'Centre DW11'!$A$7:$N$160,3,FALSE),0)+
IFERROR(VLOOKUP(A82,'Centre WP11'!$A$7:$N$160,3,FALSE),0)+
IFERROR(VLOOKUP(A82,'Centre WR11'!$A$7:$N$160,3,FALSE),0)+
IFERROR(VLOOKUP(A82,'Centre WV11'!$A$7:$N$160,3,FALSE),0)</f>
        <v>10.5</v>
      </c>
      <c r="D82" s="10">
        <f>IFERROR(VLOOKUP(A82,'Centre DW11'!$A$7:$N$160,4,FALSE),0)+
IFERROR(VLOOKUP(A82,'Centre WP11'!$A$7:$N$160,4,FALSE),0)+
IFERROR(VLOOKUP(A82,'Centre WR11'!$A$7:$N$160,4,FALSE),0)+
IFERROR(VLOOKUP(A82,'Centre WV11'!$A$7:$N$160,4,FALSE),0)</f>
        <v>10.5</v>
      </c>
      <c r="E82" s="10">
        <f>IFERROR(VLOOKUP(A82,'Centre DW11'!$A$7:$N$160,5,FALSE),0)+
IFERROR(VLOOKUP(A82,'Centre WP11'!$A$7:$N$160,5,FALSE),0)+
IFERROR(VLOOKUP(A82,'Centre WR11'!$A$7:$N$160,5,FALSE),0)+
IFERROR(VLOOKUP(A82,'Centre WV11'!$A$7:$N$160,5,FALSE),0)</f>
        <v>10.5</v>
      </c>
      <c r="F82" s="10">
        <f>IFERROR(VLOOKUP(A82,'Centre DW11'!$A$7:$N$160,6,FALSE),0)+
IFERROR(VLOOKUP(A82,'Centre WP11'!$A$7:$N$160,6,FALSE),0)+
IFERROR(VLOOKUP(A82,'Centre WR11'!$A$7:$N$160,6,FALSE),0)+
IFERROR(VLOOKUP(A82,'Centre WV11'!$A$7:$N$160,6,FALSE),0)</f>
        <v>10.5</v>
      </c>
      <c r="G82" s="10">
        <f>IFERROR(VLOOKUP(A82,'Centre DW11'!$A$7:$N$160,7,FALSE),0)+
IFERROR(VLOOKUP(A82,'Centre WP11'!$A$7:$N$160,7,FALSE),0)+
IFERROR(VLOOKUP(A82,'Centre WR11'!$A$7:$N$160,7,FALSE),0)+
IFERROR(VLOOKUP(A82,'Centre WV11'!$A$7:$N$160,7,FALSE),0)</f>
        <v>10.5</v>
      </c>
      <c r="H82" s="10">
        <f>IFERROR(VLOOKUP(A82,'Centre DW11'!$A$7:$N$160,8,FALSE),0)+
IFERROR(VLOOKUP(A82,'Centre WP11'!$A$7:$N$160,8,FALSE),0)+
IFERROR(VLOOKUP(A82,'Centre WR11'!$A$7:$N$160,8,FALSE),0)+
IFERROR(VLOOKUP(A82,'Centre WV11'!$A$7:$N$160,8,FALSE),0)</f>
        <v>2.2000000000000002</v>
      </c>
      <c r="I82" s="10">
        <f>IFERROR(VLOOKUP(A82,'Centre DW11'!$A$7:$N$160,9,FALSE),0)+
IFERROR(VLOOKUP(A82,'Centre WP11'!$A$7:$N$160,9,FALSE),0)+
IFERROR(VLOOKUP(A82,'Centre WR11'!$A$7:$N$160,9,FALSE),0)+
IFERROR(VLOOKUP(A82,'Centre WV11'!$A$7:$N$160,9,FALSE),0)</f>
        <v>10.5</v>
      </c>
      <c r="J82" s="10">
        <f>IFERROR(VLOOKUP(A82,'Centre DW11'!$A$7:$N$160,10,FALSE),0)+
IFERROR(VLOOKUP(A82,'Centre WP11'!$A$7:$N$160,10,FALSE),0)+
IFERROR(VLOOKUP(A82,'Centre WR11'!$A$7:$N$160,10,FALSE),0)+
IFERROR(VLOOKUP(A82,'Centre WV11'!$A$7:$N$160,10,FALSE),0)</f>
        <v>8.4</v>
      </c>
      <c r="K82" s="10">
        <f>IFERROR(VLOOKUP(A82,'Centre DW11'!$A$7:$N$160,11,FALSE),0)+
IFERROR(VLOOKUP(A82,'Centre WP11'!$A$7:$N$160,11,FALSE),0)+
IFERROR(VLOOKUP(A82,'Centre WR11'!$A$7:$N$160,11,FALSE),0)+
IFERROR(VLOOKUP(A82,'Centre WV11'!$A$7:$N$160,11,FALSE),0)</f>
        <v>10.4</v>
      </c>
      <c r="L82" s="10">
        <f>IFERROR(VLOOKUP(A82,'Centre DW11'!$A$7:$N$160,12,FALSE),0)+
IFERROR(VLOOKUP(A82,'Centre WP11'!$A$7:$N$160,12,FALSE),0)+
IFERROR(VLOOKUP(A82,'Centre WR11'!$A$7:$N$160,12,FALSE),0)+
IFERROR(VLOOKUP(A82,'Centre WV11'!$A$7:$N$160,12,FALSE),0)</f>
        <v>8.4</v>
      </c>
      <c r="M82" s="10">
        <f>IFERROR(VLOOKUP(A82,'Centre DW11'!$A$7:$N$160,13,FALSE),0)+
IFERROR(VLOOKUP(A82,'Centre WP11'!$A$7:$N$160,13,FALSE),0)+
IFERROR(VLOOKUP(A82,'Centre WR11'!$A$7:$N$160,13,FALSE),0)+
IFERROR(VLOOKUP(A82,'Centre WV11'!$A$7:$N$160,13,FALSE),0)</f>
        <v>10.4</v>
      </c>
      <c r="N82" s="10">
        <f>IFERROR(VLOOKUP(A82,'Centre DW11'!$A$7:$N$160,14,FALSE),0)+
IFERROR(VLOOKUP(A82,'Centre WP11'!$A$7:$N$160,14,FALSE),0)+
IFERROR(VLOOKUP(A82,'Centre WR11'!$A$7:$N$160,14,FALSE),0)+
IFERROR(VLOOKUP(A82,'Centre WV11'!$A$7:$N$160,14,FALSE),0)</f>
        <v>3.3</v>
      </c>
    </row>
    <row r="83" spans="1:14" hidden="1" outlineLevel="1" x14ac:dyDescent="0.2">
      <c r="A83" s="9" t="s">
        <v>341</v>
      </c>
      <c r="B83" s="1" t="s">
        <v>342</v>
      </c>
      <c r="C83" s="10">
        <f>IFERROR(VLOOKUP(A83,'Centre DW11'!$A$7:$N$160,3,FALSE),0)+
IFERROR(VLOOKUP(A83,'Centre WP11'!$A$7:$N$160,3,FALSE),0)+
IFERROR(VLOOKUP(A83,'Centre WR11'!$A$7:$N$160,3,FALSE),0)+
IFERROR(VLOOKUP(A83,'Centre WV11'!$A$7:$N$160,3,FALSE),0)</f>
        <v>1.2</v>
      </c>
      <c r="D83" s="10">
        <f>IFERROR(VLOOKUP(A83,'Centre DW11'!$A$7:$N$160,4,FALSE),0)+
IFERROR(VLOOKUP(A83,'Centre WP11'!$A$7:$N$160,4,FALSE),0)+
IFERROR(VLOOKUP(A83,'Centre WR11'!$A$7:$N$160,4,FALSE),0)+
IFERROR(VLOOKUP(A83,'Centre WV11'!$A$7:$N$160,4,FALSE),0)</f>
        <v>1.1000000000000001</v>
      </c>
      <c r="E83" s="10">
        <f>IFERROR(VLOOKUP(A83,'Centre DW11'!$A$7:$N$160,5,FALSE),0)+
IFERROR(VLOOKUP(A83,'Centre WP11'!$A$7:$N$160,5,FALSE),0)+
IFERROR(VLOOKUP(A83,'Centre WR11'!$A$7:$N$160,5,FALSE),0)+
IFERROR(VLOOKUP(A83,'Centre WV11'!$A$7:$N$160,5,FALSE),0)</f>
        <v>0.89999999999999991</v>
      </c>
      <c r="F83" s="10">
        <f>IFERROR(VLOOKUP(A83,'Centre DW11'!$A$7:$N$160,6,FALSE),0)+
IFERROR(VLOOKUP(A83,'Centre WP11'!$A$7:$N$160,6,FALSE),0)+
IFERROR(VLOOKUP(A83,'Centre WR11'!$A$7:$N$160,6,FALSE),0)+
IFERROR(VLOOKUP(A83,'Centre WV11'!$A$7:$N$160,6,FALSE),0)</f>
        <v>2.1</v>
      </c>
      <c r="G83" s="10">
        <f>IFERROR(VLOOKUP(A83,'Centre DW11'!$A$7:$N$160,7,FALSE),0)+
IFERROR(VLOOKUP(A83,'Centre WP11'!$A$7:$N$160,7,FALSE),0)+
IFERROR(VLOOKUP(A83,'Centre WR11'!$A$7:$N$160,7,FALSE),0)+
IFERROR(VLOOKUP(A83,'Centre WV11'!$A$7:$N$160,7,FALSE),0)</f>
        <v>2.1</v>
      </c>
      <c r="H83" s="10">
        <f>IFERROR(VLOOKUP(A83,'Centre DW11'!$A$7:$N$160,8,FALSE),0)+
IFERROR(VLOOKUP(A83,'Centre WP11'!$A$7:$N$160,8,FALSE),0)+
IFERROR(VLOOKUP(A83,'Centre WR11'!$A$7:$N$160,8,FALSE),0)+
IFERROR(VLOOKUP(A83,'Centre WV11'!$A$7:$N$160,8,FALSE),0)</f>
        <v>2</v>
      </c>
      <c r="I83" s="10">
        <f>IFERROR(VLOOKUP(A83,'Centre DW11'!$A$7:$N$160,9,FALSE),0)+
IFERROR(VLOOKUP(A83,'Centre WP11'!$A$7:$N$160,9,FALSE),0)+
IFERROR(VLOOKUP(A83,'Centre WR11'!$A$7:$N$160,9,FALSE),0)+
IFERROR(VLOOKUP(A83,'Centre WV11'!$A$7:$N$160,9,FALSE),0)</f>
        <v>2.1</v>
      </c>
      <c r="J83" s="10">
        <f>IFERROR(VLOOKUP(A83,'Centre DW11'!$A$7:$N$160,10,FALSE),0)+
IFERROR(VLOOKUP(A83,'Centre WP11'!$A$7:$N$160,10,FALSE),0)+
IFERROR(VLOOKUP(A83,'Centre WR11'!$A$7:$N$160,10,FALSE),0)+
IFERROR(VLOOKUP(A83,'Centre WV11'!$A$7:$N$160,10,FALSE),0)</f>
        <v>1.1000000000000001</v>
      </c>
      <c r="K83" s="10">
        <f>IFERROR(VLOOKUP(A83,'Centre DW11'!$A$7:$N$160,11,FALSE),0)+
IFERROR(VLOOKUP(A83,'Centre WP11'!$A$7:$N$160,11,FALSE),0)+
IFERROR(VLOOKUP(A83,'Centre WR11'!$A$7:$N$160,11,FALSE),0)+
IFERROR(VLOOKUP(A83,'Centre WV11'!$A$7:$N$160,11,FALSE),0)</f>
        <v>0.8</v>
      </c>
      <c r="L83" s="10">
        <f>IFERROR(VLOOKUP(A83,'Centre DW11'!$A$7:$N$160,12,FALSE),0)+
IFERROR(VLOOKUP(A83,'Centre WP11'!$A$7:$N$160,12,FALSE),0)+
IFERROR(VLOOKUP(A83,'Centre WR11'!$A$7:$N$160,12,FALSE),0)+
IFERROR(VLOOKUP(A83,'Centre WV11'!$A$7:$N$160,12,FALSE),0)</f>
        <v>2.1</v>
      </c>
      <c r="M83" s="10">
        <f>IFERROR(VLOOKUP(A83,'Centre DW11'!$A$7:$N$160,13,FALSE),0)+
IFERROR(VLOOKUP(A83,'Centre WP11'!$A$7:$N$160,13,FALSE),0)+
IFERROR(VLOOKUP(A83,'Centre WR11'!$A$7:$N$160,13,FALSE),0)+
IFERROR(VLOOKUP(A83,'Centre WV11'!$A$7:$N$160,13,FALSE),0)</f>
        <v>2</v>
      </c>
      <c r="N83" s="10">
        <f>IFERROR(VLOOKUP(A83,'Centre DW11'!$A$7:$N$160,14,FALSE),0)+
IFERROR(VLOOKUP(A83,'Centre WP11'!$A$7:$N$160,14,FALSE),0)+
IFERROR(VLOOKUP(A83,'Centre WR11'!$A$7:$N$160,14,FALSE),0)+
IFERROR(VLOOKUP(A83,'Centre WV11'!$A$7:$N$160,14,FALSE),0)</f>
        <v>2.1</v>
      </c>
    </row>
    <row r="84" spans="1:14" hidden="1" outlineLevel="1" x14ac:dyDescent="0.2">
      <c r="A84" s="9" t="s">
        <v>343</v>
      </c>
      <c r="B84" s="1" t="s">
        <v>344</v>
      </c>
      <c r="C84" s="10">
        <f>IFERROR(VLOOKUP(A84,'Centre DW11'!$A$7:$N$160,3,FALSE),0)+
IFERROR(VLOOKUP(A84,'Centre WP11'!$A$7:$N$160,3,FALSE),0)+
IFERROR(VLOOKUP(A84,'Centre WR11'!$A$7:$N$160,3,FALSE),0)+
IFERROR(VLOOKUP(A84,'Centre WV11'!$A$7:$N$160,3,FALSE),0)</f>
        <v>0.2</v>
      </c>
      <c r="D84" s="10">
        <f>IFERROR(VLOOKUP(A84,'Centre DW11'!$A$7:$N$160,4,FALSE),0)+
IFERROR(VLOOKUP(A84,'Centre WP11'!$A$7:$N$160,4,FALSE),0)+
IFERROR(VLOOKUP(A84,'Centre WR11'!$A$7:$N$160,4,FALSE),0)+
IFERROR(VLOOKUP(A84,'Centre WV11'!$A$7:$N$160,4,FALSE),0)</f>
        <v>0.2</v>
      </c>
      <c r="E84" s="10">
        <f>IFERROR(VLOOKUP(A84,'Centre DW11'!$A$7:$N$160,5,FALSE),0)+
IFERROR(VLOOKUP(A84,'Centre WP11'!$A$7:$N$160,5,FALSE),0)+
IFERROR(VLOOKUP(A84,'Centre WR11'!$A$7:$N$160,5,FALSE),0)+
IFERROR(VLOOKUP(A84,'Centre WV11'!$A$7:$N$160,5,FALSE),0)</f>
        <v>0.2</v>
      </c>
      <c r="F84" s="10">
        <f>IFERROR(VLOOKUP(A84,'Centre DW11'!$A$7:$N$160,6,FALSE),0)+
IFERROR(VLOOKUP(A84,'Centre WP11'!$A$7:$N$160,6,FALSE),0)+
IFERROR(VLOOKUP(A84,'Centre WR11'!$A$7:$N$160,6,FALSE),0)+
IFERROR(VLOOKUP(A84,'Centre WV11'!$A$7:$N$160,6,FALSE),0)</f>
        <v>0.2</v>
      </c>
      <c r="G84" s="10">
        <f>IFERROR(VLOOKUP(A84,'Centre DW11'!$A$7:$N$160,7,FALSE),0)+
IFERROR(VLOOKUP(A84,'Centre WP11'!$A$7:$N$160,7,FALSE),0)+
IFERROR(VLOOKUP(A84,'Centre WR11'!$A$7:$N$160,7,FALSE),0)+
IFERROR(VLOOKUP(A84,'Centre WV11'!$A$7:$N$160,7,FALSE),0)</f>
        <v>0.2</v>
      </c>
      <c r="H84" s="10">
        <f>IFERROR(VLOOKUP(A84,'Centre DW11'!$A$7:$N$160,8,FALSE),0)+
IFERROR(VLOOKUP(A84,'Centre WP11'!$A$7:$N$160,8,FALSE),0)+
IFERROR(VLOOKUP(A84,'Centre WR11'!$A$7:$N$160,8,FALSE),0)+
IFERROR(VLOOKUP(A84,'Centre WV11'!$A$7:$N$160,8,FALSE),0)</f>
        <v>0.2</v>
      </c>
      <c r="I84" s="10">
        <f>IFERROR(VLOOKUP(A84,'Centre DW11'!$A$7:$N$160,9,FALSE),0)+
IFERROR(VLOOKUP(A84,'Centre WP11'!$A$7:$N$160,9,FALSE),0)+
IFERROR(VLOOKUP(A84,'Centre WR11'!$A$7:$N$160,9,FALSE),0)+
IFERROR(VLOOKUP(A84,'Centre WV11'!$A$7:$N$160,9,FALSE),0)</f>
        <v>0.2</v>
      </c>
      <c r="J84" s="10">
        <f>IFERROR(VLOOKUP(A84,'Centre DW11'!$A$7:$N$160,10,FALSE),0)+
IFERROR(VLOOKUP(A84,'Centre WP11'!$A$7:$N$160,10,FALSE),0)+
IFERROR(VLOOKUP(A84,'Centre WR11'!$A$7:$N$160,10,FALSE),0)+
IFERROR(VLOOKUP(A84,'Centre WV11'!$A$7:$N$160,10,FALSE),0)</f>
        <v>0.2</v>
      </c>
      <c r="K84" s="10">
        <f>IFERROR(VLOOKUP(A84,'Centre DW11'!$A$7:$N$160,11,FALSE),0)+
IFERROR(VLOOKUP(A84,'Centre WP11'!$A$7:$N$160,11,FALSE),0)+
IFERROR(VLOOKUP(A84,'Centre WR11'!$A$7:$N$160,11,FALSE),0)+
IFERROR(VLOOKUP(A84,'Centre WV11'!$A$7:$N$160,11,FALSE),0)</f>
        <v>0.2</v>
      </c>
      <c r="L84" s="10">
        <f>IFERROR(VLOOKUP(A84,'Centre DW11'!$A$7:$N$160,12,FALSE),0)+
IFERROR(VLOOKUP(A84,'Centre WP11'!$A$7:$N$160,12,FALSE),0)+
IFERROR(VLOOKUP(A84,'Centre WR11'!$A$7:$N$160,12,FALSE),0)+
IFERROR(VLOOKUP(A84,'Centre WV11'!$A$7:$N$160,12,FALSE),0)</f>
        <v>0.2</v>
      </c>
      <c r="M84" s="10">
        <f>IFERROR(VLOOKUP(A84,'Centre DW11'!$A$7:$N$160,13,FALSE),0)+
IFERROR(VLOOKUP(A84,'Centre WP11'!$A$7:$N$160,13,FALSE),0)+
IFERROR(VLOOKUP(A84,'Centre WR11'!$A$7:$N$160,13,FALSE),0)+
IFERROR(VLOOKUP(A84,'Centre WV11'!$A$7:$N$160,13,FALSE),0)</f>
        <v>0.2</v>
      </c>
      <c r="N84" s="10">
        <f>IFERROR(VLOOKUP(A84,'Centre DW11'!$A$7:$N$160,14,FALSE),0)+
IFERROR(VLOOKUP(A84,'Centre WP11'!$A$7:$N$160,14,FALSE),0)+
IFERROR(VLOOKUP(A84,'Centre WR11'!$A$7:$N$160,14,FALSE),0)+
IFERROR(VLOOKUP(A84,'Centre WV11'!$A$7:$N$160,14,FALSE),0)</f>
        <v>0.2</v>
      </c>
    </row>
    <row r="85" spans="1:14" hidden="1" outlineLevel="1" x14ac:dyDescent="0.2">
      <c r="A85" s="9" t="s">
        <v>345</v>
      </c>
      <c r="B85" s="1" t="s">
        <v>346</v>
      </c>
      <c r="C85" s="10">
        <f>IFERROR(VLOOKUP(A85,'Centre DW11'!$A$7:$N$160,3,FALSE),0)+
IFERROR(VLOOKUP(A85,'Centre WP11'!$A$7:$N$160,3,FALSE),0)+
IFERROR(VLOOKUP(A85,'Centre WR11'!$A$7:$N$160,3,FALSE),0)+
IFERROR(VLOOKUP(A85,'Centre WV11'!$A$7:$N$160,3,FALSE),0)</f>
        <v>0.2</v>
      </c>
      <c r="D85" s="10">
        <f>IFERROR(VLOOKUP(A85,'Centre DW11'!$A$7:$N$160,4,FALSE),0)+
IFERROR(VLOOKUP(A85,'Centre WP11'!$A$7:$N$160,4,FALSE),0)+
IFERROR(VLOOKUP(A85,'Centre WR11'!$A$7:$N$160,4,FALSE),0)+
IFERROR(VLOOKUP(A85,'Centre WV11'!$A$7:$N$160,4,FALSE),0)</f>
        <v>0.2</v>
      </c>
      <c r="E85" s="10">
        <f>IFERROR(VLOOKUP(A85,'Centre DW11'!$A$7:$N$160,5,FALSE),0)+
IFERROR(VLOOKUP(A85,'Centre WP11'!$A$7:$N$160,5,FALSE),0)+
IFERROR(VLOOKUP(A85,'Centre WR11'!$A$7:$N$160,5,FALSE),0)+
IFERROR(VLOOKUP(A85,'Centre WV11'!$A$7:$N$160,5,FALSE),0)</f>
        <v>0.2</v>
      </c>
      <c r="F85" s="10">
        <f>IFERROR(VLOOKUP(A85,'Centre DW11'!$A$7:$N$160,6,FALSE),0)+
IFERROR(VLOOKUP(A85,'Centre WP11'!$A$7:$N$160,6,FALSE),0)+
IFERROR(VLOOKUP(A85,'Centre WR11'!$A$7:$N$160,6,FALSE),0)+
IFERROR(VLOOKUP(A85,'Centre WV11'!$A$7:$N$160,6,FALSE),0)</f>
        <v>0.2</v>
      </c>
      <c r="G85" s="10">
        <f>IFERROR(VLOOKUP(A85,'Centre DW11'!$A$7:$N$160,7,FALSE),0)+
IFERROR(VLOOKUP(A85,'Centre WP11'!$A$7:$N$160,7,FALSE),0)+
IFERROR(VLOOKUP(A85,'Centre WR11'!$A$7:$N$160,7,FALSE),0)+
IFERROR(VLOOKUP(A85,'Centre WV11'!$A$7:$N$160,7,FALSE),0)</f>
        <v>0.2</v>
      </c>
      <c r="H85" s="10">
        <f>IFERROR(VLOOKUP(A85,'Centre DW11'!$A$7:$N$160,8,FALSE),0)+
IFERROR(VLOOKUP(A85,'Centre WP11'!$A$7:$N$160,8,FALSE),0)+
IFERROR(VLOOKUP(A85,'Centre WR11'!$A$7:$N$160,8,FALSE),0)+
IFERROR(VLOOKUP(A85,'Centre WV11'!$A$7:$N$160,8,FALSE),0)</f>
        <v>0.2</v>
      </c>
      <c r="I85" s="10">
        <f>IFERROR(VLOOKUP(A85,'Centre DW11'!$A$7:$N$160,9,FALSE),0)+
IFERROR(VLOOKUP(A85,'Centre WP11'!$A$7:$N$160,9,FALSE),0)+
IFERROR(VLOOKUP(A85,'Centre WR11'!$A$7:$N$160,9,FALSE),0)+
IFERROR(VLOOKUP(A85,'Centre WV11'!$A$7:$N$160,9,FALSE),0)</f>
        <v>0.2</v>
      </c>
      <c r="J85" s="10">
        <f>IFERROR(VLOOKUP(A85,'Centre DW11'!$A$7:$N$160,10,FALSE),0)+
IFERROR(VLOOKUP(A85,'Centre WP11'!$A$7:$N$160,10,FALSE),0)+
IFERROR(VLOOKUP(A85,'Centre WR11'!$A$7:$N$160,10,FALSE),0)+
IFERROR(VLOOKUP(A85,'Centre WV11'!$A$7:$N$160,10,FALSE),0)</f>
        <v>0.2</v>
      </c>
      <c r="K85" s="10">
        <f>IFERROR(VLOOKUP(A85,'Centre DW11'!$A$7:$N$160,11,FALSE),0)+
IFERROR(VLOOKUP(A85,'Centre WP11'!$A$7:$N$160,11,FALSE),0)+
IFERROR(VLOOKUP(A85,'Centre WR11'!$A$7:$N$160,11,FALSE),0)+
IFERROR(VLOOKUP(A85,'Centre WV11'!$A$7:$N$160,11,FALSE),0)</f>
        <v>0.2</v>
      </c>
      <c r="L85" s="10">
        <f>IFERROR(VLOOKUP(A85,'Centre DW11'!$A$7:$N$160,12,FALSE),0)+
IFERROR(VLOOKUP(A85,'Centre WP11'!$A$7:$N$160,12,FALSE),0)+
IFERROR(VLOOKUP(A85,'Centre WR11'!$A$7:$N$160,12,FALSE),0)+
IFERROR(VLOOKUP(A85,'Centre WV11'!$A$7:$N$160,12,FALSE),0)</f>
        <v>0.2</v>
      </c>
      <c r="M85" s="10">
        <f>IFERROR(VLOOKUP(A85,'Centre DW11'!$A$7:$N$160,13,FALSE),0)+
IFERROR(VLOOKUP(A85,'Centre WP11'!$A$7:$N$160,13,FALSE),0)+
IFERROR(VLOOKUP(A85,'Centre WR11'!$A$7:$N$160,13,FALSE),0)+
IFERROR(VLOOKUP(A85,'Centre WV11'!$A$7:$N$160,13,FALSE),0)</f>
        <v>0.2</v>
      </c>
      <c r="N85" s="10">
        <f>IFERROR(VLOOKUP(A85,'Centre DW11'!$A$7:$N$160,14,FALSE),0)+
IFERROR(VLOOKUP(A85,'Centre WP11'!$A$7:$N$160,14,FALSE),0)+
IFERROR(VLOOKUP(A85,'Centre WR11'!$A$7:$N$160,14,FALSE),0)+
IFERROR(VLOOKUP(A85,'Centre WV11'!$A$7:$N$160,14,FALSE),0)</f>
        <v>0.1</v>
      </c>
    </row>
    <row r="86" spans="1:14" hidden="1" outlineLevel="1" x14ac:dyDescent="0.2">
      <c r="A86" s="9" t="s">
        <v>347</v>
      </c>
      <c r="B86" s="1" t="s">
        <v>348</v>
      </c>
      <c r="C86" s="10">
        <f>IFERROR(VLOOKUP(A86,'Centre DW11'!$A$7:$N$160,3,FALSE),0)+
IFERROR(VLOOKUP(A86,'Centre WP11'!$A$7:$N$160,3,FALSE),0)+
IFERROR(VLOOKUP(A86,'Centre WR11'!$A$7:$N$160,3,FALSE),0)+
IFERROR(VLOOKUP(A86,'Centre WV11'!$A$7:$N$160,3,FALSE),0)</f>
        <v>1.4</v>
      </c>
      <c r="D86" s="10">
        <f>IFERROR(VLOOKUP(A86,'Centre DW11'!$A$7:$N$160,4,FALSE),0)+
IFERROR(VLOOKUP(A86,'Centre WP11'!$A$7:$N$160,4,FALSE),0)+
IFERROR(VLOOKUP(A86,'Centre WR11'!$A$7:$N$160,4,FALSE),0)+
IFERROR(VLOOKUP(A86,'Centre WV11'!$A$7:$N$160,4,FALSE),0)</f>
        <v>1.4</v>
      </c>
      <c r="E86" s="10">
        <f>IFERROR(VLOOKUP(A86,'Centre DW11'!$A$7:$N$160,5,FALSE),0)+
IFERROR(VLOOKUP(A86,'Centre WP11'!$A$7:$N$160,5,FALSE),0)+
IFERROR(VLOOKUP(A86,'Centre WR11'!$A$7:$N$160,5,FALSE),0)+
IFERROR(VLOOKUP(A86,'Centre WV11'!$A$7:$N$160,5,FALSE),0)</f>
        <v>1.4</v>
      </c>
      <c r="F86" s="10">
        <f>IFERROR(VLOOKUP(A86,'Centre DW11'!$A$7:$N$160,6,FALSE),0)+
IFERROR(VLOOKUP(A86,'Centre WP11'!$A$7:$N$160,6,FALSE),0)+
IFERROR(VLOOKUP(A86,'Centre WR11'!$A$7:$N$160,6,FALSE),0)+
IFERROR(VLOOKUP(A86,'Centre WV11'!$A$7:$N$160,6,FALSE),0)</f>
        <v>1.4</v>
      </c>
      <c r="G86" s="10">
        <f>IFERROR(VLOOKUP(A86,'Centre DW11'!$A$7:$N$160,7,FALSE),0)+
IFERROR(VLOOKUP(A86,'Centre WP11'!$A$7:$N$160,7,FALSE),0)+
IFERROR(VLOOKUP(A86,'Centre WR11'!$A$7:$N$160,7,FALSE),0)+
IFERROR(VLOOKUP(A86,'Centre WV11'!$A$7:$N$160,7,FALSE),0)</f>
        <v>1.1000000000000001</v>
      </c>
      <c r="H86" s="10">
        <f>IFERROR(VLOOKUP(A86,'Centre DW11'!$A$7:$N$160,8,FALSE),0)+
IFERROR(VLOOKUP(A86,'Centre WP11'!$A$7:$N$160,8,FALSE),0)+
IFERROR(VLOOKUP(A86,'Centre WR11'!$A$7:$N$160,8,FALSE),0)+
IFERROR(VLOOKUP(A86,'Centre WV11'!$A$7:$N$160,8,FALSE),0)</f>
        <v>-3.6</v>
      </c>
      <c r="I86" s="10">
        <f>IFERROR(VLOOKUP(A86,'Centre DW11'!$A$7:$N$160,9,FALSE),0)+
IFERROR(VLOOKUP(A86,'Centre WP11'!$A$7:$N$160,9,FALSE),0)+
IFERROR(VLOOKUP(A86,'Centre WR11'!$A$7:$N$160,9,FALSE),0)+
IFERROR(VLOOKUP(A86,'Centre WV11'!$A$7:$N$160,9,FALSE),0)</f>
        <v>2.3000000000000003</v>
      </c>
      <c r="J86" s="10">
        <f>IFERROR(VLOOKUP(A86,'Centre DW11'!$A$7:$N$160,10,FALSE),0)+
IFERROR(VLOOKUP(A86,'Centre WP11'!$A$7:$N$160,10,FALSE),0)+
IFERROR(VLOOKUP(A86,'Centre WR11'!$A$7:$N$160,10,FALSE),0)+
IFERROR(VLOOKUP(A86,'Centre WV11'!$A$7:$N$160,10,FALSE),0)</f>
        <v>1.4</v>
      </c>
      <c r="K86" s="10">
        <f>IFERROR(VLOOKUP(A86,'Centre DW11'!$A$7:$N$160,11,FALSE),0)+
IFERROR(VLOOKUP(A86,'Centre WP11'!$A$7:$N$160,11,FALSE),0)+
IFERROR(VLOOKUP(A86,'Centre WR11'!$A$7:$N$160,11,FALSE),0)+
IFERROR(VLOOKUP(A86,'Centre WV11'!$A$7:$N$160,11,FALSE),0)</f>
        <v>1.4</v>
      </c>
      <c r="L86" s="10">
        <f>IFERROR(VLOOKUP(A86,'Centre DW11'!$A$7:$N$160,12,FALSE),0)+
IFERROR(VLOOKUP(A86,'Centre WP11'!$A$7:$N$160,12,FALSE),0)+
IFERROR(VLOOKUP(A86,'Centre WR11'!$A$7:$N$160,12,FALSE),0)+
IFERROR(VLOOKUP(A86,'Centre WV11'!$A$7:$N$160,12,FALSE),0)</f>
        <v>1.1000000000000001</v>
      </c>
      <c r="M86" s="10">
        <f>IFERROR(VLOOKUP(A86,'Centre DW11'!$A$7:$N$160,13,FALSE),0)+
IFERROR(VLOOKUP(A86,'Centre WP11'!$A$7:$N$160,13,FALSE),0)+
IFERROR(VLOOKUP(A86,'Centre WR11'!$A$7:$N$160,13,FALSE),0)+
IFERROR(VLOOKUP(A86,'Centre WV11'!$A$7:$N$160,13,FALSE),0)</f>
        <v>1.1000000000000001</v>
      </c>
      <c r="N86" s="10">
        <f>IFERROR(VLOOKUP(A86,'Centre DW11'!$A$7:$N$160,14,FALSE),0)+
IFERROR(VLOOKUP(A86,'Centre WP11'!$A$7:$N$160,14,FALSE),0)+
IFERROR(VLOOKUP(A86,'Centre WR11'!$A$7:$N$160,14,FALSE),0)+
IFERROR(VLOOKUP(A86,'Centre WV11'!$A$7:$N$160,14,FALSE),0)</f>
        <v>-3.6</v>
      </c>
    </row>
    <row r="87" spans="1:14" hidden="1" outlineLevel="1" x14ac:dyDescent="0.2">
      <c r="A87" s="9" t="s">
        <v>349</v>
      </c>
      <c r="B87" s="1" t="s">
        <v>350</v>
      </c>
      <c r="C87" s="10">
        <f>IFERROR(VLOOKUP(A87,'Centre DW11'!$A$7:$N$160,3,FALSE),0)+
IFERROR(VLOOKUP(A87,'Centre WP11'!$A$7:$N$160,3,FALSE),0)+
IFERROR(VLOOKUP(A87,'Centre WR11'!$A$7:$N$160,3,FALSE),0)+
IFERROR(VLOOKUP(A87,'Centre WV11'!$A$7:$N$160,3,FALSE),0)</f>
        <v>0.79999999999999993</v>
      </c>
      <c r="D87" s="10">
        <f>IFERROR(VLOOKUP(A87,'Centre DW11'!$A$7:$N$160,4,FALSE),0)+
IFERROR(VLOOKUP(A87,'Centre WP11'!$A$7:$N$160,4,FALSE),0)+
IFERROR(VLOOKUP(A87,'Centre WR11'!$A$7:$N$160,4,FALSE),0)+
IFERROR(VLOOKUP(A87,'Centre WV11'!$A$7:$N$160,4,FALSE),0)</f>
        <v>0.79999999999999993</v>
      </c>
      <c r="E87" s="10">
        <f>IFERROR(VLOOKUP(A87,'Centre DW11'!$A$7:$N$160,5,FALSE),0)+
IFERROR(VLOOKUP(A87,'Centre WP11'!$A$7:$N$160,5,FALSE),0)+
IFERROR(VLOOKUP(A87,'Centre WR11'!$A$7:$N$160,5,FALSE),0)+
IFERROR(VLOOKUP(A87,'Centre WV11'!$A$7:$N$160,5,FALSE),0)</f>
        <v>0.79999999999999993</v>
      </c>
      <c r="F87" s="10">
        <f>IFERROR(VLOOKUP(A87,'Centre DW11'!$A$7:$N$160,6,FALSE),0)+
IFERROR(VLOOKUP(A87,'Centre WP11'!$A$7:$N$160,6,FALSE),0)+
IFERROR(VLOOKUP(A87,'Centre WR11'!$A$7:$N$160,6,FALSE),0)+
IFERROR(VLOOKUP(A87,'Centre WV11'!$A$7:$N$160,6,FALSE),0)</f>
        <v>0.79999999999999993</v>
      </c>
      <c r="G87" s="10">
        <f>IFERROR(VLOOKUP(A87,'Centre DW11'!$A$7:$N$160,7,FALSE),0)+
IFERROR(VLOOKUP(A87,'Centre WP11'!$A$7:$N$160,7,FALSE),0)+
IFERROR(VLOOKUP(A87,'Centre WR11'!$A$7:$N$160,7,FALSE),0)+
IFERROR(VLOOKUP(A87,'Centre WV11'!$A$7:$N$160,7,FALSE),0)</f>
        <v>0.79999999999999993</v>
      </c>
      <c r="H87" s="10">
        <f>IFERROR(VLOOKUP(A87,'Centre DW11'!$A$7:$N$160,8,FALSE),0)+
IFERROR(VLOOKUP(A87,'Centre WP11'!$A$7:$N$160,8,FALSE),0)+
IFERROR(VLOOKUP(A87,'Centre WR11'!$A$7:$N$160,8,FALSE),0)+
IFERROR(VLOOKUP(A87,'Centre WV11'!$A$7:$N$160,8,FALSE),0)</f>
        <v>-5</v>
      </c>
      <c r="I87" s="10">
        <f>IFERROR(VLOOKUP(A87,'Centre DW11'!$A$7:$N$160,9,FALSE),0)+
IFERROR(VLOOKUP(A87,'Centre WP11'!$A$7:$N$160,9,FALSE),0)+
IFERROR(VLOOKUP(A87,'Centre WR11'!$A$7:$N$160,9,FALSE),0)+
IFERROR(VLOOKUP(A87,'Centre WV11'!$A$7:$N$160,9,FALSE),0)</f>
        <v>0.7</v>
      </c>
      <c r="J87" s="10">
        <f>IFERROR(VLOOKUP(A87,'Centre DW11'!$A$7:$N$160,10,FALSE),0)+
IFERROR(VLOOKUP(A87,'Centre WP11'!$A$7:$N$160,10,FALSE),0)+
IFERROR(VLOOKUP(A87,'Centre WR11'!$A$7:$N$160,10,FALSE),0)+
IFERROR(VLOOKUP(A87,'Centre WV11'!$A$7:$N$160,10,FALSE),0)</f>
        <v>0.7</v>
      </c>
      <c r="K87" s="10">
        <f>IFERROR(VLOOKUP(A87,'Centre DW11'!$A$7:$N$160,11,FALSE),0)+
IFERROR(VLOOKUP(A87,'Centre WP11'!$A$7:$N$160,11,FALSE),0)+
IFERROR(VLOOKUP(A87,'Centre WR11'!$A$7:$N$160,11,FALSE),0)+
IFERROR(VLOOKUP(A87,'Centre WV11'!$A$7:$N$160,11,FALSE),0)</f>
        <v>0.7</v>
      </c>
      <c r="L87" s="10">
        <f>IFERROR(VLOOKUP(A87,'Centre DW11'!$A$7:$N$160,12,FALSE),0)+
IFERROR(VLOOKUP(A87,'Centre WP11'!$A$7:$N$160,12,FALSE),0)+
IFERROR(VLOOKUP(A87,'Centre WR11'!$A$7:$N$160,12,FALSE),0)+
IFERROR(VLOOKUP(A87,'Centre WV11'!$A$7:$N$160,12,FALSE),0)</f>
        <v>0.79999999999999993</v>
      </c>
      <c r="M87" s="10">
        <f>IFERROR(VLOOKUP(A87,'Centre DW11'!$A$7:$N$160,13,FALSE),0)+
IFERROR(VLOOKUP(A87,'Centre WP11'!$A$7:$N$160,13,FALSE),0)+
IFERROR(VLOOKUP(A87,'Centre WR11'!$A$7:$N$160,13,FALSE),0)+
IFERROR(VLOOKUP(A87,'Centre WV11'!$A$7:$N$160,13,FALSE),0)</f>
        <v>0.79999999999999993</v>
      </c>
      <c r="N87" s="10">
        <f>IFERROR(VLOOKUP(A87,'Centre DW11'!$A$7:$N$160,14,FALSE),0)+
IFERROR(VLOOKUP(A87,'Centre WP11'!$A$7:$N$160,14,FALSE),0)+
IFERROR(VLOOKUP(A87,'Centre WR11'!$A$7:$N$160,14,FALSE),0)+
IFERROR(VLOOKUP(A87,'Centre WV11'!$A$7:$N$160,14,FALSE),0)</f>
        <v>-4.9000000000000004</v>
      </c>
    </row>
    <row r="88" spans="1:14" collapsed="1" x14ac:dyDescent="0.2">
      <c r="A88" s="33" t="s">
        <v>139</v>
      </c>
      <c r="B88" s="34" t="s">
        <v>140</v>
      </c>
      <c r="C88" s="44">
        <f t="shared" ref="C88:M88" si="28">+C89</f>
        <v>0</v>
      </c>
      <c r="D88" s="44">
        <f t="shared" si="28"/>
        <v>0</v>
      </c>
      <c r="E88" s="44">
        <f t="shared" si="28"/>
        <v>0</v>
      </c>
      <c r="F88" s="44">
        <f t="shared" si="28"/>
        <v>0</v>
      </c>
      <c r="G88" s="44">
        <f t="shared" si="28"/>
        <v>0</v>
      </c>
      <c r="H88" s="44">
        <f t="shared" si="28"/>
        <v>0</v>
      </c>
      <c r="I88" s="44">
        <f t="shared" si="28"/>
        <v>0</v>
      </c>
      <c r="J88" s="44">
        <f t="shared" si="28"/>
        <v>0</v>
      </c>
      <c r="K88" s="44">
        <f t="shared" si="28"/>
        <v>0</v>
      </c>
      <c r="L88" s="44">
        <f t="shared" si="28"/>
        <v>0</v>
      </c>
      <c r="M88" s="44">
        <f t="shared" si="28"/>
        <v>0</v>
      </c>
      <c r="N88" s="44">
        <f t="shared" ref="N88" si="29">+N89</f>
        <v>0</v>
      </c>
    </row>
    <row r="89" spans="1:14" hidden="1" outlineLevel="1" x14ac:dyDescent="0.2">
      <c r="A89" s="9" t="s">
        <v>353</v>
      </c>
      <c r="B89" s="1" t="s">
        <v>354</v>
      </c>
      <c r="C89" s="10">
        <f>IFERROR(VLOOKUP(A89,'Centre DW11'!$A$7:$N$160,3,FALSE),0)+
IFERROR(VLOOKUP(A89,'Centre WP11'!$A$7:$N$160,3,FALSE),0)+
IFERROR(VLOOKUP(A89,'Centre WR11'!$A$7:$N$160,3,FALSE),0)+
IFERROR(VLOOKUP(A89,'Centre WV11'!$A$7:$N$160,3,FALSE),0)</f>
        <v>0</v>
      </c>
      <c r="D89" s="10">
        <f>IFERROR(VLOOKUP(A89,'Centre DW11'!$A$7:$N$160,4,FALSE),0)+
IFERROR(VLOOKUP(A89,'Centre WP11'!$A$7:$N$160,4,FALSE),0)+
IFERROR(VLOOKUP(A89,'Centre WR11'!$A$7:$N$160,4,FALSE),0)+
IFERROR(VLOOKUP(A89,'Centre WV11'!$A$7:$N$160,4,FALSE),0)</f>
        <v>0</v>
      </c>
      <c r="E89" s="10">
        <f>IFERROR(VLOOKUP(A89,'Centre DW11'!$A$7:$N$160,5,FALSE),0)+
IFERROR(VLOOKUP(A89,'Centre WP11'!$A$7:$N$160,5,FALSE),0)+
IFERROR(VLOOKUP(A89,'Centre WR11'!$A$7:$N$160,5,FALSE),0)+
IFERROR(VLOOKUP(A89,'Centre WV11'!$A$7:$N$160,5,FALSE),0)</f>
        <v>0</v>
      </c>
      <c r="F89" s="10">
        <f>IFERROR(VLOOKUP(A89,'Centre DW11'!$A$7:$N$160,6,FALSE),0)+
IFERROR(VLOOKUP(A89,'Centre WP11'!$A$7:$N$160,6,FALSE),0)+
IFERROR(VLOOKUP(A89,'Centre WR11'!$A$7:$N$160,6,FALSE),0)+
IFERROR(VLOOKUP(A89,'Centre WV11'!$A$7:$N$160,6,FALSE),0)</f>
        <v>0</v>
      </c>
      <c r="G89" s="10">
        <f>IFERROR(VLOOKUP(A89,'Centre DW11'!$A$7:$N$160,7,FALSE),0)+
IFERROR(VLOOKUP(A89,'Centre WP11'!$A$7:$N$160,7,FALSE),0)+
IFERROR(VLOOKUP(A89,'Centre WR11'!$A$7:$N$160,7,FALSE),0)+
IFERROR(VLOOKUP(A89,'Centre WV11'!$A$7:$N$160,7,FALSE),0)</f>
        <v>0</v>
      </c>
      <c r="H89" s="10">
        <f>IFERROR(VLOOKUP(A89,'Centre DW11'!$A$7:$N$160,8,FALSE),0)+
IFERROR(VLOOKUP(A89,'Centre WP11'!$A$7:$N$160,8,FALSE),0)+
IFERROR(VLOOKUP(A89,'Centre WR11'!$A$7:$N$160,8,FALSE),0)+
IFERROR(VLOOKUP(A89,'Centre WV11'!$A$7:$N$160,8,FALSE),0)</f>
        <v>0</v>
      </c>
      <c r="I89" s="10">
        <f>IFERROR(VLOOKUP(A89,'Centre DW11'!$A$7:$N$160,9,FALSE),0)+
IFERROR(VLOOKUP(A89,'Centre WP11'!$A$7:$N$160,9,FALSE),0)+
IFERROR(VLOOKUP(A89,'Centre WR11'!$A$7:$N$160,9,FALSE),0)+
IFERROR(VLOOKUP(A89,'Centre WV11'!$A$7:$N$160,9,FALSE),0)</f>
        <v>0</v>
      </c>
      <c r="J89" s="10">
        <f>IFERROR(VLOOKUP(A89,'Centre DW11'!$A$7:$N$160,10,FALSE),0)+
IFERROR(VLOOKUP(A89,'Centre WP11'!$A$7:$N$160,10,FALSE),0)+
IFERROR(VLOOKUP(A89,'Centre WR11'!$A$7:$N$160,10,FALSE),0)+
IFERROR(VLOOKUP(A89,'Centre WV11'!$A$7:$N$160,10,FALSE),0)</f>
        <v>0</v>
      </c>
      <c r="K89" s="10">
        <f>IFERROR(VLOOKUP(A89,'Centre DW11'!$A$7:$N$160,11,FALSE),0)+
IFERROR(VLOOKUP(A89,'Centre WP11'!$A$7:$N$160,11,FALSE),0)+
IFERROR(VLOOKUP(A89,'Centre WR11'!$A$7:$N$160,11,FALSE),0)+
IFERROR(VLOOKUP(A89,'Centre WV11'!$A$7:$N$160,11,FALSE),0)</f>
        <v>0</v>
      </c>
      <c r="L89" s="10">
        <f>IFERROR(VLOOKUP(A89,'Centre DW11'!$A$7:$N$160,12,FALSE),0)+
IFERROR(VLOOKUP(A89,'Centre WP11'!$A$7:$N$160,12,FALSE),0)+
IFERROR(VLOOKUP(A89,'Centre WR11'!$A$7:$N$160,12,FALSE),0)+
IFERROR(VLOOKUP(A89,'Centre WV11'!$A$7:$N$160,12,FALSE),0)</f>
        <v>0</v>
      </c>
      <c r="M89" s="10">
        <f>IFERROR(VLOOKUP(A89,'Centre DW11'!$A$7:$N$160,13,FALSE),0)+
IFERROR(VLOOKUP(A89,'Centre WP11'!$A$7:$N$160,13,FALSE),0)+
IFERROR(VLOOKUP(A89,'Centre WR11'!$A$7:$N$160,13,FALSE),0)+
IFERROR(VLOOKUP(A89,'Centre WV11'!$A$7:$N$160,13,FALSE),0)</f>
        <v>0</v>
      </c>
      <c r="N89" s="10">
        <f>IFERROR(VLOOKUP(A89,'Centre DW11'!$A$7:$N$160,14,FALSE),0)+
IFERROR(VLOOKUP(A89,'Centre WP11'!$A$7:$N$160,14,FALSE),0)+
IFERROR(VLOOKUP(A89,'Centre WR11'!$A$7:$N$160,14,FALSE),0)+
IFERROR(VLOOKUP(A89,'Centre WV11'!$A$7:$N$160,14,FALSE),0)</f>
        <v>0</v>
      </c>
    </row>
    <row r="90" spans="1:14" collapsed="1" x14ac:dyDescent="0.2">
      <c r="A90" s="33" t="s">
        <v>141</v>
      </c>
      <c r="B90" s="34" t="s">
        <v>142</v>
      </c>
      <c r="C90" s="44">
        <f t="shared" ref="C90:M90" si="30">+C91</f>
        <v>0</v>
      </c>
      <c r="D90" s="44">
        <f t="shared" si="30"/>
        <v>0</v>
      </c>
      <c r="E90" s="44">
        <f t="shared" si="30"/>
        <v>0</v>
      </c>
      <c r="F90" s="44">
        <f t="shared" si="30"/>
        <v>4.1999999999999993</v>
      </c>
      <c r="G90" s="44">
        <f t="shared" si="30"/>
        <v>0</v>
      </c>
      <c r="H90" s="44">
        <f t="shared" si="30"/>
        <v>0</v>
      </c>
      <c r="I90" s="44">
        <f t="shared" si="30"/>
        <v>0</v>
      </c>
      <c r="J90" s="44">
        <f t="shared" si="30"/>
        <v>0</v>
      </c>
      <c r="K90" s="44">
        <f t="shared" si="30"/>
        <v>0</v>
      </c>
      <c r="L90" s="44">
        <f t="shared" si="30"/>
        <v>0</v>
      </c>
      <c r="M90" s="44">
        <f t="shared" si="30"/>
        <v>0</v>
      </c>
      <c r="N90" s="44">
        <f t="shared" ref="N90" si="31">+N91</f>
        <v>0</v>
      </c>
    </row>
    <row r="91" spans="1:14" hidden="1" outlineLevel="1" x14ac:dyDescent="0.2">
      <c r="A91" s="9" t="s">
        <v>379</v>
      </c>
      <c r="B91" s="1" t="s">
        <v>380</v>
      </c>
      <c r="C91" s="10">
        <f>IFERROR(VLOOKUP(A91,'Centre DW11'!$A$7:$N$160,3,FALSE),0)+
IFERROR(VLOOKUP(A91,'Centre WP11'!$A$7:$N$160,3,FALSE),0)+
IFERROR(VLOOKUP(A91,'Centre WR11'!$A$7:$N$160,3,FALSE),0)+
IFERROR(VLOOKUP(A91,'Centre WV11'!$A$7:$N$160,3,FALSE),0)</f>
        <v>0</v>
      </c>
      <c r="D91" s="10">
        <f>IFERROR(VLOOKUP(A91,'Centre DW11'!$A$7:$N$160,4,FALSE),0)+
IFERROR(VLOOKUP(A91,'Centre WP11'!$A$7:$N$160,4,FALSE),0)+
IFERROR(VLOOKUP(A91,'Centre WR11'!$A$7:$N$160,4,FALSE),0)+
IFERROR(VLOOKUP(A91,'Centre WV11'!$A$7:$N$160,4,FALSE),0)</f>
        <v>0</v>
      </c>
      <c r="E91" s="10">
        <f>IFERROR(VLOOKUP(A91,'Centre DW11'!$A$7:$N$160,5,FALSE),0)+
IFERROR(VLOOKUP(A91,'Centre WP11'!$A$7:$N$160,5,FALSE),0)+
IFERROR(VLOOKUP(A91,'Centre WR11'!$A$7:$N$160,5,FALSE),0)+
IFERROR(VLOOKUP(A91,'Centre WV11'!$A$7:$N$160,5,FALSE),0)</f>
        <v>0</v>
      </c>
      <c r="F91" s="10">
        <f>IFERROR(VLOOKUP(A91,'Centre DW11'!$A$7:$N$160,6,FALSE),0)+
IFERROR(VLOOKUP(A91,'Centre WP11'!$A$7:$N$160,6,FALSE),0)+
IFERROR(VLOOKUP(A91,'Centre WR11'!$A$7:$N$160,6,FALSE),0)+
IFERROR(VLOOKUP(A91,'Centre WV11'!$A$7:$N$160,6,FALSE),0)</f>
        <v>4.1999999999999993</v>
      </c>
      <c r="G91" s="10">
        <f>IFERROR(VLOOKUP(A91,'Centre DW11'!$A$7:$N$160,7,FALSE),0)+
IFERROR(VLOOKUP(A91,'Centre WP11'!$A$7:$N$160,7,FALSE),0)+
IFERROR(VLOOKUP(A91,'Centre WR11'!$A$7:$N$160,7,FALSE),0)+
IFERROR(VLOOKUP(A91,'Centre WV11'!$A$7:$N$160,7,FALSE),0)</f>
        <v>0</v>
      </c>
      <c r="H91" s="10">
        <f>IFERROR(VLOOKUP(A91,'Centre DW11'!$A$7:$N$160,8,FALSE),0)+
IFERROR(VLOOKUP(A91,'Centre WP11'!$A$7:$N$160,8,FALSE),0)+
IFERROR(VLOOKUP(A91,'Centre WR11'!$A$7:$N$160,8,FALSE),0)+
IFERROR(VLOOKUP(A91,'Centre WV11'!$A$7:$N$160,8,FALSE),0)</f>
        <v>0</v>
      </c>
      <c r="I91" s="10">
        <f>IFERROR(VLOOKUP(A91,'Centre DW11'!$A$7:$N$160,9,FALSE),0)+
IFERROR(VLOOKUP(A91,'Centre WP11'!$A$7:$N$160,9,FALSE),0)+
IFERROR(VLOOKUP(A91,'Centre WR11'!$A$7:$N$160,9,FALSE),0)+
IFERROR(VLOOKUP(A91,'Centre WV11'!$A$7:$N$160,9,FALSE),0)</f>
        <v>0</v>
      </c>
      <c r="J91" s="10">
        <f>IFERROR(VLOOKUP(A91,'Centre DW11'!$A$7:$N$160,10,FALSE),0)+
IFERROR(VLOOKUP(A91,'Centre WP11'!$A$7:$N$160,10,FALSE),0)+
IFERROR(VLOOKUP(A91,'Centre WR11'!$A$7:$N$160,10,FALSE),0)+
IFERROR(VLOOKUP(A91,'Centre WV11'!$A$7:$N$160,10,FALSE),0)</f>
        <v>0</v>
      </c>
      <c r="K91" s="10">
        <f>IFERROR(VLOOKUP(A91,'Centre DW11'!$A$7:$N$160,11,FALSE),0)+
IFERROR(VLOOKUP(A91,'Centre WP11'!$A$7:$N$160,11,FALSE),0)+
IFERROR(VLOOKUP(A91,'Centre WR11'!$A$7:$N$160,11,FALSE),0)+
IFERROR(VLOOKUP(A91,'Centre WV11'!$A$7:$N$160,11,FALSE),0)</f>
        <v>0</v>
      </c>
      <c r="L91" s="10">
        <f>IFERROR(VLOOKUP(A91,'Centre DW11'!$A$7:$N$160,12,FALSE),0)+
IFERROR(VLOOKUP(A91,'Centre WP11'!$A$7:$N$160,12,FALSE),0)+
IFERROR(VLOOKUP(A91,'Centre WR11'!$A$7:$N$160,12,FALSE),0)+
IFERROR(VLOOKUP(A91,'Centre WV11'!$A$7:$N$160,12,FALSE),0)</f>
        <v>0</v>
      </c>
      <c r="M91" s="10">
        <f>IFERROR(VLOOKUP(A91,'Centre DW11'!$A$7:$N$160,13,FALSE),0)+
IFERROR(VLOOKUP(A91,'Centre WP11'!$A$7:$N$160,13,FALSE),0)+
IFERROR(VLOOKUP(A91,'Centre WR11'!$A$7:$N$160,13,FALSE),0)+
IFERROR(VLOOKUP(A91,'Centre WV11'!$A$7:$N$160,13,FALSE),0)</f>
        <v>0</v>
      </c>
      <c r="N91" s="10">
        <f>IFERROR(VLOOKUP(A91,'Centre DW11'!$A$7:$N$160,14,FALSE),0)+
IFERROR(VLOOKUP(A91,'Centre WP11'!$A$7:$N$160,14,FALSE),0)+
IFERROR(VLOOKUP(A91,'Centre WR11'!$A$7:$N$160,14,FALSE),0)+
IFERROR(VLOOKUP(A91,'Centre WV11'!$A$7:$N$160,14,FALSE),0)</f>
        <v>0</v>
      </c>
    </row>
    <row r="92" spans="1:14" collapsed="1" x14ac:dyDescent="0.2">
      <c r="A92" s="33" t="s">
        <v>143</v>
      </c>
      <c r="B92" s="34" t="s">
        <v>144</v>
      </c>
      <c r="C92" s="44">
        <f t="shared" ref="C92:M92" si="32">SUM(C93:C99)</f>
        <v>77.2</v>
      </c>
      <c r="D92" s="44">
        <f t="shared" si="32"/>
        <v>76</v>
      </c>
      <c r="E92" s="44">
        <f t="shared" si="32"/>
        <v>67.600000000000009</v>
      </c>
      <c r="F92" s="44">
        <f t="shared" si="32"/>
        <v>76.400000000000006</v>
      </c>
      <c r="G92" s="44">
        <f t="shared" si="32"/>
        <v>63.100000000000009</v>
      </c>
      <c r="H92" s="44">
        <f t="shared" si="32"/>
        <v>78.5</v>
      </c>
      <c r="I92" s="44">
        <f t="shared" si="32"/>
        <v>81.2</v>
      </c>
      <c r="J92" s="44">
        <f t="shared" si="32"/>
        <v>80.900000000000006</v>
      </c>
      <c r="K92" s="44">
        <f t="shared" si="32"/>
        <v>72.2</v>
      </c>
      <c r="L92" s="44">
        <f t="shared" si="32"/>
        <v>71.100000000000009</v>
      </c>
      <c r="M92" s="44">
        <f t="shared" si="32"/>
        <v>78.2</v>
      </c>
      <c r="N92" s="44">
        <f t="shared" ref="N92" si="33">SUM(N93:N99)</f>
        <v>80.2</v>
      </c>
    </row>
    <row r="93" spans="1:14" hidden="1" outlineLevel="1" x14ac:dyDescent="0.2">
      <c r="A93" s="9" t="s">
        <v>145</v>
      </c>
      <c r="B93" s="1" t="s">
        <v>146</v>
      </c>
      <c r="C93" s="10">
        <f>IFERROR(VLOOKUP(A93,'Centre DW11'!$A$7:$N$160,3,FALSE),0)+
IFERROR(VLOOKUP(A93,'Centre WP11'!$A$7:$N$160,3,FALSE),0)+
IFERROR(VLOOKUP(A93,'Centre WR11'!$A$7:$N$160,3,FALSE),0)+
IFERROR(VLOOKUP(A93,'Centre WV11'!$A$7:$N$160,3,FALSE),0)</f>
        <v>28.7</v>
      </c>
      <c r="D93" s="10">
        <f>IFERROR(VLOOKUP(A93,'Centre DW11'!$A$7:$N$160,4,FALSE),0)+
IFERROR(VLOOKUP(A93,'Centre WP11'!$A$7:$N$160,4,FALSE),0)+
IFERROR(VLOOKUP(A93,'Centre WR11'!$A$7:$N$160,4,FALSE),0)+
IFERROR(VLOOKUP(A93,'Centre WV11'!$A$7:$N$160,4,FALSE),0)</f>
        <v>31.2</v>
      </c>
      <c r="E93" s="10">
        <f>IFERROR(VLOOKUP(A93,'Centre DW11'!$A$7:$N$160,5,FALSE),0)+
IFERROR(VLOOKUP(A93,'Centre WP11'!$A$7:$N$160,5,FALSE),0)+
IFERROR(VLOOKUP(A93,'Centre WR11'!$A$7:$N$160,5,FALSE),0)+
IFERROR(VLOOKUP(A93,'Centre WV11'!$A$7:$N$160,5,FALSE),0)</f>
        <v>30.1</v>
      </c>
      <c r="F93" s="10">
        <f>IFERROR(VLOOKUP(A93,'Centre DW11'!$A$7:$N$160,6,FALSE),0)+
IFERROR(VLOOKUP(A93,'Centre WP11'!$A$7:$N$160,6,FALSE),0)+
IFERROR(VLOOKUP(A93,'Centre WR11'!$A$7:$N$160,6,FALSE),0)+
IFERROR(VLOOKUP(A93,'Centre WV11'!$A$7:$N$160,6,FALSE),0)</f>
        <v>30.1</v>
      </c>
      <c r="G93" s="10">
        <f>IFERROR(VLOOKUP(A93,'Centre DW11'!$A$7:$N$160,7,FALSE),0)+
IFERROR(VLOOKUP(A93,'Centre WP11'!$A$7:$N$160,7,FALSE),0)+
IFERROR(VLOOKUP(A93,'Centre WR11'!$A$7:$N$160,7,FALSE),0)+
IFERROR(VLOOKUP(A93,'Centre WV11'!$A$7:$N$160,7,FALSE),0)</f>
        <v>18.600000000000001</v>
      </c>
      <c r="H93" s="10">
        <f>IFERROR(VLOOKUP(A93,'Centre DW11'!$A$7:$N$160,8,FALSE),0)+
IFERROR(VLOOKUP(A93,'Centre WP11'!$A$7:$N$160,8,FALSE),0)+
IFERROR(VLOOKUP(A93,'Centre WR11'!$A$7:$N$160,8,FALSE),0)+
IFERROR(VLOOKUP(A93,'Centre WV11'!$A$7:$N$160,8,FALSE),0)</f>
        <v>31</v>
      </c>
      <c r="I93" s="10">
        <f>IFERROR(VLOOKUP(A93,'Centre DW11'!$A$7:$N$160,9,FALSE),0)+
IFERROR(VLOOKUP(A93,'Centre WP11'!$A$7:$N$160,9,FALSE),0)+
IFERROR(VLOOKUP(A93,'Centre WR11'!$A$7:$N$160,9,FALSE),0)+
IFERROR(VLOOKUP(A93,'Centre WV11'!$A$7:$N$160,9,FALSE),0)</f>
        <v>31.6</v>
      </c>
      <c r="J93" s="10">
        <f>IFERROR(VLOOKUP(A93,'Centre DW11'!$A$7:$N$160,10,FALSE),0)+
IFERROR(VLOOKUP(A93,'Centre WP11'!$A$7:$N$160,10,FALSE),0)+
IFERROR(VLOOKUP(A93,'Centre WR11'!$A$7:$N$160,10,FALSE),0)+
IFERROR(VLOOKUP(A93,'Centre WV11'!$A$7:$N$160,10,FALSE),0)</f>
        <v>33</v>
      </c>
      <c r="K93" s="10">
        <f>IFERROR(VLOOKUP(A93,'Centre DW11'!$A$7:$N$160,11,FALSE),0)+
IFERROR(VLOOKUP(A93,'Centre WP11'!$A$7:$N$160,11,FALSE),0)+
IFERROR(VLOOKUP(A93,'Centre WR11'!$A$7:$N$160,11,FALSE),0)+
IFERROR(VLOOKUP(A93,'Centre WV11'!$A$7:$N$160,11,FALSE),0)</f>
        <v>32</v>
      </c>
      <c r="L93" s="10">
        <f>IFERROR(VLOOKUP(A93,'Centre DW11'!$A$7:$N$160,12,FALSE),0)+
IFERROR(VLOOKUP(A93,'Centre WP11'!$A$7:$N$160,12,FALSE),0)+
IFERROR(VLOOKUP(A93,'Centre WR11'!$A$7:$N$160,12,FALSE),0)+
IFERROR(VLOOKUP(A93,'Centre WV11'!$A$7:$N$160,12,FALSE),0)</f>
        <v>33</v>
      </c>
      <c r="M93" s="10">
        <f>IFERROR(VLOOKUP(A93,'Centre DW11'!$A$7:$N$160,13,FALSE),0)+
IFERROR(VLOOKUP(A93,'Centre WP11'!$A$7:$N$160,13,FALSE),0)+
IFERROR(VLOOKUP(A93,'Centre WR11'!$A$7:$N$160,13,FALSE),0)+
IFERROR(VLOOKUP(A93,'Centre WV11'!$A$7:$N$160,13,FALSE),0)</f>
        <v>31</v>
      </c>
      <c r="N93" s="10">
        <f>IFERROR(VLOOKUP(A93,'Centre DW11'!$A$7:$N$160,14,FALSE),0)+
IFERROR(VLOOKUP(A93,'Centre WP11'!$A$7:$N$160,14,FALSE),0)+
IFERROR(VLOOKUP(A93,'Centre WR11'!$A$7:$N$160,14,FALSE),0)+
IFERROR(VLOOKUP(A93,'Centre WV11'!$A$7:$N$160,14,FALSE),0)</f>
        <v>30</v>
      </c>
    </row>
    <row r="94" spans="1:14" hidden="1" outlineLevel="1" x14ac:dyDescent="0.2">
      <c r="A94" s="9" t="s">
        <v>147</v>
      </c>
      <c r="B94" s="1" t="s">
        <v>148</v>
      </c>
      <c r="C94" s="10">
        <f>IFERROR(VLOOKUP(A94,'Centre DW11'!$A$7:$N$160,3,FALSE),0)+
IFERROR(VLOOKUP(A94,'Centre WP11'!$A$7:$N$160,3,FALSE),0)+
IFERROR(VLOOKUP(A94,'Centre WR11'!$A$7:$N$160,3,FALSE),0)+
IFERROR(VLOOKUP(A94,'Centre WV11'!$A$7:$N$160,3,FALSE),0)</f>
        <v>0.1</v>
      </c>
      <c r="D94" s="10">
        <f>IFERROR(VLOOKUP(A94,'Centre DW11'!$A$7:$N$160,4,FALSE),0)+
IFERROR(VLOOKUP(A94,'Centre WP11'!$A$7:$N$160,4,FALSE),0)+
IFERROR(VLOOKUP(A94,'Centre WR11'!$A$7:$N$160,4,FALSE),0)+
IFERROR(VLOOKUP(A94,'Centre WV11'!$A$7:$N$160,4,FALSE),0)</f>
        <v>0</v>
      </c>
      <c r="E94" s="10">
        <f>IFERROR(VLOOKUP(A94,'Centre DW11'!$A$7:$N$160,5,FALSE),0)+
IFERROR(VLOOKUP(A94,'Centre WP11'!$A$7:$N$160,5,FALSE),0)+
IFERROR(VLOOKUP(A94,'Centre WR11'!$A$7:$N$160,5,FALSE),0)+
IFERROR(VLOOKUP(A94,'Centre WV11'!$A$7:$N$160,5,FALSE),0)</f>
        <v>0.1</v>
      </c>
      <c r="F94" s="10">
        <f>IFERROR(VLOOKUP(A94,'Centre DW11'!$A$7:$N$160,6,FALSE),0)+
IFERROR(VLOOKUP(A94,'Centre WP11'!$A$7:$N$160,6,FALSE),0)+
IFERROR(VLOOKUP(A94,'Centre WR11'!$A$7:$N$160,6,FALSE),0)+
IFERROR(VLOOKUP(A94,'Centre WV11'!$A$7:$N$160,6,FALSE),0)</f>
        <v>0</v>
      </c>
      <c r="G94" s="10">
        <f>IFERROR(VLOOKUP(A94,'Centre DW11'!$A$7:$N$160,7,FALSE),0)+
IFERROR(VLOOKUP(A94,'Centre WP11'!$A$7:$N$160,7,FALSE),0)+
IFERROR(VLOOKUP(A94,'Centre WR11'!$A$7:$N$160,7,FALSE),0)+
IFERROR(VLOOKUP(A94,'Centre WV11'!$A$7:$N$160,7,FALSE),0)</f>
        <v>0.1</v>
      </c>
      <c r="H94" s="10">
        <f>IFERROR(VLOOKUP(A94,'Centre DW11'!$A$7:$N$160,8,FALSE),0)+
IFERROR(VLOOKUP(A94,'Centre WP11'!$A$7:$N$160,8,FALSE),0)+
IFERROR(VLOOKUP(A94,'Centre WR11'!$A$7:$N$160,8,FALSE),0)+
IFERROR(VLOOKUP(A94,'Centre WV11'!$A$7:$N$160,8,FALSE),0)</f>
        <v>0.8</v>
      </c>
      <c r="I94" s="10">
        <f>IFERROR(VLOOKUP(A94,'Centre DW11'!$A$7:$N$160,9,FALSE),0)+
IFERROR(VLOOKUP(A94,'Centre WP11'!$A$7:$N$160,9,FALSE),0)+
IFERROR(VLOOKUP(A94,'Centre WR11'!$A$7:$N$160,9,FALSE),0)+
IFERROR(VLOOKUP(A94,'Centre WV11'!$A$7:$N$160,9,FALSE),0)</f>
        <v>0.1</v>
      </c>
      <c r="J94" s="10">
        <f>IFERROR(VLOOKUP(A94,'Centre DW11'!$A$7:$N$160,10,FALSE),0)+
IFERROR(VLOOKUP(A94,'Centre WP11'!$A$7:$N$160,10,FALSE),0)+
IFERROR(VLOOKUP(A94,'Centre WR11'!$A$7:$N$160,10,FALSE),0)+
IFERROR(VLOOKUP(A94,'Centre WV11'!$A$7:$N$160,10,FALSE),0)</f>
        <v>0</v>
      </c>
      <c r="K94" s="10">
        <f>IFERROR(VLOOKUP(A94,'Centre DW11'!$A$7:$N$160,11,FALSE),0)+
IFERROR(VLOOKUP(A94,'Centre WP11'!$A$7:$N$160,11,FALSE),0)+
IFERROR(VLOOKUP(A94,'Centre WR11'!$A$7:$N$160,11,FALSE),0)+
IFERROR(VLOOKUP(A94,'Centre WV11'!$A$7:$N$160,11,FALSE),0)</f>
        <v>0.1</v>
      </c>
      <c r="L94" s="10">
        <f>IFERROR(VLOOKUP(A94,'Centre DW11'!$A$7:$N$160,12,FALSE),0)+
IFERROR(VLOOKUP(A94,'Centre WP11'!$A$7:$N$160,12,FALSE),0)+
IFERROR(VLOOKUP(A94,'Centre WR11'!$A$7:$N$160,12,FALSE),0)+
IFERROR(VLOOKUP(A94,'Centre WV11'!$A$7:$N$160,12,FALSE),0)</f>
        <v>0</v>
      </c>
      <c r="M94" s="10">
        <f>IFERROR(VLOOKUP(A94,'Centre DW11'!$A$7:$N$160,13,FALSE),0)+
IFERROR(VLOOKUP(A94,'Centre WP11'!$A$7:$N$160,13,FALSE),0)+
IFERROR(VLOOKUP(A94,'Centre WR11'!$A$7:$N$160,13,FALSE),0)+
IFERROR(VLOOKUP(A94,'Centre WV11'!$A$7:$N$160,13,FALSE),0)</f>
        <v>0.1</v>
      </c>
      <c r="N94" s="10">
        <f>IFERROR(VLOOKUP(A94,'Centre DW11'!$A$7:$N$160,14,FALSE),0)+
IFERROR(VLOOKUP(A94,'Centre WP11'!$A$7:$N$160,14,FALSE),0)+
IFERROR(VLOOKUP(A94,'Centre WR11'!$A$7:$N$160,14,FALSE),0)+
IFERROR(VLOOKUP(A94,'Centre WV11'!$A$7:$N$160,14,FALSE),0)</f>
        <v>0.8</v>
      </c>
    </row>
    <row r="95" spans="1:14" hidden="1" outlineLevel="1" x14ac:dyDescent="0.2">
      <c r="A95" s="9" t="s">
        <v>149</v>
      </c>
      <c r="B95" s="1" t="s">
        <v>150</v>
      </c>
      <c r="C95" s="10">
        <f>IFERROR(VLOOKUP(A95,'Centre DW11'!$A$7:$N$160,3,FALSE),0)+
IFERROR(VLOOKUP(A95,'Centre WP11'!$A$7:$N$160,3,FALSE),0)+
IFERROR(VLOOKUP(A95,'Centre WR11'!$A$7:$N$160,3,FALSE),0)+
IFERROR(VLOOKUP(A95,'Centre WV11'!$A$7:$N$160,3,FALSE),0)</f>
        <v>6.3</v>
      </c>
      <c r="D95" s="10">
        <f>IFERROR(VLOOKUP(A95,'Centre DW11'!$A$7:$N$160,4,FALSE),0)+
IFERROR(VLOOKUP(A95,'Centre WP11'!$A$7:$N$160,4,FALSE),0)+
IFERROR(VLOOKUP(A95,'Centre WR11'!$A$7:$N$160,4,FALSE),0)+
IFERROR(VLOOKUP(A95,'Centre WV11'!$A$7:$N$160,4,FALSE),0)</f>
        <v>9.6</v>
      </c>
      <c r="E95" s="10">
        <f>IFERROR(VLOOKUP(A95,'Centre DW11'!$A$7:$N$160,5,FALSE),0)+
IFERROR(VLOOKUP(A95,'Centre WP11'!$A$7:$N$160,5,FALSE),0)+
IFERROR(VLOOKUP(A95,'Centre WR11'!$A$7:$N$160,5,FALSE),0)+
IFERROR(VLOOKUP(A95,'Centre WV11'!$A$7:$N$160,5,FALSE),0)</f>
        <v>-0.2</v>
      </c>
      <c r="F95" s="10">
        <f>IFERROR(VLOOKUP(A95,'Centre DW11'!$A$7:$N$160,6,FALSE),0)+
IFERROR(VLOOKUP(A95,'Centre WP11'!$A$7:$N$160,6,FALSE),0)+
IFERROR(VLOOKUP(A95,'Centre WR11'!$A$7:$N$160,6,FALSE),0)+
IFERROR(VLOOKUP(A95,'Centre WV11'!$A$7:$N$160,6,FALSE),0)</f>
        <v>9.6</v>
      </c>
      <c r="G95" s="10">
        <f>IFERROR(VLOOKUP(A95,'Centre DW11'!$A$7:$N$160,7,FALSE),0)+
IFERROR(VLOOKUP(A95,'Centre WP11'!$A$7:$N$160,7,FALSE),0)+
IFERROR(VLOOKUP(A95,'Centre WR11'!$A$7:$N$160,7,FALSE),0)+
IFERROR(VLOOKUP(A95,'Centre WV11'!$A$7:$N$160,7,FALSE),0)</f>
        <v>3.6</v>
      </c>
      <c r="H95" s="10">
        <f>IFERROR(VLOOKUP(A95,'Centre DW11'!$A$7:$N$160,8,FALSE),0)+
IFERROR(VLOOKUP(A95,'Centre WP11'!$A$7:$N$160,8,FALSE),0)+
IFERROR(VLOOKUP(A95,'Centre WR11'!$A$7:$N$160,8,FALSE),0)+
IFERROR(VLOOKUP(A95,'Centre WV11'!$A$7:$N$160,8,FALSE),0)</f>
        <v>6.3</v>
      </c>
      <c r="I95" s="10">
        <f>IFERROR(VLOOKUP(A95,'Centre DW11'!$A$7:$N$160,9,FALSE),0)+
IFERROR(VLOOKUP(A95,'Centre WP11'!$A$7:$N$160,9,FALSE),0)+
IFERROR(VLOOKUP(A95,'Centre WR11'!$A$7:$N$160,9,FALSE),0)+
IFERROR(VLOOKUP(A95,'Centre WV11'!$A$7:$N$160,9,FALSE),0)</f>
        <v>6.3</v>
      </c>
      <c r="J95" s="10">
        <f>IFERROR(VLOOKUP(A95,'Centre DW11'!$A$7:$N$160,10,FALSE),0)+
IFERROR(VLOOKUP(A95,'Centre WP11'!$A$7:$N$160,10,FALSE),0)+
IFERROR(VLOOKUP(A95,'Centre WR11'!$A$7:$N$160,10,FALSE),0)+
IFERROR(VLOOKUP(A95,'Centre WV11'!$A$7:$N$160,10,FALSE),0)</f>
        <v>9.6</v>
      </c>
      <c r="K95" s="10">
        <f>IFERROR(VLOOKUP(A95,'Centre DW11'!$A$7:$N$160,11,FALSE),0)+
IFERROR(VLOOKUP(A95,'Centre WP11'!$A$7:$N$160,11,FALSE),0)+
IFERROR(VLOOKUP(A95,'Centre WR11'!$A$7:$N$160,11,FALSE),0)+
IFERROR(VLOOKUP(A95,'Centre WV11'!$A$7:$N$160,11,FALSE),0)</f>
        <v>-0.2</v>
      </c>
      <c r="L95" s="10">
        <f>IFERROR(VLOOKUP(A95,'Centre DW11'!$A$7:$N$160,12,FALSE),0)+
IFERROR(VLOOKUP(A95,'Centre WP11'!$A$7:$N$160,12,FALSE),0)+
IFERROR(VLOOKUP(A95,'Centre WR11'!$A$7:$N$160,12,FALSE),0)+
IFERROR(VLOOKUP(A95,'Centre WV11'!$A$7:$N$160,12,FALSE),0)</f>
        <v>3.3</v>
      </c>
      <c r="M95" s="10">
        <f>IFERROR(VLOOKUP(A95,'Centre DW11'!$A$7:$N$160,13,FALSE),0)+
IFERROR(VLOOKUP(A95,'Centre WP11'!$A$7:$N$160,13,FALSE),0)+
IFERROR(VLOOKUP(A95,'Centre WR11'!$A$7:$N$160,13,FALSE),0)+
IFERROR(VLOOKUP(A95,'Centre WV11'!$A$7:$N$160,13,FALSE),0)</f>
        <v>3.6</v>
      </c>
      <c r="N95" s="10">
        <f>IFERROR(VLOOKUP(A95,'Centre DW11'!$A$7:$N$160,14,FALSE),0)+
IFERROR(VLOOKUP(A95,'Centre WP11'!$A$7:$N$160,14,FALSE),0)+
IFERROR(VLOOKUP(A95,'Centre WR11'!$A$7:$N$160,14,FALSE),0)+
IFERROR(VLOOKUP(A95,'Centre WV11'!$A$7:$N$160,14,FALSE),0)</f>
        <v>6.3</v>
      </c>
    </row>
    <row r="96" spans="1:14" hidden="1" outlineLevel="1" x14ac:dyDescent="0.2">
      <c r="A96" s="9" t="s">
        <v>151</v>
      </c>
      <c r="B96" s="1" t="s">
        <v>152</v>
      </c>
      <c r="C96" s="10">
        <f>IFERROR(VLOOKUP(A96,'Centre DW11'!$A$7:$N$160,3,FALSE),0)+
IFERROR(VLOOKUP(A96,'Centre WP11'!$A$7:$N$160,3,FALSE),0)+
IFERROR(VLOOKUP(A96,'Centre WR11'!$A$7:$N$160,3,FALSE),0)+
IFERROR(VLOOKUP(A96,'Centre WV11'!$A$7:$N$160,3,FALSE),0)</f>
        <v>1.2</v>
      </c>
      <c r="D96" s="10">
        <f>IFERROR(VLOOKUP(A96,'Centre DW11'!$A$7:$N$160,4,FALSE),0)+
IFERROR(VLOOKUP(A96,'Centre WP11'!$A$7:$N$160,4,FALSE),0)+
IFERROR(VLOOKUP(A96,'Centre WR11'!$A$7:$N$160,4,FALSE),0)+
IFERROR(VLOOKUP(A96,'Centre WV11'!$A$7:$N$160,4,FALSE),0)</f>
        <v>1.5</v>
      </c>
      <c r="E96" s="10">
        <f>IFERROR(VLOOKUP(A96,'Centre DW11'!$A$7:$N$160,5,FALSE),0)+
IFERROR(VLOOKUP(A96,'Centre WP11'!$A$7:$N$160,5,FALSE),0)+
IFERROR(VLOOKUP(A96,'Centre WR11'!$A$7:$N$160,5,FALSE),0)+
IFERROR(VLOOKUP(A96,'Centre WV11'!$A$7:$N$160,5,FALSE),0)</f>
        <v>1.3</v>
      </c>
      <c r="F96" s="10">
        <f>IFERROR(VLOOKUP(A96,'Centre DW11'!$A$7:$N$160,6,FALSE),0)+
IFERROR(VLOOKUP(A96,'Centre WP11'!$A$7:$N$160,6,FALSE),0)+
IFERROR(VLOOKUP(A96,'Centre WR11'!$A$7:$N$160,6,FALSE),0)+
IFERROR(VLOOKUP(A96,'Centre WV11'!$A$7:$N$160,6,FALSE),0)</f>
        <v>0.70000000000000007</v>
      </c>
      <c r="G96" s="10">
        <f>IFERROR(VLOOKUP(A96,'Centre DW11'!$A$7:$N$160,7,FALSE),0)+
IFERROR(VLOOKUP(A96,'Centre WP11'!$A$7:$N$160,7,FALSE),0)+
IFERROR(VLOOKUP(A96,'Centre WR11'!$A$7:$N$160,7,FALSE),0)+
IFERROR(VLOOKUP(A96,'Centre WV11'!$A$7:$N$160,7,FALSE),0)</f>
        <v>-0.2</v>
      </c>
      <c r="H96" s="10">
        <f>IFERROR(VLOOKUP(A96,'Centre DW11'!$A$7:$N$160,8,FALSE),0)+
IFERROR(VLOOKUP(A96,'Centre WP11'!$A$7:$N$160,8,FALSE),0)+
IFERROR(VLOOKUP(A96,'Centre WR11'!$A$7:$N$160,8,FALSE),0)+
IFERROR(VLOOKUP(A96,'Centre WV11'!$A$7:$N$160,8,FALSE),0)</f>
        <v>0.5</v>
      </c>
      <c r="I96" s="10">
        <f>IFERROR(VLOOKUP(A96,'Centre DW11'!$A$7:$N$160,9,FALSE),0)+
IFERROR(VLOOKUP(A96,'Centre WP11'!$A$7:$N$160,9,FALSE),0)+
IFERROR(VLOOKUP(A96,'Centre WR11'!$A$7:$N$160,9,FALSE),0)+
IFERROR(VLOOKUP(A96,'Centre WV11'!$A$7:$N$160,9,FALSE),0)</f>
        <v>0.2</v>
      </c>
      <c r="J96" s="10">
        <f>IFERROR(VLOOKUP(A96,'Centre DW11'!$A$7:$N$160,10,FALSE),0)+
IFERROR(VLOOKUP(A96,'Centre WP11'!$A$7:$N$160,10,FALSE),0)+
IFERROR(VLOOKUP(A96,'Centre WR11'!$A$7:$N$160,10,FALSE),0)+
IFERROR(VLOOKUP(A96,'Centre WV11'!$A$7:$N$160,10,FALSE),0)</f>
        <v>1.5</v>
      </c>
      <c r="K96" s="10">
        <f>IFERROR(VLOOKUP(A96,'Centre DW11'!$A$7:$N$160,11,FALSE),0)+
IFERROR(VLOOKUP(A96,'Centre WP11'!$A$7:$N$160,11,FALSE),0)+
IFERROR(VLOOKUP(A96,'Centre WR11'!$A$7:$N$160,11,FALSE),0)+
IFERROR(VLOOKUP(A96,'Centre WV11'!$A$7:$N$160,11,FALSE),0)</f>
        <v>1.3</v>
      </c>
      <c r="L96" s="10">
        <f>IFERROR(VLOOKUP(A96,'Centre DW11'!$A$7:$N$160,12,FALSE),0)+
IFERROR(VLOOKUP(A96,'Centre WP11'!$A$7:$N$160,12,FALSE),0)+
IFERROR(VLOOKUP(A96,'Centre WR11'!$A$7:$N$160,12,FALSE),0)+
IFERROR(VLOOKUP(A96,'Centre WV11'!$A$7:$N$160,12,FALSE),0)</f>
        <v>-0.1</v>
      </c>
      <c r="M96" s="10">
        <f>IFERROR(VLOOKUP(A96,'Centre DW11'!$A$7:$N$160,13,FALSE),0)+
IFERROR(VLOOKUP(A96,'Centre WP11'!$A$7:$N$160,13,FALSE),0)+
IFERROR(VLOOKUP(A96,'Centre WR11'!$A$7:$N$160,13,FALSE),0)+
IFERROR(VLOOKUP(A96,'Centre WV11'!$A$7:$N$160,13,FALSE),0)</f>
        <v>-0.2</v>
      </c>
      <c r="N96" s="10">
        <f>IFERROR(VLOOKUP(A96,'Centre DW11'!$A$7:$N$160,14,FALSE),0)+
IFERROR(VLOOKUP(A96,'Centre WP11'!$A$7:$N$160,14,FALSE),0)+
IFERROR(VLOOKUP(A96,'Centre WR11'!$A$7:$N$160,14,FALSE),0)+
IFERROR(VLOOKUP(A96,'Centre WV11'!$A$7:$N$160,14,FALSE),0)</f>
        <v>0.5</v>
      </c>
    </row>
    <row r="97" spans="1:14" hidden="1" outlineLevel="1" x14ac:dyDescent="0.2">
      <c r="A97" s="9" t="s">
        <v>355</v>
      </c>
      <c r="B97" s="1" t="s">
        <v>356</v>
      </c>
      <c r="C97" s="10">
        <f>IFERROR(VLOOKUP(A97,'Centre DW11'!$A$7:$N$160,3,FALSE),0)+
IFERROR(VLOOKUP(A97,'Centre WP11'!$A$7:$N$160,3,FALSE),0)+
IFERROR(VLOOKUP(A97,'Centre WR11'!$A$7:$N$160,3,FALSE),0)+
IFERROR(VLOOKUP(A97,'Centre WV11'!$A$7:$N$160,3,FALSE),0)</f>
        <v>6.5</v>
      </c>
      <c r="D97" s="10">
        <f>IFERROR(VLOOKUP(A97,'Centre DW11'!$A$7:$N$160,4,FALSE),0)+
IFERROR(VLOOKUP(A97,'Centre WP11'!$A$7:$N$160,4,FALSE),0)+
IFERROR(VLOOKUP(A97,'Centre WR11'!$A$7:$N$160,4,FALSE),0)+
IFERROR(VLOOKUP(A97,'Centre WV11'!$A$7:$N$160,4,FALSE),0)</f>
        <v>2</v>
      </c>
      <c r="E97" s="10">
        <f>IFERROR(VLOOKUP(A97,'Centre DW11'!$A$7:$N$160,5,FALSE),0)+
IFERROR(VLOOKUP(A97,'Centre WP11'!$A$7:$N$160,5,FALSE),0)+
IFERROR(VLOOKUP(A97,'Centre WR11'!$A$7:$N$160,5,FALSE),0)+
IFERROR(VLOOKUP(A97,'Centre WV11'!$A$7:$N$160,5,FALSE),0)</f>
        <v>4.2</v>
      </c>
      <c r="F97" s="10">
        <f>IFERROR(VLOOKUP(A97,'Centre DW11'!$A$7:$N$160,6,FALSE),0)+
IFERROR(VLOOKUP(A97,'Centre WP11'!$A$7:$N$160,6,FALSE),0)+
IFERROR(VLOOKUP(A97,'Centre WR11'!$A$7:$N$160,6,FALSE),0)+
IFERROR(VLOOKUP(A97,'Centre WV11'!$A$7:$N$160,6,FALSE),0)</f>
        <v>4.2</v>
      </c>
      <c r="G97" s="10">
        <f>IFERROR(VLOOKUP(A97,'Centre DW11'!$A$7:$N$160,7,FALSE),0)+
IFERROR(VLOOKUP(A97,'Centre WP11'!$A$7:$N$160,7,FALSE),0)+
IFERROR(VLOOKUP(A97,'Centre WR11'!$A$7:$N$160,7,FALSE),0)+
IFERROR(VLOOKUP(A97,'Centre WV11'!$A$7:$N$160,7,FALSE),0)</f>
        <v>4.3</v>
      </c>
      <c r="H97" s="10">
        <f>IFERROR(VLOOKUP(A97,'Centre DW11'!$A$7:$N$160,8,FALSE),0)+
IFERROR(VLOOKUP(A97,'Centre WP11'!$A$7:$N$160,8,FALSE),0)+
IFERROR(VLOOKUP(A97,'Centre WR11'!$A$7:$N$160,8,FALSE),0)+
IFERROR(VLOOKUP(A97,'Centre WV11'!$A$7:$N$160,8,FALSE),0)</f>
        <v>5</v>
      </c>
      <c r="I97" s="10">
        <f>IFERROR(VLOOKUP(A97,'Centre DW11'!$A$7:$N$160,9,FALSE),0)+
IFERROR(VLOOKUP(A97,'Centre WP11'!$A$7:$N$160,9,FALSE),0)+
IFERROR(VLOOKUP(A97,'Centre WR11'!$A$7:$N$160,9,FALSE),0)+
IFERROR(VLOOKUP(A97,'Centre WV11'!$A$7:$N$160,9,FALSE),0)</f>
        <v>4.6000000000000005</v>
      </c>
      <c r="J97" s="10">
        <f>IFERROR(VLOOKUP(A97,'Centre DW11'!$A$7:$N$160,10,FALSE),0)+
IFERROR(VLOOKUP(A97,'Centre WP11'!$A$7:$N$160,10,FALSE),0)+
IFERROR(VLOOKUP(A97,'Centre WR11'!$A$7:$N$160,10,FALSE),0)+
IFERROR(VLOOKUP(A97,'Centre WV11'!$A$7:$N$160,10,FALSE),0)</f>
        <v>2</v>
      </c>
      <c r="K97" s="10">
        <f>IFERROR(VLOOKUP(A97,'Centre DW11'!$A$7:$N$160,11,FALSE),0)+
IFERROR(VLOOKUP(A97,'Centre WP11'!$A$7:$N$160,11,FALSE),0)+
IFERROR(VLOOKUP(A97,'Centre WR11'!$A$7:$N$160,11,FALSE),0)+
IFERROR(VLOOKUP(A97,'Centre WV11'!$A$7:$N$160,11,FALSE),0)</f>
        <v>4.2</v>
      </c>
      <c r="L97" s="10">
        <f>IFERROR(VLOOKUP(A97,'Centre DW11'!$A$7:$N$160,12,FALSE),0)+
IFERROR(VLOOKUP(A97,'Centre WP11'!$A$7:$N$160,12,FALSE),0)+
IFERROR(VLOOKUP(A97,'Centre WR11'!$A$7:$N$160,12,FALSE),0)+
IFERROR(VLOOKUP(A97,'Centre WV11'!$A$7:$N$160,12,FALSE),0)</f>
        <v>4.2</v>
      </c>
      <c r="M97" s="10">
        <f>IFERROR(VLOOKUP(A97,'Centre DW11'!$A$7:$N$160,13,FALSE),0)+
IFERROR(VLOOKUP(A97,'Centre WP11'!$A$7:$N$160,13,FALSE),0)+
IFERROR(VLOOKUP(A97,'Centre WR11'!$A$7:$N$160,13,FALSE),0)+
IFERROR(VLOOKUP(A97,'Centre WV11'!$A$7:$N$160,13,FALSE),0)</f>
        <v>4.3</v>
      </c>
      <c r="N97" s="10">
        <f>IFERROR(VLOOKUP(A97,'Centre DW11'!$A$7:$N$160,14,FALSE),0)+
IFERROR(VLOOKUP(A97,'Centre WP11'!$A$7:$N$160,14,FALSE),0)+
IFERROR(VLOOKUP(A97,'Centre WR11'!$A$7:$N$160,14,FALSE),0)+
IFERROR(VLOOKUP(A97,'Centre WV11'!$A$7:$N$160,14,FALSE),0)</f>
        <v>5</v>
      </c>
    </row>
    <row r="98" spans="1:14" hidden="1" outlineLevel="1" x14ac:dyDescent="0.2">
      <c r="A98" s="9" t="s">
        <v>153</v>
      </c>
      <c r="B98" s="1" t="s">
        <v>154</v>
      </c>
      <c r="C98" s="10">
        <f>IFERROR(VLOOKUP(A98,'Centre DW11'!$A$7:$N$160,3,FALSE),0)+
IFERROR(VLOOKUP(A98,'Centre WP11'!$A$7:$N$160,3,FALSE),0)+
IFERROR(VLOOKUP(A98,'Centre WR11'!$A$7:$N$160,3,FALSE),0)+
IFERROR(VLOOKUP(A98,'Centre WV11'!$A$7:$N$160,3,FALSE),0)</f>
        <v>29.3</v>
      </c>
      <c r="D98" s="10">
        <f>IFERROR(VLOOKUP(A98,'Centre DW11'!$A$7:$N$160,4,FALSE),0)+
IFERROR(VLOOKUP(A98,'Centre WP11'!$A$7:$N$160,4,FALSE),0)+
IFERROR(VLOOKUP(A98,'Centre WR11'!$A$7:$N$160,4,FALSE),0)+
IFERROR(VLOOKUP(A98,'Centre WV11'!$A$7:$N$160,4,FALSE),0)</f>
        <v>29.8</v>
      </c>
      <c r="E98" s="10">
        <f>IFERROR(VLOOKUP(A98,'Centre DW11'!$A$7:$N$160,5,FALSE),0)+
IFERROR(VLOOKUP(A98,'Centre WP11'!$A$7:$N$160,5,FALSE),0)+
IFERROR(VLOOKUP(A98,'Centre WR11'!$A$7:$N$160,5,FALSE),0)+
IFERROR(VLOOKUP(A98,'Centre WV11'!$A$7:$N$160,5,FALSE),0)</f>
        <v>29.8</v>
      </c>
      <c r="F98" s="10">
        <f>IFERROR(VLOOKUP(A98,'Centre DW11'!$A$7:$N$160,6,FALSE),0)+
IFERROR(VLOOKUP(A98,'Centre WP11'!$A$7:$N$160,6,FALSE),0)+
IFERROR(VLOOKUP(A98,'Centre WR11'!$A$7:$N$160,6,FALSE),0)+
IFERROR(VLOOKUP(A98,'Centre WV11'!$A$7:$N$160,6,FALSE),0)</f>
        <v>29.8</v>
      </c>
      <c r="G98" s="10">
        <f>IFERROR(VLOOKUP(A98,'Centre DW11'!$A$7:$N$160,7,FALSE),0)+
IFERROR(VLOOKUP(A98,'Centre WP11'!$A$7:$N$160,7,FALSE),0)+
IFERROR(VLOOKUP(A98,'Centre WR11'!$A$7:$N$160,7,FALSE),0)+
IFERROR(VLOOKUP(A98,'Centre WV11'!$A$7:$N$160,7,FALSE),0)</f>
        <v>31.6</v>
      </c>
      <c r="H98" s="10">
        <f>IFERROR(VLOOKUP(A98,'Centre DW11'!$A$7:$N$160,8,FALSE),0)+
IFERROR(VLOOKUP(A98,'Centre WP11'!$A$7:$N$160,8,FALSE),0)+
IFERROR(VLOOKUP(A98,'Centre WR11'!$A$7:$N$160,8,FALSE),0)+
IFERROR(VLOOKUP(A98,'Centre WV11'!$A$7:$N$160,8,FALSE),0)</f>
        <v>31.6</v>
      </c>
      <c r="I98" s="10">
        <f>IFERROR(VLOOKUP(A98,'Centre DW11'!$A$7:$N$160,9,FALSE),0)+
IFERROR(VLOOKUP(A98,'Centre WP11'!$A$7:$N$160,9,FALSE),0)+
IFERROR(VLOOKUP(A98,'Centre WR11'!$A$7:$N$160,9,FALSE),0)+
IFERROR(VLOOKUP(A98,'Centre WV11'!$A$7:$N$160,9,FALSE),0)</f>
        <v>31.6</v>
      </c>
      <c r="J98" s="10">
        <f>IFERROR(VLOOKUP(A98,'Centre DW11'!$A$7:$N$160,10,FALSE),0)+
IFERROR(VLOOKUP(A98,'Centre WP11'!$A$7:$N$160,10,FALSE),0)+
IFERROR(VLOOKUP(A98,'Centre WR11'!$A$7:$N$160,10,FALSE),0)+
IFERROR(VLOOKUP(A98,'Centre WV11'!$A$7:$N$160,10,FALSE),0)</f>
        <v>29.8</v>
      </c>
      <c r="K98" s="10">
        <f>IFERROR(VLOOKUP(A98,'Centre DW11'!$A$7:$N$160,11,FALSE),0)+
IFERROR(VLOOKUP(A98,'Centre WP11'!$A$7:$N$160,11,FALSE),0)+
IFERROR(VLOOKUP(A98,'Centre WR11'!$A$7:$N$160,11,FALSE),0)+
IFERROR(VLOOKUP(A98,'Centre WV11'!$A$7:$N$160,11,FALSE),0)</f>
        <v>29.8</v>
      </c>
      <c r="L98" s="10">
        <f>IFERROR(VLOOKUP(A98,'Centre DW11'!$A$7:$N$160,12,FALSE),0)+
IFERROR(VLOOKUP(A98,'Centre WP11'!$A$7:$N$160,12,FALSE),0)+
IFERROR(VLOOKUP(A98,'Centre WR11'!$A$7:$N$160,12,FALSE),0)+
IFERROR(VLOOKUP(A98,'Centre WV11'!$A$7:$N$160,12,FALSE),0)</f>
        <v>28</v>
      </c>
      <c r="M98" s="10">
        <f>IFERROR(VLOOKUP(A98,'Centre DW11'!$A$7:$N$160,13,FALSE),0)+
IFERROR(VLOOKUP(A98,'Centre WP11'!$A$7:$N$160,13,FALSE),0)+
IFERROR(VLOOKUP(A98,'Centre WR11'!$A$7:$N$160,13,FALSE),0)+
IFERROR(VLOOKUP(A98,'Centre WV11'!$A$7:$N$160,13,FALSE),0)</f>
        <v>31.6</v>
      </c>
      <c r="N98" s="10">
        <f>IFERROR(VLOOKUP(A98,'Centre DW11'!$A$7:$N$160,14,FALSE),0)+
IFERROR(VLOOKUP(A98,'Centre WP11'!$A$7:$N$160,14,FALSE),0)+
IFERROR(VLOOKUP(A98,'Centre WR11'!$A$7:$N$160,14,FALSE),0)+
IFERROR(VLOOKUP(A98,'Centre WV11'!$A$7:$N$160,14,FALSE),0)</f>
        <v>31.6</v>
      </c>
    </row>
    <row r="99" spans="1:14" hidden="1" outlineLevel="1" x14ac:dyDescent="0.2">
      <c r="A99" s="9" t="s">
        <v>155</v>
      </c>
      <c r="B99" s="1" t="s">
        <v>156</v>
      </c>
      <c r="C99" s="10">
        <f>IFERROR(VLOOKUP(A99,'Centre DW11'!$A$7:$N$160,3,FALSE),0)+
IFERROR(VLOOKUP(A99,'Centre WP11'!$A$7:$N$160,3,FALSE),0)+
IFERROR(VLOOKUP(A99,'Centre WR11'!$A$7:$N$160,3,FALSE),0)+
IFERROR(VLOOKUP(A99,'Centre WV11'!$A$7:$N$160,3,FALSE),0)</f>
        <v>5.0999999999999996</v>
      </c>
      <c r="D99" s="10">
        <f>IFERROR(VLOOKUP(A99,'Centre DW11'!$A$7:$N$160,4,FALSE),0)+
IFERROR(VLOOKUP(A99,'Centre WP11'!$A$7:$N$160,4,FALSE),0)+
IFERROR(VLOOKUP(A99,'Centre WR11'!$A$7:$N$160,4,FALSE),0)+
IFERROR(VLOOKUP(A99,'Centre WV11'!$A$7:$N$160,4,FALSE),0)</f>
        <v>1.9000000000000001</v>
      </c>
      <c r="E99" s="10">
        <f>IFERROR(VLOOKUP(A99,'Centre DW11'!$A$7:$N$160,5,FALSE),0)+
IFERROR(VLOOKUP(A99,'Centre WP11'!$A$7:$N$160,5,FALSE),0)+
IFERROR(VLOOKUP(A99,'Centre WR11'!$A$7:$N$160,5,FALSE),0)+
IFERROR(VLOOKUP(A99,'Centre WV11'!$A$7:$N$160,5,FALSE),0)</f>
        <v>2.2999999999999998</v>
      </c>
      <c r="F99" s="10">
        <f>IFERROR(VLOOKUP(A99,'Centre DW11'!$A$7:$N$160,6,FALSE),0)+
IFERROR(VLOOKUP(A99,'Centre WP11'!$A$7:$N$160,6,FALSE),0)+
IFERROR(VLOOKUP(A99,'Centre WR11'!$A$7:$N$160,6,FALSE),0)+
IFERROR(VLOOKUP(A99,'Centre WV11'!$A$7:$N$160,6,FALSE),0)</f>
        <v>2</v>
      </c>
      <c r="G99" s="10">
        <f>IFERROR(VLOOKUP(A99,'Centre DW11'!$A$7:$N$160,7,FALSE),0)+
IFERROR(VLOOKUP(A99,'Centre WP11'!$A$7:$N$160,7,FALSE),0)+
IFERROR(VLOOKUP(A99,'Centre WR11'!$A$7:$N$160,7,FALSE),0)+
IFERROR(VLOOKUP(A99,'Centre WV11'!$A$7:$N$160,7,FALSE),0)</f>
        <v>5.0999999999999996</v>
      </c>
      <c r="H99" s="10">
        <f>IFERROR(VLOOKUP(A99,'Centre DW11'!$A$7:$N$160,8,FALSE),0)+
IFERROR(VLOOKUP(A99,'Centre WP11'!$A$7:$N$160,8,FALSE),0)+
IFERROR(VLOOKUP(A99,'Centre WR11'!$A$7:$N$160,8,FALSE),0)+
IFERROR(VLOOKUP(A99,'Centre WV11'!$A$7:$N$160,8,FALSE),0)</f>
        <v>3.3</v>
      </c>
      <c r="I99" s="10">
        <f>IFERROR(VLOOKUP(A99,'Centre DW11'!$A$7:$N$160,9,FALSE),0)+
IFERROR(VLOOKUP(A99,'Centre WP11'!$A$7:$N$160,9,FALSE),0)+
IFERROR(VLOOKUP(A99,'Centre WR11'!$A$7:$N$160,9,FALSE),0)+
IFERROR(VLOOKUP(A99,'Centre WV11'!$A$7:$N$160,9,FALSE),0)</f>
        <v>6.8</v>
      </c>
      <c r="J99" s="10">
        <f>IFERROR(VLOOKUP(A99,'Centre DW11'!$A$7:$N$160,10,FALSE),0)+
IFERROR(VLOOKUP(A99,'Centre WP11'!$A$7:$N$160,10,FALSE),0)+
IFERROR(VLOOKUP(A99,'Centre WR11'!$A$7:$N$160,10,FALSE),0)+
IFERROR(VLOOKUP(A99,'Centre WV11'!$A$7:$N$160,10,FALSE),0)</f>
        <v>5</v>
      </c>
      <c r="K99" s="10">
        <f>IFERROR(VLOOKUP(A99,'Centre DW11'!$A$7:$N$160,11,FALSE),0)+
IFERROR(VLOOKUP(A99,'Centre WP11'!$A$7:$N$160,11,FALSE),0)+
IFERROR(VLOOKUP(A99,'Centre WR11'!$A$7:$N$160,11,FALSE),0)+
IFERROR(VLOOKUP(A99,'Centre WV11'!$A$7:$N$160,11,FALSE),0)</f>
        <v>5</v>
      </c>
      <c r="L99" s="10">
        <f>IFERROR(VLOOKUP(A99,'Centre DW11'!$A$7:$N$160,12,FALSE),0)+
IFERROR(VLOOKUP(A99,'Centre WP11'!$A$7:$N$160,12,FALSE),0)+
IFERROR(VLOOKUP(A99,'Centre WR11'!$A$7:$N$160,12,FALSE),0)+
IFERROR(VLOOKUP(A99,'Centre WV11'!$A$7:$N$160,12,FALSE),0)</f>
        <v>2.7</v>
      </c>
      <c r="M99" s="10">
        <f>IFERROR(VLOOKUP(A99,'Centre DW11'!$A$7:$N$160,13,FALSE),0)+
IFERROR(VLOOKUP(A99,'Centre WP11'!$A$7:$N$160,13,FALSE),0)+
IFERROR(VLOOKUP(A99,'Centre WR11'!$A$7:$N$160,13,FALSE),0)+
IFERROR(VLOOKUP(A99,'Centre WV11'!$A$7:$N$160,13,FALSE),0)</f>
        <v>7.8</v>
      </c>
      <c r="N99" s="10">
        <f>IFERROR(VLOOKUP(A99,'Centre DW11'!$A$7:$N$160,14,FALSE),0)+
IFERROR(VLOOKUP(A99,'Centre WP11'!$A$7:$N$160,14,FALSE),0)+
IFERROR(VLOOKUP(A99,'Centre WR11'!$A$7:$N$160,14,FALSE),0)+
IFERROR(VLOOKUP(A99,'Centre WV11'!$A$7:$N$160,14,FALSE),0)</f>
        <v>6</v>
      </c>
    </row>
    <row r="100" spans="1:14" collapsed="1" x14ac:dyDescent="0.2">
      <c r="A100" s="33" t="s">
        <v>157</v>
      </c>
      <c r="B100" s="34" t="s">
        <v>158</v>
      </c>
      <c r="C100" s="44">
        <f t="shared" ref="C100:M100" si="34">+C101</f>
        <v>-6</v>
      </c>
      <c r="D100" s="44">
        <f t="shared" si="34"/>
        <v>4.8</v>
      </c>
      <c r="E100" s="44">
        <f t="shared" si="34"/>
        <v>-23.3</v>
      </c>
      <c r="F100" s="44">
        <f t="shared" si="34"/>
        <v>0.5</v>
      </c>
      <c r="G100" s="44">
        <f t="shared" si="34"/>
        <v>0.29999999999999982</v>
      </c>
      <c r="H100" s="44">
        <f t="shared" si="34"/>
        <v>-2.5</v>
      </c>
      <c r="I100" s="44">
        <f t="shared" si="34"/>
        <v>2</v>
      </c>
      <c r="J100" s="44">
        <f t="shared" si="34"/>
        <v>0.5</v>
      </c>
      <c r="K100" s="44">
        <f t="shared" si="34"/>
        <v>0.29999999999999982</v>
      </c>
      <c r="L100" s="44">
        <f t="shared" si="34"/>
        <v>0.5</v>
      </c>
      <c r="M100" s="44">
        <f t="shared" si="34"/>
        <v>0.29999999999999982</v>
      </c>
      <c r="N100" s="44">
        <f t="shared" ref="N100" si="35">+N101</f>
        <v>-2.5</v>
      </c>
    </row>
    <row r="101" spans="1:14" hidden="1" outlineLevel="1" x14ac:dyDescent="0.2">
      <c r="A101" s="9" t="s">
        <v>159</v>
      </c>
      <c r="B101" s="1" t="s">
        <v>160</v>
      </c>
      <c r="C101" s="10">
        <f>IFERROR(VLOOKUP(A101,'Centre DW11'!$A$7:$N$160,3,FALSE),0)+
IFERROR(VLOOKUP(A101,'Centre WP11'!$A$7:$N$160,3,FALSE),0)+
IFERROR(VLOOKUP(A101,'Centre WR11'!$A$7:$N$160,3,FALSE),0)+
IFERROR(VLOOKUP(A101,'Centre WV11'!$A$7:$N$160,3,FALSE),0)</f>
        <v>-6</v>
      </c>
      <c r="D101" s="10">
        <f>IFERROR(VLOOKUP(A101,'Centre DW11'!$A$7:$N$160,4,FALSE),0)+
IFERROR(VLOOKUP(A101,'Centre WP11'!$A$7:$N$160,4,FALSE),0)+
IFERROR(VLOOKUP(A101,'Centre WR11'!$A$7:$N$160,4,FALSE),0)+
IFERROR(VLOOKUP(A101,'Centre WV11'!$A$7:$N$160,4,FALSE),0)</f>
        <v>4.8</v>
      </c>
      <c r="E101" s="10">
        <f>IFERROR(VLOOKUP(A101,'Centre DW11'!$A$7:$N$160,5,FALSE),0)+
IFERROR(VLOOKUP(A101,'Centre WP11'!$A$7:$N$160,5,FALSE),0)+
IFERROR(VLOOKUP(A101,'Centre WR11'!$A$7:$N$160,5,FALSE),0)+
IFERROR(VLOOKUP(A101,'Centre WV11'!$A$7:$N$160,5,FALSE),0)</f>
        <v>-23.3</v>
      </c>
      <c r="F101" s="10">
        <f>IFERROR(VLOOKUP(A101,'Centre DW11'!$A$7:$N$160,6,FALSE),0)+
IFERROR(VLOOKUP(A101,'Centre WP11'!$A$7:$N$160,6,FALSE),0)+
IFERROR(VLOOKUP(A101,'Centre WR11'!$A$7:$N$160,6,FALSE),0)+
IFERROR(VLOOKUP(A101,'Centre WV11'!$A$7:$N$160,6,FALSE),0)</f>
        <v>0.5</v>
      </c>
      <c r="G101" s="10">
        <f>IFERROR(VLOOKUP(A101,'Centre DW11'!$A$7:$N$160,7,FALSE),0)+
IFERROR(VLOOKUP(A101,'Centre WP11'!$A$7:$N$160,7,FALSE),0)+
IFERROR(VLOOKUP(A101,'Centre WR11'!$A$7:$N$160,7,FALSE),0)+
IFERROR(VLOOKUP(A101,'Centre WV11'!$A$7:$N$160,7,FALSE),0)</f>
        <v>0.29999999999999982</v>
      </c>
      <c r="H101" s="10">
        <f>IFERROR(VLOOKUP(A101,'Centre DW11'!$A$7:$N$160,8,FALSE),0)+
IFERROR(VLOOKUP(A101,'Centre WP11'!$A$7:$N$160,8,FALSE),0)+
IFERROR(VLOOKUP(A101,'Centre WR11'!$A$7:$N$160,8,FALSE),0)+
IFERROR(VLOOKUP(A101,'Centre WV11'!$A$7:$N$160,8,FALSE),0)</f>
        <v>-2.5</v>
      </c>
      <c r="I101" s="10">
        <f>IFERROR(VLOOKUP(A101,'Centre DW11'!$A$7:$N$160,9,FALSE),0)+
IFERROR(VLOOKUP(A101,'Centre WP11'!$A$7:$N$160,9,FALSE),0)+
IFERROR(VLOOKUP(A101,'Centre WR11'!$A$7:$N$160,9,FALSE),0)+
IFERROR(VLOOKUP(A101,'Centre WV11'!$A$7:$N$160,9,FALSE),0)</f>
        <v>2</v>
      </c>
      <c r="J101" s="10">
        <f>IFERROR(VLOOKUP(A101,'Centre DW11'!$A$7:$N$160,10,FALSE),0)+
IFERROR(VLOOKUP(A101,'Centre WP11'!$A$7:$N$160,10,FALSE),0)+
IFERROR(VLOOKUP(A101,'Centre WR11'!$A$7:$N$160,10,FALSE),0)+
IFERROR(VLOOKUP(A101,'Centre WV11'!$A$7:$N$160,10,FALSE),0)</f>
        <v>0.5</v>
      </c>
      <c r="K101" s="10">
        <f>IFERROR(VLOOKUP(A101,'Centre DW11'!$A$7:$N$160,11,FALSE),0)+
IFERROR(VLOOKUP(A101,'Centre WP11'!$A$7:$N$160,11,FALSE),0)+
IFERROR(VLOOKUP(A101,'Centre WR11'!$A$7:$N$160,11,FALSE),0)+
IFERROR(VLOOKUP(A101,'Centre WV11'!$A$7:$N$160,11,FALSE),0)</f>
        <v>0.29999999999999982</v>
      </c>
      <c r="L101" s="10">
        <f>IFERROR(VLOOKUP(A101,'Centre DW11'!$A$7:$N$160,12,FALSE),0)+
IFERROR(VLOOKUP(A101,'Centre WP11'!$A$7:$N$160,12,FALSE),0)+
IFERROR(VLOOKUP(A101,'Centre WR11'!$A$7:$N$160,12,FALSE),0)+
IFERROR(VLOOKUP(A101,'Centre WV11'!$A$7:$N$160,12,FALSE),0)</f>
        <v>0.5</v>
      </c>
      <c r="M101" s="10">
        <f>IFERROR(VLOOKUP(A101,'Centre DW11'!$A$7:$N$160,13,FALSE),0)+
IFERROR(VLOOKUP(A101,'Centre WP11'!$A$7:$N$160,13,FALSE),0)+
IFERROR(VLOOKUP(A101,'Centre WR11'!$A$7:$N$160,13,FALSE),0)+
IFERROR(VLOOKUP(A101,'Centre WV11'!$A$7:$N$160,13,FALSE),0)</f>
        <v>0.29999999999999982</v>
      </c>
      <c r="N101" s="10">
        <f>IFERROR(VLOOKUP(A101,'Centre DW11'!$A$7:$N$160,14,FALSE),0)+
IFERROR(VLOOKUP(A101,'Centre WP11'!$A$7:$N$160,14,FALSE),0)+
IFERROR(VLOOKUP(A101,'Centre WR11'!$A$7:$N$160,14,FALSE),0)+
IFERROR(VLOOKUP(A101,'Centre WV11'!$A$7:$N$160,14,FALSE),0)</f>
        <v>-2.5</v>
      </c>
    </row>
    <row r="102" spans="1:14" collapsed="1" x14ac:dyDescent="0.2">
      <c r="A102" s="36"/>
      <c r="B102" s="36" t="s">
        <v>165</v>
      </c>
      <c r="C102" s="45">
        <f t="shared" ref="C102:M102" si="36">+C37+C57+C63+C66+C71+C80+C88+C90+C92+C100</f>
        <v>195.6</v>
      </c>
      <c r="D102" s="45">
        <f t="shared" si="36"/>
        <v>201.5</v>
      </c>
      <c r="E102" s="45">
        <f t="shared" si="36"/>
        <v>176.90000000000003</v>
      </c>
      <c r="F102" s="45">
        <f t="shared" si="36"/>
        <v>206.10000000000002</v>
      </c>
      <c r="G102" s="45">
        <f t="shared" si="36"/>
        <v>213.20000000000005</v>
      </c>
      <c r="H102" s="45">
        <f t="shared" si="36"/>
        <v>193.7</v>
      </c>
      <c r="I102" s="45">
        <f t="shared" si="36"/>
        <v>200.10000000000002</v>
      </c>
      <c r="J102" s="45">
        <f t="shared" si="36"/>
        <v>238.20000000000002</v>
      </c>
      <c r="K102" s="45">
        <f t="shared" si="36"/>
        <v>222.40000000000003</v>
      </c>
      <c r="L102" s="45">
        <f t="shared" si="36"/>
        <v>225.2</v>
      </c>
      <c r="M102" s="45">
        <f t="shared" si="36"/>
        <v>232.7</v>
      </c>
      <c r="N102" s="45">
        <f t="shared" ref="N102" si="37">+N37+N57+N63+N66+N71+N80+N88+N90+N92+N100</f>
        <v>217.2</v>
      </c>
    </row>
    <row r="103" spans="1:14" x14ac:dyDescent="0.2">
      <c r="A103" s="35"/>
      <c r="B103" s="35" t="s">
        <v>166</v>
      </c>
      <c r="C103" s="21">
        <f t="shared" ref="C103:M103" si="38">+C35-C102</f>
        <v>41.400000000000006</v>
      </c>
      <c r="D103" s="21">
        <f t="shared" si="38"/>
        <v>26.599999999999994</v>
      </c>
      <c r="E103" s="21">
        <f t="shared" si="38"/>
        <v>68.899999999999977</v>
      </c>
      <c r="F103" s="21">
        <f t="shared" si="38"/>
        <v>42.099999999999966</v>
      </c>
      <c r="G103" s="21">
        <f t="shared" si="38"/>
        <v>36.299999999999926</v>
      </c>
      <c r="H103" s="21">
        <f t="shared" si="38"/>
        <v>42.799999999999983</v>
      </c>
      <c r="I103" s="21">
        <f t="shared" si="38"/>
        <v>41.099999999999966</v>
      </c>
      <c r="J103" s="21">
        <f t="shared" si="38"/>
        <v>37.19999999999996</v>
      </c>
      <c r="K103" s="21">
        <f t="shared" si="38"/>
        <v>63.799999999999955</v>
      </c>
      <c r="L103" s="21">
        <f t="shared" si="38"/>
        <v>47.400000000000034</v>
      </c>
      <c r="M103" s="21">
        <f t="shared" si="38"/>
        <v>15.5</v>
      </c>
      <c r="N103" s="21">
        <f t="shared" ref="N103" si="39">+N35-N102</f>
        <v>132.40000000000003</v>
      </c>
    </row>
    <row r="104" spans="1:14" x14ac:dyDescent="0.2">
      <c r="A104" s="33" t="s">
        <v>167</v>
      </c>
      <c r="B104" s="34" t="s">
        <v>168</v>
      </c>
      <c r="C104" s="44">
        <f t="shared" ref="C104:M104" si="40">SUM(C105:C120)</f>
        <v>27.700000000000003</v>
      </c>
      <c r="D104" s="44">
        <f t="shared" si="40"/>
        <v>30.7</v>
      </c>
      <c r="E104" s="44">
        <f t="shared" si="40"/>
        <v>28.599999999999998</v>
      </c>
      <c r="F104" s="44">
        <f t="shared" si="40"/>
        <v>21.9</v>
      </c>
      <c r="G104" s="44">
        <f t="shared" si="40"/>
        <v>22.000000000000004</v>
      </c>
      <c r="H104" s="44">
        <f t="shared" si="40"/>
        <v>20.200000000000003</v>
      </c>
      <c r="I104" s="44">
        <f t="shared" si="40"/>
        <v>9</v>
      </c>
      <c r="J104" s="44">
        <f t="shared" si="40"/>
        <v>28.599999999999998</v>
      </c>
      <c r="K104" s="44">
        <f t="shared" si="40"/>
        <v>21.9</v>
      </c>
      <c r="L104" s="44">
        <f t="shared" si="40"/>
        <v>22.000000000000004</v>
      </c>
      <c r="M104" s="44">
        <f t="shared" si="40"/>
        <v>20.200000000000003</v>
      </c>
      <c r="N104" s="44">
        <f t="shared" ref="N104" si="41">SUM(N105:N120)</f>
        <v>9</v>
      </c>
    </row>
    <row r="105" spans="1:14" hidden="1" outlineLevel="1" x14ac:dyDescent="0.2">
      <c r="A105" s="9" t="s">
        <v>169</v>
      </c>
      <c r="B105" s="1" t="s">
        <v>170</v>
      </c>
      <c r="C105" s="10">
        <f>IFERROR(VLOOKUP(A105,'Centre DW11'!$A$7:$N$160,3,FALSE),0)+
IFERROR(VLOOKUP(A105,'Centre WP11'!$A$7:$N$160,3,FALSE),0)+
IFERROR(VLOOKUP(A105,'Centre WR11'!$A$7:$N$160,3,FALSE),0)+
IFERROR(VLOOKUP(A105,'Centre WV11'!$A$7:$N$160,3,FALSE),0)</f>
        <v>1.1000000000000001</v>
      </c>
      <c r="D105" s="10">
        <f>IFERROR(VLOOKUP(A105,'Centre DW11'!$A$7:$N$160,4,FALSE),0)+
IFERROR(VLOOKUP(A105,'Centre WP11'!$A$7:$N$160,4,FALSE),0)+
IFERROR(VLOOKUP(A105,'Centre WR11'!$A$7:$N$160,4,FALSE),0)+
IFERROR(VLOOKUP(A105,'Centre WV11'!$A$7:$N$160,4,FALSE),0)</f>
        <v>1.1000000000000001</v>
      </c>
      <c r="E105" s="10">
        <f>IFERROR(VLOOKUP(A105,'Centre DW11'!$A$7:$N$160,5,FALSE),0)+
IFERROR(VLOOKUP(A105,'Centre WP11'!$A$7:$N$160,5,FALSE),0)+
IFERROR(VLOOKUP(A105,'Centre WR11'!$A$7:$N$160,5,FALSE),0)+
IFERROR(VLOOKUP(A105,'Centre WV11'!$A$7:$N$160,5,FALSE),0)</f>
        <v>1.1000000000000001</v>
      </c>
      <c r="F105" s="10">
        <f>IFERROR(VLOOKUP(A105,'Centre DW11'!$A$7:$N$160,6,FALSE),0)+
IFERROR(VLOOKUP(A105,'Centre WP11'!$A$7:$N$160,6,FALSE),0)+
IFERROR(VLOOKUP(A105,'Centre WR11'!$A$7:$N$160,6,FALSE),0)+
IFERROR(VLOOKUP(A105,'Centre WV11'!$A$7:$N$160,6,FALSE),0)</f>
        <v>0.5</v>
      </c>
      <c r="G105" s="10">
        <f>IFERROR(VLOOKUP(A105,'Centre DW11'!$A$7:$N$160,7,FALSE),0)+
IFERROR(VLOOKUP(A105,'Centre WP11'!$A$7:$N$160,7,FALSE),0)+
IFERROR(VLOOKUP(A105,'Centre WR11'!$A$7:$N$160,7,FALSE),0)+
IFERROR(VLOOKUP(A105,'Centre WV11'!$A$7:$N$160,7,FALSE),0)</f>
        <v>0.5</v>
      </c>
      <c r="H105" s="10">
        <f>IFERROR(VLOOKUP(A105,'Centre DW11'!$A$7:$N$160,8,FALSE),0)+
IFERROR(VLOOKUP(A105,'Centre WP11'!$A$7:$N$160,8,FALSE),0)+
IFERROR(VLOOKUP(A105,'Centre WR11'!$A$7:$N$160,8,FALSE),0)+
IFERROR(VLOOKUP(A105,'Centre WV11'!$A$7:$N$160,8,FALSE),0)</f>
        <v>0.5</v>
      </c>
      <c r="I105" s="10">
        <f>IFERROR(VLOOKUP(A105,'Centre DW11'!$A$7:$N$160,9,FALSE),0)+
IFERROR(VLOOKUP(A105,'Centre WP11'!$A$7:$N$160,9,FALSE),0)+
IFERROR(VLOOKUP(A105,'Centre WR11'!$A$7:$N$160,9,FALSE),0)+
IFERROR(VLOOKUP(A105,'Centre WV11'!$A$7:$N$160,9,FALSE),0)</f>
        <v>0</v>
      </c>
      <c r="J105" s="10">
        <f>IFERROR(VLOOKUP(A105,'Centre DW11'!$A$7:$N$160,10,FALSE),0)+
IFERROR(VLOOKUP(A105,'Centre WP11'!$A$7:$N$160,10,FALSE),0)+
IFERROR(VLOOKUP(A105,'Centre WR11'!$A$7:$N$160,10,FALSE),0)+
IFERROR(VLOOKUP(A105,'Centre WV11'!$A$7:$N$160,10,FALSE),0)</f>
        <v>1.1000000000000001</v>
      </c>
      <c r="K105" s="10">
        <f>IFERROR(VLOOKUP(A105,'Centre DW11'!$A$7:$N$160,11,FALSE),0)+
IFERROR(VLOOKUP(A105,'Centre WP11'!$A$7:$N$160,11,FALSE),0)+
IFERROR(VLOOKUP(A105,'Centre WR11'!$A$7:$N$160,11,FALSE),0)+
IFERROR(VLOOKUP(A105,'Centre WV11'!$A$7:$N$160,11,FALSE),0)</f>
        <v>0.5</v>
      </c>
      <c r="L105" s="10">
        <f>IFERROR(VLOOKUP(A105,'Centre DW11'!$A$7:$N$160,12,FALSE),0)+
IFERROR(VLOOKUP(A105,'Centre WP11'!$A$7:$N$160,12,FALSE),0)+
IFERROR(VLOOKUP(A105,'Centre WR11'!$A$7:$N$160,12,FALSE),0)+
IFERROR(VLOOKUP(A105,'Centre WV11'!$A$7:$N$160,12,FALSE),0)</f>
        <v>0.5</v>
      </c>
      <c r="M105" s="10">
        <f>IFERROR(VLOOKUP(A105,'Centre DW11'!$A$7:$N$160,13,FALSE),0)+
IFERROR(VLOOKUP(A105,'Centre WP11'!$A$7:$N$160,13,FALSE),0)+
IFERROR(VLOOKUP(A105,'Centre WR11'!$A$7:$N$160,13,FALSE),0)+
IFERROR(VLOOKUP(A105,'Centre WV11'!$A$7:$N$160,13,FALSE),0)</f>
        <v>0.5</v>
      </c>
      <c r="N105" s="10">
        <f>IFERROR(VLOOKUP(A105,'Centre DW11'!$A$7:$N$160,14,FALSE),0)+
IFERROR(VLOOKUP(A105,'Centre WP11'!$A$7:$N$160,14,FALSE),0)+
IFERROR(VLOOKUP(A105,'Centre WR11'!$A$7:$N$160,14,FALSE),0)+
IFERROR(VLOOKUP(A105,'Centre WV11'!$A$7:$N$160,14,FALSE),0)</f>
        <v>0</v>
      </c>
    </row>
    <row r="106" spans="1:14" hidden="1" outlineLevel="1" x14ac:dyDescent="0.2">
      <c r="A106" s="9" t="s">
        <v>171</v>
      </c>
      <c r="B106" s="1" t="s">
        <v>172</v>
      </c>
      <c r="C106" s="10">
        <f>IFERROR(VLOOKUP(A106,'Centre DW11'!$A$7:$N$160,3,FALSE),0)+
IFERROR(VLOOKUP(A106,'Centre WP11'!$A$7:$N$160,3,FALSE),0)+
IFERROR(VLOOKUP(A106,'Centre WR11'!$A$7:$N$160,3,FALSE),0)+
IFERROR(VLOOKUP(A106,'Centre WV11'!$A$7:$N$160,3,FALSE),0)</f>
        <v>6.6</v>
      </c>
      <c r="D106" s="10">
        <f>IFERROR(VLOOKUP(A106,'Centre DW11'!$A$7:$N$160,4,FALSE),0)+
IFERROR(VLOOKUP(A106,'Centre WP11'!$A$7:$N$160,4,FALSE),0)+
IFERROR(VLOOKUP(A106,'Centre WR11'!$A$7:$N$160,4,FALSE),0)+
IFERROR(VLOOKUP(A106,'Centre WV11'!$A$7:$N$160,4,FALSE),0)</f>
        <v>4.4000000000000004</v>
      </c>
      <c r="E106" s="10">
        <f>IFERROR(VLOOKUP(A106,'Centre DW11'!$A$7:$N$160,5,FALSE),0)+
IFERROR(VLOOKUP(A106,'Centre WP11'!$A$7:$N$160,5,FALSE),0)+
IFERROR(VLOOKUP(A106,'Centre WR11'!$A$7:$N$160,5,FALSE),0)+
IFERROR(VLOOKUP(A106,'Centre WV11'!$A$7:$N$160,5,FALSE),0)</f>
        <v>3.5</v>
      </c>
      <c r="F106" s="10">
        <f>IFERROR(VLOOKUP(A106,'Centre DW11'!$A$7:$N$160,6,FALSE),0)+
IFERROR(VLOOKUP(A106,'Centre WP11'!$A$7:$N$160,6,FALSE),0)+
IFERROR(VLOOKUP(A106,'Centre WR11'!$A$7:$N$160,6,FALSE),0)+
IFERROR(VLOOKUP(A106,'Centre WV11'!$A$7:$N$160,6,FALSE),0)</f>
        <v>4.4000000000000004</v>
      </c>
      <c r="G106" s="10">
        <f>IFERROR(VLOOKUP(A106,'Centre DW11'!$A$7:$N$160,7,FALSE),0)+
IFERROR(VLOOKUP(A106,'Centre WP11'!$A$7:$N$160,7,FALSE),0)+
IFERROR(VLOOKUP(A106,'Centre WR11'!$A$7:$N$160,7,FALSE),0)+
IFERROR(VLOOKUP(A106,'Centre WV11'!$A$7:$N$160,7,FALSE),0)</f>
        <v>0.5</v>
      </c>
      <c r="H106" s="10">
        <f>IFERROR(VLOOKUP(A106,'Centre DW11'!$A$7:$N$160,8,FALSE),0)+
IFERROR(VLOOKUP(A106,'Centre WP11'!$A$7:$N$160,8,FALSE),0)+
IFERROR(VLOOKUP(A106,'Centre WR11'!$A$7:$N$160,8,FALSE),0)+
IFERROR(VLOOKUP(A106,'Centre WV11'!$A$7:$N$160,8,FALSE),0)</f>
        <v>0.7</v>
      </c>
      <c r="I106" s="10">
        <f>IFERROR(VLOOKUP(A106,'Centre DW11'!$A$7:$N$160,9,FALSE),0)+
IFERROR(VLOOKUP(A106,'Centre WP11'!$A$7:$N$160,9,FALSE),0)+
IFERROR(VLOOKUP(A106,'Centre WR11'!$A$7:$N$160,9,FALSE),0)+
IFERROR(VLOOKUP(A106,'Centre WV11'!$A$7:$N$160,9,FALSE),0)</f>
        <v>0</v>
      </c>
      <c r="J106" s="10">
        <f>IFERROR(VLOOKUP(A106,'Centre DW11'!$A$7:$N$160,10,FALSE),0)+
IFERROR(VLOOKUP(A106,'Centre WP11'!$A$7:$N$160,10,FALSE),0)+
IFERROR(VLOOKUP(A106,'Centre WR11'!$A$7:$N$160,10,FALSE),0)+
IFERROR(VLOOKUP(A106,'Centre WV11'!$A$7:$N$160,10,FALSE),0)</f>
        <v>3.5</v>
      </c>
      <c r="K106" s="10">
        <f>IFERROR(VLOOKUP(A106,'Centre DW11'!$A$7:$N$160,11,FALSE),0)+
IFERROR(VLOOKUP(A106,'Centre WP11'!$A$7:$N$160,11,FALSE),0)+
IFERROR(VLOOKUP(A106,'Centre WR11'!$A$7:$N$160,11,FALSE),0)+
IFERROR(VLOOKUP(A106,'Centre WV11'!$A$7:$N$160,11,FALSE),0)</f>
        <v>4.4000000000000004</v>
      </c>
      <c r="L106" s="10">
        <f>IFERROR(VLOOKUP(A106,'Centre DW11'!$A$7:$N$160,12,FALSE),0)+
IFERROR(VLOOKUP(A106,'Centre WP11'!$A$7:$N$160,12,FALSE),0)+
IFERROR(VLOOKUP(A106,'Centre WR11'!$A$7:$N$160,12,FALSE),0)+
IFERROR(VLOOKUP(A106,'Centre WV11'!$A$7:$N$160,12,FALSE),0)</f>
        <v>0.5</v>
      </c>
      <c r="M106" s="10">
        <f>IFERROR(VLOOKUP(A106,'Centre DW11'!$A$7:$N$160,13,FALSE),0)+
IFERROR(VLOOKUP(A106,'Centre WP11'!$A$7:$N$160,13,FALSE),0)+
IFERROR(VLOOKUP(A106,'Centre WR11'!$A$7:$N$160,13,FALSE),0)+
IFERROR(VLOOKUP(A106,'Centre WV11'!$A$7:$N$160,13,FALSE),0)</f>
        <v>0.7</v>
      </c>
      <c r="N106" s="10">
        <f>IFERROR(VLOOKUP(A106,'Centre DW11'!$A$7:$N$160,14,FALSE),0)+
IFERROR(VLOOKUP(A106,'Centre WP11'!$A$7:$N$160,14,FALSE),0)+
IFERROR(VLOOKUP(A106,'Centre WR11'!$A$7:$N$160,14,FALSE),0)+
IFERROR(VLOOKUP(A106,'Centre WV11'!$A$7:$N$160,14,FALSE),0)</f>
        <v>0</v>
      </c>
    </row>
    <row r="107" spans="1:14" hidden="1" outlineLevel="1" x14ac:dyDescent="0.2">
      <c r="A107" s="9" t="s">
        <v>173</v>
      </c>
      <c r="B107" s="1" t="s">
        <v>174</v>
      </c>
      <c r="C107" s="10">
        <f>IFERROR(VLOOKUP(A107,'Centre DW11'!$A$7:$N$160,3,FALSE),0)+
IFERROR(VLOOKUP(A107,'Centre WP11'!$A$7:$N$160,3,FALSE),0)+
IFERROR(VLOOKUP(A107,'Centre WR11'!$A$7:$N$160,3,FALSE),0)+
IFERROR(VLOOKUP(A107,'Centre WV11'!$A$7:$N$160,3,FALSE),0)</f>
        <v>0</v>
      </c>
      <c r="D107" s="10">
        <f>IFERROR(VLOOKUP(A107,'Centre DW11'!$A$7:$N$160,4,FALSE),0)+
IFERROR(VLOOKUP(A107,'Centre WP11'!$A$7:$N$160,4,FALSE),0)+
IFERROR(VLOOKUP(A107,'Centre WR11'!$A$7:$N$160,4,FALSE),0)+
IFERROR(VLOOKUP(A107,'Centre WV11'!$A$7:$N$160,4,FALSE),0)</f>
        <v>0</v>
      </c>
      <c r="E107" s="10">
        <f>IFERROR(VLOOKUP(A107,'Centre DW11'!$A$7:$N$160,5,FALSE),0)+
IFERROR(VLOOKUP(A107,'Centre WP11'!$A$7:$N$160,5,FALSE),0)+
IFERROR(VLOOKUP(A107,'Centre WR11'!$A$7:$N$160,5,FALSE),0)+
IFERROR(VLOOKUP(A107,'Centre WV11'!$A$7:$N$160,5,FALSE),0)</f>
        <v>0</v>
      </c>
      <c r="F107" s="10">
        <f>IFERROR(VLOOKUP(A107,'Centre DW11'!$A$7:$N$160,6,FALSE),0)+
IFERROR(VLOOKUP(A107,'Centre WP11'!$A$7:$N$160,6,FALSE),0)+
IFERROR(VLOOKUP(A107,'Centre WR11'!$A$7:$N$160,6,FALSE),0)+
IFERROR(VLOOKUP(A107,'Centre WV11'!$A$7:$N$160,6,FALSE),0)</f>
        <v>0</v>
      </c>
      <c r="G107" s="10">
        <f>IFERROR(VLOOKUP(A107,'Centre DW11'!$A$7:$N$160,7,FALSE),0)+
IFERROR(VLOOKUP(A107,'Centre WP11'!$A$7:$N$160,7,FALSE),0)+
IFERROR(VLOOKUP(A107,'Centre WR11'!$A$7:$N$160,7,FALSE),0)+
IFERROR(VLOOKUP(A107,'Centre WV11'!$A$7:$N$160,7,FALSE),0)</f>
        <v>0</v>
      </c>
      <c r="H107" s="10">
        <f>IFERROR(VLOOKUP(A107,'Centre DW11'!$A$7:$N$160,8,FALSE),0)+
IFERROR(VLOOKUP(A107,'Centre WP11'!$A$7:$N$160,8,FALSE),0)+
IFERROR(VLOOKUP(A107,'Centre WR11'!$A$7:$N$160,8,FALSE),0)+
IFERROR(VLOOKUP(A107,'Centre WV11'!$A$7:$N$160,8,FALSE),0)</f>
        <v>0</v>
      </c>
      <c r="I107" s="10">
        <f>IFERROR(VLOOKUP(A107,'Centre DW11'!$A$7:$N$160,9,FALSE),0)+
IFERROR(VLOOKUP(A107,'Centre WP11'!$A$7:$N$160,9,FALSE),0)+
IFERROR(VLOOKUP(A107,'Centre WR11'!$A$7:$N$160,9,FALSE),0)+
IFERROR(VLOOKUP(A107,'Centre WV11'!$A$7:$N$160,9,FALSE),0)</f>
        <v>0</v>
      </c>
      <c r="J107" s="10">
        <f>IFERROR(VLOOKUP(A107,'Centre DW11'!$A$7:$N$160,10,FALSE),0)+
IFERROR(VLOOKUP(A107,'Centre WP11'!$A$7:$N$160,10,FALSE),0)+
IFERROR(VLOOKUP(A107,'Centre WR11'!$A$7:$N$160,10,FALSE),0)+
IFERROR(VLOOKUP(A107,'Centre WV11'!$A$7:$N$160,10,FALSE),0)</f>
        <v>0</v>
      </c>
      <c r="K107" s="10">
        <f>IFERROR(VLOOKUP(A107,'Centre DW11'!$A$7:$N$160,11,FALSE),0)+
IFERROR(VLOOKUP(A107,'Centre WP11'!$A$7:$N$160,11,FALSE),0)+
IFERROR(VLOOKUP(A107,'Centre WR11'!$A$7:$N$160,11,FALSE),0)+
IFERROR(VLOOKUP(A107,'Centre WV11'!$A$7:$N$160,11,FALSE),0)</f>
        <v>0</v>
      </c>
      <c r="L107" s="10">
        <f>IFERROR(VLOOKUP(A107,'Centre DW11'!$A$7:$N$160,12,FALSE),0)+
IFERROR(VLOOKUP(A107,'Centre WP11'!$A$7:$N$160,12,FALSE),0)+
IFERROR(VLOOKUP(A107,'Centre WR11'!$A$7:$N$160,12,FALSE),0)+
IFERROR(VLOOKUP(A107,'Centre WV11'!$A$7:$N$160,12,FALSE),0)</f>
        <v>0</v>
      </c>
      <c r="M107" s="10">
        <f>IFERROR(VLOOKUP(A107,'Centre DW11'!$A$7:$N$160,13,FALSE),0)+
IFERROR(VLOOKUP(A107,'Centre WP11'!$A$7:$N$160,13,FALSE),0)+
IFERROR(VLOOKUP(A107,'Centre WR11'!$A$7:$N$160,13,FALSE),0)+
IFERROR(VLOOKUP(A107,'Centre WV11'!$A$7:$N$160,13,FALSE),0)</f>
        <v>0</v>
      </c>
      <c r="N107" s="10">
        <f>IFERROR(VLOOKUP(A107,'Centre DW11'!$A$7:$N$160,14,FALSE),0)+
IFERROR(VLOOKUP(A107,'Centre WP11'!$A$7:$N$160,14,FALSE),0)+
IFERROR(VLOOKUP(A107,'Centre WR11'!$A$7:$N$160,14,FALSE),0)+
IFERROR(VLOOKUP(A107,'Centre WV11'!$A$7:$N$160,14,FALSE),0)</f>
        <v>0</v>
      </c>
    </row>
    <row r="108" spans="1:14" hidden="1" outlineLevel="1" x14ac:dyDescent="0.2">
      <c r="A108" s="9" t="s">
        <v>175</v>
      </c>
      <c r="B108" s="1" t="s">
        <v>176</v>
      </c>
      <c r="C108" s="10">
        <f>IFERROR(VLOOKUP(A108,'Centre DW11'!$A$7:$N$160,3,FALSE),0)+
IFERROR(VLOOKUP(A108,'Centre WP11'!$A$7:$N$160,3,FALSE),0)+
IFERROR(VLOOKUP(A108,'Centre WR11'!$A$7:$N$160,3,FALSE),0)+
IFERROR(VLOOKUP(A108,'Centre WV11'!$A$7:$N$160,3,FALSE),0)</f>
        <v>9.3000000000000007</v>
      </c>
      <c r="D108" s="10">
        <f>IFERROR(VLOOKUP(A108,'Centre DW11'!$A$7:$N$160,4,FALSE),0)+
IFERROR(VLOOKUP(A108,'Centre WP11'!$A$7:$N$160,4,FALSE),0)+
IFERROR(VLOOKUP(A108,'Centre WR11'!$A$7:$N$160,4,FALSE),0)+
IFERROR(VLOOKUP(A108,'Centre WV11'!$A$7:$N$160,4,FALSE),0)</f>
        <v>11.8</v>
      </c>
      <c r="E108" s="10">
        <f>IFERROR(VLOOKUP(A108,'Centre DW11'!$A$7:$N$160,5,FALSE),0)+
IFERROR(VLOOKUP(A108,'Centre WP11'!$A$7:$N$160,5,FALSE),0)+
IFERROR(VLOOKUP(A108,'Centre WR11'!$A$7:$N$160,5,FALSE),0)+
IFERROR(VLOOKUP(A108,'Centre WV11'!$A$7:$N$160,5,FALSE),0)</f>
        <v>12.6</v>
      </c>
      <c r="F108" s="10">
        <f>IFERROR(VLOOKUP(A108,'Centre DW11'!$A$7:$N$160,6,FALSE),0)+
IFERROR(VLOOKUP(A108,'Centre WP11'!$A$7:$N$160,6,FALSE),0)+
IFERROR(VLOOKUP(A108,'Centre WR11'!$A$7:$N$160,6,FALSE),0)+
IFERROR(VLOOKUP(A108,'Centre WV11'!$A$7:$N$160,6,FALSE),0)</f>
        <v>5.9</v>
      </c>
      <c r="G108" s="10">
        <f>IFERROR(VLOOKUP(A108,'Centre DW11'!$A$7:$N$160,7,FALSE),0)+
IFERROR(VLOOKUP(A108,'Centre WP11'!$A$7:$N$160,7,FALSE),0)+
IFERROR(VLOOKUP(A108,'Centre WR11'!$A$7:$N$160,7,FALSE),0)+
IFERROR(VLOOKUP(A108,'Centre WV11'!$A$7:$N$160,7,FALSE),0)</f>
        <v>8.8000000000000007</v>
      </c>
      <c r="H108" s="10">
        <f>IFERROR(VLOOKUP(A108,'Centre DW11'!$A$7:$N$160,8,FALSE),0)+
IFERROR(VLOOKUP(A108,'Centre WP11'!$A$7:$N$160,8,FALSE),0)+
IFERROR(VLOOKUP(A108,'Centre WR11'!$A$7:$N$160,8,FALSE),0)+
IFERROR(VLOOKUP(A108,'Centre WV11'!$A$7:$N$160,8,FALSE),0)</f>
        <v>7.7</v>
      </c>
      <c r="I108" s="10">
        <f>IFERROR(VLOOKUP(A108,'Centre DW11'!$A$7:$N$160,9,FALSE),0)+
IFERROR(VLOOKUP(A108,'Centre WP11'!$A$7:$N$160,9,FALSE),0)+
IFERROR(VLOOKUP(A108,'Centre WR11'!$A$7:$N$160,9,FALSE),0)+
IFERROR(VLOOKUP(A108,'Centre WV11'!$A$7:$N$160,9,FALSE),0)</f>
        <v>0</v>
      </c>
      <c r="J108" s="10">
        <f>IFERROR(VLOOKUP(A108,'Centre DW11'!$A$7:$N$160,10,FALSE),0)+
IFERROR(VLOOKUP(A108,'Centre WP11'!$A$7:$N$160,10,FALSE),0)+
IFERROR(VLOOKUP(A108,'Centre WR11'!$A$7:$N$160,10,FALSE),0)+
IFERROR(VLOOKUP(A108,'Centre WV11'!$A$7:$N$160,10,FALSE),0)</f>
        <v>12.6</v>
      </c>
      <c r="K108" s="10">
        <f>IFERROR(VLOOKUP(A108,'Centre DW11'!$A$7:$N$160,11,FALSE),0)+
IFERROR(VLOOKUP(A108,'Centre WP11'!$A$7:$N$160,11,FALSE),0)+
IFERROR(VLOOKUP(A108,'Centre WR11'!$A$7:$N$160,11,FALSE),0)+
IFERROR(VLOOKUP(A108,'Centre WV11'!$A$7:$N$160,11,FALSE),0)</f>
        <v>5.9</v>
      </c>
      <c r="L108" s="10">
        <f>IFERROR(VLOOKUP(A108,'Centre DW11'!$A$7:$N$160,12,FALSE),0)+
IFERROR(VLOOKUP(A108,'Centre WP11'!$A$7:$N$160,12,FALSE),0)+
IFERROR(VLOOKUP(A108,'Centre WR11'!$A$7:$N$160,12,FALSE),0)+
IFERROR(VLOOKUP(A108,'Centre WV11'!$A$7:$N$160,12,FALSE),0)</f>
        <v>8.8000000000000007</v>
      </c>
      <c r="M108" s="10">
        <f>IFERROR(VLOOKUP(A108,'Centre DW11'!$A$7:$N$160,13,FALSE),0)+
IFERROR(VLOOKUP(A108,'Centre WP11'!$A$7:$N$160,13,FALSE),0)+
IFERROR(VLOOKUP(A108,'Centre WR11'!$A$7:$N$160,13,FALSE),0)+
IFERROR(VLOOKUP(A108,'Centre WV11'!$A$7:$N$160,13,FALSE),0)</f>
        <v>7.7</v>
      </c>
      <c r="N108" s="10">
        <f>IFERROR(VLOOKUP(A108,'Centre DW11'!$A$7:$N$160,14,FALSE),0)+
IFERROR(VLOOKUP(A108,'Centre WP11'!$A$7:$N$160,14,FALSE),0)+
IFERROR(VLOOKUP(A108,'Centre WR11'!$A$7:$N$160,14,FALSE),0)+
IFERROR(VLOOKUP(A108,'Centre WV11'!$A$7:$N$160,14,FALSE),0)</f>
        <v>0</v>
      </c>
    </row>
    <row r="109" spans="1:14" hidden="1" outlineLevel="1" x14ac:dyDescent="0.2">
      <c r="A109" s="9" t="s">
        <v>177</v>
      </c>
      <c r="B109" s="1" t="s">
        <v>178</v>
      </c>
      <c r="C109" s="10">
        <f>IFERROR(VLOOKUP(A109,'Centre DW11'!$A$7:$N$160,3,FALSE),0)+
IFERROR(VLOOKUP(A109,'Centre WP11'!$A$7:$N$160,3,FALSE),0)+
IFERROR(VLOOKUP(A109,'Centre WR11'!$A$7:$N$160,3,FALSE),0)+
IFERROR(VLOOKUP(A109,'Centre WV11'!$A$7:$N$160,3,FALSE),0)</f>
        <v>1.1000000000000001</v>
      </c>
      <c r="D109" s="10">
        <f>IFERROR(VLOOKUP(A109,'Centre DW11'!$A$7:$N$160,4,FALSE),0)+
IFERROR(VLOOKUP(A109,'Centre WP11'!$A$7:$N$160,4,FALSE),0)+
IFERROR(VLOOKUP(A109,'Centre WR11'!$A$7:$N$160,4,FALSE),0)+
IFERROR(VLOOKUP(A109,'Centre WV11'!$A$7:$N$160,4,FALSE),0)</f>
        <v>1.2</v>
      </c>
      <c r="E109" s="10">
        <f>IFERROR(VLOOKUP(A109,'Centre DW11'!$A$7:$N$160,5,FALSE),0)+
IFERROR(VLOOKUP(A109,'Centre WP11'!$A$7:$N$160,5,FALSE),0)+
IFERROR(VLOOKUP(A109,'Centre WR11'!$A$7:$N$160,5,FALSE),0)+
IFERROR(VLOOKUP(A109,'Centre WV11'!$A$7:$N$160,5,FALSE),0)</f>
        <v>1.2</v>
      </c>
      <c r="F109" s="10">
        <f>IFERROR(VLOOKUP(A109,'Centre DW11'!$A$7:$N$160,6,FALSE),0)+
IFERROR(VLOOKUP(A109,'Centre WP11'!$A$7:$N$160,6,FALSE),0)+
IFERROR(VLOOKUP(A109,'Centre WR11'!$A$7:$N$160,6,FALSE),0)+
IFERROR(VLOOKUP(A109,'Centre WV11'!$A$7:$N$160,6,FALSE),0)</f>
        <v>0.5</v>
      </c>
      <c r="G109" s="10">
        <f>IFERROR(VLOOKUP(A109,'Centre DW11'!$A$7:$N$160,7,FALSE),0)+
IFERROR(VLOOKUP(A109,'Centre WP11'!$A$7:$N$160,7,FALSE),0)+
IFERROR(VLOOKUP(A109,'Centre WR11'!$A$7:$N$160,7,FALSE),0)+
IFERROR(VLOOKUP(A109,'Centre WV11'!$A$7:$N$160,7,FALSE),0)</f>
        <v>0.7</v>
      </c>
      <c r="H109" s="10">
        <f>IFERROR(VLOOKUP(A109,'Centre DW11'!$A$7:$N$160,8,FALSE),0)+
IFERROR(VLOOKUP(A109,'Centre WP11'!$A$7:$N$160,8,FALSE),0)+
IFERROR(VLOOKUP(A109,'Centre WR11'!$A$7:$N$160,8,FALSE),0)+
IFERROR(VLOOKUP(A109,'Centre WV11'!$A$7:$N$160,8,FALSE),0)</f>
        <v>0.6</v>
      </c>
      <c r="I109" s="10">
        <f>IFERROR(VLOOKUP(A109,'Centre DW11'!$A$7:$N$160,9,FALSE),0)+
IFERROR(VLOOKUP(A109,'Centre WP11'!$A$7:$N$160,9,FALSE),0)+
IFERROR(VLOOKUP(A109,'Centre WR11'!$A$7:$N$160,9,FALSE),0)+
IFERROR(VLOOKUP(A109,'Centre WV11'!$A$7:$N$160,9,FALSE),0)</f>
        <v>0</v>
      </c>
      <c r="J109" s="10">
        <f>IFERROR(VLOOKUP(A109,'Centre DW11'!$A$7:$N$160,10,FALSE),0)+
IFERROR(VLOOKUP(A109,'Centre WP11'!$A$7:$N$160,10,FALSE),0)+
IFERROR(VLOOKUP(A109,'Centre WR11'!$A$7:$N$160,10,FALSE),0)+
IFERROR(VLOOKUP(A109,'Centre WV11'!$A$7:$N$160,10,FALSE),0)</f>
        <v>1.2</v>
      </c>
      <c r="K109" s="10">
        <f>IFERROR(VLOOKUP(A109,'Centre DW11'!$A$7:$N$160,11,FALSE),0)+
IFERROR(VLOOKUP(A109,'Centre WP11'!$A$7:$N$160,11,FALSE),0)+
IFERROR(VLOOKUP(A109,'Centre WR11'!$A$7:$N$160,11,FALSE),0)+
IFERROR(VLOOKUP(A109,'Centre WV11'!$A$7:$N$160,11,FALSE),0)</f>
        <v>0.5</v>
      </c>
      <c r="L109" s="10">
        <f>IFERROR(VLOOKUP(A109,'Centre DW11'!$A$7:$N$160,12,FALSE),0)+
IFERROR(VLOOKUP(A109,'Centre WP11'!$A$7:$N$160,12,FALSE),0)+
IFERROR(VLOOKUP(A109,'Centre WR11'!$A$7:$N$160,12,FALSE),0)+
IFERROR(VLOOKUP(A109,'Centre WV11'!$A$7:$N$160,12,FALSE),0)</f>
        <v>0.7</v>
      </c>
      <c r="M109" s="10">
        <f>IFERROR(VLOOKUP(A109,'Centre DW11'!$A$7:$N$160,13,FALSE),0)+
IFERROR(VLOOKUP(A109,'Centre WP11'!$A$7:$N$160,13,FALSE),0)+
IFERROR(VLOOKUP(A109,'Centre WR11'!$A$7:$N$160,13,FALSE),0)+
IFERROR(VLOOKUP(A109,'Centre WV11'!$A$7:$N$160,13,FALSE),0)</f>
        <v>0.6</v>
      </c>
      <c r="N109" s="10">
        <f>IFERROR(VLOOKUP(A109,'Centre DW11'!$A$7:$N$160,14,FALSE),0)+
IFERROR(VLOOKUP(A109,'Centre WP11'!$A$7:$N$160,14,FALSE),0)+
IFERROR(VLOOKUP(A109,'Centre WR11'!$A$7:$N$160,14,FALSE),0)+
IFERROR(VLOOKUP(A109,'Centre WV11'!$A$7:$N$160,14,FALSE),0)</f>
        <v>0</v>
      </c>
    </row>
    <row r="110" spans="1:14" hidden="1" outlineLevel="1" x14ac:dyDescent="0.2">
      <c r="A110" s="9" t="s">
        <v>179</v>
      </c>
      <c r="B110" s="1" t="s">
        <v>180</v>
      </c>
      <c r="C110" s="10">
        <f>IFERROR(VLOOKUP(A110,'Centre DW11'!$A$7:$N$160,3,FALSE),0)+
IFERROR(VLOOKUP(A110,'Centre WP11'!$A$7:$N$160,3,FALSE),0)+
IFERROR(VLOOKUP(A110,'Centre WR11'!$A$7:$N$160,3,FALSE),0)+
IFERROR(VLOOKUP(A110,'Centre WV11'!$A$7:$N$160,3,FALSE),0)</f>
        <v>0</v>
      </c>
      <c r="D110" s="10">
        <f>IFERROR(VLOOKUP(A110,'Centre DW11'!$A$7:$N$160,4,FALSE),0)+
IFERROR(VLOOKUP(A110,'Centre WP11'!$A$7:$N$160,4,FALSE),0)+
IFERROR(VLOOKUP(A110,'Centre WR11'!$A$7:$N$160,4,FALSE),0)+
IFERROR(VLOOKUP(A110,'Centre WV11'!$A$7:$N$160,4,FALSE),0)</f>
        <v>0</v>
      </c>
      <c r="E110" s="10">
        <f>IFERROR(VLOOKUP(A110,'Centre DW11'!$A$7:$N$160,5,FALSE),0)+
IFERROR(VLOOKUP(A110,'Centre WP11'!$A$7:$N$160,5,FALSE),0)+
IFERROR(VLOOKUP(A110,'Centre WR11'!$A$7:$N$160,5,FALSE),0)+
IFERROR(VLOOKUP(A110,'Centre WV11'!$A$7:$N$160,5,FALSE),0)</f>
        <v>0</v>
      </c>
      <c r="F110" s="10">
        <f>IFERROR(VLOOKUP(A110,'Centre DW11'!$A$7:$N$160,6,FALSE),0)+
IFERROR(VLOOKUP(A110,'Centre WP11'!$A$7:$N$160,6,FALSE),0)+
IFERROR(VLOOKUP(A110,'Centre WR11'!$A$7:$N$160,6,FALSE),0)+
IFERROR(VLOOKUP(A110,'Centre WV11'!$A$7:$N$160,6,FALSE),0)</f>
        <v>0</v>
      </c>
      <c r="G110" s="10">
        <f>IFERROR(VLOOKUP(A110,'Centre DW11'!$A$7:$N$160,7,FALSE),0)+
IFERROR(VLOOKUP(A110,'Centre WP11'!$A$7:$N$160,7,FALSE),0)+
IFERROR(VLOOKUP(A110,'Centre WR11'!$A$7:$N$160,7,FALSE),0)+
IFERROR(VLOOKUP(A110,'Centre WV11'!$A$7:$N$160,7,FALSE),0)</f>
        <v>0</v>
      </c>
      <c r="H110" s="10">
        <f>IFERROR(VLOOKUP(A110,'Centre DW11'!$A$7:$N$160,8,FALSE),0)+
IFERROR(VLOOKUP(A110,'Centre WP11'!$A$7:$N$160,8,FALSE),0)+
IFERROR(VLOOKUP(A110,'Centre WR11'!$A$7:$N$160,8,FALSE),0)+
IFERROR(VLOOKUP(A110,'Centre WV11'!$A$7:$N$160,8,FALSE),0)</f>
        <v>0</v>
      </c>
      <c r="I110" s="10">
        <f>IFERROR(VLOOKUP(A110,'Centre DW11'!$A$7:$N$160,9,FALSE),0)+
IFERROR(VLOOKUP(A110,'Centre WP11'!$A$7:$N$160,9,FALSE),0)+
IFERROR(VLOOKUP(A110,'Centre WR11'!$A$7:$N$160,9,FALSE),0)+
IFERROR(VLOOKUP(A110,'Centre WV11'!$A$7:$N$160,9,FALSE),0)</f>
        <v>0</v>
      </c>
      <c r="J110" s="10">
        <f>IFERROR(VLOOKUP(A110,'Centre DW11'!$A$7:$N$160,10,FALSE),0)+
IFERROR(VLOOKUP(A110,'Centre WP11'!$A$7:$N$160,10,FALSE),0)+
IFERROR(VLOOKUP(A110,'Centre WR11'!$A$7:$N$160,10,FALSE),0)+
IFERROR(VLOOKUP(A110,'Centre WV11'!$A$7:$N$160,10,FALSE),0)</f>
        <v>0</v>
      </c>
      <c r="K110" s="10">
        <f>IFERROR(VLOOKUP(A110,'Centre DW11'!$A$7:$N$160,11,FALSE),0)+
IFERROR(VLOOKUP(A110,'Centre WP11'!$A$7:$N$160,11,FALSE),0)+
IFERROR(VLOOKUP(A110,'Centre WR11'!$A$7:$N$160,11,FALSE),0)+
IFERROR(VLOOKUP(A110,'Centre WV11'!$A$7:$N$160,11,FALSE),0)</f>
        <v>0</v>
      </c>
      <c r="L110" s="10">
        <f>IFERROR(VLOOKUP(A110,'Centre DW11'!$A$7:$N$160,12,FALSE),0)+
IFERROR(VLOOKUP(A110,'Centre WP11'!$A$7:$N$160,12,FALSE),0)+
IFERROR(VLOOKUP(A110,'Centre WR11'!$A$7:$N$160,12,FALSE),0)+
IFERROR(VLOOKUP(A110,'Centre WV11'!$A$7:$N$160,12,FALSE),0)</f>
        <v>0</v>
      </c>
      <c r="M110" s="10">
        <f>IFERROR(VLOOKUP(A110,'Centre DW11'!$A$7:$N$160,13,FALSE),0)+
IFERROR(VLOOKUP(A110,'Centre WP11'!$A$7:$N$160,13,FALSE),0)+
IFERROR(VLOOKUP(A110,'Centre WR11'!$A$7:$N$160,13,FALSE),0)+
IFERROR(VLOOKUP(A110,'Centre WV11'!$A$7:$N$160,13,FALSE),0)</f>
        <v>0</v>
      </c>
      <c r="N110" s="10">
        <f>IFERROR(VLOOKUP(A110,'Centre DW11'!$A$7:$N$160,14,FALSE),0)+
IFERROR(VLOOKUP(A110,'Centre WP11'!$A$7:$N$160,14,FALSE),0)+
IFERROR(VLOOKUP(A110,'Centre WR11'!$A$7:$N$160,14,FALSE),0)+
IFERROR(VLOOKUP(A110,'Centre WV11'!$A$7:$N$160,14,FALSE),0)</f>
        <v>0</v>
      </c>
    </row>
    <row r="111" spans="1:14" hidden="1" outlineLevel="1" x14ac:dyDescent="0.2">
      <c r="A111" s="9" t="s">
        <v>181</v>
      </c>
      <c r="B111" s="1" t="s">
        <v>182</v>
      </c>
      <c r="C111" s="10">
        <f>IFERROR(VLOOKUP(A111,'Centre DW11'!$A$7:$N$160,3,FALSE),0)+
IFERROR(VLOOKUP(A111,'Centre WP11'!$A$7:$N$160,3,FALSE),0)+
IFERROR(VLOOKUP(A111,'Centre WR11'!$A$7:$N$160,3,FALSE),0)+
IFERROR(VLOOKUP(A111,'Centre WV11'!$A$7:$N$160,3,FALSE),0)</f>
        <v>5.6</v>
      </c>
      <c r="D111" s="10">
        <f>IFERROR(VLOOKUP(A111,'Centre DW11'!$A$7:$N$160,4,FALSE),0)+
IFERROR(VLOOKUP(A111,'Centre WP11'!$A$7:$N$160,4,FALSE),0)+
IFERROR(VLOOKUP(A111,'Centre WR11'!$A$7:$N$160,4,FALSE),0)+
IFERROR(VLOOKUP(A111,'Centre WV11'!$A$7:$N$160,4,FALSE),0)</f>
        <v>6.7</v>
      </c>
      <c r="E111" s="10">
        <f>IFERROR(VLOOKUP(A111,'Centre DW11'!$A$7:$N$160,5,FALSE),0)+
IFERROR(VLOOKUP(A111,'Centre WP11'!$A$7:$N$160,5,FALSE),0)+
IFERROR(VLOOKUP(A111,'Centre WR11'!$A$7:$N$160,5,FALSE),0)+
IFERROR(VLOOKUP(A111,'Centre WV11'!$A$7:$N$160,5,FALSE),0)</f>
        <v>4.0999999999999996</v>
      </c>
      <c r="F111" s="10">
        <f>IFERROR(VLOOKUP(A111,'Centre DW11'!$A$7:$N$160,6,FALSE),0)+
IFERROR(VLOOKUP(A111,'Centre WP11'!$A$7:$N$160,6,FALSE),0)+
IFERROR(VLOOKUP(A111,'Centre WR11'!$A$7:$N$160,6,FALSE),0)+
IFERROR(VLOOKUP(A111,'Centre WV11'!$A$7:$N$160,6,FALSE),0)</f>
        <v>3.1</v>
      </c>
      <c r="G111" s="10">
        <f>IFERROR(VLOOKUP(A111,'Centre DW11'!$A$7:$N$160,7,FALSE),0)+
IFERROR(VLOOKUP(A111,'Centre WP11'!$A$7:$N$160,7,FALSE),0)+
IFERROR(VLOOKUP(A111,'Centre WR11'!$A$7:$N$160,7,FALSE),0)+
IFERROR(VLOOKUP(A111,'Centre WV11'!$A$7:$N$160,7,FALSE),0)</f>
        <v>3.8</v>
      </c>
      <c r="H111" s="10">
        <f>IFERROR(VLOOKUP(A111,'Centre DW11'!$A$7:$N$160,8,FALSE),0)+
IFERROR(VLOOKUP(A111,'Centre WP11'!$A$7:$N$160,8,FALSE),0)+
IFERROR(VLOOKUP(A111,'Centre WR11'!$A$7:$N$160,8,FALSE),0)+
IFERROR(VLOOKUP(A111,'Centre WV11'!$A$7:$N$160,8,FALSE),0)</f>
        <v>3.6</v>
      </c>
      <c r="I111" s="10">
        <f>IFERROR(VLOOKUP(A111,'Centre DW11'!$A$7:$N$160,9,FALSE),0)+
IFERROR(VLOOKUP(A111,'Centre WP11'!$A$7:$N$160,9,FALSE),0)+
IFERROR(VLOOKUP(A111,'Centre WR11'!$A$7:$N$160,9,FALSE),0)+
IFERROR(VLOOKUP(A111,'Centre WV11'!$A$7:$N$160,9,FALSE),0)</f>
        <v>2.9</v>
      </c>
      <c r="J111" s="10">
        <f>IFERROR(VLOOKUP(A111,'Centre DW11'!$A$7:$N$160,10,FALSE),0)+
IFERROR(VLOOKUP(A111,'Centre WP11'!$A$7:$N$160,10,FALSE),0)+
IFERROR(VLOOKUP(A111,'Centre WR11'!$A$7:$N$160,10,FALSE),0)+
IFERROR(VLOOKUP(A111,'Centre WV11'!$A$7:$N$160,10,FALSE),0)</f>
        <v>4.0999999999999996</v>
      </c>
      <c r="K111" s="10">
        <f>IFERROR(VLOOKUP(A111,'Centre DW11'!$A$7:$N$160,11,FALSE),0)+
IFERROR(VLOOKUP(A111,'Centre WP11'!$A$7:$N$160,11,FALSE),0)+
IFERROR(VLOOKUP(A111,'Centre WR11'!$A$7:$N$160,11,FALSE),0)+
IFERROR(VLOOKUP(A111,'Centre WV11'!$A$7:$N$160,11,FALSE),0)</f>
        <v>3.1</v>
      </c>
      <c r="L111" s="10">
        <f>IFERROR(VLOOKUP(A111,'Centre DW11'!$A$7:$N$160,12,FALSE),0)+
IFERROR(VLOOKUP(A111,'Centre WP11'!$A$7:$N$160,12,FALSE),0)+
IFERROR(VLOOKUP(A111,'Centre WR11'!$A$7:$N$160,12,FALSE),0)+
IFERROR(VLOOKUP(A111,'Centre WV11'!$A$7:$N$160,12,FALSE),0)</f>
        <v>3.8</v>
      </c>
      <c r="M111" s="10">
        <f>IFERROR(VLOOKUP(A111,'Centre DW11'!$A$7:$N$160,13,FALSE),0)+
IFERROR(VLOOKUP(A111,'Centre WP11'!$A$7:$N$160,13,FALSE),0)+
IFERROR(VLOOKUP(A111,'Centre WR11'!$A$7:$N$160,13,FALSE),0)+
IFERROR(VLOOKUP(A111,'Centre WV11'!$A$7:$N$160,13,FALSE),0)</f>
        <v>3.6</v>
      </c>
      <c r="N111" s="10">
        <f>IFERROR(VLOOKUP(A111,'Centre DW11'!$A$7:$N$160,14,FALSE),0)+
IFERROR(VLOOKUP(A111,'Centre WP11'!$A$7:$N$160,14,FALSE),0)+
IFERROR(VLOOKUP(A111,'Centre WR11'!$A$7:$N$160,14,FALSE),0)+
IFERROR(VLOOKUP(A111,'Centre WV11'!$A$7:$N$160,14,FALSE),0)</f>
        <v>2.9</v>
      </c>
    </row>
    <row r="112" spans="1:14" hidden="1" outlineLevel="1" x14ac:dyDescent="0.2">
      <c r="A112" s="9" t="s">
        <v>183</v>
      </c>
      <c r="B112" s="1" t="s">
        <v>184</v>
      </c>
      <c r="C112" s="10">
        <f>IFERROR(VLOOKUP(A112,'Centre DW11'!$A$7:$N$160,3,FALSE),0)+
IFERROR(VLOOKUP(A112,'Centre WP11'!$A$7:$N$160,3,FALSE),0)+
IFERROR(VLOOKUP(A112,'Centre WR11'!$A$7:$N$160,3,FALSE),0)+
IFERROR(VLOOKUP(A112,'Centre WV11'!$A$7:$N$160,3,FALSE),0)</f>
        <v>0</v>
      </c>
      <c r="D112" s="10">
        <f>IFERROR(VLOOKUP(A112,'Centre DW11'!$A$7:$N$160,4,FALSE),0)+
IFERROR(VLOOKUP(A112,'Centre WP11'!$A$7:$N$160,4,FALSE),0)+
IFERROR(VLOOKUP(A112,'Centre WR11'!$A$7:$N$160,4,FALSE),0)+
IFERROR(VLOOKUP(A112,'Centre WV11'!$A$7:$N$160,4,FALSE),0)</f>
        <v>0.2</v>
      </c>
      <c r="E112" s="10">
        <f>IFERROR(VLOOKUP(A112,'Centre DW11'!$A$7:$N$160,5,FALSE),0)+
IFERROR(VLOOKUP(A112,'Centre WP11'!$A$7:$N$160,5,FALSE),0)+
IFERROR(VLOOKUP(A112,'Centre WR11'!$A$7:$N$160,5,FALSE),0)+
IFERROR(VLOOKUP(A112,'Centre WV11'!$A$7:$N$160,5,FALSE),0)</f>
        <v>1.4</v>
      </c>
      <c r="F112" s="10">
        <f>IFERROR(VLOOKUP(A112,'Centre DW11'!$A$7:$N$160,6,FALSE),0)+
IFERROR(VLOOKUP(A112,'Centre WP11'!$A$7:$N$160,6,FALSE),0)+
IFERROR(VLOOKUP(A112,'Centre WR11'!$A$7:$N$160,6,FALSE),0)+
IFERROR(VLOOKUP(A112,'Centre WV11'!$A$7:$N$160,6,FALSE),0)</f>
        <v>2.7</v>
      </c>
      <c r="G112" s="10">
        <f>IFERROR(VLOOKUP(A112,'Centre DW11'!$A$7:$N$160,7,FALSE),0)+
IFERROR(VLOOKUP(A112,'Centre WP11'!$A$7:$N$160,7,FALSE),0)+
IFERROR(VLOOKUP(A112,'Centre WR11'!$A$7:$N$160,7,FALSE),0)+
IFERROR(VLOOKUP(A112,'Centre WV11'!$A$7:$N$160,7,FALSE),0)</f>
        <v>3.5</v>
      </c>
      <c r="H112" s="10">
        <f>IFERROR(VLOOKUP(A112,'Centre DW11'!$A$7:$N$160,8,FALSE),0)+
IFERROR(VLOOKUP(A112,'Centre WP11'!$A$7:$N$160,8,FALSE),0)+
IFERROR(VLOOKUP(A112,'Centre WR11'!$A$7:$N$160,8,FALSE),0)+
IFERROR(VLOOKUP(A112,'Centre WV11'!$A$7:$N$160,8,FALSE),0)</f>
        <v>1.8</v>
      </c>
      <c r="I112" s="10">
        <f>IFERROR(VLOOKUP(A112,'Centre DW11'!$A$7:$N$160,9,FALSE),0)+
IFERROR(VLOOKUP(A112,'Centre WP11'!$A$7:$N$160,9,FALSE),0)+
IFERROR(VLOOKUP(A112,'Centre WR11'!$A$7:$N$160,9,FALSE),0)+
IFERROR(VLOOKUP(A112,'Centre WV11'!$A$7:$N$160,9,FALSE),0)</f>
        <v>1</v>
      </c>
      <c r="J112" s="10">
        <f>IFERROR(VLOOKUP(A112,'Centre DW11'!$A$7:$N$160,10,FALSE),0)+
IFERROR(VLOOKUP(A112,'Centre WP11'!$A$7:$N$160,10,FALSE),0)+
IFERROR(VLOOKUP(A112,'Centre WR11'!$A$7:$N$160,10,FALSE),0)+
IFERROR(VLOOKUP(A112,'Centre WV11'!$A$7:$N$160,10,FALSE),0)</f>
        <v>1.4</v>
      </c>
      <c r="K112" s="10">
        <f>IFERROR(VLOOKUP(A112,'Centre DW11'!$A$7:$N$160,11,FALSE),0)+
IFERROR(VLOOKUP(A112,'Centre WP11'!$A$7:$N$160,11,FALSE),0)+
IFERROR(VLOOKUP(A112,'Centre WR11'!$A$7:$N$160,11,FALSE),0)+
IFERROR(VLOOKUP(A112,'Centre WV11'!$A$7:$N$160,11,FALSE),0)</f>
        <v>2.7</v>
      </c>
      <c r="L112" s="10">
        <f>IFERROR(VLOOKUP(A112,'Centre DW11'!$A$7:$N$160,12,FALSE),0)+
IFERROR(VLOOKUP(A112,'Centre WP11'!$A$7:$N$160,12,FALSE),0)+
IFERROR(VLOOKUP(A112,'Centre WR11'!$A$7:$N$160,12,FALSE),0)+
IFERROR(VLOOKUP(A112,'Centre WV11'!$A$7:$N$160,12,FALSE),0)</f>
        <v>3.5</v>
      </c>
      <c r="M112" s="10">
        <f>IFERROR(VLOOKUP(A112,'Centre DW11'!$A$7:$N$160,13,FALSE),0)+
IFERROR(VLOOKUP(A112,'Centre WP11'!$A$7:$N$160,13,FALSE),0)+
IFERROR(VLOOKUP(A112,'Centre WR11'!$A$7:$N$160,13,FALSE),0)+
IFERROR(VLOOKUP(A112,'Centre WV11'!$A$7:$N$160,13,FALSE),0)</f>
        <v>1.8</v>
      </c>
      <c r="N112" s="10">
        <f>IFERROR(VLOOKUP(A112,'Centre DW11'!$A$7:$N$160,14,FALSE),0)+
IFERROR(VLOOKUP(A112,'Centre WP11'!$A$7:$N$160,14,FALSE),0)+
IFERROR(VLOOKUP(A112,'Centre WR11'!$A$7:$N$160,14,FALSE),0)+
IFERROR(VLOOKUP(A112,'Centre WV11'!$A$7:$N$160,14,FALSE),0)</f>
        <v>1</v>
      </c>
    </row>
    <row r="113" spans="1:14" hidden="1" outlineLevel="1" x14ac:dyDescent="0.2">
      <c r="A113" s="9" t="s">
        <v>185</v>
      </c>
      <c r="B113" s="1" t="s">
        <v>186</v>
      </c>
      <c r="C113" s="10">
        <f>IFERROR(VLOOKUP(A113,'Centre DW11'!$A$7:$N$160,3,FALSE),0)+
IFERROR(VLOOKUP(A113,'Centre WP11'!$A$7:$N$160,3,FALSE),0)+
IFERROR(VLOOKUP(A113,'Centre WR11'!$A$7:$N$160,3,FALSE),0)+
IFERROR(VLOOKUP(A113,'Centre WV11'!$A$7:$N$160,3,FALSE),0)</f>
        <v>0.7</v>
      </c>
      <c r="D113" s="10">
        <f>IFERROR(VLOOKUP(A113,'Centre DW11'!$A$7:$N$160,4,FALSE),0)+
IFERROR(VLOOKUP(A113,'Centre WP11'!$A$7:$N$160,4,FALSE),0)+
IFERROR(VLOOKUP(A113,'Centre WR11'!$A$7:$N$160,4,FALSE),0)+
IFERROR(VLOOKUP(A113,'Centre WV11'!$A$7:$N$160,4,FALSE),0)</f>
        <v>0.6</v>
      </c>
      <c r="E113" s="10">
        <f>IFERROR(VLOOKUP(A113,'Centre DW11'!$A$7:$N$160,5,FALSE),0)+
IFERROR(VLOOKUP(A113,'Centre WP11'!$A$7:$N$160,5,FALSE),0)+
IFERROR(VLOOKUP(A113,'Centre WR11'!$A$7:$N$160,5,FALSE),0)+
IFERROR(VLOOKUP(A113,'Centre WV11'!$A$7:$N$160,5,FALSE),0)</f>
        <v>1</v>
      </c>
      <c r="F113" s="10">
        <f>IFERROR(VLOOKUP(A113,'Centre DW11'!$A$7:$N$160,6,FALSE),0)+
IFERROR(VLOOKUP(A113,'Centre WP11'!$A$7:$N$160,6,FALSE),0)+
IFERROR(VLOOKUP(A113,'Centre WR11'!$A$7:$N$160,6,FALSE),0)+
IFERROR(VLOOKUP(A113,'Centre WV11'!$A$7:$N$160,6,FALSE),0)</f>
        <v>0.9</v>
      </c>
      <c r="G113" s="10">
        <f>IFERROR(VLOOKUP(A113,'Centre DW11'!$A$7:$N$160,7,FALSE),0)+
IFERROR(VLOOKUP(A113,'Centre WP11'!$A$7:$N$160,7,FALSE),0)+
IFERROR(VLOOKUP(A113,'Centre WR11'!$A$7:$N$160,7,FALSE),0)+
IFERROR(VLOOKUP(A113,'Centre WV11'!$A$7:$N$160,7,FALSE),0)</f>
        <v>1.1000000000000001</v>
      </c>
      <c r="H113" s="10">
        <f>IFERROR(VLOOKUP(A113,'Centre DW11'!$A$7:$N$160,8,FALSE),0)+
IFERROR(VLOOKUP(A113,'Centre WP11'!$A$7:$N$160,8,FALSE),0)+
IFERROR(VLOOKUP(A113,'Centre WR11'!$A$7:$N$160,8,FALSE),0)+
IFERROR(VLOOKUP(A113,'Centre WV11'!$A$7:$N$160,8,FALSE),0)</f>
        <v>0.8</v>
      </c>
      <c r="I113" s="10">
        <f>IFERROR(VLOOKUP(A113,'Centre DW11'!$A$7:$N$160,9,FALSE),0)+
IFERROR(VLOOKUP(A113,'Centre WP11'!$A$7:$N$160,9,FALSE),0)+
IFERROR(VLOOKUP(A113,'Centre WR11'!$A$7:$N$160,9,FALSE),0)+
IFERROR(VLOOKUP(A113,'Centre WV11'!$A$7:$N$160,9,FALSE),0)</f>
        <v>1.5</v>
      </c>
      <c r="J113" s="10">
        <f>IFERROR(VLOOKUP(A113,'Centre DW11'!$A$7:$N$160,10,FALSE),0)+
IFERROR(VLOOKUP(A113,'Centre WP11'!$A$7:$N$160,10,FALSE),0)+
IFERROR(VLOOKUP(A113,'Centre WR11'!$A$7:$N$160,10,FALSE),0)+
IFERROR(VLOOKUP(A113,'Centre WV11'!$A$7:$N$160,10,FALSE),0)</f>
        <v>1</v>
      </c>
      <c r="K113" s="10">
        <f>IFERROR(VLOOKUP(A113,'Centre DW11'!$A$7:$N$160,11,FALSE),0)+
IFERROR(VLOOKUP(A113,'Centre WP11'!$A$7:$N$160,11,FALSE),0)+
IFERROR(VLOOKUP(A113,'Centre WR11'!$A$7:$N$160,11,FALSE),0)+
IFERROR(VLOOKUP(A113,'Centre WV11'!$A$7:$N$160,11,FALSE),0)</f>
        <v>0.9</v>
      </c>
      <c r="L113" s="10">
        <f>IFERROR(VLOOKUP(A113,'Centre DW11'!$A$7:$N$160,12,FALSE),0)+
IFERROR(VLOOKUP(A113,'Centre WP11'!$A$7:$N$160,12,FALSE),0)+
IFERROR(VLOOKUP(A113,'Centre WR11'!$A$7:$N$160,12,FALSE),0)+
IFERROR(VLOOKUP(A113,'Centre WV11'!$A$7:$N$160,12,FALSE),0)</f>
        <v>1.1000000000000001</v>
      </c>
      <c r="M113" s="10">
        <f>IFERROR(VLOOKUP(A113,'Centre DW11'!$A$7:$N$160,13,FALSE),0)+
IFERROR(VLOOKUP(A113,'Centre WP11'!$A$7:$N$160,13,FALSE),0)+
IFERROR(VLOOKUP(A113,'Centre WR11'!$A$7:$N$160,13,FALSE),0)+
IFERROR(VLOOKUP(A113,'Centre WV11'!$A$7:$N$160,13,FALSE),0)</f>
        <v>0.8</v>
      </c>
      <c r="N113" s="10">
        <f>IFERROR(VLOOKUP(A113,'Centre DW11'!$A$7:$N$160,14,FALSE),0)+
IFERROR(VLOOKUP(A113,'Centre WP11'!$A$7:$N$160,14,FALSE),0)+
IFERROR(VLOOKUP(A113,'Centre WR11'!$A$7:$N$160,14,FALSE),0)+
IFERROR(VLOOKUP(A113,'Centre WV11'!$A$7:$N$160,14,FALSE),0)</f>
        <v>1.5</v>
      </c>
    </row>
    <row r="114" spans="1:14" hidden="1" outlineLevel="1" x14ac:dyDescent="0.2">
      <c r="A114" s="9" t="s">
        <v>187</v>
      </c>
      <c r="B114" s="1" t="s">
        <v>184</v>
      </c>
      <c r="C114" s="10">
        <f>IFERROR(VLOOKUP(A114,'Centre DW11'!$A$7:$N$160,3,FALSE),0)+
IFERROR(VLOOKUP(A114,'Centre WP11'!$A$7:$N$160,3,FALSE),0)+
IFERROR(VLOOKUP(A114,'Centre WR11'!$A$7:$N$160,3,FALSE),0)+
IFERROR(VLOOKUP(A114,'Centre WV11'!$A$7:$N$160,3,FALSE),0)</f>
        <v>0.1</v>
      </c>
      <c r="D114" s="10">
        <f>IFERROR(VLOOKUP(A114,'Centre DW11'!$A$7:$N$160,4,FALSE),0)+
IFERROR(VLOOKUP(A114,'Centre WP11'!$A$7:$N$160,4,FALSE),0)+
IFERROR(VLOOKUP(A114,'Centre WR11'!$A$7:$N$160,4,FALSE),0)+
IFERROR(VLOOKUP(A114,'Centre WV11'!$A$7:$N$160,4,FALSE),0)</f>
        <v>0.1</v>
      </c>
      <c r="E114" s="10">
        <f>IFERROR(VLOOKUP(A114,'Centre DW11'!$A$7:$N$160,5,FALSE),0)+
IFERROR(VLOOKUP(A114,'Centre WP11'!$A$7:$N$160,5,FALSE),0)+
IFERROR(VLOOKUP(A114,'Centre WR11'!$A$7:$N$160,5,FALSE),0)+
IFERROR(VLOOKUP(A114,'Centre WV11'!$A$7:$N$160,5,FALSE),0)</f>
        <v>0.1</v>
      </c>
      <c r="F114" s="10">
        <f>IFERROR(VLOOKUP(A114,'Centre DW11'!$A$7:$N$160,6,FALSE),0)+
IFERROR(VLOOKUP(A114,'Centre WP11'!$A$7:$N$160,6,FALSE),0)+
IFERROR(VLOOKUP(A114,'Centre WR11'!$A$7:$N$160,6,FALSE),0)+
IFERROR(VLOOKUP(A114,'Centre WV11'!$A$7:$N$160,6,FALSE),0)</f>
        <v>0.1</v>
      </c>
      <c r="G114" s="10">
        <f>IFERROR(VLOOKUP(A114,'Centre DW11'!$A$7:$N$160,7,FALSE),0)+
IFERROR(VLOOKUP(A114,'Centre WP11'!$A$7:$N$160,7,FALSE),0)+
IFERROR(VLOOKUP(A114,'Centre WR11'!$A$7:$N$160,7,FALSE),0)+
IFERROR(VLOOKUP(A114,'Centre WV11'!$A$7:$N$160,7,FALSE),0)</f>
        <v>0.1</v>
      </c>
      <c r="H114" s="10">
        <f>IFERROR(VLOOKUP(A114,'Centre DW11'!$A$7:$N$160,8,FALSE),0)+
IFERROR(VLOOKUP(A114,'Centre WP11'!$A$7:$N$160,8,FALSE),0)+
IFERROR(VLOOKUP(A114,'Centre WR11'!$A$7:$N$160,8,FALSE),0)+
IFERROR(VLOOKUP(A114,'Centre WV11'!$A$7:$N$160,8,FALSE),0)</f>
        <v>0.1</v>
      </c>
      <c r="I114" s="10">
        <f>IFERROR(VLOOKUP(A114,'Centre DW11'!$A$7:$N$160,9,FALSE),0)+
IFERROR(VLOOKUP(A114,'Centre WP11'!$A$7:$N$160,9,FALSE),0)+
IFERROR(VLOOKUP(A114,'Centre WR11'!$A$7:$N$160,9,FALSE),0)+
IFERROR(VLOOKUP(A114,'Centre WV11'!$A$7:$N$160,9,FALSE),0)</f>
        <v>0.1</v>
      </c>
      <c r="J114" s="10">
        <f>IFERROR(VLOOKUP(A114,'Centre DW11'!$A$7:$N$160,10,FALSE),0)+
IFERROR(VLOOKUP(A114,'Centre WP11'!$A$7:$N$160,10,FALSE),0)+
IFERROR(VLOOKUP(A114,'Centre WR11'!$A$7:$N$160,10,FALSE),0)+
IFERROR(VLOOKUP(A114,'Centre WV11'!$A$7:$N$160,10,FALSE),0)</f>
        <v>0.1</v>
      </c>
      <c r="K114" s="10">
        <f>IFERROR(VLOOKUP(A114,'Centre DW11'!$A$7:$N$160,11,FALSE),0)+
IFERROR(VLOOKUP(A114,'Centre WP11'!$A$7:$N$160,11,FALSE),0)+
IFERROR(VLOOKUP(A114,'Centre WR11'!$A$7:$N$160,11,FALSE),0)+
IFERROR(VLOOKUP(A114,'Centre WV11'!$A$7:$N$160,11,FALSE),0)</f>
        <v>0.1</v>
      </c>
      <c r="L114" s="10">
        <f>IFERROR(VLOOKUP(A114,'Centre DW11'!$A$7:$N$160,12,FALSE),0)+
IFERROR(VLOOKUP(A114,'Centre WP11'!$A$7:$N$160,12,FALSE),0)+
IFERROR(VLOOKUP(A114,'Centre WR11'!$A$7:$N$160,12,FALSE),0)+
IFERROR(VLOOKUP(A114,'Centre WV11'!$A$7:$N$160,12,FALSE),0)</f>
        <v>0.1</v>
      </c>
      <c r="M114" s="10">
        <f>IFERROR(VLOOKUP(A114,'Centre DW11'!$A$7:$N$160,13,FALSE),0)+
IFERROR(VLOOKUP(A114,'Centre WP11'!$A$7:$N$160,13,FALSE),0)+
IFERROR(VLOOKUP(A114,'Centre WR11'!$A$7:$N$160,13,FALSE),0)+
IFERROR(VLOOKUP(A114,'Centre WV11'!$A$7:$N$160,13,FALSE),0)</f>
        <v>0.1</v>
      </c>
      <c r="N114" s="10">
        <f>IFERROR(VLOOKUP(A114,'Centre DW11'!$A$7:$N$160,14,FALSE),0)+
IFERROR(VLOOKUP(A114,'Centre WP11'!$A$7:$N$160,14,FALSE),0)+
IFERROR(VLOOKUP(A114,'Centre WR11'!$A$7:$N$160,14,FALSE),0)+
IFERROR(VLOOKUP(A114,'Centre WV11'!$A$7:$N$160,14,FALSE),0)</f>
        <v>0.1</v>
      </c>
    </row>
    <row r="115" spans="1:14" hidden="1" outlineLevel="1" x14ac:dyDescent="0.2">
      <c r="A115" s="9" t="s">
        <v>188</v>
      </c>
      <c r="B115" s="1" t="s">
        <v>189</v>
      </c>
      <c r="C115" s="10">
        <f>IFERROR(VLOOKUP(A115,'Centre DW11'!$A$7:$N$160,3,FALSE),0)+
IFERROR(VLOOKUP(A115,'Centre WP11'!$A$7:$N$160,3,FALSE),0)+
IFERROR(VLOOKUP(A115,'Centre WR11'!$A$7:$N$160,3,FALSE),0)+
IFERROR(VLOOKUP(A115,'Centre WV11'!$A$7:$N$160,3,FALSE),0)</f>
        <v>1</v>
      </c>
      <c r="D115" s="10">
        <f>IFERROR(VLOOKUP(A115,'Centre DW11'!$A$7:$N$160,4,FALSE),0)+
IFERROR(VLOOKUP(A115,'Centre WP11'!$A$7:$N$160,4,FALSE),0)+
IFERROR(VLOOKUP(A115,'Centre WR11'!$A$7:$N$160,4,FALSE),0)+
IFERROR(VLOOKUP(A115,'Centre WV11'!$A$7:$N$160,4,FALSE),0)</f>
        <v>1.1000000000000001</v>
      </c>
      <c r="E115" s="10">
        <f>IFERROR(VLOOKUP(A115,'Centre DW11'!$A$7:$N$160,5,FALSE),0)+
IFERROR(VLOOKUP(A115,'Centre WP11'!$A$7:$N$160,5,FALSE),0)+
IFERROR(VLOOKUP(A115,'Centre WR11'!$A$7:$N$160,5,FALSE),0)+
IFERROR(VLOOKUP(A115,'Centre WV11'!$A$7:$N$160,5,FALSE),0)</f>
        <v>1.4</v>
      </c>
      <c r="F115" s="10">
        <f>IFERROR(VLOOKUP(A115,'Centre DW11'!$A$7:$N$160,6,FALSE),0)+
IFERROR(VLOOKUP(A115,'Centre WP11'!$A$7:$N$160,6,FALSE),0)+
IFERROR(VLOOKUP(A115,'Centre WR11'!$A$7:$N$160,6,FALSE),0)+
IFERROR(VLOOKUP(A115,'Centre WV11'!$A$7:$N$160,6,FALSE),0)</f>
        <v>1.4</v>
      </c>
      <c r="G115" s="10">
        <f>IFERROR(VLOOKUP(A115,'Centre DW11'!$A$7:$N$160,7,FALSE),0)+
IFERROR(VLOOKUP(A115,'Centre WP11'!$A$7:$N$160,7,FALSE),0)+
IFERROR(VLOOKUP(A115,'Centre WR11'!$A$7:$N$160,7,FALSE),0)+
IFERROR(VLOOKUP(A115,'Centre WV11'!$A$7:$N$160,7,FALSE),0)</f>
        <v>0.7</v>
      </c>
      <c r="H115" s="10">
        <f>IFERROR(VLOOKUP(A115,'Centre DW11'!$A$7:$N$160,8,FALSE),0)+
IFERROR(VLOOKUP(A115,'Centre WP11'!$A$7:$N$160,8,FALSE),0)+
IFERROR(VLOOKUP(A115,'Centre WR11'!$A$7:$N$160,8,FALSE),0)+
IFERROR(VLOOKUP(A115,'Centre WV11'!$A$7:$N$160,8,FALSE),0)</f>
        <v>1.5</v>
      </c>
      <c r="I115" s="10">
        <f>IFERROR(VLOOKUP(A115,'Centre DW11'!$A$7:$N$160,9,FALSE),0)+
IFERROR(VLOOKUP(A115,'Centre WP11'!$A$7:$N$160,9,FALSE),0)+
IFERROR(VLOOKUP(A115,'Centre WR11'!$A$7:$N$160,9,FALSE),0)+
IFERROR(VLOOKUP(A115,'Centre WV11'!$A$7:$N$160,9,FALSE),0)</f>
        <v>0.9</v>
      </c>
      <c r="J115" s="10">
        <f>IFERROR(VLOOKUP(A115,'Centre DW11'!$A$7:$N$160,10,FALSE),0)+
IFERROR(VLOOKUP(A115,'Centre WP11'!$A$7:$N$160,10,FALSE),0)+
IFERROR(VLOOKUP(A115,'Centre WR11'!$A$7:$N$160,10,FALSE),0)+
IFERROR(VLOOKUP(A115,'Centre WV11'!$A$7:$N$160,10,FALSE),0)</f>
        <v>1.4</v>
      </c>
      <c r="K115" s="10">
        <f>IFERROR(VLOOKUP(A115,'Centre DW11'!$A$7:$N$160,11,FALSE),0)+
IFERROR(VLOOKUP(A115,'Centre WP11'!$A$7:$N$160,11,FALSE),0)+
IFERROR(VLOOKUP(A115,'Centre WR11'!$A$7:$N$160,11,FALSE),0)+
IFERROR(VLOOKUP(A115,'Centre WV11'!$A$7:$N$160,11,FALSE),0)</f>
        <v>1.4</v>
      </c>
      <c r="L115" s="10">
        <f>IFERROR(VLOOKUP(A115,'Centre DW11'!$A$7:$N$160,12,FALSE),0)+
IFERROR(VLOOKUP(A115,'Centre WP11'!$A$7:$N$160,12,FALSE),0)+
IFERROR(VLOOKUP(A115,'Centre WR11'!$A$7:$N$160,12,FALSE),0)+
IFERROR(VLOOKUP(A115,'Centre WV11'!$A$7:$N$160,12,FALSE),0)</f>
        <v>0.7</v>
      </c>
      <c r="M115" s="10">
        <f>IFERROR(VLOOKUP(A115,'Centre DW11'!$A$7:$N$160,13,FALSE),0)+
IFERROR(VLOOKUP(A115,'Centre WP11'!$A$7:$N$160,13,FALSE),0)+
IFERROR(VLOOKUP(A115,'Centre WR11'!$A$7:$N$160,13,FALSE),0)+
IFERROR(VLOOKUP(A115,'Centre WV11'!$A$7:$N$160,13,FALSE),0)</f>
        <v>1.5</v>
      </c>
      <c r="N115" s="10">
        <f>IFERROR(VLOOKUP(A115,'Centre DW11'!$A$7:$N$160,14,FALSE),0)+
IFERROR(VLOOKUP(A115,'Centre WP11'!$A$7:$N$160,14,FALSE),0)+
IFERROR(VLOOKUP(A115,'Centre WR11'!$A$7:$N$160,14,FALSE),0)+
IFERROR(VLOOKUP(A115,'Centre WV11'!$A$7:$N$160,14,FALSE),0)</f>
        <v>0.9</v>
      </c>
    </row>
    <row r="116" spans="1:14" hidden="1" outlineLevel="1" x14ac:dyDescent="0.2">
      <c r="A116" s="9" t="s">
        <v>190</v>
      </c>
      <c r="B116" s="1" t="s">
        <v>191</v>
      </c>
      <c r="C116" s="10">
        <f>IFERROR(VLOOKUP(A116,'Centre DW11'!$A$7:$N$160,3,FALSE),0)+
IFERROR(VLOOKUP(A116,'Centre WP11'!$A$7:$N$160,3,FALSE),0)+
IFERROR(VLOOKUP(A116,'Centre WR11'!$A$7:$N$160,3,FALSE),0)+
IFERROR(VLOOKUP(A116,'Centre WV11'!$A$7:$N$160,3,FALSE),0)</f>
        <v>0.4</v>
      </c>
      <c r="D116" s="10">
        <f>IFERROR(VLOOKUP(A116,'Centre DW11'!$A$7:$N$160,4,FALSE),0)+
IFERROR(VLOOKUP(A116,'Centre WP11'!$A$7:$N$160,4,FALSE),0)+
IFERROR(VLOOKUP(A116,'Centre WR11'!$A$7:$N$160,4,FALSE),0)+
IFERROR(VLOOKUP(A116,'Centre WV11'!$A$7:$N$160,4,FALSE),0)</f>
        <v>0.4</v>
      </c>
      <c r="E116" s="10">
        <f>IFERROR(VLOOKUP(A116,'Centre DW11'!$A$7:$N$160,5,FALSE),0)+
IFERROR(VLOOKUP(A116,'Centre WP11'!$A$7:$N$160,5,FALSE),0)+
IFERROR(VLOOKUP(A116,'Centre WR11'!$A$7:$N$160,5,FALSE),0)+
IFERROR(VLOOKUP(A116,'Centre WV11'!$A$7:$N$160,5,FALSE),0)</f>
        <v>0.6</v>
      </c>
      <c r="F116" s="10">
        <f>IFERROR(VLOOKUP(A116,'Centre DW11'!$A$7:$N$160,6,FALSE),0)+
IFERROR(VLOOKUP(A116,'Centre WP11'!$A$7:$N$160,6,FALSE),0)+
IFERROR(VLOOKUP(A116,'Centre WR11'!$A$7:$N$160,6,FALSE),0)+
IFERROR(VLOOKUP(A116,'Centre WV11'!$A$7:$N$160,6,FALSE),0)</f>
        <v>0.6</v>
      </c>
      <c r="G116" s="10">
        <f>IFERROR(VLOOKUP(A116,'Centre DW11'!$A$7:$N$160,7,FALSE),0)+
IFERROR(VLOOKUP(A116,'Centre WP11'!$A$7:$N$160,7,FALSE),0)+
IFERROR(VLOOKUP(A116,'Centre WR11'!$A$7:$N$160,7,FALSE),0)+
IFERROR(VLOOKUP(A116,'Centre WV11'!$A$7:$N$160,7,FALSE),0)</f>
        <v>0.3</v>
      </c>
      <c r="H116" s="10">
        <f>IFERROR(VLOOKUP(A116,'Centre DW11'!$A$7:$N$160,8,FALSE),0)+
IFERROR(VLOOKUP(A116,'Centre WP11'!$A$7:$N$160,8,FALSE),0)+
IFERROR(VLOOKUP(A116,'Centre WR11'!$A$7:$N$160,8,FALSE),0)+
IFERROR(VLOOKUP(A116,'Centre WV11'!$A$7:$N$160,8,FALSE),0)</f>
        <v>1.1000000000000001</v>
      </c>
      <c r="I116" s="10">
        <f>IFERROR(VLOOKUP(A116,'Centre DW11'!$A$7:$N$160,9,FALSE),0)+
IFERROR(VLOOKUP(A116,'Centre WP11'!$A$7:$N$160,9,FALSE),0)+
IFERROR(VLOOKUP(A116,'Centre WR11'!$A$7:$N$160,9,FALSE),0)+
IFERROR(VLOOKUP(A116,'Centre WV11'!$A$7:$N$160,9,FALSE),0)</f>
        <v>0.6</v>
      </c>
      <c r="J116" s="10">
        <f>IFERROR(VLOOKUP(A116,'Centre DW11'!$A$7:$N$160,10,FALSE),0)+
IFERROR(VLOOKUP(A116,'Centre WP11'!$A$7:$N$160,10,FALSE),0)+
IFERROR(VLOOKUP(A116,'Centre WR11'!$A$7:$N$160,10,FALSE),0)+
IFERROR(VLOOKUP(A116,'Centre WV11'!$A$7:$N$160,10,FALSE),0)</f>
        <v>0.6</v>
      </c>
      <c r="K116" s="10">
        <f>IFERROR(VLOOKUP(A116,'Centre DW11'!$A$7:$N$160,11,FALSE),0)+
IFERROR(VLOOKUP(A116,'Centre WP11'!$A$7:$N$160,11,FALSE),0)+
IFERROR(VLOOKUP(A116,'Centre WR11'!$A$7:$N$160,11,FALSE),0)+
IFERROR(VLOOKUP(A116,'Centre WV11'!$A$7:$N$160,11,FALSE),0)</f>
        <v>0.6</v>
      </c>
      <c r="L116" s="10">
        <f>IFERROR(VLOOKUP(A116,'Centre DW11'!$A$7:$N$160,12,FALSE),0)+
IFERROR(VLOOKUP(A116,'Centre WP11'!$A$7:$N$160,12,FALSE),0)+
IFERROR(VLOOKUP(A116,'Centre WR11'!$A$7:$N$160,12,FALSE),0)+
IFERROR(VLOOKUP(A116,'Centre WV11'!$A$7:$N$160,12,FALSE),0)</f>
        <v>0.3</v>
      </c>
      <c r="M116" s="10">
        <f>IFERROR(VLOOKUP(A116,'Centre DW11'!$A$7:$N$160,13,FALSE),0)+
IFERROR(VLOOKUP(A116,'Centre WP11'!$A$7:$N$160,13,FALSE),0)+
IFERROR(VLOOKUP(A116,'Centre WR11'!$A$7:$N$160,13,FALSE),0)+
IFERROR(VLOOKUP(A116,'Centre WV11'!$A$7:$N$160,13,FALSE),0)</f>
        <v>1.1000000000000001</v>
      </c>
      <c r="N116" s="10">
        <f>IFERROR(VLOOKUP(A116,'Centre DW11'!$A$7:$N$160,14,FALSE),0)+
IFERROR(VLOOKUP(A116,'Centre WP11'!$A$7:$N$160,14,FALSE),0)+
IFERROR(VLOOKUP(A116,'Centre WR11'!$A$7:$N$160,14,FALSE),0)+
IFERROR(VLOOKUP(A116,'Centre WV11'!$A$7:$N$160,14,FALSE),0)</f>
        <v>0.6</v>
      </c>
    </row>
    <row r="117" spans="1:14" hidden="1" outlineLevel="1" x14ac:dyDescent="0.2">
      <c r="A117" s="9" t="s">
        <v>192</v>
      </c>
      <c r="B117" s="1" t="s">
        <v>193</v>
      </c>
      <c r="C117" s="10">
        <f>IFERROR(VLOOKUP(A117,'Centre DW11'!$A$7:$N$160,3,FALSE),0)+
IFERROR(VLOOKUP(A117,'Centre WP11'!$A$7:$N$160,3,FALSE),0)+
IFERROR(VLOOKUP(A117,'Centre WR11'!$A$7:$N$160,3,FALSE),0)+
IFERROR(VLOOKUP(A117,'Centre WV11'!$A$7:$N$160,3,FALSE),0)</f>
        <v>0</v>
      </c>
      <c r="D117" s="10">
        <f>IFERROR(VLOOKUP(A117,'Centre DW11'!$A$7:$N$160,4,FALSE),0)+
IFERROR(VLOOKUP(A117,'Centre WP11'!$A$7:$N$160,4,FALSE),0)+
IFERROR(VLOOKUP(A117,'Centre WR11'!$A$7:$N$160,4,FALSE),0)+
IFERROR(VLOOKUP(A117,'Centre WV11'!$A$7:$N$160,4,FALSE),0)</f>
        <v>0</v>
      </c>
      <c r="E117" s="10">
        <f>IFERROR(VLOOKUP(A117,'Centre DW11'!$A$7:$N$160,5,FALSE),0)+
IFERROR(VLOOKUP(A117,'Centre WP11'!$A$7:$N$160,5,FALSE),0)+
IFERROR(VLOOKUP(A117,'Centre WR11'!$A$7:$N$160,5,FALSE),0)+
IFERROR(VLOOKUP(A117,'Centre WV11'!$A$7:$N$160,5,FALSE),0)</f>
        <v>0</v>
      </c>
      <c r="F117" s="10">
        <f>IFERROR(VLOOKUP(A117,'Centre DW11'!$A$7:$N$160,6,FALSE),0)+
IFERROR(VLOOKUP(A117,'Centre WP11'!$A$7:$N$160,6,FALSE),0)+
IFERROR(VLOOKUP(A117,'Centre WR11'!$A$7:$N$160,6,FALSE),0)+
IFERROR(VLOOKUP(A117,'Centre WV11'!$A$7:$N$160,6,FALSE),0)</f>
        <v>0</v>
      </c>
      <c r="G117" s="10">
        <f>IFERROR(VLOOKUP(A117,'Centre DW11'!$A$7:$N$160,7,FALSE),0)+
IFERROR(VLOOKUP(A117,'Centre WP11'!$A$7:$N$160,7,FALSE),0)+
IFERROR(VLOOKUP(A117,'Centre WR11'!$A$7:$N$160,7,FALSE),0)+
IFERROR(VLOOKUP(A117,'Centre WV11'!$A$7:$N$160,7,FALSE),0)</f>
        <v>0</v>
      </c>
      <c r="H117" s="10">
        <f>IFERROR(VLOOKUP(A117,'Centre DW11'!$A$7:$N$160,8,FALSE),0)+
IFERROR(VLOOKUP(A117,'Centre WP11'!$A$7:$N$160,8,FALSE),0)+
IFERROR(VLOOKUP(A117,'Centre WR11'!$A$7:$N$160,8,FALSE),0)+
IFERROR(VLOOKUP(A117,'Centre WV11'!$A$7:$N$160,8,FALSE),0)</f>
        <v>0</v>
      </c>
      <c r="I117" s="10">
        <f>IFERROR(VLOOKUP(A117,'Centre DW11'!$A$7:$N$160,9,FALSE),0)+
IFERROR(VLOOKUP(A117,'Centre WP11'!$A$7:$N$160,9,FALSE),0)+
IFERROR(VLOOKUP(A117,'Centre WR11'!$A$7:$N$160,9,FALSE),0)+
IFERROR(VLOOKUP(A117,'Centre WV11'!$A$7:$N$160,9,FALSE),0)</f>
        <v>0</v>
      </c>
      <c r="J117" s="10">
        <f>IFERROR(VLOOKUP(A117,'Centre DW11'!$A$7:$N$160,10,FALSE),0)+
IFERROR(VLOOKUP(A117,'Centre WP11'!$A$7:$N$160,10,FALSE),0)+
IFERROR(VLOOKUP(A117,'Centre WR11'!$A$7:$N$160,10,FALSE),0)+
IFERROR(VLOOKUP(A117,'Centre WV11'!$A$7:$N$160,10,FALSE),0)</f>
        <v>0</v>
      </c>
      <c r="K117" s="10">
        <f>IFERROR(VLOOKUP(A117,'Centre DW11'!$A$7:$N$160,11,FALSE),0)+
IFERROR(VLOOKUP(A117,'Centre WP11'!$A$7:$N$160,11,FALSE),0)+
IFERROR(VLOOKUP(A117,'Centre WR11'!$A$7:$N$160,11,FALSE),0)+
IFERROR(VLOOKUP(A117,'Centre WV11'!$A$7:$N$160,11,FALSE),0)</f>
        <v>0</v>
      </c>
      <c r="L117" s="10">
        <f>IFERROR(VLOOKUP(A117,'Centre DW11'!$A$7:$N$160,12,FALSE),0)+
IFERROR(VLOOKUP(A117,'Centre WP11'!$A$7:$N$160,12,FALSE),0)+
IFERROR(VLOOKUP(A117,'Centre WR11'!$A$7:$N$160,12,FALSE),0)+
IFERROR(VLOOKUP(A117,'Centre WV11'!$A$7:$N$160,12,FALSE),0)</f>
        <v>0</v>
      </c>
      <c r="M117" s="10">
        <f>IFERROR(VLOOKUP(A117,'Centre DW11'!$A$7:$N$160,13,FALSE),0)+
IFERROR(VLOOKUP(A117,'Centre WP11'!$A$7:$N$160,13,FALSE),0)+
IFERROR(VLOOKUP(A117,'Centre WR11'!$A$7:$N$160,13,FALSE),0)+
IFERROR(VLOOKUP(A117,'Centre WV11'!$A$7:$N$160,13,FALSE),0)</f>
        <v>0</v>
      </c>
      <c r="N117" s="10">
        <f>IFERROR(VLOOKUP(A117,'Centre DW11'!$A$7:$N$160,14,FALSE),0)+
IFERROR(VLOOKUP(A117,'Centre WP11'!$A$7:$N$160,14,FALSE),0)+
IFERROR(VLOOKUP(A117,'Centre WR11'!$A$7:$N$160,14,FALSE),0)+
IFERROR(VLOOKUP(A117,'Centre WV11'!$A$7:$N$160,14,FALSE),0)</f>
        <v>0</v>
      </c>
    </row>
    <row r="118" spans="1:14" hidden="1" outlineLevel="1" x14ac:dyDescent="0.2">
      <c r="A118" s="9" t="s">
        <v>194</v>
      </c>
      <c r="B118" s="1" t="s">
        <v>195</v>
      </c>
      <c r="C118" s="10">
        <f>IFERROR(VLOOKUP(A118,'Centre DW11'!$A$7:$N$160,3,FALSE),0)+
IFERROR(VLOOKUP(A118,'Centre WP11'!$A$7:$N$160,3,FALSE),0)+
IFERROR(VLOOKUP(A118,'Centre WR11'!$A$7:$N$160,3,FALSE),0)+
IFERROR(VLOOKUP(A118,'Centre WV11'!$A$7:$N$160,3,FALSE),0)</f>
        <v>1.1000000000000001</v>
      </c>
      <c r="D118" s="10">
        <f>IFERROR(VLOOKUP(A118,'Centre DW11'!$A$7:$N$160,4,FALSE),0)+
IFERROR(VLOOKUP(A118,'Centre WP11'!$A$7:$N$160,4,FALSE),0)+
IFERROR(VLOOKUP(A118,'Centre WR11'!$A$7:$N$160,4,FALSE),0)+
IFERROR(VLOOKUP(A118,'Centre WV11'!$A$7:$N$160,4,FALSE),0)</f>
        <v>2.4</v>
      </c>
      <c r="E118" s="10">
        <f>IFERROR(VLOOKUP(A118,'Centre DW11'!$A$7:$N$160,5,FALSE),0)+
IFERROR(VLOOKUP(A118,'Centre WP11'!$A$7:$N$160,5,FALSE),0)+
IFERROR(VLOOKUP(A118,'Centre WR11'!$A$7:$N$160,5,FALSE),0)+
IFERROR(VLOOKUP(A118,'Centre WV11'!$A$7:$N$160,5,FALSE),0)</f>
        <v>0.9</v>
      </c>
      <c r="F118" s="10">
        <f>IFERROR(VLOOKUP(A118,'Centre DW11'!$A$7:$N$160,6,FALSE),0)+
IFERROR(VLOOKUP(A118,'Centre WP11'!$A$7:$N$160,6,FALSE),0)+
IFERROR(VLOOKUP(A118,'Centre WR11'!$A$7:$N$160,6,FALSE),0)+
IFERROR(VLOOKUP(A118,'Centre WV11'!$A$7:$N$160,6,FALSE),0)</f>
        <v>0.9</v>
      </c>
      <c r="G118" s="10">
        <f>IFERROR(VLOOKUP(A118,'Centre DW11'!$A$7:$N$160,7,FALSE),0)+
IFERROR(VLOOKUP(A118,'Centre WP11'!$A$7:$N$160,7,FALSE),0)+
IFERROR(VLOOKUP(A118,'Centre WR11'!$A$7:$N$160,7,FALSE),0)+
IFERROR(VLOOKUP(A118,'Centre WV11'!$A$7:$N$160,7,FALSE),0)</f>
        <v>1.1000000000000001</v>
      </c>
      <c r="H118" s="10">
        <f>IFERROR(VLOOKUP(A118,'Centre DW11'!$A$7:$N$160,8,FALSE),0)+
IFERROR(VLOOKUP(A118,'Centre WP11'!$A$7:$N$160,8,FALSE),0)+
IFERROR(VLOOKUP(A118,'Centre WR11'!$A$7:$N$160,8,FALSE),0)+
IFERROR(VLOOKUP(A118,'Centre WV11'!$A$7:$N$160,8,FALSE),0)</f>
        <v>1.2</v>
      </c>
      <c r="I118" s="10">
        <f>IFERROR(VLOOKUP(A118,'Centre DW11'!$A$7:$N$160,9,FALSE),0)+
IFERROR(VLOOKUP(A118,'Centre WP11'!$A$7:$N$160,9,FALSE),0)+
IFERROR(VLOOKUP(A118,'Centre WR11'!$A$7:$N$160,9,FALSE),0)+
IFERROR(VLOOKUP(A118,'Centre WV11'!$A$7:$N$160,9,FALSE),0)</f>
        <v>1.1000000000000001</v>
      </c>
      <c r="J118" s="10">
        <f>IFERROR(VLOOKUP(A118,'Centre DW11'!$A$7:$N$160,10,FALSE),0)+
IFERROR(VLOOKUP(A118,'Centre WP11'!$A$7:$N$160,10,FALSE),0)+
IFERROR(VLOOKUP(A118,'Centre WR11'!$A$7:$N$160,10,FALSE),0)+
IFERROR(VLOOKUP(A118,'Centre WV11'!$A$7:$N$160,10,FALSE),0)</f>
        <v>0.9</v>
      </c>
      <c r="K118" s="10">
        <f>IFERROR(VLOOKUP(A118,'Centre DW11'!$A$7:$N$160,11,FALSE),0)+
IFERROR(VLOOKUP(A118,'Centre WP11'!$A$7:$N$160,11,FALSE),0)+
IFERROR(VLOOKUP(A118,'Centre WR11'!$A$7:$N$160,11,FALSE),0)+
IFERROR(VLOOKUP(A118,'Centre WV11'!$A$7:$N$160,11,FALSE),0)</f>
        <v>0.9</v>
      </c>
      <c r="L118" s="10">
        <f>IFERROR(VLOOKUP(A118,'Centre DW11'!$A$7:$N$160,12,FALSE),0)+
IFERROR(VLOOKUP(A118,'Centre WP11'!$A$7:$N$160,12,FALSE),0)+
IFERROR(VLOOKUP(A118,'Centre WR11'!$A$7:$N$160,12,FALSE),0)+
IFERROR(VLOOKUP(A118,'Centre WV11'!$A$7:$N$160,12,FALSE),0)</f>
        <v>1.1000000000000001</v>
      </c>
      <c r="M118" s="10">
        <f>IFERROR(VLOOKUP(A118,'Centre DW11'!$A$7:$N$160,13,FALSE),0)+
IFERROR(VLOOKUP(A118,'Centre WP11'!$A$7:$N$160,13,FALSE),0)+
IFERROR(VLOOKUP(A118,'Centre WR11'!$A$7:$N$160,13,FALSE),0)+
IFERROR(VLOOKUP(A118,'Centre WV11'!$A$7:$N$160,13,FALSE),0)</f>
        <v>1.2</v>
      </c>
      <c r="N118" s="10">
        <f>IFERROR(VLOOKUP(A118,'Centre DW11'!$A$7:$N$160,14,FALSE),0)+
IFERROR(VLOOKUP(A118,'Centre WP11'!$A$7:$N$160,14,FALSE),0)+
IFERROR(VLOOKUP(A118,'Centre WR11'!$A$7:$N$160,14,FALSE),0)+
IFERROR(VLOOKUP(A118,'Centre WV11'!$A$7:$N$160,14,FALSE),0)</f>
        <v>1.1000000000000001</v>
      </c>
    </row>
    <row r="119" spans="1:14" hidden="1" outlineLevel="1" x14ac:dyDescent="0.2">
      <c r="A119" s="9" t="s">
        <v>196</v>
      </c>
      <c r="B119" s="1" t="s">
        <v>197</v>
      </c>
      <c r="C119" s="10">
        <f>IFERROR(VLOOKUP(A119,'Centre DW11'!$A$7:$N$160,3,FALSE),0)+
IFERROR(VLOOKUP(A119,'Centre WP11'!$A$7:$N$160,3,FALSE),0)+
IFERROR(VLOOKUP(A119,'Centre WR11'!$A$7:$N$160,3,FALSE),0)+
IFERROR(VLOOKUP(A119,'Centre WV11'!$A$7:$N$160,3,FALSE),0)</f>
        <v>0</v>
      </c>
      <c r="D119" s="10">
        <f>IFERROR(VLOOKUP(A119,'Centre DW11'!$A$7:$N$160,4,FALSE),0)+
IFERROR(VLOOKUP(A119,'Centre WP11'!$A$7:$N$160,4,FALSE),0)+
IFERROR(VLOOKUP(A119,'Centre WR11'!$A$7:$N$160,4,FALSE),0)+
IFERROR(VLOOKUP(A119,'Centre WV11'!$A$7:$N$160,4,FALSE),0)</f>
        <v>0</v>
      </c>
      <c r="E119" s="10">
        <f>IFERROR(VLOOKUP(A119,'Centre DW11'!$A$7:$N$160,5,FALSE),0)+
IFERROR(VLOOKUP(A119,'Centre WP11'!$A$7:$N$160,5,FALSE),0)+
IFERROR(VLOOKUP(A119,'Centre WR11'!$A$7:$N$160,5,FALSE),0)+
IFERROR(VLOOKUP(A119,'Centre WV11'!$A$7:$N$160,5,FALSE),0)</f>
        <v>0</v>
      </c>
      <c r="F119" s="10">
        <f>IFERROR(VLOOKUP(A119,'Centre DW11'!$A$7:$N$160,6,FALSE),0)+
IFERROR(VLOOKUP(A119,'Centre WP11'!$A$7:$N$160,6,FALSE),0)+
IFERROR(VLOOKUP(A119,'Centre WR11'!$A$7:$N$160,6,FALSE),0)+
IFERROR(VLOOKUP(A119,'Centre WV11'!$A$7:$N$160,6,FALSE),0)</f>
        <v>0</v>
      </c>
      <c r="G119" s="10">
        <f>IFERROR(VLOOKUP(A119,'Centre DW11'!$A$7:$N$160,7,FALSE),0)+
IFERROR(VLOOKUP(A119,'Centre WP11'!$A$7:$N$160,7,FALSE),0)+
IFERROR(VLOOKUP(A119,'Centre WR11'!$A$7:$N$160,7,FALSE),0)+
IFERROR(VLOOKUP(A119,'Centre WV11'!$A$7:$N$160,7,FALSE),0)</f>
        <v>0</v>
      </c>
      <c r="H119" s="10">
        <f>IFERROR(VLOOKUP(A119,'Centre DW11'!$A$7:$N$160,8,FALSE),0)+
IFERROR(VLOOKUP(A119,'Centre WP11'!$A$7:$N$160,8,FALSE),0)+
IFERROR(VLOOKUP(A119,'Centre WR11'!$A$7:$N$160,8,FALSE),0)+
IFERROR(VLOOKUP(A119,'Centre WV11'!$A$7:$N$160,8,FALSE),0)</f>
        <v>0</v>
      </c>
      <c r="I119" s="10">
        <f>IFERROR(VLOOKUP(A119,'Centre DW11'!$A$7:$N$160,9,FALSE),0)+
IFERROR(VLOOKUP(A119,'Centre WP11'!$A$7:$N$160,9,FALSE),0)+
IFERROR(VLOOKUP(A119,'Centre WR11'!$A$7:$N$160,9,FALSE),0)+
IFERROR(VLOOKUP(A119,'Centre WV11'!$A$7:$N$160,9,FALSE),0)</f>
        <v>0</v>
      </c>
      <c r="J119" s="10">
        <f>IFERROR(VLOOKUP(A119,'Centre DW11'!$A$7:$N$160,10,FALSE),0)+
IFERROR(VLOOKUP(A119,'Centre WP11'!$A$7:$N$160,10,FALSE),0)+
IFERROR(VLOOKUP(A119,'Centre WR11'!$A$7:$N$160,10,FALSE),0)+
IFERROR(VLOOKUP(A119,'Centre WV11'!$A$7:$N$160,10,FALSE),0)</f>
        <v>0</v>
      </c>
      <c r="K119" s="10">
        <f>IFERROR(VLOOKUP(A119,'Centre DW11'!$A$7:$N$160,11,FALSE),0)+
IFERROR(VLOOKUP(A119,'Centre WP11'!$A$7:$N$160,11,FALSE),0)+
IFERROR(VLOOKUP(A119,'Centre WR11'!$A$7:$N$160,11,FALSE),0)+
IFERROR(VLOOKUP(A119,'Centre WV11'!$A$7:$N$160,11,FALSE),0)</f>
        <v>0</v>
      </c>
      <c r="L119" s="10">
        <f>IFERROR(VLOOKUP(A119,'Centre DW11'!$A$7:$N$160,12,FALSE),0)+
IFERROR(VLOOKUP(A119,'Centre WP11'!$A$7:$N$160,12,FALSE),0)+
IFERROR(VLOOKUP(A119,'Centre WR11'!$A$7:$N$160,12,FALSE),0)+
IFERROR(VLOOKUP(A119,'Centre WV11'!$A$7:$N$160,12,FALSE),0)</f>
        <v>0</v>
      </c>
      <c r="M119" s="10">
        <f>IFERROR(VLOOKUP(A119,'Centre DW11'!$A$7:$N$160,13,FALSE),0)+
IFERROR(VLOOKUP(A119,'Centre WP11'!$A$7:$N$160,13,FALSE),0)+
IFERROR(VLOOKUP(A119,'Centre WR11'!$A$7:$N$160,13,FALSE),0)+
IFERROR(VLOOKUP(A119,'Centre WV11'!$A$7:$N$160,13,FALSE),0)</f>
        <v>0</v>
      </c>
      <c r="N119" s="10">
        <f>IFERROR(VLOOKUP(A119,'Centre DW11'!$A$7:$N$160,14,FALSE),0)+
IFERROR(VLOOKUP(A119,'Centre WP11'!$A$7:$N$160,14,FALSE),0)+
IFERROR(VLOOKUP(A119,'Centre WR11'!$A$7:$N$160,14,FALSE),0)+
IFERROR(VLOOKUP(A119,'Centre WV11'!$A$7:$N$160,14,FALSE),0)</f>
        <v>0</v>
      </c>
    </row>
    <row r="120" spans="1:14" hidden="1" outlineLevel="1" x14ac:dyDescent="0.2">
      <c r="A120" s="9" t="s">
        <v>198</v>
      </c>
      <c r="B120" s="1" t="s">
        <v>199</v>
      </c>
      <c r="C120" s="10">
        <f>IFERROR(VLOOKUP(A120,'Centre DW11'!$A$7:$N$160,3,FALSE),0)+
IFERROR(VLOOKUP(A120,'Centre WP11'!$A$7:$N$160,3,FALSE),0)+
IFERROR(VLOOKUP(A120,'Centre WR11'!$A$7:$N$160,3,FALSE),0)+
IFERROR(VLOOKUP(A120,'Centre WV11'!$A$7:$N$160,3,FALSE),0)</f>
        <v>0.7</v>
      </c>
      <c r="D120" s="10">
        <f>IFERROR(VLOOKUP(A120,'Centre DW11'!$A$7:$N$160,4,FALSE),0)+
IFERROR(VLOOKUP(A120,'Centre WP11'!$A$7:$N$160,4,FALSE),0)+
IFERROR(VLOOKUP(A120,'Centre WR11'!$A$7:$N$160,4,FALSE),0)+
IFERROR(VLOOKUP(A120,'Centre WV11'!$A$7:$N$160,4,FALSE),0)</f>
        <v>0.7</v>
      </c>
      <c r="E120" s="10">
        <f>IFERROR(VLOOKUP(A120,'Centre DW11'!$A$7:$N$160,5,FALSE),0)+
IFERROR(VLOOKUP(A120,'Centre WP11'!$A$7:$N$160,5,FALSE),0)+
IFERROR(VLOOKUP(A120,'Centre WR11'!$A$7:$N$160,5,FALSE),0)+
IFERROR(VLOOKUP(A120,'Centre WV11'!$A$7:$N$160,5,FALSE),0)</f>
        <v>0.7</v>
      </c>
      <c r="F120" s="10">
        <f>IFERROR(VLOOKUP(A120,'Centre DW11'!$A$7:$N$160,6,FALSE),0)+
IFERROR(VLOOKUP(A120,'Centre WP11'!$A$7:$N$160,6,FALSE),0)+
IFERROR(VLOOKUP(A120,'Centre WR11'!$A$7:$N$160,6,FALSE),0)+
IFERROR(VLOOKUP(A120,'Centre WV11'!$A$7:$N$160,6,FALSE),0)</f>
        <v>0.9</v>
      </c>
      <c r="G120" s="10">
        <f>IFERROR(VLOOKUP(A120,'Centre DW11'!$A$7:$N$160,7,FALSE),0)+
IFERROR(VLOOKUP(A120,'Centre WP11'!$A$7:$N$160,7,FALSE),0)+
IFERROR(VLOOKUP(A120,'Centre WR11'!$A$7:$N$160,7,FALSE),0)+
IFERROR(VLOOKUP(A120,'Centre WV11'!$A$7:$N$160,7,FALSE),0)</f>
        <v>0.9</v>
      </c>
      <c r="H120" s="10">
        <f>IFERROR(VLOOKUP(A120,'Centre DW11'!$A$7:$N$160,8,FALSE),0)+
IFERROR(VLOOKUP(A120,'Centre WP11'!$A$7:$N$160,8,FALSE),0)+
IFERROR(VLOOKUP(A120,'Centre WR11'!$A$7:$N$160,8,FALSE),0)+
IFERROR(VLOOKUP(A120,'Centre WV11'!$A$7:$N$160,8,FALSE),0)</f>
        <v>0.6</v>
      </c>
      <c r="I120" s="10">
        <f>IFERROR(VLOOKUP(A120,'Centre DW11'!$A$7:$N$160,9,FALSE),0)+
IFERROR(VLOOKUP(A120,'Centre WP11'!$A$7:$N$160,9,FALSE),0)+
IFERROR(VLOOKUP(A120,'Centre WR11'!$A$7:$N$160,9,FALSE),0)+
IFERROR(VLOOKUP(A120,'Centre WV11'!$A$7:$N$160,9,FALSE),0)</f>
        <v>0.9</v>
      </c>
      <c r="J120" s="10">
        <f>IFERROR(VLOOKUP(A120,'Centre DW11'!$A$7:$N$160,10,FALSE),0)+
IFERROR(VLOOKUP(A120,'Centre WP11'!$A$7:$N$160,10,FALSE),0)+
IFERROR(VLOOKUP(A120,'Centre WR11'!$A$7:$N$160,10,FALSE),0)+
IFERROR(VLOOKUP(A120,'Centre WV11'!$A$7:$N$160,10,FALSE),0)</f>
        <v>0.7</v>
      </c>
      <c r="K120" s="10">
        <f>IFERROR(VLOOKUP(A120,'Centre DW11'!$A$7:$N$160,11,FALSE),0)+
IFERROR(VLOOKUP(A120,'Centre WP11'!$A$7:$N$160,11,FALSE),0)+
IFERROR(VLOOKUP(A120,'Centre WR11'!$A$7:$N$160,11,FALSE),0)+
IFERROR(VLOOKUP(A120,'Centre WV11'!$A$7:$N$160,11,FALSE),0)</f>
        <v>0.9</v>
      </c>
      <c r="L120" s="10">
        <f>IFERROR(VLOOKUP(A120,'Centre DW11'!$A$7:$N$160,12,FALSE),0)+
IFERROR(VLOOKUP(A120,'Centre WP11'!$A$7:$N$160,12,FALSE),0)+
IFERROR(VLOOKUP(A120,'Centre WR11'!$A$7:$N$160,12,FALSE),0)+
IFERROR(VLOOKUP(A120,'Centre WV11'!$A$7:$N$160,12,FALSE),0)</f>
        <v>0.9</v>
      </c>
      <c r="M120" s="10">
        <f>IFERROR(VLOOKUP(A120,'Centre DW11'!$A$7:$N$160,13,FALSE),0)+
IFERROR(VLOOKUP(A120,'Centre WP11'!$A$7:$N$160,13,FALSE),0)+
IFERROR(VLOOKUP(A120,'Centre WR11'!$A$7:$N$160,13,FALSE),0)+
IFERROR(VLOOKUP(A120,'Centre WV11'!$A$7:$N$160,13,FALSE),0)</f>
        <v>0.6</v>
      </c>
      <c r="N120" s="10">
        <f>IFERROR(VLOOKUP(A120,'Centre DW11'!$A$7:$N$160,14,FALSE),0)+
IFERROR(VLOOKUP(A120,'Centre WP11'!$A$7:$N$160,14,FALSE),0)+
IFERROR(VLOOKUP(A120,'Centre WR11'!$A$7:$N$160,14,FALSE),0)+
IFERROR(VLOOKUP(A120,'Centre WV11'!$A$7:$N$160,14,FALSE),0)</f>
        <v>0.9</v>
      </c>
    </row>
    <row r="121" spans="1:14" collapsed="1" x14ac:dyDescent="0.2">
      <c r="A121" s="33" t="s">
        <v>200</v>
      </c>
      <c r="B121" s="34" t="s">
        <v>201</v>
      </c>
      <c r="C121" s="44">
        <f t="shared" ref="C121:M121" si="42">SUM(C122:C133)</f>
        <v>2.9</v>
      </c>
      <c r="D121" s="44">
        <f t="shared" si="42"/>
        <v>2.5</v>
      </c>
      <c r="E121" s="44">
        <f t="shared" si="42"/>
        <v>3.1</v>
      </c>
      <c r="F121" s="44">
        <f t="shared" si="42"/>
        <v>2.1</v>
      </c>
      <c r="G121" s="44">
        <f t="shared" si="42"/>
        <v>1.9000000000000001</v>
      </c>
      <c r="H121" s="44">
        <f t="shared" si="42"/>
        <v>1.9000000000000001</v>
      </c>
      <c r="I121" s="44">
        <f t="shared" si="42"/>
        <v>1.1000000000000001</v>
      </c>
      <c r="J121" s="44">
        <f t="shared" si="42"/>
        <v>3.1</v>
      </c>
      <c r="K121" s="44">
        <f t="shared" si="42"/>
        <v>2.1</v>
      </c>
      <c r="L121" s="44">
        <f t="shared" si="42"/>
        <v>1.9000000000000001</v>
      </c>
      <c r="M121" s="44">
        <f t="shared" si="42"/>
        <v>1.9000000000000001</v>
      </c>
      <c r="N121" s="44">
        <f t="shared" ref="N121" si="43">SUM(N122:N133)</f>
        <v>1.1000000000000001</v>
      </c>
    </row>
    <row r="122" spans="1:14" hidden="1" outlineLevel="1" x14ac:dyDescent="0.2">
      <c r="A122" s="9" t="s">
        <v>202</v>
      </c>
      <c r="B122" s="1" t="s">
        <v>203</v>
      </c>
      <c r="C122" s="10">
        <f>IFERROR(VLOOKUP(A122,'Centre DW11'!$A$7:$N$160,3,FALSE),0)+
IFERROR(VLOOKUP(A122,'Centre WP11'!$A$7:$N$160,3,FALSE),0)+
IFERROR(VLOOKUP(A122,'Centre WR11'!$A$7:$N$160,3,FALSE),0)+
IFERROR(VLOOKUP(A122,'Centre WV11'!$A$7:$N$160,3,FALSE),0)</f>
        <v>0</v>
      </c>
      <c r="D122" s="10">
        <f>IFERROR(VLOOKUP(A122,'Centre DW11'!$A$7:$N$160,4,FALSE),0)+
IFERROR(VLOOKUP(A122,'Centre WP11'!$A$7:$N$160,4,FALSE),0)+
IFERROR(VLOOKUP(A122,'Centre WR11'!$A$7:$N$160,4,FALSE),0)+
IFERROR(VLOOKUP(A122,'Centre WV11'!$A$7:$N$160,4,FALSE),0)</f>
        <v>0</v>
      </c>
      <c r="E122" s="10">
        <f>IFERROR(VLOOKUP(A122,'Centre DW11'!$A$7:$N$160,5,FALSE),0)+
IFERROR(VLOOKUP(A122,'Centre WP11'!$A$7:$N$160,5,FALSE),0)+
IFERROR(VLOOKUP(A122,'Centre WR11'!$A$7:$N$160,5,FALSE),0)+
IFERROR(VLOOKUP(A122,'Centre WV11'!$A$7:$N$160,5,FALSE),0)</f>
        <v>0</v>
      </c>
      <c r="F122" s="10">
        <f>IFERROR(VLOOKUP(A122,'Centre DW11'!$A$7:$N$160,6,FALSE),0)+
IFERROR(VLOOKUP(A122,'Centre WP11'!$A$7:$N$160,6,FALSE),0)+
IFERROR(VLOOKUP(A122,'Centre WR11'!$A$7:$N$160,6,FALSE),0)+
IFERROR(VLOOKUP(A122,'Centre WV11'!$A$7:$N$160,6,FALSE),0)</f>
        <v>0</v>
      </c>
      <c r="G122" s="10">
        <f>IFERROR(VLOOKUP(A122,'Centre DW11'!$A$7:$N$160,7,FALSE),0)+
IFERROR(VLOOKUP(A122,'Centre WP11'!$A$7:$N$160,7,FALSE),0)+
IFERROR(VLOOKUP(A122,'Centre WR11'!$A$7:$N$160,7,FALSE),0)+
IFERROR(VLOOKUP(A122,'Centre WV11'!$A$7:$N$160,7,FALSE),0)</f>
        <v>0</v>
      </c>
      <c r="H122" s="10">
        <f>IFERROR(VLOOKUP(A122,'Centre DW11'!$A$7:$N$160,8,FALSE),0)+
IFERROR(VLOOKUP(A122,'Centre WP11'!$A$7:$N$160,8,FALSE),0)+
IFERROR(VLOOKUP(A122,'Centre WR11'!$A$7:$N$160,8,FALSE),0)+
IFERROR(VLOOKUP(A122,'Centre WV11'!$A$7:$N$160,8,FALSE),0)</f>
        <v>0</v>
      </c>
      <c r="I122" s="10">
        <f>IFERROR(VLOOKUP(A122,'Centre DW11'!$A$7:$N$160,9,FALSE),0)+
IFERROR(VLOOKUP(A122,'Centre WP11'!$A$7:$N$160,9,FALSE),0)+
IFERROR(VLOOKUP(A122,'Centre WR11'!$A$7:$N$160,9,FALSE),0)+
IFERROR(VLOOKUP(A122,'Centre WV11'!$A$7:$N$160,9,FALSE),0)</f>
        <v>0</v>
      </c>
      <c r="J122" s="10">
        <f>IFERROR(VLOOKUP(A122,'Centre DW11'!$A$7:$N$160,10,FALSE),0)+
IFERROR(VLOOKUP(A122,'Centre WP11'!$A$7:$N$160,10,FALSE),0)+
IFERROR(VLOOKUP(A122,'Centre WR11'!$A$7:$N$160,10,FALSE),0)+
IFERROR(VLOOKUP(A122,'Centre WV11'!$A$7:$N$160,10,FALSE),0)</f>
        <v>0</v>
      </c>
      <c r="K122" s="10">
        <f>IFERROR(VLOOKUP(A122,'Centre DW11'!$A$7:$N$160,11,FALSE),0)+
IFERROR(VLOOKUP(A122,'Centre WP11'!$A$7:$N$160,11,FALSE),0)+
IFERROR(VLOOKUP(A122,'Centre WR11'!$A$7:$N$160,11,FALSE),0)+
IFERROR(VLOOKUP(A122,'Centre WV11'!$A$7:$N$160,11,FALSE),0)</f>
        <v>0</v>
      </c>
      <c r="L122" s="10">
        <f>IFERROR(VLOOKUP(A122,'Centre DW11'!$A$7:$N$160,12,FALSE),0)+
IFERROR(VLOOKUP(A122,'Centre WP11'!$A$7:$N$160,12,FALSE),0)+
IFERROR(VLOOKUP(A122,'Centre WR11'!$A$7:$N$160,12,FALSE),0)+
IFERROR(VLOOKUP(A122,'Centre WV11'!$A$7:$N$160,12,FALSE),0)</f>
        <v>0</v>
      </c>
      <c r="M122" s="10">
        <f>IFERROR(VLOOKUP(A122,'Centre DW11'!$A$7:$N$160,13,FALSE),0)+
IFERROR(VLOOKUP(A122,'Centre WP11'!$A$7:$N$160,13,FALSE),0)+
IFERROR(VLOOKUP(A122,'Centre WR11'!$A$7:$N$160,13,FALSE),0)+
IFERROR(VLOOKUP(A122,'Centre WV11'!$A$7:$N$160,13,FALSE),0)</f>
        <v>0</v>
      </c>
      <c r="N122" s="10">
        <f>IFERROR(VLOOKUP(A122,'Centre DW11'!$A$7:$N$160,14,FALSE),0)+
IFERROR(VLOOKUP(A122,'Centre WP11'!$A$7:$N$160,14,FALSE),0)+
IFERROR(VLOOKUP(A122,'Centre WR11'!$A$7:$N$160,14,FALSE),0)+
IFERROR(VLOOKUP(A122,'Centre WV11'!$A$7:$N$160,14,FALSE),0)</f>
        <v>0</v>
      </c>
    </row>
    <row r="123" spans="1:14" hidden="1" outlineLevel="1" x14ac:dyDescent="0.2">
      <c r="A123" s="9" t="s">
        <v>204</v>
      </c>
      <c r="B123" s="1" t="s">
        <v>205</v>
      </c>
      <c r="C123" s="10">
        <f>IFERROR(VLOOKUP(A123,'Centre DW11'!$A$7:$N$160,3,FALSE),0)+
IFERROR(VLOOKUP(A123,'Centre WP11'!$A$7:$N$160,3,FALSE),0)+
IFERROR(VLOOKUP(A123,'Centre WR11'!$A$7:$N$160,3,FALSE),0)+
IFERROR(VLOOKUP(A123,'Centre WV11'!$A$7:$N$160,3,FALSE),0)</f>
        <v>0</v>
      </c>
      <c r="D123" s="10">
        <f>IFERROR(VLOOKUP(A123,'Centre DW11'!$A$7:$N$160,4,FALSE),0)+
IFERROR(VLOOKUP(A123,'Centre WP11'!$A$7:$N$160,4,FALSE),0)+
IFERROR(VLOOKUP(A123,'Centre WR11'!$A$7:$N$160,4,FALSE),0)+
IFERROR(VLOOKUP(A123,'Centre WV11'!$A$7:$N$160,4,FALSE),0)</f>
        <v>0</v>
      </c>
      <c r="E123" s="10">
        <f>IFERROR(VLOOKUP(A123,'Centre DW11'!$A$7:$N$160,5,FALSE),0)+
IFERROR(VLOOKUP(A123,'Centre WP11'!$A$7:$N$160,5,FALSE),0)+
IFERROR(VLOOKUP(A123,'Centre WR11'!$A$7:$N$160,5,FALSE),0)+
IFERROR(VLOOKUP(A123,'Centre WV11'!$A$7:$N$160,5,FALSE),0)</f>
        <v>0</v>
      </c>
      <c r="F123" s="10">
        <f>IFERROR(VLOOKUP(A123,'Centre DW11'!$A$7:$N$160,6,FALSE),0)+
IFERROR(VLOOKUP(A123,'Centre WP11'!$A$7:$N$160,6,FALSE),0)+
IFERROR(VLOOKUP(A123,'Centre WR11'!$A$7:$N$160,6,FALSE),0)+
IFERROR(VLOOKUP(A123,'Centre WV11'!$A$7:$N$160,6,FALSE),0)</f>
        <v>0</v>
      </c>
      <c r="G123" s="10">
        <f>IFERROR(VLOOKUP(A123,'Centre DW11'!$A$7:$N$160,7,FALSE),0)+
IFERROR(VLOOKUP(A123,'Centre WP11'!$A$7:$N$160,7,FALSE),0)+
IFERROR(VLOOKUP(A123,'Centre WR11'!$A$7:$N$160,7,FALSE),0)+
IFERROR(VLOOKUP(A123,'Centre WV11'!$A$7:$N$160,7,FALSE),0)</f>
        <v>0</v>
      </c>
      <c r="H123" s="10">
        <f>IFERROR(VLOOKUP(A123,'Centre DW11'!$A$7:$N$160,8,FALSE),0)+
IFERROR(VLOOKUP(A123,'Centre WP11'!$A$7:$N$160,8,FALSE),0)+
IFERROR(VLOOKUP(A123,'Centre WR11'!$A$7:$N$160,8,FALSE),0)+
IFERROR(VLOOKUP(A123,'Centre WV11'!$A$7:$N$160,8,FALSE),0)</f>
        <v>0</v>
      </c>
      <c r="I123" s="10">
        <f>IFERROR(VLOOKUP(A123,'Centre DW11'!$A$7:$N$160,9,FALSE),0)+
IFERROR(VLOOKUP(A123,'Centre WP11'!$A$7:$N$160,9,FALSE),0)+
IFERROR(VLOOKUP(A123,'Centre WR11'!$A$7:$N$160,9,FALSE),0)+
IFERROR(VLOOKUP(A123,'Centre WV11'!$A$7:$N$160,9,FALSE),0)</f>
        <v>0</v>
      </c>
      <c r="J123" s="10">
        <f>IFERROR(VLOOKUP(A123,'Centre DW11'!$A$7:$N$160,10,FALSE),0)+
IFERROR(VLOOKUP(A123,'Centre WP11'!$A$7:$N$160,10,FALSE),0)+
IFERROR(VLOOKUP(A123,'Centre WR11'!$A$7:$N$160,10,FALSE),0)+
IFERROR(VLOOKUP(A123,'Centre WV11'!$A$7:$N$160,10,FALSE),0)</f>
        <v>0</v>
      </c>
      <c r="K123" s="10">
        <f>IFERROR(VLOOKUP(A123,'Centre DW11'!$A$7:$N$160,11,FALSE),0)+
IFERROR(VLOOKUP(A123,'Centre WP11'!$A$7:$N$160,11,FALSE),0)+
IFERROR(VLOOKUP(A123,'Centre WR11'!$A$7:$N$160,11,FALSE),0)+
IFERROR(VLOOKUP(A123,'Centre WV11'!$A$7:$N$160,11,FALSE),0)</f>
        <v>0</v>
      </c>
      <c r="L123" s="10">
        <f>IFERROR(VLOOKUP(A123,'Centre DW11'!$A$7:$N$160,12,FALSE),0)+
IFERROR(VLOOKUP(A123,'Centre WP11'!$A$7:$N$160,12,FALSE),0)+
IFERROR(VLOOKUP(A123,'Centre WR11'!$A$7:$N$160,12,FALSE),0)+
IFERROR(VLOOKUP(A123,'Centre WV11'!$A$7:$N$160,12,FALSE),0)</f>
        <v>0</v>
      </c>
      <c r="M123" s="10">
        <f>IFERROR(VLOOKUP(A123,'Centre DW11'!$A$7:$N$160,13,FALSE),0)+
IFERROR(VLOOKUP(A123,'Centre WP11'!$A$7:$N$160,13,FALSE),0)+
IFERROR(VLOOKUP(A123,'Centre WR11'!$A$7:$N$160,13,FALSE),0)+
IFERROR(VLOOKUP(A123,'Centre WV11'!$A$7:$N$160,13,FALSE),0)</f>
        <v>0</v>
      </c>
      <c r="N123" s="10">
        <f>IFERROR(VLOOKUP(A123,'Centre DW11'!$A$7:$N$160,14,FALSE),0)+
IFERROR(VLOOKUP(A123,'Centre WP11'!$A$7:$N$160,14,FALSE),0)+
IFERROR(VLOOKUP(A123,'Centre WR11'!$A$7:$N$160,14,FALSE),0)+
IFERROR(VLOOKUP(A123,'Centre WV11'!$A$7:$N$160,14,FALSE),0)</f>
        <v>0</v>
      </c>
    </row>
    <row r="124" spans="1:14" hidden="1" outlineLevel="1" x14ac:dyDescent="0.2">
      <c r="A124" s="9" t="s">
        <v>206</v>
      </c>
      <c r="B124" s="1" t="s">
        <v>207</v>
      </c>
      <c r="C124" s="10">
        <f>IFERROR(VLOOKUP(A124,'Centre DW11'!$A$7:$N$160,3,FALSE),0)+
IFERROR(VLOOKUP(A124,'Centre WP11'!$A$7:$N$160,3,FALSE),0)+
IFERROR(VLOOKUP(A124,'Centre WR11'!$A$7:$N$160,3,FALSE),0)+
IFERROR(VLOOKUP(A124,'Centre WV11'!$A$7:$N$160,3,FALSE),0)</f>
        <v>0.1</v>
      </c>
      <c r="D124" s="10">
        <f>IFERROR(VLOOKUP(A124,'Centre DW11'!$A$7:$N$160,4,FALSE),0)+
IFERROR(VLOOKUP(A124,'Centre WP11'!$A$7:$N$160,4,FALSE),0)+
IFERROR(VLOOKUP(A124,'Centre WR11'!$A$7:$N$160,4,FALSE),0)+
IFERROR(VLOOKUP(A124,'Centre WV11'!$A$7:$N$160,4,FALSE),0)</f>
        <v>0.1</v>
      </c>
      <c r="E124" s="10">
        <f>IFERROR(VLOOKUP(A124,'Centre DW11'!$A$7:$N$160,5,FALSE),0)+
IFERROR(VLOOKUP(A124,'Centre WP11'!$A$7:$N$160,5,FALSE),0)+
IFERROR(VLOOKUP(A124,'Centre WR11'!$A$7:$N$160,5,FALSE),0)+
IFERROR(VLOOKUP(A124,'Centre WV11'!$A$7:$N$160,5,FALSE),0)</f>
        <v>0.1</v>
      </c>
      <c r="F124" s="10">
        <f>IFERROR(VLOOKUP(A124,'Centre DW11'!$A$7:$N$160,6,FALSE),0)+
IFERROR(VLOOKUP(A124,'Centre WP11'!$A$7:$N$160,6,FALSE),0)+
IFERROR(VLOOKUP(A124,'Centre WR11'!$A$7:$N$160,6,FALSE),0)+
IFERROR(VLOOKUP(A124,'Centre WV11'!$A$7:$N$160,6,FALSE),0)</f>
        <v>0.1</v>
      </c>
      <c r="G124" s="10">
        <f>IFERROR(VLOOKUP(A124,'Centre DW11'!$A$7:$N$160,7,FALSE),0)+
IFERROR(VLOOKUP(A124,'Centre WP11'!$A$7:$N$160,7,FALSE),0)+
IFERROR(VLOOKUP(A124,'Centre WR11'!$A$7:$N$160,7,FALSE),0)+
IFERROR(VLOOKUP(A124,'Centre WV11'!$A$7:$N$160,7,FALSE),0)</f>
        <v>0.1</v>
      </c>
      <c r="H124" s="10">
        <f>IFERROR(VLOOKUP(A124,'Centre DW11'!$A$7:$N$160,8,FALSE),0)+
IFERROR(VLOOKUP(A124,'Centre WP11'!$A$7:$N$160,8,FALSE),0)+
IFERROR(VLOOKUP(A124,'Centre WR11'!$A$7:$N$160,8,FALSE),0)+
IFERROR(VLOOKUP(A124,'Centre WV11'!$A$7:$N$160,8,FALSE),0)</f>
        <v>0.1</v>
      </c>
      <c r="I124" s="10">
        <f>IFERROR(VLOOKUP(A124,'Centre DW11'!$A$7:$N$160,9,FALSE),0)+
IFERROR(VLOOKUP(A124,'Centre WP11'!$A$7:$N$160,9,FALSE),0)+
IFERROR(VLOOKUP(A124,'Centre WR11'!$A$7:$N$160,9,FALSE),0)+
IFERROR(VLOOKUP(A124,'Centre WV11'!$A$7:$N$160,9,FALSE),0)</f>
        <v>0.1</v>
      </c>
      <c r="J124" s="10">
        <f>IFERROR(VLOOKUP(A124,'Centre DW11'!$A$7:$N$160,10,FALSE),0)+
IFERROR(VLOOKUP(A124,'Centre WP11'!$A$7:$N$160,10,FALSE),0)+
IFERROR(VLOOKUP(A124,'Centre WR11'!$A$7:$N$160,10,FALSE),0)+
IFERROR(VLOOKUP(A124,'Centre WV11'!$A$7:$N$160,10,FALSE),0)</f>
        <v>0.1</v>
      </c>
      <c r="K124" s="10">
        <f>IFERROR(VLOOKUP(A124,'Centre DW11'!$A$7:$N$160,11,FALSE),0)+
IFERROR(VLOOKUP(A124,'Centre WP11'!$A$7:$N$160,11,FALSE),0)+
IFERROR(VLOOKUP(A124,'Centre WR11'!$A$7:$N$160,11,FALSE),0)+
IFERROR(VLOOKUP(A124,'Centre WV11'!$A$7:$N$160,11,FALSE),0)</f>
        <v>0.1</v>
      </c>
      <c r="L124" s="10">
        <f>IFERROR(VLOOKUP(A124,'Centre DW11'!$A$7:$N$160,12,FALSE),0)+
IFERROR(VLOOKUP(A124,'Centre WP11'!$A$7:$N$160,12,FALSE),0)+
IFERROR(VLOOKUP(A124,'Centre WR11'!$A$7:$N$160,12,FALSE),0)+
IFERROR(VLOOKUP(A124,'Centre WV11'!$A$7:$N$160,12,FALSE),0)</f>
        <v>0.1</v>
      </c>
      <c r="M124" s="10">
        <f>IFERROR(VLOOKUP(A124,'Centre DW11'!$A$7:$N$160,13,FALSE),0)+
IFERROR(VLOOKUP(A124,'Centre WP11'!$A$7:$N$160,13,FALSE),0)+
IFERROR(VLOOKUP(A124,'Centre WR11'!$A$7:$N$160,13,FALSE),0)+
IFERROR(VLOOKUP(A124,'Centre WV11'!$A$7:$N$160,13,FALSE),0)</f>
        <v>0.1</v>
      </c>
      <c r="N124" s="10">
        <f>IFERROR(VLOOKUP(A124,'Centre DW11'!$A$7:$N$160,14,FALSE),0)+
IFERROR(VLOOKUP(A124,'Centre WP11'!$A$7:$N$160,14,FALSE),0)+
IFERROR(VLOOKUP(A124,'Centre WR11'!$A$7:$N$160,14,FALSE),0)+
IFERROR(VLOOKUP(A124,'Centre WV11'!$A$7:$N$160,14,FALSE),0)</f>
        <v>0.1</v>
      </c>
    </row>
    <row r="125" spans="1:14" hidden="1" outlineLevel="1" x14ac:dyDescent="0.2">
      <c r="A125" s="9" t="s">
        <v>208</v>
      </c>
      <c r="B125" s="1" t="s">
        <v>209</v>
      </c>
      <c r="C125" s="10">
        <f>IFERROR(VLOOKUP(A125,'Centre DW11'!$A$7:$N$160,3,FALSE),0)+
IFERROR(VLOOKUP(A125,'Centre WP11'!$A$7:$N$160,3,FALSE),0)+
IFERROR(VLOOKUP(A125,'Centre WR11'!$A$7:$N$160,3,FALSE),0)+
IFERROR(VLOOKUP(A125,'Centre WV11'!$A$7:$N$160,3,FALSE),0)</f>
        <v>0</v>
      </c>
      <c r="D125" s="10">
        <f>IFERROR(VLOOKUP(A125,'Centre DW11'!$A$7:$N$160,4,FALSE),0)+
IFERROR(VLOOKUP(A125,'Centre WP11'!$A$7:$N$160,4,FALSE),0)+
IFERROR(VLOOKUP(A125,'Centre WR11'!$A$7:$N$160,4,FALSE),0)+
IFERROR(VLOOKUP(A125,'Centre WV11'!$A$7:$N$160,4,FALSE),0)</f>
        <v>0</v>
      </c>
      <c r="E125" s="10">
        <f>IFERROR(VLOOKUP(A125,'Centre DW11'!$A$7:$N$160,5,FALSE),0)+
IFERROR(VLOOKUP(A125,'Centre WP11'!$A$7:$N$160,5,FALSE),0)+
IFERROR(VLOOKUP(A125,'Centre WR11'!$A$7:$N$160,5,FALSE),0)+
IFERROR(VLOOKUP(A125,'Centre WV11'!$A$7:$N$160,5,FALSE),0)</f>
        <v>0</v>
      </c>
      <c r="F125" s="10">
        <f>IFERROR(VLOOKUP(A125,'Centre DW11'!$A$7:$N$160,6,FALSE),0)+
IFERROR(VLOOKUP(A125,'Centre WP11'!$A$7:$N$160,6,FALSE),0)+
IFERROR(VLOOKUP(A125,'Centre WR11'!$A$7:$N$160,6,FALSE),0)+
IFERROR(VLOOKUP(A125,'Centre WV11'!$A$7:$N$160,6,FALSE),0)</f>
        <v>0</v>
      </c>
      <c r="G125" s="10">
        <f>IFERROR(VLOOKUP(A125,'Centre DW11'!$A$7:$N$160,7,FALSE),0)+
IFERROR(VLOOKUP(A125,'Centre WP11'!$A$7:$N$160,7,FALSE),0)+
IFERROR(VLOOKUP(A125,'Centre WR11'!$A$7:$N$160,7,FALSE),0)+
IFERROR(VLOOKUP(A125,'Centre WV11'!$A$7:$N$160,7,FALSE),0)</f>
        <v>0</v>
      </c>
      <c r="H125" s="10">
        <f>IFERROR(VLOOKUP(A125,'Centre DW11'!$A$7:$N$160,8,FALSE),0)+
IFERROR(VLOOKUP(A125,'Centre WP11'!$A$7:$N$160,8,FALSE),0)+
IFERROR(VLOOKUP(A125,'Centre WR11'!$A$7:$N$160,8,FALSE),0)+
IFERROR(VLOOKUP(A125,'Centre WV11'!$A$7:$N$160,8,FALSE),0)</f>
        <v>0</v>
      </c>
      <c r="I125" s="10">
        <f>IFERROR(VLOOKUP(A125,'Centre DW11'!$A$7:$N$160,9,FALSE),0)+
IFERROR(VLOOKUP(A125,'Centre WP11'!$A$7:$N$160,9,FALSE),0)+
IFERROR(VLOOKUP(A125,'Centre WR11'!$A$7:$N$160,9,FALSE),0)+
IFERROR(VLOOKUP(A125,'Centre WV11'!$A$7:$N$160,9,FALSE),0)</f>
        <v>0</v>
      </c>
      <c r="J125" s="10">
        <f>IFERROR(VLOOKUP(A125,'Centre DW11'!$A$7:$N$160,10,FALSE),0)+
IFERROR(VLOOKUP(A125,'Centre WP11'!$A$7:$N$160,10,FALSE),0)+
IFERROR(VLOOKUP(A125,'Centre WR11'!$A$7:$N$160,10,FALSE),0)+
IFERROR(VLOOKUP(A125,'Centre WV11'!$A$7:$N$160,10,FALSE),0)</f>
        <v>0</v>
      </c>
      <c r="K125" s="10">
        <f>IFERROR(VLOOKUP(A125,'Centre DW11'!$A$7:$N$160,11,FALSE),0)+
IFERROR(VLOOKUP(A125,'Centre WP11'!$A$7:$N$160,11,FALSE),0)+
IFERROR(VLOOKUP(A125,'Centre WR11'!$A$7:$N$160,11,FALSE),0)+
IFERROR(VLOOKUP(A125,'Centre WV11'!$A$7:$N$160,11,FALSE),0)</f>
        <v>0</v>
      </c>
      <c r="L125" s="10">
        <f>IFERROR(VLOOKUP(A125,'Centre DW11'!$A$7:$N$160,12,FALSE),0)+
IFERROR(VLOOKUP(A125,'Centre WP11'!$A$7:$N$160,12,FALSE),0)+
IFERROR(VLOOKUP(A125,'Centre WR11'!$A$7:$N$160,12,FALSE),0)+
IFERROR(VLOOKUP(A125,'Centre WV11'!$A$7:$N$160,12,FALSE),0)</f>
        <v>0</v>
      </c>
      <c r="M125" s="10">
        <f>IFERROR(VLOOKUP(A125,'Centre DW11'!$A$7:$N$160,13,FALSE),0)+
IFERROR(VLOOKUP(A125,'Centre WP11'!$A$7:$N$160,13,FALSE),0)+
IFERROR(VLOOKUP(A125,'Centre WR11'!$A$7:$N$160,13,FALSE),0)+
IFERROR(VLOOKUP(A125,'Centre WV11'!$A$7:$N$160,13,FALSE),0)</f>
        <v>0</v>
      </c>
      <c r="N125" s="10">
        <f>IFERROR(VLOOKUP(A125,'Centre DW11'!$A$7:$N$160,14,FALSE),0)+
IFERROR(VLOOKUP(A125,'Centre WP11'!$A$7:$N$160,14,FALSE),0)+
IFERROR(VLOOKUP(A125,'Centre WR11'!$A$7:$N$160,14,FALSE),0)+
IFERROR(VLOOKUP(A125,'Centre WV11'!$A$7:$N$160,14,FALSE),0)</f>
        <v>0</v>
      </c>
    </row>
    <row r="126" spans="1:14" hidden="1" outlineLevel="1" x14ac:dyDescent="0.2">
      <c r="A126" s="9" t="s">
        <v>210</v>
      </c>
      <c r="B126" s="1" t="s">
        <v>211</v>
      </c>
      <c r="C126" s="10">
        <f>IFERROR(VLOOKUP(A126,'Centre DW11'!$A$7:$N$160,3,FALSE),0)+
IFERROR(VLOOKUP(A126,'Centre WP11'!$A$7:$N$160,3,FALSE),0)+
IFERROR(VLOOKUP(A126,'Centre WR11'!$A$7:$N$160,3,FALSE),0)+
IFERROR(VLOOKUP(A126,'Centre WV11'!$A$7:$N$160,3,FALSE),0)</f>
        <v>0.3</v>
      </c>
      <c r="D126" s="10">
        <f>IFERROR(VLOOKUP(A126,'Centre DW11'!$A$7:$N$160,4,FALSE),0)+
IFERROR(VLOOKUP(A126,'Centre WP11'!$A$7:$N$160,4,FALSE),0)+
IFERROR(VLOOKUP(A126,'Centre WR11'!$A$7:$N$160,4,FALSE),0)+
IFERROR(VLOOKUP(A126,'Centre WV11'!$A$7:$N$160,4,FALSE),0)</f>
        <v>0.3</v>
      </c>
      <c r="E126" s="10">
        <f>IFERROR(VLOOKUP(A126,'Centre DW11'!$A$7:$N$160,5,FALSE),0)+
IFERROR(VLOOKUP(A126,'Centre WP11'!$A$7:$N$160,5,FALSE),0)+
IFERROR(VLOOKUP(A126,'Centre WR11'!$A$7:$N$160,5,FALSE),0)+
IFERROR(VLOOKUP(A126,'Centre WV11'!$A$7:$N$160,5,FALSE),0)</f>
        <v>0.3</v>
      </c>
      <c r="F126" s="10">
        <f>IFERROR(VLOOKUP(A126,'Centre DW11'!$A$7:$N$160,6,FALSE),0)+
IFERROR(VLOOKUP(A126,'Centre WP11'!$A$7:$N$160,6,FALSE),0)+
IFERROR(VLOOKUP(A126,'Centre WR11'!$A$7:$N$160,6,FALSE),0)+
IFERROR(VLOOKUP(A126,'Centre WV11'!$A$7:$N$160,6,FALSE),0)</f>
        <v>0.3</v>
      </c>
      <c r="G126" s="10">
        <f>IFERROR(VLOOKUP(A126,'Centre DW11'!$A$7:$N$160,7,FALSE),0)+
IFERROR(VLOOKUP(A126,'Centre WP11'!$A$7:$N$160,7,FALSE),0)+
IFERROR(VLOOKUP(A126,'Centre WR11'!$A$7:$N$160,7,FALSE),0)+
IFERROR(VLOOKUP(A126,'Centre WV11'!$A$7:$N$160,7,FALSE),0)</f>
        <v>0.3</v>
      </c>
      <c r="H126" s="10">
        <f>IFERROR(VLOOKUP(A126,'Centre DW11'!$A$7:$N$160,8,FALSE),0)+
IFERROR(VLOOKUP(A126,'Centre WP11'!$A$7:$N$160,8,FALSE),0)+
IFERROR(VLOOKUP(A126,'Centre WR11'!$A$7:$N$160,8,FALSE),0)+
IFERROR(VLOOKUP(A126,'Centre WV11'!$A$7:$N$160,8,FALSE),0)</f>
        <v>0.3</v>
      </c>
      <c r="I126" s="10">
        <f>IFERROR(VLOOKUP(A126,'Centre DW11'!$A$7:$N$160,9,FALSE),0)+
IFERROR(VLOOKUP(A126,'Centre WP11'!$A$7:$N$160,9,FALSE),0)+
IFERROR(VLOOKUP(A126,'Centre WR11'!$A$7:$N$160,9,FALSE),0)+
IFERROR(VLOOKUP(A126,'Centre WV11'!$A$7:$N$160,9,FALSE),0)</f>
        <v>0.3</v>
      </c>
      <c r="J126" s="10">
        <f>IFERROR(VLOOKUP(A126,'Centre DW11'!$A$7:$N$160,10,FALSE),0)+
IFERROR(VLOOKUP(A126,'Centre WP11'!$A$7:$N$160,10,FALSE),0)+
IFERROR(VLOOKUP(A126,'Centre WR11'!$A$7:$N$160,10,FALSE),0)+
IFERROR(VLOOKUP(A126,'Centre WV11'!$A$7:$N$160,10,FALSE),0)</f>
        <v>0.3</v>
      </c>
      <c r="K126" s="10">
        <f>IFERROR(VLOOKUP(A126,'Centre DW11'!$A$7:$N$160,11,FALSE),0)+
IFERROR(VLOOKUP(A126,'Centre WP11'!$A$7:$N$160,11,FALSE),0)+
IFERROR(VLOOKUP(A126,'Centre WR11'!$A$7:$N$160,11,FALSE),0)+
IFERROR(VLOOKUP(A126,'Centre WV11'!$A$7:$N$160,11,FALSE),0)</f>
        <v>0.3</v>
      </c>
      <c r="L126" s="10">
        <f>IFERROR(VLOOKUP(A126,'Centre DW11'!$A$7:$N$160,12,FALSE),0)+
IFERROR(VLOOKUP(A126,'Centre WP11'!$A$7:$N$160,12,FALSE),0)+
IFERROR(VLOOKUP(A126,'Centre WR11'!$A$7:$N$160,12,FALSE),0)+
IFERROR(VLOOKUP(A126,'Centre WV11'!$A$7:$N$160,12,FALSE),0)</f>
        <v>0.3</v>
      </c>
      <c r="M126" s="10">
        <f>IFERROR(VLOOKUP(A126,'Centre DW11'!$A$7:$N$160,13,FALSE),0)+
IFERROR(VLOOKUP(A126,'Centre WP11'!$A$7:$N$160,13,FALSE),0)+
IFERROR(VLOOKUP(A126,'Centre WR11'!$A$7:$N$160,13,FALSE),0)+
IFERROR(VLOOKUP(A126,'Centre WV11'!$A$7:$N$160,13,FALSE),0)</f>
        <v>0.3</v>
      </c>
      <c r="N126" s="10">
        <f>IFERROR(VLOOKUP(A126,'Centre DW11'!$A$7:$N$160,14,FALSE),0)+
IFERROR(VLOOKUP(A126,'Centre WP11'!$A$7:$N$160,14,FALSE),0)+
IFERROR(VLOOKUP(A126,'Centre WR11'!$A$7:$N$160,14,FALSE),0)+
IFERROR(VLOOKUP(A126,'Centre WV11'!$A$7:$N$160,14,FALSE),0)</f>
        <v>0.3</v>
      </c>
    </row>
    <row r="127" spans="1:14" hidden="1" outlineLevel="1" x14ac:dyDescent="0.2">
      <c r="A127" s="9" t="s">
        <v>212</v>
      </c>
      <c r="B127" s="1" t="s">
        <v>213</v>
      </c>
      <c r="C127" s="10">
        <f>IFERROR(VLOOKUP(A127,'Centre DW11'!$A$7:$N$160,3,FALSE),0)+
IFERROR(VLOOKUP(A127,'Centre WP11'!$A$7:$N$160,3,FALSE),0)+
IFERROR(VLOOKUP(A127,'Centre WR11'!$A$7:$N$160,3,FALSE),0)+
IFERROR(VLOOKUP(A127,'Centre WV11'!$A$7:$N$160,3,FALSE),0)</f>
        <v>0</v>
      </c>
      <c r="D127" s="10">
        <f>IFERROR(VLOOKUP(A127,'Centre DW11'!$A$7:$N$160,4,FALSE),0)+
IFERROR(VLOOKUP(A127,'Centre WP11'!$A$7:$N$160,4,FALSE),0)+
IFERROR(VLOOKUP(A127,'Centre WR11'!$A$7:$N$160,4,FALSE),0)+
IFERROR(VLOOKUP(A127,'Centre WV11'!$A$7:$N$160,4,FALSE),0)</f>
        <v>0</v>
      </c>
      <c r="E127" s="10">
        <f>IFERROR(VLOOKUP(A127,'Centre DW11'!$A$7:$N$160,5,FALSE),0)+
IFERROR(VLOOKUP(A127,'Centre WP11'!$A$7:$N$160,5,FALSE),0)+
IFERROR(VLOOKUP(A127,'Centre WR11'!$A$7:$N$160,5,FALSE),0)+
IFERROR(VLOOKUP(A127,'Centre WV11'!$A$7:$N$160,5,FALSE),0)</f>
        <v>0</v>
      </c>
      <c r="F127" s="10">
        <f>IFERROR(VLOOKUP(A127,'Centre DW11'!$A$7:$N$160,6,FALSE),0)+
IFERROR(VLOOKUP(A127,'Centre WP11'!$A$7:$N$160,6,FALSE),0)+
IFERROR(VLOOKUP(A127,'Centre WR11'!$A$7:$N$160,6,FALSE),0)+
IFERROR(VLOOKUP(A127,'Centre WV11'!$A$7:$N$160,6,FALSE),0)</f>
        <v>0</v>
      </c>
      <c r="G127" s="10">
        <f>IFERROR(VLOOKUP(A127,'Centre DW11'!$A$7:$N$160,7,FALSE),0)+
IFERROR(VLOOKUP(A127,'Centre WP11'!$A$7:$N$160,7,FALSE),0)+
IFERROR(VLOOKUP(A127,'Centre WR11'!$A$7:$N$160,7,FALSE),0)+
IFERROR(VLOOKUP(A127,'Centre WV11'!$A$7:$N$160,7,FALSE),0)</f>
        <v>0</v>
      </c>
      <c r="H127" s="10">
        <f>IFERROR(VLOOKUP(A127,'Centre DW11'!$A$7:$N$160,8,FALSE),0)+
IFERROR(VLOOKUP(A127,'Centre WP11'!$A$7:$N$160,8,FALSE),0)+
IFERROR(VLOOKUP(A127,'Centre WR11'!$A$7:$N$160,8,FALSE),0)+
IFERROR(VLOOKUP(A127,'Centre WV11'!$A$7:$N$160,8,FALSE),0)</f>
        <v>0</v>
      </c>
      <c r="I127" s="10">
        <f>IFERROR(VLOOKUP(A127,'Centre DW11'!$A$7:$N$160,9,FALSE),0)+
IFERROR(VLOOKUP(A127,'Centre WP11'!$A$7:$N$160,9,FALSE),0)+
IFERROR(VLOOKUP(A127,'Centre WR11'!$A$7:$N$160,9,FALSE),0)+
IFERROR(VLOOKUP(A127,'Centre WV11'!$A$7:$N$160,9,FALSE),0)</f>
        <v>0</v>
      </c>
      <c r="J127" s="10">
        <f>IFERROR(VLOOKUP(A127,'Centre DW11'!$A$7:$N$160,10,FALSE),0)+
IFERROR(VLOOKUP(A127,'Centre WP11'!$A$7:$N$160,10,FALSE),0)+
IFERROR(VLOOKUP(A127,'Centre WR11'!$A$7:$N$160,10,FALSE),0)+
IFERROR(VLOOKUP(A127,'Centre WV11'!$A$7:$N$160,10,FALSE),0)</f>
        <v>0</v>
      </c>
      <c r="K127" s="10">
        <f>IFERROR(VLOOKUP(A127,'Centre DW11'!$A$7:$N$160,11,FALSE),0)+
IFERROR(VLOOKUP(A127,'Centre WP11'!$A$7:$N$160,11,FALSE),0)+
IFERROR(VLOOKUP(A127,'Centre WR11'!$A$7:$N$160,11,FALSE),0)+
IFERROR(VLOOKUP(A127,'Centre WV11'!$A$7:$N$160,11,FALSE),0)</f>
        <v>0</v>
      </c>
      <c r="L127" s="10">
        <f>IFERROR(VLOOKUP(A127,'Centre DW11'!$A$7:$N$160,12,FALSE),0)+
IFERROR(VLOOKUP(A127,'Centre WP11'!$A$7:$N$160,12,FALSE),0)+
IFERROR(VLOOKUP(A127,'Centre WR11'!$A$7:$N$160,12,FALSE),0)+
IFERROR(VLOOKUP(A127,'Centre WV11'!$A$7:$N$160,12,FALSE),0)</f>
        <v>0</v>
      </c>
      <c r="M127" s="10">
        <f>IFERROR(VLOOKUP(A127,'Centre DW11'!$A$7:$N$160,13,FALSE),0)+
IFERROR(VLOOKUP(A127,'Centre WP11'!$A$7:$N$160,13,FALSE),0)+
IFERROR(VLOOKUP(A127,'Centre WR11'!$A$7:$N$160,13,FALSE),0)+
IFERROR(VLOOKUP(A127,'Centre WV11'!$A$7:$N$160,13,FALSE),0)</f>
        <v>0</v>
      </c>
      <c r="N127" s="10">
        <f>IFERROR(VLOOKUP(A127,'Centre DW11'!$A$7:$N$160,14,FALSE),0)+
IFERROR(VLOOKUP(A127,'Centre WP11'!$A$7:$N$160,14,FALSE),0)+
IFERROR(VLOOKUP(A127,'Centre WR11'!$A$7:$N$160,14,FALSE),0)+
IFERROR(VLOOKUP(A127,'Centre WV11'!$A$7:$N$160,14,FALSE),0)</f>
        <v>0</v>
      </c>
    </row>
    <row r="128" spans="1:14" hidden="1" outlineLevel="1" x14ac:dyDescent="0.2">
      <c r="A128" s="9" t="s">
        <v>214</v>
      </c>
      <c r="B128" s="1" t="s">
        <v>215</v>
      </c>
      <c r="C128" s="10">
        <f>IFERROR(VLOOKUP(A128,'Centre DW11'!$A$7:$N$160,3,FALSE),0)+
IFERROR(VLOOKUP(A128,'Centre WP11'!$A$7:$N$160,3,FALSE),0)+
IFERROR(VLOOKUP(A128,'Centre WR11'!$A$7:$N$160,3,FALSE),0)+
IFERROR(VLOOKUP(A128,'Centre WV11'!$A$7:$N$160,3,FALSE),0)</f>
        <v>0</v>
      </c>
      <c r="D128" s="10">
        <f>IFERROR(VLOOKUP(A128,'Centre DW11'!$A$7:$N$160,4,FALSE),0)+
IFERROR(VLOOKUP(A128,'Centre WP11'!$A$7:$N$160,4,FALSE),0)+
IFERROR(VLOOKUP(A128,'Centre WR11'!$A$7:$N$160,4,FALSE),0)+
IFERROR(VLOOKUP(A128,'Centre WV11'!$A$7:$N$160,4,FALSE),0)</f>
        <v>0</v>
      </c>
      <c r="E128" s="10">
        <f>IFERROR(VLOOKUP(A128,'Centre DW11'!$A$7:$N$160,5,FALSE),0)+
IFERROR(VLOOKUP(A128,'Centre WP11'!$A$7:$N$160,5,FALSE),0)+
IFERROR(VLOOKUP(A128,'Centre WR11'!$A$7:$N$160,5,FALSE),0)+
IFERROR(VLOOKUP(A128,'Centre WV11'!$A$7:$N$160,5,FALSE),0)</f>
        <v>0</v>
      </c>
      <c r="F128" s="10">
        <f>IFERROR(VLOOKUP(A128,'Centre DW11'!$A$7:$N$160,6,FALSE),0)+
IFERROR(VLOOKUP(A128,'Centre WP11'!$A$7:$N$160,6,FALSE),0)+
IFERROR(VLOOKUP(A128,'Centre WR11'!$A$7:$N$160,6,FALSE),0)+
IFERROR(VLOOKUP(A128,'Centre WV11'!$A$7:$N$160,6,FALSE),0)</f>
        <v>0</v>
      </c>
      <c r="G128" s="10">
        <f>IFERROR(VLOOKUP(A128,'Centre DW11'!$A$7:$N$160,7,FALSE),0)+
IFERROR(VLOOKUP(A128,'Centre WP11'!$A$7:$N$160,7,FALSE),0)+
IFERROR(VLOOKUP(A128,'Centre WR11'!$A$7:$N$160,7,FALSE),0)+
IFERROR(VLOOKUP(A128,'Centre WV11'!$A$7:$N$160,7,FALSE),0)</f>
        <v>0</v>
      </c>
      <c r="H128" s="10">
        <f>IFERROR(VLOOKUP(A128,'Centre DW11'!$A$7:$N$160,8,FALSE),0)+
IFERROR(VLOOKUP(A128,'Centre WP11'!$A$7:$N$160,8,FALSE),0)+
IFERROR(VLOOKUP(A128,'Centre WR11'!$A$7:$N$160,8,FALSE),0)+
IFERROR(VLOOKUP(A128,'Centre WV11'!$A$7:$N$160,8,FALSE),0)</f>
        <v>0</v>
      </c>
      <c r="I128" s="10">
        <f>IFERROR(VLOOKUP(A128,'Centre DW11'!$A$7:$N$160,9,FALSE),0)+
IFERROR(VLOOKUP(A128,'Centre WP11'!$A$7:$N$160,9,FALSE),0)+
IFERROR(VLOOKUP(A128,'Centre WR11'!$A$7:$N$160,9,FALSE),0)+
IFERROR(VLOOKUP(A128,'Centre WV11'!$A$7:$N$160,9,FALSE),0)</f>
        <v>0</v>
      </c>
      <c r="J128" s="10">
        <f>IFERROR(VLOOKUP(A128,'Centre DW11'!$A$7:$N$160,10,FALSE),0)+
IFERROR(VLOOKUP(A128,'Centre WP11'!$A$7:$N$160,10,FALSE),0)+
IFERROR(VLOOKUP(A128,'Centre WR11'!$A$7:$N$160,10,FALSE),0)+
IFERROR(VLOOKUP(A128,'Centre WV11'!$A$7:$N$160,10,FALSE),0)</f>
        <v>0</v>
      </c>
      <c r="K128" s="10">
        <f>IFERROR(VLOOKUP(A128,'Centre DW11'!$A$7:$N$160,11,FALSE),0)+
IFERROR(VLOOKUP(A128,'Centre WP11'!$A$7:$N$160,11,FALSE),0)+
IFERROR(VLOOKUP(A128,'Centre WR11'!$A$7:$N$160,11,FALSE),0)+
IFERROR(VLOOKUP(A128,'Centre WV11'!$A$7:$N$160,11,FALSE),0)</f>
        <v>0</v>
      </c>
      <c r="L128" s="10">
        <f>IFERROR(VLOOKUP(A128,'Centre DW11'!$A$7:$N$160,12,FALSE),0)+
IFERROR(VLOOKUP(A128,'Centre WP11'!$A$7:$N$160,12,FALSE),0)+
IFERROR(VLOOKUP(A128,'Centre WR11'!$A$7:$N$160,12,FALSE),0)+
IFERROR(VLOOKUP(A128,'Centre WV11'!$A$7:$N$160,12,FALSE),0)</f>
        <v>0</v>
      </c>
      <c r="M128" s="10">
        <f>IFERROR(VLOOKUP(A128,'Centre DW11'!$A$7:$N$160,13,FALSE),0)+
IFERROR(VLOOKUP(A128,'Centre WP11'!$A$7:$N$160,13,FALSE),0)+
IFERROR(VLOOKUP(A128,'Centre WR11'!$A$7:$N$160,13,FALSE),0)+
IFERROR(VLOOKUP(A128,'Centre WV11'!$A$7:$N$160,13,FALSE),0)</f>
        <v>0</v>
      </c>
      <c r="N128" s="10">
        <f>IFERROR(VLOOKUP(A128,'Centre DW11'!$A$7:$N$160,14,FALSE),0)+
IFERROR(VLOOKUP(A128,'Centre WP11'!$A$7:$N$160,14,FALSE),0)+
IFERROR(VLOOKUP(A128,'Centre WR11'!$A$7:$N$160,14,FALSE),0)+
IFERROR(VLOOKUP(A128,'Centre WV11'!$A$7:$N$160,14,FALSE),0)</f>
        <v>0</v>
      </c>
    </row>
    <row r="129" spans="1:14" hidden="1" outlineLevel="1" x14ac:dyDescent="0.2">
      <c r="A129" s="9" t="s">
        <v>216</v>
      </c>
      <c r="B129" s="1" t="s">
        <v>217</v>
      </c>
      <c r="C129" s="10">
        <f>IFERROR(VLOOKUP(A129,'Centre DW11'!$A$7:$N$160,3,FALSE),0)+
IFERROR(VLOOKUP(A129,'Centre WP11'!$A$7:$N$160,3,FALSE),0)+
IFERROR(VLOOKUP(A129,'Centre WR11'!$A$7:$N$160,3,FALSE),0)+
IFERROR(VLOOKUP(A129,'Centre WV11'!$A$7:$N$160,3,FALSE),0)</f>
        <v>1</v>
      </c>
      <c r="D129" s="10">
        <f>IFERROR(VLOOKUP(A129,'Centre DW11'!$A$7:$N$160,4,FALSE),0)+
IFERROR(VLOOKUP(A129,'Centre WP11'!$A$7:$N$160,4,FALSE),0)+
IFERROR(VLOOKUP(A129,'Centre WR11'!$A$7:$N$160,4,FALSE),0)+
IFERROR(VLOOKUP(A129,'Centre WV11'!$A$7:$N$160,4,FALSE),0)</f>
        <v>0.4</v>
      </c>
      <c r="E129" s="10">
        <f>IFERROR(VLOOKUP(A129,'Centre DW11'!$A$7:$N$160,5,FALSE),0)+
IFERROR(VLOOKUP(A129,'Centre WP11'!$A$7:$N$160,5,FALSE),0)+
IFERROR(VLOOKUP(A129,'Centre WR11'!$A$7:$N$160,5,FALSE),0)+
IFERROR(VLOOKUP(A129,'Centre WV11'!$A$7:$N$160,5,FALSE),0)</f>
        <v>1.1000000000000001</v>
      </c>
      <c r="F129" s="10">
        <f>IFERROR(VLOOKUP(A129,'Centre DW11'!$A$7:$N$160,6,FALSE),0)+
IFERROR(VLOOKUP(A129,'Centre WP11'!$A$7:$N$160,6,FALSE),0)+
IFERROR(VLOOKUP(A129,'Centre WR11'!$A$7:$N$160,6,FALSE),0)+
IFERROR(VLOOKUP(A129,'Centre WV11'!$A$7:$N$160,6,FALSE),0)</f>
        <v>1.1000000000000001</v>
      </c>
      <c r="G129" s="10">
        <f>IFERROR(VLOOKUP(A129,'Centre DW11'!$A$7:$N$160,7,FALSE),0)+
IFERROR(VLOOKUP(A129,'Centre WP11'!$A$7:$N$160,7,FALSE),0)+
IFERROR(VLOOKUP(A129,'Centre WR11'!$A$7:$N$160,7,FALSE),0)+
IFERROR(VLOOKUP(A129,'Centre WV11'!$A$7:$N$160,7,FALSE),0)</f>
        <v>0.8</v>
      </c>
      <c r="H129" s="10">
        <f>IFERROR(VLOOKUP(A129,'Centre DW11'!$A$7:$N$160,8,FALSE),0)+
IFERROR(VLOOKUP(A129,'Centre WP11'!$A$7:$N$160,8,FALSE),0)+
IFERROR(VLOOKUP(A129,'Centre WR11'!$A$7:$N$160,8,FALSE),0)+
IFERROR(VLOOKUP(A129,'Centre WV11'!$A$7:$N$160,8,FALSE),0)</f>
        <v>0.8</v>
      </c>
      <c r="I129" s="10">
        <f>IFERROR(VLOOKUP(A129,'Centre DW11'!$A$7:$N$160,9,FALSE),0)+
IFERROR(VLOOKUP(A129,'Centre WP11'!$A$7:$N$160,9,FALSE),0)+
IFERROR(VLOOKUP(A129,'Centre WR11'!$A$7:$N$160,9,FALSE),0)+
IFERROR(VLOOKUP(A129,'Centre WV11'!$A$7:$N$160,9,FALSE),0)</f>
        <v>0.7</v>
      </c>
      <c r="J129" s="10">
        <f>IFERROR(VLOOKUP(A129,'Centre DW11'!$A$7:$N$160,10,FALSE),0)+
IFERROR(VLOOKUP(A129,'Centre WP11'!$A$7:$N$160,10,FALSE),0)+
IFERROR(VLOOKUP(A129,'Centre WR11'!$A$7:$N$160,10,FALSE),0)+
IFERROR(VLOOKUP(A129,'Centre WV11'!$A$7:$N$160,10,FALSE),0)</f>
        <v>1.1000000000000001</v>
      </c>
      <c r="K129" s="10">
        <f>IFERROR(VLOOKUP(A129,'Centre DW11'!$A$7:$N$160,11,FALSE),0)+
IFERROR(VLOOKUP(A129,'Centre WP11'!$A$7:$N$160,11,FALSE),0)+
IFERROR(VLOOKUP(A129,'Centre WR11'!$A$7:$N$160,11,FALSE),0)+
IFERROR(VLOOKUP(A129,'Centre WV11'!$A$7:$N$160,11,FALSE),0)</f>
        <v>1.1000000000000001</v>
      </c>
      <c r="L129" s="10">
        <f>IFERROR(VLOOKUP(A129,'Centre DW11'!$A$7:$N$160,12,FALSE),0)+
IFERROR(VLOOKUP(A129,'Centre WP11'!$A$7:$N$160,12,FALSE),0)+
IFERROR(VLOOKUP(A129,'Centre WR11'!$A$7:$N$160,12,FALSE),0)+
IFERROR(VLOOKUP(A129,'Centre WV11'!$A$7:$N$160,12,FALSE),0)</f>
        <v>0.8</v>
      </c>
      <c r="M129" s="10">
        <f>IFERROR(VLOOKUP(A129,'Centre DW11'!$A$7:$N$160,13,FALSE),0)+
IFERROR(VLOOKUP(A129,'Centre WP11'!$A$7:$N$160,13,FALSE),0)+
IFERROR(VLOOKUP(A129,'Centre WR11'!$A$7:$N$160,13,FALSE),0)+
IFERROR(VLOOKUP(A129,'Centre WV11'!$A$7:$N$160,13,FALSE),0)</f>
        <v>0.8</v>
      </c>
      <c r="N129" s="10">
        <f>IFERROR(VLOOKUP(A129,'Centre DW11'!$A$7:$N$160,14,FALSE),0)+
IFERROR(VLOOKUP(A129,'Centre WP11'!$A$7:$N$160,14,FALSE),0)+
IFERROR(VLOOKUP(A129,'Centre WR11'!$A$7:$N$160,14,FALSE),0)+
IFERROR(VLOOKUP(A129,'Centre WV11'!$A$7:$N$160,14,FALSE),0)</f>
        <v>0.7</v>
      </c>
    </row>
    <row r="130" spans="1:14" hidden="1" outlineLevel="1" x14ac:dyDescent="0.2">
      <c r="A130" s="9" t="s">
        <v>218</v>
      </c>
      <c r="B130" s="1" t="s">
        <v>219</v>
      </c>
      <c r="C130" s="10">
        <f>IFERROR(VLOOKUP(A130,'Centre DW11'!$A$7:$N$160,3,FALSE),0)+
IFERROR(VLOOKUP(A130,'Centre WP11'!$A$7:$N$160,3,FALSE),0)+
IFERROR(VLOOKUP(A130,'Centre WR11'!$A$7:$N$160,3,FALSE),0)+
IFERROR(VLOOKUP(A130,'Centre WV11'!$A$7:$N$160,3,FALSE),0)</f>
        <v>1.5</v>
      </c>
      <c r="D130" s="10">
        <f>IFERROR(VLOOKUP(A130,'Centre DW11'!$A$7:$N$160,4,FALSE),0)+
IFERROR(VLOOKUP(A130,'Centre WP11'!$A$7:$N$160,4,FALSE),0)+
IFERROR(VLOOKUP(A130,'Centre WR11'!$A$7:$N$160,4,FALSE),0)+
IFERROR(VLOOKUP(A130,'Centre WV11'!$A$7:$N$160,4,FALSE),0)</f>
        <v>1.7</v>
      </c>
      <c r="E130" s="10">
        <f>IFERROR(VLOOKUP(A130,'Centre DW11'!$A$7:$N$160,5,FALSE),0)+
IFERROR(VLOOKUP(A130,'Centre WP11'!$A$7:$N$160,5,FALSE),0)+
IFERROR(VLOOKUP(A130,'Centre WR11'!$A$7:$N$160,5,FALSE),0)+
IFERROR(VLOOKUP(A130,'Centre WV11'!$A$7:$N$160,5,FALSE),0)</f>
        <v>1.6</v>
      </c>
      <c r="F130" s="10">
        <f>IFERROR(VLOOKUP(A130,'Centre DW11'!$A$7:$N$160,6,FALSE),0)+
IFERROR(VLOOKUP(A130,'Centre WP11'!$A$7:$N$160,6,FALSE),0)+
IFERROR(VLOOKUP(A130,'Centre WR11'!$A$7:$N$160,6,FALSE),0)+
IFERROR(VLOOKUP(A130,'Centre WV11'!$A$7:$N$160,6,FALSE),0)</f>
        <v>0.6</v>
      </c>
      <c r="G130" s="10">
        <f>IFERROR(VLOOKUP(A130,'Centre DW11'!$A$7:$N$160,7,FALSE),0)+
IFERROR(VLOOKUP(A130,'Centre WP11'!$A$7:$N$160,7,FALSE),0)+
IFERROR(VLOOKUP(A130,'Centre WR11'!$A$7:$N$160,7,FALSE),0)+
IFERROR(VLOOKUP(A130,'Centre WV11'!$A$7:$N$160,7,FALSE),0)</f>
        <v>0.7</v>
      </c>
      <c r="H130" s="10">
        <f>IFERROR(VLOOKUP(A130,'Centre DW11'!$A$7:$N$160,8,FALSE),0)+
IFERROR(VLOOKUP(A130,'Centre WP11'!$A$7:$N$160,8,FALSE),0)+
IFERROR(VLOOKUP(A130,'Centre WR11'!$A$7:$N$160,8,FALSE),0)+
IFERROR(VLOOKUP(A130,'Centre WV11'!$A$7:$N$160,8,FALSE),0)</f>
        <v>0.7</v>
      </c>
      <c r="I130" s="10">
        <f>IFERROR(VLOOKUP(A130,'Centre DW11'!$A$7:$N$160,9,FALSE),0)+
IFERROR(VLOOKUP(A130,'Centre WP11'!$A$7:$N$160,9,FALSE),0)+
IFERROR(VLOOKUP(A130,'Centre WR11'!$A$7:$N$160,9,FALSE),0)+
IFERROR(VLOOKUP(A130,'Centre WV11'!$A$7:$N$160,9,FALSE),0)</f>
        <v>0</v>
      </c>
      <c r="J130" s="10">
        <f>IFERROR(VLOOKUP(A130,'Centre DW11'!$A$7:$N$160,10,FALSE),0)+
IFERROR(VLOOKUP(A130,'Centre WP11'!$A$7:$N$160,10,FALSE),0)+
IFERROR(VLOOKUP(A130,'Centre WR11'!$A$7:$N$160,10,FALSE),0)+
IFERROR(VLOOKUP(A130,'Centre WV11'!$A$7:$N$160,10,FALSE),0)</f>
        <v>1.6</v>
      </c>
      <c r="K130" s="10">
        <f>IFERROR(VLOOKUP(A130,'Centre DW11'!$A$7:$N$160,11,FALSE),0)+
IFERROR(VLOOKUP(A130,'Centre WP11'!$A$7:$N$160,11,FALSE),0)+
IFERROR(VLOOKUP(A130,'Centre WR11'!$A$7:$N$160,11,FALSE),0)+
IFERROR(VLOOKUP(A130,'Centre WV11'!$A$7:$N$160,11,FALSE),0)</f>
        <v>0.6</v>
      </c>
      <c r="L130" s="10">
        <f>IFERROR(VLOOKUP(A130,'Centre DW11'!$A$7:$N$160,12,FALSE),0)+
IFERROR(VLOOKUP(A130,'Centre WP11'!$A$7:$N$160,12,FALSE),0)+
IFERROR(VLOOKUP(A130,'Centre WR11'!$A$7:$N$160,12,FALSE),0)+
IFERROR(VLOOKUP(A130,'Centre WV11'!$A$7:$N$160,12,FALSE),0)</f>
        <v>0.7</v>
      </c>
      <c r="M130" s="10">
        <f>IFERROR(VLOOKUP(A130,'Centre DW11'!$A$7:$N$160,13,FALSE),0)+
IFERROR(VLOOKUP(A130,'Centre WP11'!$A$7:$N$160,13,FALSE),0)+
IFERROR(VLOOKUP(A130,'Centre WR11'!$A$7:$N$160,13,FALSE),0)+
IFERROR(VLOOKUP(A130,'Centre WV11'!$A$7:$N$160,13,FALSE),0)</f>
        <v>0.7</v>
      </c>
      <c r="N130" s="10">
        <f>IFERROR(VLOOKUP(A130,'Centre DW11'!$A$7:$N$160,14,FALSE),0)+
IFERROR(VLOOKUP(A130,'Centre WP11'!$A$7:$N$160,14,FALSE),0)+
IFERROR(VLOOKUP(A130,'Centre WR11'!$A$7:$N$160,14,FALSE),0)+
IFERROR(VLOOKUP(A130,'Centre WV11'!$A$7:$N$160,14,FALSE),0)</f>
        <v>0</v>
      </c>
    </row>
    <row r="131" spans="1:14" hidden="1" outlineLevel="1" x14ac:dyDescent="0.2">
      <c r="A131" s="9" t="s">
        <v>220</v>
      </c>
      <c r="B131" s="1" t="s">
        <v>221</v>
      </c>
      <c r="C131" s="10">
        <f>IFERROR(VLOOKUP(A131,'Centre DW11'!$A$7:$N$160,3,FALSE),0)+
IFERROR(VLOOKUP(A131,'Centre WP11'!$A$7:$N$160,3,FALSE),0)+
IFERROR(VLOOKUP(A131,'Centre WR11'!$A$7:$N$160,3,FALSE),0)+
IFERROR(VLOOKUP(A131,'Centre WV11'!$A$7:$N$160,3,FALSE),0)</f>
        <v>0</v>
      </c>
      <c r="D131" s="10">
        <f>IFERROR(VLOOKUP(A131,'Centre DW11'!$A$7:$N$160,4,FALSE),0)+
IFERROR(VLOOKUP(A131,'Centre WP11'!$A$7:$N$160,4,FALSE),0)+
IFERROR(VLOOKUP(A131,'Centre WR11'!$A$7:$N$160,4,FALSE),0)+
IFERROR(VLOOKUP(A131,'Centre WV11'!$A$7:$N$160,4,FALSE),0)</f>
        <v>0</v>
      </c>
      <c r="E131" s="10">
        <f>IFERROR(VLOOKUP(A131,'Centre DW11'!$A$7:$N$160,5,FALSE),0)+
IFERROR(VLOOKUP(A131,'Centre WP11'!$A$7:$N$160,5,FALSE),0)+
IFERROR(VLOOKUP(A131,'Centre WR11'!$A$7:$N$160,5,FALSE),0)+
IFERROR(VLOOKUP(A131,'Centre WV11'!$A$7:$N$160,5,FALSE),0)</f>
        <v>0</v>
      </c>
      <c r="F131" s="10">
        <f>IFERROR(VLOOKUP(A131,'Centre DW11'!$A$7:$N$160,6,FALSE),0)+
IFERROR(VLOOKUP(A131,'Centre WP11'!$A$7:$N$160,6,FALSE),0)+
IFERROR(VLOOKUP(A131,'Centre WR11'!$A$7:$N$160,6,FALSE),0)+
IFERROR(VLOOKUP(A131,'Centre WV11'!$A$7:$N$160,6,FALSE),0)</f>
        <v>0</v>
      </c>
      <c r="G131" s="10">
        <f>IFERROR(VLOOKUP(A131,'Centre DW11'!$A$7:$N$160,7,FALSE),0)+
IFERROR(VLOOKUP(A131,'Centre WP11'!$A$7:$N$160,7,FALSE),0)+
IFERROR(VLOOKUP(A131,'Centre WR11'!$A$7:$N$160,7,FALSE),0)+
IFERROR(VLOOKUP(A131,'Centre WV11'!$A$7:$N$160,7,FALSE),0)</f>
        <v>0</v>
      </c>
      <c r="H131" s="10">
        <f>IFERROR(VLOOKUP(A131,'Centre DW11'!$A$7:$N$160,8,FALSE),0)+
IFERROR(VLOOKUP(A131,'Centre WP11'!$A$7:$N$160,8,FALSE),0)+
IFERROR(VLOOKUP(A131,'Centre WR11'!$A$7:$N$160,8,FALSE),0)+
IFERROR(VLOOKUP(A131,'Centre WV11'!$A$7:$N$160,8,FALSE),0)</f>
        <v>0</v>
      </c>
      <c r="I131" s="10">
        <f>IFERROR(VLOOKUP(A131,'Centre DW11'!$A$7:$N$160,9,FALSE),0)+
IFERROR(VLOOKUP(A131,'Centre WP11'!$A$7:$N$160,9,FALSE),0)+
IFERROR(VLOOKUP(A131,'Centre WR11'!$A$7:$N$160,9,FALSE),0)+
IFERROR(VLOOKUP(A131,'Centre WV11'!$A$7:$N$160,9,FALSE),0)</f>
        <v>0</v>
      </c>
      <c r="J131" s="10">
        <f>IFERROR(VLOOKUP(A131,'Centre DW11'!$A$7:$N$160,10,FALSE),0)+
IFERROR(VLOOKUP(A131,'Centre WP11'!$A$7:$N$160,10,FALSE),0)+
IFERROR(VLOOKUP(A131,'Centre WR11'!$A$7:$N$160,10,FALSE),0)+
IFERROR(VLOOKUP(A131,'Centre WV11'!$A$7:$N$160,10,FALSE),0)</f>
        <v>0</v>
      </c>
      <c r="K131" s="10">
        <f>IFERROR(VLOOKUP(A131,'Centre DW11'!$A$7:$N$160,11,FALSE),0)+
IFERROR(VLOOKUP(A131,'Centre WP11'!$A$7:$N$160,11,FALSE),0)+
IFERROR(VLOOKUP(A131,'Centre WR11'!$A$7:$N$160,11,FALSE),0)+
IFERROR(VLOOKUP(A131,'Centre WV11'!$A$7:$N$160,11,FALSE),0)</f>
        <v>0</v>
      </c>
      <c r="L131" s="10">
        <f>IFERROR(VLOOKUP(A131,'Centre DW11'!$A$7:$N$160,12,FALSE),0)+
IFERROR(VLOOKUP(A131,'Centre WP11'!$A$7:$N$160,12,FALSE),0)+
IFERROR(VLOOKUP(A131,'Centre WR11'!$A$7:$N$160,12,FALSE),0)+
IFERROR(VLOOKUP(A131,'Centre WV11'!$A$7:$N$160,12,FALSE),0)</f>
        <v>0</v>
      </c>
      <c r="M131" s="10">
        <f>IFERROR(VLOOKUP(A131,'Centre DW11'!$A$7:$N$160,13,FALSE),0)+
IFERROR(VLOOKUP(A131,'Centre WP11'!$A$7:$N$160,13,FALSE),0)+
IFERROR(VLOOKUP(A131,'Centre WR11'!$A$7:$N$160,13,FALSE),0)+
IFERROR(VLOOKUP(A131,'Centre WV11'!$A$7:$N$160,13,FALSE),0)</f>
        <v>0</v>
      </c>
      <c r="N131" s="10">
        <f>IFERROR(VLOOKUP(A131,'Centre DW11'!$A$7:$N$160,14,FALSE),0)+
IFERROR(VLOOKUP(A131,'Centre WP11'!$A$7:$N$160,14,FALSE),0)+
IFERROR(VLOOKUP(A131,'Centre WR11'!$A$7:$N$160,14,FALSE),0)+
IFERROR(VLOOKUP(A131,'Centre WV11'!$A$7:$N$160,14,FALSE),0)</f>
        <v>0</v>
      </c>
    </row>
    <row r="132" spans="1:14" hidden="1" outlineLevel="1" x14ac:dyDescent="0.2">
      <c r="A132" s="9" t="s">
        <v>222</v>
      </c>
      <c r="B132" s="1" t="s">
        <v>223</v>
      </c>
      <c r="C132" s="10">
        <f>IFERROR(VLOOKUP(A132,'Centre DW11'!$A$7:$N$160,3,FALSE),0)+
IFERROR(VLOOKUP(A132,'Centre WP11'!$A$7:$N$160,3,FALSE),0)+
IFERROR(VLOOKUP(A132,'Centre WR11'!$A$7:$N$160,3,FALSE),0)+
IFERROR(VLOOKUP(A132,'Centre WV11'!$A$7:$N$160,3,FALSE),0)</f>
        <v>0</v>
      </c>
      <c r="D132" s="10">
        <f>IFERROR(VLOOKUP(A132,'Centre DW11'!$A$7:$N$160,4,FALSE),0)+
IFERROR(VLOOKUP(A132,'Centre WP11'!$A$7:$N$160,4,FALSE),0)+
IFERROR(VLOOKUP(A132,'Centre WR11'!$A$7:$N$160,4,FALSE),0)+
IFERROR(VLOOKUP(A132,'Centre WV11'!$A$7:$N$160,4,FALSE),0)</f>
        <v>0</v>
      </c>
      <c r="E132" s="10">
        <f>IFERROR(VLOOKUP(A132,'Centre DW11'!$A$7:$N$160,5,FALSE),0)+
IFERROR(VLOOKUP(A132,'Centre WP11'!$A$7:$N$160,5,FALSE),0)+
IFERROR(VLOOKUP(A132,'Centre WR11'!$A$7:$N$160,5,FALSE),0)+
IFERROR(VLOOKUP(A132,'Centre WV11'!$A$7:$N$160,5,FALSE),0)</f>
        <v>0</v>
      </c>
      <c r="F132" s="10">
        <f>IFERROR(VLOOKUP(A132,'Centre DW11'!$A$7:$N$160,6,FALSE),0)+
IFERROR(VLOOKUP(A132,'Centre WP11'!$A$7:$N$160,6,FALSE),0)+
IFERROR(VLOOKUP(A132,'Centre WR11'!$A$7:$N$160,6,FALSE),0)+
IFERROR(VLOOKUP(A132,'Centre WV11'!$A$7:$N$160,6,FALSE),0)</f>
        <v>0</v>
      </c>
      <c r="G132" s="10">
        <f>IFERROR(VLOOKUP(A132,'Centre DW11'!$A$7:$N$160,7,FALSE),0)+
IFERROR(VLOOKUP(A132,'Centre WP11'!$A$7:$N$160,7,FALSE),0)+
IFERROR(VLOOKUP(A132,'Centre WR11'!$A$7:$N$160,7,FALSE),0)+
IFERROR(VLOOKUP(A132,'Centre WV11'!$A$7:$N$160,7,FALSE),0)</f>
        <v>0</v>
      </c>
      <c r="H132" s="10">
        <f>IFERROR(VLOOKUP(A132,'Centre DW11'!$A$7:$N$160,8,FALSE),0)+
IFERROR(VLOOKUP(A132,'Centre WP11'!$A$7:$N$160,8,FALSE),0)+
IFERROR(VLOOKUP(A132,'Centre WR11'!$A$7:$N$160,8,FALSE),0)+
IFERROR(VLOOKUP(A132,'Centre WV11'!$A$7:$N$160,8,FALSE),0)</f>
        <v>0</v>
      </c>
      <c r="I132" s="10">
        <f>IFERROR(VLOOKUP(A132,'Centre DW11'!$A$7:$N$160,9,FALSE),0)+
IFERROR(VLOOKUP(A132,'Centre WP11'!$A$7:$N$160,9,FALSE),0)+
IFERROR(VLOOKUP(A132,'Centre WR11'!$A$7:$N$160,9,FALSE),0)+
IFERROR(VLOOKUP(A132,'Centre WV11'!$A$7:$N$160,9,FALSE),0)</f>
        <v>0</v>
      </c>
      <c r="J132" s="10">
        <f>IFERROR(VLOOKUP(A132,'Centre DW11'!$A$7:$N$160,10,FALSE),0)+
IFERROR(VLOOKUP(A132,'Centre WP11'!$A$7:$N$160,10,FALSE),0)+
IFERROR(VLOOKUP(A132,'Centre WR11'!$A$7:$N$160,10,FALSE),0)+
IFERROR(VLOOKUP(A132,'Centre WV11'!$A$7:$N$160,10,FALSE),0)</f>
        <v>0</v>
      </c>
      <c r="K132" s="10">
        <f>IFERROR(VLOOKUP(A132,'Centre DW11'!$A$7:$N$160,11,FALSE),0)+
IFERROR(VLOOKUP(A132,'Centre WP11'!$A$7:$N$160,11,FALSE),0)+
IFERROR(VLOOKUP(A132,'Centre WR11'!$A$7:$N$160,11,FALSE),0)+
IFERROR(VLOOKUP(A132,'Centre WV11'!$A$7:$N$160,11,FALSE),0)</f>
        <v>0</v>
      </c>
      <c r="L132" s="10">
        <f>IFERROR(VLOOKUP(A132,'Centre DW11'!$A$7:$N$160,12,FALSE),0)+
IFERROR(VLOOKUP(A132,'Centre WP11'!$A$7:$N$160,12,FALSE),0)+
IFERROR(VLOOKUP(A132,'Centre WR11'!$A$7:$N$160,12,FALSE),0)+
IFERROR(VLOOKUP(A132,'Centre WV11'!$A$7:$N$160,12,FALSE),0)</f>
        <v>0</v>
      </c>
      <c r="M132" s="10">
        <f>IFERROR(VLOOKUP(A132,'Centre DW11'!$A$7:$N$160,13,FALSE),0)+
IFERROR(VLOOKUP(A132,'Centre WP11'!$A$7:$N$160,13,FALSE),0)+
IFERROR(VLOOKUP(A132,'Centre WR11'!$A$7:$N$160,13,FALSE),0)+
IFERROR(VLOOKUP(A132,'Centre WV11'!$A$7:$N$160,13,FALSE),0)</f>
        <v>0</v>
      </c>
      <c r="N132" s="10">
        <f>IFERROR(VLOOKUP(A132,'Centre DW11'!$A$7:$N$160,14,FALSE),0)+
IFERROR(VLOOKUP(A132,'Centre WP11'!$A$7:$N$160,14,FALSE),0)+
IFERROR(VLOOKUP(A132,'Centre WR11'!$A$7:$N$160,14,FALSE),0)+
IFERROR(VLOOKUP(A132,'Centre WV11'!$A$7:$N$160,14,FALSE),0)</f>
        <v>0</v>
      </c>
    </row>
    <row r="133" spans="1:14" hidden="1" outlineLevel="1" x14ac:dyDescent="0.2">
      <c r="A133" s="9" t="s">
        <v>224</v>
      </c>
      <c r="B133" s="1" t="s">
        <v>225</v>
      </c>
      <c r="C133" s="10">
        <f>IFERROR(VLOOKUP(A133,'Centre DW11'!$A$7:$N$160,3,FALSE),0)+
IFERROR(VLOOKUP(A133,'Centre WP11'!$A$7:$N$160,3,FALSE),0)+
IFERROR(VLOOKUP(A133,'Centre WR11'!$A$7:$N$160,3,FALSE),0)+
IFERROR(VLOOKUP(A133,'Centre WV11'!$A$7:$N$160,3,FALSE),0)</f>
        <v>0</v>
      </c>
      <c r="D133" s="10">
        <f>IFERROR(VLOOKUP(A133,'Centre DW11'!$A$7:$N$160,4,FALSE),0)+
IFERROR(VLOOKUP(A133,'Centre WP11'!$A$7:$N$160,4,FALSE),0)+
IFERROR(VLOOKUP(A133,'Centre WR11'!$A$7:$N$160,4,FALSE),0)+
IFERROR(VLOOKUP(A133,'Centre WV11'!$A$7:$N$160,4,FALSE),0)</f>
        <v>0</v>
      </c>
      <c r="E133" s="10">
        <f>IFERROR(VLOOKUP(A133,'Centre DW11'!$A$7:$N$160,5,FALSE),0)+
IFERROR(VLOOKUP(A133,'Centre WP11'!$A$7:$N$160,5,FALSE),0)+
IFERROR(VLOOKUP(A133,'Centre WR11'!$A$7:$N$160,5,FALSE),0)+
IFERROR(VLOOKUP(A133,'Centre WV11'!$A$7:$N$160,5,FALSE),0)</f>
        <v>0</v>
      </c>
      <c r="F133" s="10">
        <f>IFERROR(VLOOKUP(A133,'Centre DW11'!$A$7:$N$160,6,FALSE),0)+
IFERROR(VLOOKUP(A133,'Centre WP11'!$A$7:$N$160,6,FALSE),0)+
IFERROR(VLOOKUP(A133,'Centre WR11'!$A$7:$N$160,6,FALSE),0)+
IFERROR(VLOOKUP(A133,'Centre WV11'!$A$7:$N$160,6,FALSE),0)</f>
        <v>0</v>
      </c>
      <c r="G133" s="10">
        <f>IFERROR(VLOOKUP(A133,'Centre DW11'!$A$7:$N$160,7,FALSE),0)+
IFERROR(VLOOKUP(A133,'Centre WP11'!$A$7:$N$160,7,FALSE),0)+
IFERROR(VLOOKUP(A133,'Centre WR11'!$A$7:$N$160,7,FALSE),0)+
IFERROR(VLOOKUP(A133,'Centre WV11'!$A$7:$N$160,7,FALSE),0)</f>
        <v>0</v>
      </c>
      <c r="H133" s="10">
        <f>IFERROR(VLOOKUP(A133,'Centre DW11'!$A$7:$N$160,8,FALSE),0)+
IFERROR(VLOOKUP(A133,'Centre WP11'!$A$7:$N$160,8,FALSE),0)+
IFERROR(VLOOKUP(A133,'Centre WR11'!$A$7:$N$160,8,FALSE),0)+
IFERROR(VLOOKUP(A133,'Centre WV11'!$A$7:$N$160,8,FALSE),0)</f>
        <v>0</v>
      </c>
      <c r="I133" s="10">
        <f>IFERROR(VLOOKUP(A133,'Centre DW11'!$A$7:$N$160,9,FALSE),0)+
IFERROR(VLOOKUP(A133,'Centre WP11'!$A$7:$N$160,9,FALSE),0)+
IFERROR(VLOOKUP(A133,'Centre WR11'!$A$7:$N$160,9,FALSE),0)+
IFERROR(VLOOKUP(A133,'Centre WV11'!$A$7:$N$160,9,FALSE),0)</f>
        <v>0</v>
      </c>
      <c r="J133" s="10">
        <f>IFERROR(VLOOKUP(A133,'Centre DW11'!$A$7:$N$160,10,FALSE),0)+
IFERROR(VLOOKUP(A133,'Centre WP11'!$A$7:$N$160,10,FALSE),0)+
IFERROR(VLOOKUP(A133,'Centre WR11'!$A$7:$N$160,10,FALSE),0)+
IFERROR(VLOOKUP(A133,'Centre WV11'!$A$7:$N$160,10,FALSE),0)</f>
        <v>0</v>
      </c>
      <c r="K133" s="10">
        <f>IFERROR(VLOOKUP(A133,'Centre DW11'!$A$7:$N$160,11,FALSE),0)+
IFERROR(VLOOKUP(A133,'Centre WP11'!$A$7:$N$160,11,FALSE),0)+
IFERROR(VLOOKUP(A133,'Centre WR11'!$A$7:$N$160,11,FALSE),0)+
IFERROR(VLOOKUP(A133,'Centre WV11'!$A$7:$N$160,11,FALSE),0)</f>
        <v>0</v>
      </c>
      <c r="L133" s="10">
        <f>IFERROR(VLOOKUP(A133,'Centre DW11'!$A$7:$N$160,12,FALSE),0)+
IFERROR(VLOOKUP(A133,'Centre WP11'!$A$7:$N$160,12,FALSE),0)+
IFERROR(VLOOKUP(A133,'Centre WR11'!$A$7:$N$160,12,FALSE),0)+
IFERROR(VLOOKUP(A133,'Centre WV11'!$A$7:$N$160,12,FALSE),0)</f>
        <v>0</v>
      </c>
      <c r="M133" s="10">
        <f>IFERROR(VLOOKUP(A133,'Centre DW11'!$A$7:$N$160,13,FALSE),0)+
IFERROR(VLOOKUP(A133,'Centre WP11'!$A$7:$N$160,13,FALSE),0)+
IFERROR(VLOOKUP(A133,'Centre WR11'!$A$7:$N$160,13,FALSE),0)+
IFERROR(VLOOKUP(A133,'Centre WV11'!$A$7:$N$160,13,FALSE),0)</f>
        <v>0</v>
      </c>
      <c r="N133" s="10">
        <f>IFERROR(VLOOKUP(A133,'Centre DW11'!$A$7:$N$160,14,FALSE),0)+
IFERROR(VLOOKUP(A133,'Centre WP11'!$A$7:$N$160,14,FALSE),0)+
IFERROR(VLOOKUP(A133,'Centre WR11'!$A$7:$N$160,14,FALSE),0)+
IFERROR(VLOOKUP(A133,'Centre WV11'!$A$7:$N$160,14,FALSE),0)</f>
        <v>0</v>
      </c>
    </row>
    <row r="134" spans="1:14" collapsed="1" x14ac:dyDescent="0.2">
      <c r="A134" s="33" t="s">
        <v>226</v>
      </c>
      <c r="B134" s="34" t="s">
        <v>227</v>
      </c>
      <c r="C134" s="44">
        <f>IFERROR(VLOOKUP(A134,'Centre DW11'!$A$7:$N$160,3,FALSE),0)+
IFERROR(VLOOKUP(A134,'Centre WP11'!$A$7:$N$160,3,FALSE),0)+
IFERROR(VLOOKUP(A134,'Centre WR11'!$A$7:$N$160,3,FALSE),0)+
IFERROR(VLOOKUP(A134,'Centre WV11'!$A$7:$N$160,3,FALSE),0)</f>
        <v>0</v>
      </c>
      <c r="D134" s="44">
        <f>IFERROR(VLOOKUP(A134,'Centre DW11'!$A$7:$N$160,4,FALSE),0)+
IFERROR(VLOOKUP(A134,'Centre WP11'!$A$7:$N$160,4,FALSE),0)+
IFERROR(VLOOKUP(A134,'Centre WR11'!$A$7:$N$160,4,FALSE),0)+
IFERROR(VLOOKUP(A134,'Centre WV11'!$A$7:$N$160,4,FALSE),0)</f>
        <v>0</v>
      </c>
      <c r="E134" s="44">
        <f>IFERROR(VLOOKUP(A134,'Centre DW11'!$A$7:$N$160,5,FALSE),0)+
IFERROR(VLOOKUP(A134,'Centre WP11'!$A$7:$N$160,5,FALSE),0)+
IFERROR(VLOOKUP(A134,'Centre WR11'!$A$7:$N$160,5,FALSE),0)+
IFERROR(VLOOKUP(A134,'Centre WV11'!$A$7:$N$160,5,FALSE),0)</f>
        <v>0</v>
      </c>
      <c r="F134" s="44">
        <f>IFERROR(VLOOKUP(A134,'Centre DW11'!$A$7:$N$160,6,FALSE),0)+
IFERROR(VLOOKUP(A134,'Centre WP11'!$A$7:$N$160,6,FALSE),0)+
IFERROR(VLOOKUP(A134,'Centre WR11'!$A$7:$N$160,6,FALSE),0)+
IFERROR(VLOOKUP(A134,'Centre WV11'!$A$7:$N$160,6,FALSE),0)</f>
        <v>0</v>
      </c>
      <c r="G134" s="44">
        <f>IFERROR(VLOOKUP(A134,'Centre DW11'!$A$7:$N$160,7,FALSE),0)+
IFERROR(VLOOKUP(A134,'Centre WP11'!$A$7:$N$160,7,FALSE),0)+
IFERROR(VLOOKUP(A134,'Centre WR11'!$A$7:$N$160,7,FALSE),0)+
IFERROR(VLOOKUP(A134,'Centre WV11'!$A$7:$N$160,7,FALSE),0)</f>
        <v>0</v>
      </c>
      <c r="H134" s="44">
        <f>IFERROR(VLOOKUP(A134,'Centre DW11'!$A$7:$N$160,8,FALSE),0)+
IFERROR(VLOOKUP(A134,'Centre WP11'!$A$7:$N$160,8,FALSE),0)+
IFERROR(VLOOKUP(A134,'Centre WR11'!$A$7:$N$160,8,FALSE),0)+
IFERROR(VLOOKUP(A134,'Centre WV11'!$A$7:$N$160,8,FALSE),0)</f>
        <v>0</v>
      </c>
      <c r="I134" s="44">
        <f>IFERROR(VLOOKUP(A134,'Centre DW11'!$A$7:$N$160,9,FALSE),0)+
IFERROR(VLOOKUP(A134,'Centre WP11'!$A$7:$N$160,9,FALSE),0)+
IFERROR(VLOOKUP(A134,'Centre WR11'!$A$7:$N$160,9,FALSE),0)+
IFERROR(VLOOKUP(A134,'Centre WV11'!$A$7:$N$160,9,FALSE),0)</f>
        <v>0</v>
      </c>
      <c r="J134" s="44">
        <f>IFERROR(VLOOKUP(A134,'Centre DW11'!$A$7:$N$160,10,FALSE),0)+
IFERROR(VLOOKUP(A134,'Centre WP11'!$A$7:$N$160,10,FALSE),0)+
IFERROR(VLOOKUP(A134,'Centre WR11'!$A$7:$N$160,10,FALSE),0)+
IFERROR(VLOOKUP(A134,'Centre WV11'!$A$7:$N$160,10,FALSE),0)</f>
        <v>0</v>
      </c>
      <c r="K134" s="44">
        <f>IFERROR(VLOOKUP(A134,'Centre DW11'!$A$7:$N$160,11,FALSE),0)+
IFERROR(VLOOKUP(A134,'Centre WP11'!$A$7:$N$160,11,FALSE),0)+
IFERROR(VLOOKUP(A134,'Centre WR11'!$A$7:$N$160,11,FALSE),0)+
IFERROR(VLOOKUP(A134,'Centre WV11'!$A$7:$N$160,11,FALSE),0)</f>
        <v>0</v>
      </c>
      <c r="L134" s="44">
        <f>IFERROR(VLOOKUP(A134,'Centre DW11'!$A$7:$N$160,12,FALSE),0)+
IFERROR(VLOOKUP(A134,'Centre WP11'!$A$7:$N$160,12,FALSE),0)+
IFERROR(VLOOKUP(A134,'Centre WR11'!$A$7:$N$160,12,FALSE),0)+
IFERROR(VLOOKUP(A134,'Centre WV11'!$A$7:$N$160,12,FALSE),0)</f>
        <v>0</v>
      </c>
      <c r="M134" s="44">
        <f>IFERROR(VLOOKUP(A134,'Centre DW11'!$A$7:$N$160,13,FALSE),0)+
IFERROR(VLOOKUP(A134,'Centre WP11'!$A$7:$N$160,13,FALSE),0)+
IFERROR(VLOOKUP(A134,'Centre WR11'!$A$7:$N$160,13,FALSE),0)+
IFERROR(VLOOKUP(A134,'Centre WV11'!$A$7:$N$160,13,FALSE),0)</f>
        <v>0</v>
      </c>
      <c r="N134" s="44">
        <f>IFERROR(VLOOKUP(A134,'Centre DW11'!$A$7:$N$160,14,FALSE),0)+
IFERROR(VLOOKUP(A134,'Centre WP11'!$A$7:$N$160,14,FALSE),0)+
IFERROR(VLOOKUP(A134,'Centre WR11'!$A$7:$N$160,14,FALSE),0)+
IFERROR(VLOOKUP(A134,'Centre WV11'!$A$7:$N$160,14,FALSE),0)</f>
        <v>0</v>
      </c>
    </row>
    <row r="135" spans="1:14" x14ac:dyDescent="0.2">
      <c r="A135" s="33" t="s">
        <v>228</v>
      </c>
      <c r="B135" s="34" t="s">
        <v>229</v>
      </c>
      <c r="C135" s="44">
        <f>IFERROR(VLOOKUP(A135,'Centre DW11'!$A$7:$N$160,3,FALSE),0)+
IFERROR(VLOOKUP(A135,'Centre WP11'!$A$7:$N$160,3,FALSE),0)+
IFERROR(VLOOKUP(A135,'Centre WR11'!$A$7:$N$160,3,FALSE),0)+
IFERROR(VLOOKUP(A135,'Centre WV11'!$A$7:$N$160,3,FALSE),0)</f>
        <v>0</v>
      </c>
      <c r="D135" s="44">
        <f>IFERROR(VLOOKUP(A135,'Centre DW11'!$A$7:$N$160,4,FALSE),0)+
IFERROR(VLOOKUP(A135,'Centre WP11'!$A$7:$N$160,4,FALSE),0)+
IFERROR(VLOOKUP(A135,'Centre WR11'!$A$7:$N$160,4,FALSE),0)+
IFERROR(VLOOKUP(A135,'Centre WV11'!$A$7:$N$160,4,FALSE),0)</f>
        <v>0</v>
      </c>
      <c r="E135" s="44">
        <f>IFERROR(VLOOKUP(A135,'Centre DW11'!$A$7:$N$160,5,FALSE),0)+
IFERROR(VLOOKUP(A135,'Centre WP11'!$A$7:$N$160,5,FALSE),0)+
IFERROR(VLOOKUP(A135,'Centre WR11'!$A$7:$N$160,5,FALSE),0)+
IFERROR(VLOOKUP(A135,'Centre WV11'!$A$7:$N$160,5,FALSE),0)</f>
        <v>0</v>
      </c>
      <c r="F135" s="44">
        <f>IFERROR(VLOOKUP(A135,'Centre DW11'!$A$7:$N$160,6,FALSE),0)+
IFERROR(VLOOKUP(A135,'Centre WP11'!$A$7:$N$160,6,FALSE),0)+
IFERROR(VLOOKUP(A135,'Centre WR11'!$A$7:$N$160,6,FALSE),0)+
IFERROR(VLOOKUP(A135,'Centre WV11'!$A$7:$N$160,6,FALSE),0)</f>
        <v>0</v>
      </c>
      <c r="G135" s="44">
        <f>IFERROR(VLOOKUP(A135,'Centre DW11'!$A$7:$N$160,7,FALSE),0)+
IFERROR(VLOOKUP(A135,'Centre WP11'!$A$7:$N$160,7,FALSE),0)+
IFERROR(VLOOKUP(A135,'Centre WR11'!$A$7:$N$160,7,FALSE),0)+
IFERROR(VLOOKUP(A135,'Centre WV11'!$A$7:$N$160,7,FALSE),0)</f>
        <v>0</v>
      </c>
      <c r="H135" s="44">
        <f>IFERROR(VLOOKUP(A135,'Centre DW11'!$A$7:$N$160,8,FALSE),0)+
IFERROR(VLOOKUP(A135,'Centre WP11'!$A$7:$N$160,8,FALSE),0)+
IFERROR(VLOOKUP(A135,'Centre WR11'!$A$7:$N$160,8,FALSE),0)+
IFERROR(VLOOKUP(A135,'Centre WV11'!$A$7:$N$160,8,FALSE),0)</f>
        <v>0</v>
      </c>
      <c r="I135" s="44">
        <f>IFERROR(VLOOKUP(A135,'Centre DW11'!$A$7:$N$160,9,FALSE),0)+
IFERROR(VLOOKUP(A135,'Centre WP11'!$A$7:$N$160,9,FALSE),0)+
IFERROR(VLOOKUP(A135,'Centre WR11'!$A$7:$N$160,9,FALSE),0)+
IFERROR(VLOOKUP(A135,'Centre WV11'!$A$7:$N$160,9,FALSE),0)</f>
        <v>0</v>
      </c>
      <c r="J135" s="44">
        <f>IFERROR(VLOOKUP(A135,'Centre DW11'!$A$7:$N$160,10,FALSE),0)+
IFERROR(VLOOKUP(A135,'Centre WP11'!$A$7:$N$160,10,FALSE),0)+
IFERROR(VLOOKUP(A135,'Centre WR11'!$A$7:$N$160,10,FALSE),0)+
IFERROR(VLOOKUP(A135,'Centre WV11'!$A$7:$N$160,10,FALSE),0)</f>
        <v>0</v>
      </c>
      <c r="K135" s="44">
        <f>IFERROR(VLOOKUP(A135,'Centre DW11'!$A$7:$N$160,11,FALSE),0)+
IFERROR(VLOOKUP(A135,'Centre WP11'!$A$7:$N$160,11,FALSE),0)+
IFERROR(VLOOKUP(A135,'Centre WR11'!$A$7:$N$160,11,FALSE),0)+
IFERROR(VLOOKUP(A135,'Centre WV11'!$A$7:$N$160,11,FALSE),0)</f>
        <v>0</v>
      </c>
      <c r="L135" s="44">
        <f>IFERROR(VLOOKUP(A135,'Centre DW11'!$A$7:$N$160,12,FALSE),0)+
IFERROR(VLOOKUP(A135,'Centre WP11'!$A$7:$N$160,12,FALSE),0)+
IFERROR(VLOOKUP(A135,'Centre WR11'!$A$7:$N$160,12,FALSE),0)+
IFERROR(VLOOKUP(A135,'Centre WV11'!$A$7:$N$160,12,FALSE),0)</f>
        <v>0</v>
      </c>
      <c r="M135" s="44">
        <f>IFERROR(VLOOKUP(A135,'Centre DW11'!$A$7:$N$160,13,FALSE),0)+
IFERROR(VLOOKUP(A135,'Centre WP11'!$A$7:$N$160,13,FALSE),0)+
IFERROR(VLOOKUP(A135,'Centre WR11'!$A$7:$N$160,13,FALSE),0)+
IFERROR(VLOOKUP(A135,'Centre WV11'!$A$7:$N$160,13,FALSE),0)</f>
        <v>0</v>
      </c>
      <c r="N135" s="44">
        <f>IFERROR(VLOOKUP(A135,'Centre DW11'!$A$7:$N$160,14,FALSE),0)+
IFERROR(VLOOKUP(A135,'Centre WP11'!$A$7:$N$160,14,FALSE),0)+
IFERROR(VLOOKUP(A135,'Centre WR11'!$A$7:$N$160,14,FALSE),0)+
IFERROR(VLOOKUP(A135,'Centre WV11'!$A$7:$N$160,14,FALSE),0)</f>
        <v>0</v>
      </c>
    </row>
    <row r="136" spans="1:14" x14ac:dyDescent="0.2">
      <c r="A136" s="33" t="s">
        <v>230</v>
      </c>
      <c r="B136" s="34" t="s">
        <v>231</v>
      </c>
      <c r="C136" s="44">
        <f t="shared" ref="C136:M136" si="44">SUM(C137:C138)</f>
        <v>7.8</v>
      </c>
      <c r="D136" s="44">
        <f t="shared" si="44"/>
        <v>7.8</v>
      </c>
      <c r="E136" s="44">
        <f t="shared" si="44"/>
        <v>2.8</v>
      </c>
      <c r="F136" s="44">
        <f t="shared" si="44"/>
        <v>2.9</v>
      </c>
      <c r="G136" s="44">
        <f t="shared" si="44"/>
        <v>3.2</v>
      </c>
      <c r="H136" s="44">
        <f t="shared" si="44"/>
        <v>3.7</v>
      </c>
      <c r="I136" s="44">
        <f t="shared" si="44"/>
        <v>0</v>
      </c>
      <c r="J136" s="44">
        <f t="shared" si="44"/>
        <v>7.8</v>
      </c>
      <c r="K136" s="44">
        <f t="shared" si="44"/>
        <v>2.8</v>
      </c>
      <c r="L136" s="44">
        <f t="shared" si="44"/>
        <v>2.9</v>
      </c>
      <c r="M136" s="44">
        <f t="shared" si="44"/>
        <v>3.5</v>
      </c>
      <c r="N136" s="44">
        <f t="shared" ref="N136" si="45">SUM(N137:N138)</f>
        <v>3.7</v>
      </c>
    </row>
    <row r="137" spans="1:14" hidden="1" outlineLevel="1" x14ac:dyDescent="0.2">
      <c r="A137" s="9" t="s">
        <v>232</v>
      </c>
      <c r="B137" s="1" t="s">
        <v>233</v>
      </c>
      <c r="C137" s="10">
        <f>IFERROR(VLOOKUP(A137,'Centre DW11'!$A$7:$N$160,3,FALSE),0)+
IFERROR(VLOOKUP(A137,'Centre WP11'!$A$7:$N$160,3,FALSE),0)+
IFERROR(VLOOKUP(A137,'Centre WR11'!$A$7:$N$160,3,FALSE),0)+
IFERROR(VLOOKUP(A137,'Centre WV11'!$A$7:$N$160,3,FALSE),0)</f>
        <v>7.8</v>
      </c>
      <c r="D137" s="10">
        <f>IFERROR(VLOOKUP(A137,'Centre DW11'!$A$7:$N$160,4,FALSE),0)+
IFERROR(VLOOKUP(A137,'Centre WP11'!$A$7:$N$160,4,FALSE),0)+
IFERROR(VLOOKUP(A137,'Centre WR11'!$A$7:$N$160,4,FALSE),0)+
IFERROR(VLOOKUP(A137,'Centre WV11'!$A$7:$N$160,4,FALSE),0)</f>
        <v>7.8</v>
      </c>
      <c r="E137" s="10">
        <f>IFERROR(VLOOKUP(A137,'Centre DW11'!$A$7:$N$160,5,FALSE),0)+
IFERROR(VLOOKUP(A137,'Centre WP11'!$A$7:$N$160,5,FALSE),0)+
IFERROR(VLOOKUP(A137,'Centre WR11'!$A$7:$N$160,5,FALSE),0)+
IFERROR(VLOOKUP(A137,'Centre WV11'!$A$7:$N$160,5,FALSE),0)</f>
        <v>2.8</v>
      </c>
      <c r="F137" s="10">
        <f>IFERROR(VLOOKUP(A137,'Centre DW11'!$A$7:$N$160,6,FALSE),0)+
IFERROR(VLOOKUP(A137,'Centre WP11'!$A$7:$N$160,6,FALSE),0)+
IFERROR(VLOOKUP(A137,'Centre WR11'!$A$7:$N$160,6,FALSE),0)+
IFERROR(VLOOKUP(A137,'Centre WV11'!$A$7:$N$160,6,FALSE),0)</f>
        <v>2.9</v>
      </c>
      <c r="G137" s="10">
        <f>IFERROR(VLOOKUP(A137,'Centre DW11'!$A$7:$N$160,7,FALSE),0)+
IFERROR(VLOOKUP(A137,'Centre WP11'!$A$7:$N$160,7,FALSE),0)+
IFERROR(VLOOKUP(A137,'Centre WR11'!$A$7:$N$160,7,FALSE),0)+
IFERROR(VLOOKUP(A137,'Centre WV11'!$A$7:$N$160,7,FALSE),0)</f>
        <v>3.5</v>
      </c>
      <c r="H137" s="10">
        <f>IFERROR(VLOOKUP(A137,'Centre DW11'!$A$7:$N$160,8,FALSE),0)+
IFERROR(VLOOKUP(A137,'Centre WP11'!$A$7:$N$160,8,FALSE),0)+
IFERROR(VLOOKUP(A137,'Centre WR11'!$A$7:$N$160,8,FALSE),0)+
IFERROR(VLOOKUP(A137,'Centre WV11'!$A$7:$N$160,8,FALSE),0)</f>
        <v>3.7</v>
      </c>
      <c r="I137" s="10">
        <f>IFERROR(VLOOKUP(A137,'Centre DW11'!$A$7:$N$160,9,FALSE),0)+
IFERROR(VLOOKUP(A137,'Centre WP11'!$A$7:$N$160,9,FALSE),0)+
IFERROR(VLOOKUP(A137,'Centre WR11'!$A$7:$N$160,9,FALSE),0)+
IFERROR(VLOOKUP(A137,'Centre WV11'!$A$7:$N$160,9,FALSE),0)</f>
        <v>0</v>
      </c>
      <c r="J137" s="10">
        <f>IFERROR(VLOOKUP(A137,'Centre DW11'!$A$7:$N$160,10,FALSE),0)+
IFERROR(VLOOKUP(A137,'Centre WP11'!$A$7:$N$160,10,FALSE),0)+
IFERROR(VLOOKUP(A137,'Centre WR11'!$A$7:$N$160,10,FALSE),0)+
IFERROR(VLOOKUP(A137,'Centre WV11'!$A$7:$N$160,10,FALSE),0)</f>
        <v>7.8</v>
      </c>
      <c r="K137" s="10">
        <f>IFERROR(VLOOKUP(A137,'Centre DW11'!$A$7:$N$160,11,FALSE),0)+
IFERROR(VLOOKUP(A137,'Centre WP11'!$A$7:$N$160,11,FALSE),0)+
IFERROR(VLOOKUP(A137,'Centre WR11'!$A$7:$N$160,11,FALSE),0)+
IFERROR(VLOOKUP(A137,'Centre WV11'!$A$7:$N$160,11,FALSE),0)</f>
        <v>2.8</v>
      </c>
      <c r="L137" s="10">
        <f>IFERROR(VLOOKUP(A137,'Centre DW11'!$A$7:$N$160,12,FALSE),0)+
IFERROR(VLOOKUP(A137,'Centre WP11'!$A$7:$N$160,12,FALSE),0)+
IFERROR(VLOOKUP(A137,'Centre WR11'!$A$7:$N$160,12,FALSE),0)+
IFERROR(VLOOKUP(A137,'Centre WV11'!$A$7:$N$160,12,FALSE),0)</f>
        <v>2.9</v>
      </c>
      <c r="M137" s="10">
        <f>IFERROR(VLOOKUP(A137,'Centre DW11'!$A$7:$N$160,13,FALSE),0)+
IFERROR(VLOOKUP(A137,'Centre WP11'!$A$7:$N$160,13,FALSE),0)+
IFERROR(VLOOKUP(A137,'Centre WR11'!$A$7:$N$160,13,FALSE),0)+
IFERROR(VLOOKUP(A137,'Centre WV11'!$A$7:$N$160,13,FALSE),0)</f>
        <v>3.5</v>
      </c>
      <c r="N137" s="10">
        <f>IFERROR(VLOOKUP(A137,'Centre DW11'!$A$7:$N$160,14,FALSE),0)+
IFERROR(VLOOKUP(A137,'Centre WP11'!$A$7:$N$160,14,FALSE),0)+
IFERROR(VLOOKUP(A137,'Centre WR11'!$A$7:$N$160,14,FALSE),0)+
IFERROR(VLOOKUP(A137,'Centre WV11'!$A$7:$N$160,14,FALSE),0)</f>
        <v>3.7</v>
      </c>
    </row>
    <row r="138" spans="1:14" hidden="1" outlineLevel="1" x14ac:dyDescent="0.2">
      <c r="A138" s="9" t="s">
        <v>234</v>
      </c>
      <c r="B138" s="1" t="s">
        <v>235</v>
      </c>
      <c r="C138" s="10">
        <f>IFERROR(VLOOKUP(A138,'Centre DW11'!$A$7:$N$160,3,FALSE),0)+
IFERROR(VLOOKUP(A138,'Centre WP11'!$A$7:$N$160,3,FALSE),0)+
IFERROR(VLOOKUP(A138,'Centre WR11'!$A$7:$N$160,3,FALSE),0)+
IFERROR(VLOOKUP(A138,'Centre WV11'!$A$7:$N$160,3,FALSE),0)</f>
        <v>0</v>
      </c>
      <c r="D138" s="10">
        <f>IFERROR(VLOOKUP(A138,'Centre DW11'!$A$7:$N$160,4,FALSE),0)+
IFERROR(VLOOKUP(A138,'Centre WP11'!$A$7:$N$160,4,FALSE),0)+
IFERROR(VLOOKUP(A138,'Centre WR11'!$A$7:$N$160,4,FALSE),0)+
IFERROR(VLOOKUP(A138,'Centre WV11'!$A$7:$N$160,4,FALSE),0)</f>
        <v>0</v>
      </c>
      <c r="E138" s="10">
        <f>IFERROR(VLOOKUP(A138,'Centre DW11'!$A$7:$N$160,5,FALSE),0)+
IFERROR(VLOOKUP(A138,'Centre WP11'!$A$7:$N$160,5,FALSE),0)+
IFERROR(VLOOKUP(A138,'Centre WR11'!$A$7:$N$160,5,FALSE),0)+
IFERROR(VLOOKUP(A138,'Centre WV11'!$A$7:$N$160,5,FALSE),0)</f>
        <v>0</v>
      </c>
      <c r="F138" s="10">
        <f>IFERROR(VLOOKUP(A138,'Centre DW11'!$A$7:$N$160,6,FALSE),0)+
IFERROR(VLOOKUP(A138,'Centre WP11'!$A$7:$N$160,6,FALSE),0)+
IFERROR(VLOOKUP(A138,'Centre WR11'!$A$7:$N$160,6,FALSE),0)+
IFERROR(VLOOKUP(A138,'Centre WV11'!$A$7:$N$160,6,FALSE),0)</f>
        <v>0</v>
      </c>
      <c r="G138" s="10">
        <f>IFERROR(VLOOKUP(A138,'Centre DW11'!$A$7:$N$160,7,FALSE),0)+
IFERROR(VLOOKUP(A138,'Centre WP11'!$A$7:$N$160,7,FALSE),0)+
IFERROR(VLOOKUP(A138,'Centre WR11'!$A$7:$N$160,7,FALSE),0)+
IFERROR(VLOOKUP(A138,'Centre WV11'!$A$7:$N$160,7,FALSE),0)</f>
        <v>-0.3</v>
      </c>
      <c r="H138" s="10">
        <f>IFERROR(VLOOKUP(A138,'Centre DW11'!$A$7:$N$160,8,FALSE),0)+
IFERROR(VLOOKUP(A138,'Centre WP11'!$A$7:$N$160,8,FALSE),0)+
IFERROR(VLOOKUP(A138,'Centre WR11'!$A$7:$N$160,8,FALSE),0)+
IFERROR(VLOOKUP(A138,'Centre WV11'!$A$7:$N$160,8,FALSE),0)</f>
        <v>0</v>
      </c>
      <c r="I138" s="10">
        <f>IFERROR(VLOOKUP(A138,'Centre DW11'!$A$7:$N$160,9,FALSE),0)+
IFERROR(VLOOKUP(A138,'Centre WP11'!$A$7:$N$160,9,FALSE),0)+
IFERROR(VLOOKUP(A138,'Centre WR11'!$A$7:$N$160,9,FALSE),0)+
IFERROR(VLOOKUP(A138,'Centre WV11'!$A$7:$N$160,9,FALSE),0)</f>
        <v>0</v>
      </c>
      <c r="J138" s="10">
        <f>IFERROR(VLOOKUP(A138,'Centre DW11'!$A$7:$N$160,10,FALSE),0)+
IFERROR(VLOOKUP(A138,'Centre WP11'!$A$7:$N$160,10,FALSE),0)+
IFERROR(VLOOKUP(A138,'Centre WR11'!$A$7:$N$160,10,FALSE),0)+
IFERROR(VLOOKUP(A138,'Centre WV11'!$A$7:$N$160,10,FALSE),0)</f>
        <v>0</v>
      </c>
      <c r="K138" s="10">
        <f>IFERROR(VLOOKUP(A138,'Centre DW11'!$A$7:$N$160,11,FALSE),0)+
IFERROR(VLOOKUP(A138,'Centre WP11'!$A$7:$N$160,11,FALSE),0)+
IFERROR(VLOOKUP(A138,'Centre WR11'!$A$7:$N$160,11,FALSE),0)+
IFERROR(VLOOKUP(A138,'Centre WV11'!$A$7:$N$160,11,FALSE),0)</f>
        <v>0</v>
      </c>
      <c r="L138" s="10">
        <f>IFERROR(VLOOKUP(A138,'Centre DW11'!$A$7:$N$160,12,FALSE),0)+
IFERROR(VLOOKUP(A138,'Centre WP11'!$A$7:$N$160,12,FALSE),0)+
IFERROR(VLOOKUP(A138,'Centre WR11'!$A$7:$N$160,12,FALSE),0)+
IFERROR(VLOOKUP(A138,'Centre WV11'!$A$7:$N$160,12,FALSE),0)</f>
        <v>0</v>
      </c>
      <c r="M138" s="10">
        <f>IFERROR(VLOOKUP(A138,'Centre DW11'!$A$7:$N$160,13,FALSE),0)+
IFERROR(VLOOKUP(A138,'Centre WP11'!$A$7:$N$160,13,FALSE),0)+
IFERROR(VLOOKUP(A138,'Centre WR11'!$A$7:$N$160,13,FALSE),0)+
IFERROR(VLOOKUP(A138,'Centre WV11'!$A$7:$N$160,13,FALSE),0)</f>
        <v>0</v>
      </c>
      <c r="N138" s="10">
        <f>IFERROR(VLOOKUP(A138,'Centre DW11'!$A$7:$N$160,14,FALSE),0)+
IFERROR(VLOOKUP(A138,'Centre WP11'!$A$7:$N$160,14,FALSE),0)+
IFERROR(VLOOKUP(A138,'Centre WR11'!$A$7:$N$160,14,FALSE),0)+
IFERROR(VLOOKUP(A138,'Centre WV11'!$A$7:$N$160,14,FALSE),0)</f>
        <v>0</v>
      </c>
    </row>
    <row r="139" spans="1:14" collapsed="1" x14ac:dyDescent="0.2">
      <c r="A139" s="36"/>
      <c r="B139" s="36" t="s">
        <v>236</v>
      </c>
      <c r="C139" s="45">
        <f t="shared" ref="C139:M139" si="46">+C104+C121+C134+C135+C136</f>
        <v>38.4</v>
      </c>
      <c r="D139" s="45">
        <f t="shared" si="46"/>
        <v>41</v>
      </c>
      <c r="E139" s="45">
        <f t="shared" si="46"/>
        <v>34.5</v>
      </c>
      <c r="F139" s="45">
        <f t="shared" si="46"/>
        <v>26.9</v>
      </c>
      <c r="G139" s="45">
        <f t="shared" si="46"/>
        <v>27.1</v>
      </c>
      <c r="H139" s="45">
        <f t="shared" si="46"/>
        <v>25.8</v>
      </c>
      <c r="I139" s="45">
        <f t="shared" si="46"/>
        <v>10.1</v>
      </c>
      <c r="J139" s="45">
        <f t="shared" si="46"/>
        <v>39.5</v>
      </c>
      <c r="K139" s="45">
        <f t="shared" si="46"/>
        <v>26.8</v>
      </c>
      <c r="L139" s="45">
        <f t="shared" si="46"/>
        <v>26.8</v>
      </c>
      <c r="M139" s="45">
        <f t="shared" si="46"/>
        <v>25.6</v>
      </c>
      <c r="N139" s="45">
        <f t="shared" ref="N139" si="47">+N104+N121+N134+N135+N136</f>
        <v>13.8</v>
      </c>
    </row>
    <row r="140" spans="1:14" x14ac:dyDescent="0.2">
      <c r="A140" s="35"/>
      <c r="B140" s="35" t="s">
        <v>237</v>
      </c>
      <c r="C140" s="21">
        <f t="shared" ref="C140:M140" si="48">+C103-C139</f>
        <v>3.0000000000000071</v>
      </c>
      <c r="D140" s="21">
        <f t="shared" si="48"/>
        <v>-14.400000000000006</v>
      </c>
      <c r="E140" s="21">
        <f t="shared" si="48"/>
        <v>34.399999999999977</v>
      </c>
      <c r="F140" s="21">
        <f t="shared" si="48"/>
        <v>15.199999999999967</v>
      </c>
      <c r="G140" s="21">
        <f t="shared" si="48"/>
        <v>9.1999999999999247</v>
      </c>
      <c r="H140" s="21">
        <f t="shared" si="48"/>
        <v>16.999999999999982</v>
      </c>
      <c r="I140" s="21">
        <f t="shared" si="48"/>
        <v>30.999999999999964</v>
      </c>
      <c r="J140" s="21">
        <f t="shared" si="48"/>
        <v>-2.3000000000000398</v>
      </c>
      <c r="K140" s="21">
        <f t="shared" si="48"/>
        <v>36.999999999999957</v>
      </c>
      <c r="L140" s="21">
        <f t="shared" si="48"/>
        <v>20.600000000000033</v>
      </c>
      <c r="M140" s="21">
        <f t="shared" si="48"/>
        <v>-10.100000000000001</v>
      </c>
      <c r="N140" s="21">
        <f t="shared" ref="N140" si="49">+N103-N139</f>
        <v>118.60000000000004</v>
      </c>
    </row>
    <row r="141" spans="1:14" x14ac:dyDescent="0.2">
      <c r="A141" s="33" t="s">
        <v>238</v>
      </c>
      <c r="B141" s="34" t="s">
        <v>239</v>
      </c>
      <c r="C141" s="44">
        <f t="shared" ref="C141:M141" si="50">SUM(C142:C145)</f>
        <v>0.89999999999999991</v>
      </c>
      <c r="D141" s="44">
        <f t="shared" si="50"/>
        <v>1.7999999999999998</v>
      </c>
      <c r="E141" s="44">
        <f t="shared" si="50"/>
        <v>1.6999999999999997</v>
      </c>
      <c r="F141" s="44">
        <f t="shared" si="50"/>
        <v>2</v>
      </c>
      <c r="G141" s="44">
        <f t="shared" si="50"/>
        <v>2.2999999999999998</v>
      </c>
      <c r="H141" s="44">
        <f t="shared" si="50"/>
        <v>1.2000000000000002</v>
      </c>
      <c r="I141" s="44">
        <f t="shared" si="50"/>
        <v>2</v>
      </c>
      <c r="J141" s="44">
        <f t="shared" si="50"/>
        <v>2.7</v>
      </c>
      <c r="K141" s="44">
        <f t="shared" si="50"/>
        <v>2</v>
      </c>
      <c r="L141" s="44">
        <f t="shared" si="50"/>
        <v>2.2999999999999998</v>
      </c>
      <c r="M141" s="44">
        <f t="shared" si="50"/>
        <v>1.2000000000000002</v>
      </c>
      <c r="N141" s="44">
        <f t="shared" ref="N141" si="51">SUM(N142:N145)</f>
        <v>2</v>
      </c>
    </row>
    <row r="142" spans="1:14" hidden="1" outlineLevel="1" x14ac:dyDescent="0.2">
      <c r="A142" s="9" t="s">
        <v>240</v>
      </c>
      <c r="B142" s="1" t="s">
        <v>241</v>
      </c>
      <c r="C142" s="10">
        <f>IFERROR(VLOOKUP(A142,'Centre DW11'!$A$7:$N$160,3,FALSE),0)+
IFERROR(VLOOKUP(A142,'Centre WP11'!$A$7:$N$160,3,FALSE),0)+
IFERROR(VLOOKUP(A142,'Centre WR11'!$A$7:$N$160,3,FALSE),0)+
IFERROR(VLOOKUP(A142,'Centre WV11'!$A$7:$N$160,3,FALSE),0)</f>
        <v>1.4</v>
      </c>
      <c r="D142" s="10">
        <f>IFERROR(VLOOKUP(A142,'Centre DW11'!$A$7:$N$160,4,FALSE),0)+
IFERROR(VLOOKUP(A142,'Centre WP11'!$A$7:$N$160,4,FALSE),0)+
IFERROR(VLOOKUP(A142,'Centre WR11'!$A$7:$N$160,4,FALSE),0)+
IFERROR(VLOOKUP(A142,'Centre WV11'!$A$7:$N$160,4,FALSE),0)</f>
        <v>2.4</v>
      </c>
      <c r="E142" s="10">
        <f>IFERROR(VLOOKUP(A142,'Centre DW11'!$A$7:$N$160,5,FALSE),0)+
IFERROR(VLOOKUP(A142,'Centre WP11'!$A$7:$N$160,5,FALSE),0)+
IFERROR(VLOOKUP(A142,'Centre WR11'!$A$7:$N$160,5,FALSE),0)+
IFERROR(VLOOKUP(A142,'Centre WV11'!$A$7:$N$160,5,FALSE),0)</f>
        <v>2.2999999999999998</v>
      </c>
      <c r="F142" s="10">
        <f>IFERROR(VLOOKUP(A142,'Centre DW11'!$A$7:$N$160,6,FALSE),0)+
IFERROR(VLOOKUP(A142,'Centre WP11'!$A$7:$N$160,6,FALSE),0)+
IFERROR(VLOOKUP(A142,'Centre WR11'!$A$7:$N$160,6,FALSE),0)+
IFERROR(VLOOKUP(A142,'Centre WV11'!$A$7:$N$160,6,FALSE),0)</f>
        <v>2</v>
      </c>
      <c r="G142" s="10">
        <f>IFERROR(VLOOKUP(A142,'Centre DW11'!$A$7:$N$160,7,FALSE),0)+
IFERROR(VLOOKUP(A142,'Centre WP11'!$A$7:$N$160,7,FALSE),0)+
IFERROR(VLOOKUP(A142,'Centre WR11'!$A$7:$N$160,7,FALSE),0)+
IFERROR(VLOOKUP(A142,'Centre WV11'!$A$7:$N$160,7,FALSE),0)</f>
        <v>2.2999999999999998</v>
      </c>
      <c r="H142" s="10">
        <f>IFERROR(VLOOKUP(A142,'Centre DW11'!$A$7:$N$160,8,FALSE),0)+
IFERROR(VLOOKUP(A142,'Centre WP11'!$A$7:$N$160,8,FALSE),0)+
IFERROR(VLOOKUP(A142,'Centre WR11'!$A$7:$N$160,8,FALSE),0)+
IFERROR(VLOOKUP(A142,'Centre WV11'!$A$7:$N$160,8,FALSE),0)</f>
        <v>1.2000000000000002</v>
      </c>
      <c r="I142" s="10">
        <f>IFERROR(VLOOKUP(A142,'Centre DW11'!$A$7:$N$160,9,FALSE),0)+
IFERROR(VLOOKUP(A142,'Centre WP11'!$A$7:$N$160,9,FALSE),0)+
IFERROR(VLOOKUP(A142,'Centre WR11'!$A$7:$N$160,9,FALSE),0)+
IFERROR(VLOOKUP(A142,'Centre WV11'!$A$7:$N$160,9,FALSE),0)</f>
        <v>2</v>
      </c>
      <c r="J142" s="10">
        <f>IFERROR(VLOOKUP(A142,'Centre DW11'!$A$7:$N$160,10,FALSE),0)+
IFERROR(VLOOKUP(A142,'Centre WP11'!$A$7:$N$160,10,FALSE),0)+
IFERROR(VLOOKUP(A142,'Centre WR11'!$A$7:$N$160,10,FALSE),0)+
IFERROR(VLOOKUP(A142,'Centre WV11'!$A$7:$N$160,10,FALSE),0)</f>
        <v>2.7</v>
      </c>
      <c r="K142" s="10">
        <f>IFERROR(VLOOKUP(A142,'Centre DW11'!$A$7:$N$160,11,FALSE),0)+
IFERROR(VLOOKUP(A142,'Centre WP11'!$A$7:$N$160,11,FALSE),0)+
IFERROR(VLOOKUP(A142,'Centre WR11'!$A$7:$N$160,11,FALSE),0)+
IFERROR(VLOOKUP(A142,'Centre WV11'!$A$7:$N$160,11,FALSE),0)</f>
        <v>2</v>
      </c>
      <c r="L142" s="10">
        <f>IFERROR(VLOOKUP(A142,'Centre DW11'!$A$7:$N$160,12,FALSE),0)+
IFERROR(VLOOKUP(A142,'Centre WP11'!$A$7:$N$160,12,FALSE),0)+
IFERROR(VLOOKUP(A142,'Centre WR11'!$A$7:$N$160,12,FALSE),0)+
IFERROR(VLOOKUP(A142,'Centre WV11'!$A$7:$N$160,12,FALSE),0)</f>
        <v>2.2999999999999998</v>
      </c>
      <c r="M142" s="10">
        <f>IFERROR(VLOOKUP(A142,'Centre DW11'!$A$7:$N$160,13,FALSE),0)+
IFERROR(VLOOKUP(A142,'Centre WP11'!$A$7:$N$160,13,FALSE),0)+
IFERROR(VLOOKUP(A142,'Centre WR11'!$A$7:$N$160,13,FALSE),0)+
IFERROR(VLOOKUP(A142,'Centre WV11'!$A$7:$N$160,13,FALSE),0)</f>
        <v>1.2000000000000002</v>
      </c>
      <c r="N142" s="10">
        <f>IFERROR(VLOOKUP(A142,'Centre DW11'!$A$7:$N$160,14,FALSE),0)+
IFERROR(VLOOKUP(A142,'Centre WP11'!$A$7:$N$160,14,FALSE),0)+
IFERROR(VLOOKUP(A142,'Centre WR11'!$A$7:$N$160,14,FALSE),0)+
IFERROR(VLOOKUP(A142,'Centre WV11'!$A$7:$N$160,14,FALSE),0)</f>
        <v>2</v>
      </c>
    </row>
    <row r="143" spans="1:14" hidden="1" outlineLevel="1" x14ac:dyDescent="0.2">
      <c r="A143" s="9" t="s">
        <v>242</v>
      </c>
      <c r="B143" s="1" t="s">
        <v>243</v>
      </c>
      <c r="C143" s="10">
        <f>IFERROR(VLOOKUP(A143,'Centre DW11'!$A$7:$N$160,3,FALSE),0)+
IFERROR(VLOOKUP(A143,'Centre WP11'!$A$7:$N$160,3,FALSE),0)+
IFERROR(VLOOKUP(A143,'Centre WR11'!$A$7:$N$160,3,FALSE),0)+
IFERROR(VLOOKUP(A143,'Centre WV11'!$A$7:$N$160,3,FALSE),0)</f>
        <v>-0.5</v>
      </c>
      <c r="D143" s="10">
        <f>IFERROR(VLOOKUP(A143,'Centre DW11'!$A$7:$N$160,4,FALSE),0)+
IFERROR(VLOOKUP(A143,'Centre WP11'!$A$7:$N$160,4,FALSE),0)+
IFERROR(VLOOKUP(A143,'Centre WR11'!$A$7:$N$160,4,FALSE),0)+
IFERROR(VLOOKUP(A143,'Centre WV11'!$A$7:$N$160,4,FALSE),0)</f>
        <v>-0.6</v>
      </c>
      <c r="E143" s="10">
        <f>IFERROR(VLOOKUP(A143,'Centre DW11'!$A$7:$N$160,5,FALSE),0)+
IFERROR(VLOOKUP(A143,'Centre WP11'!$A$7:$N$160,5,FALSE),0)+
IFERROR(VLOOKUP(A143,'Centre WR11'!$A$7:$N$160,5,FALSE),0)+
IFERROR(VLOOKUP(A143,'Centre WV11'!$A$7:$N$160,5,FALSE),0)</f>
        <v>-0.6</v>
      </c>
      <c r="F143" s="10">
        <f>IFERROR(VLOOKUP(A143,'Centre DW11'!$A$7:$N$160,6,FALSE),0)+
IFERROR(VLOOKUP(A143,'Centre WP11'!$A$7:$N$160,6,FALSE),0)+
IFERROR(VLOOKUP(A143,'Centre WR11'!$A$7:$N$160,6,FALSE),0)+
IFERROR(VLOOKUP(A143,'Centre WV11'!$A$7:$N$160,6,FALSE),0)</f>
        <v>0</v>
      </c>
      <c r="G143" s="10">
        <f>IFERROR(VLOOKUP(A143,'Centre DW11'!$A$7:$N$160,7,FALSE),0)+
IFERROR(VLOOKUP(A143,'Centre WP11'!$A$7:$N$160,7,FALSE),0)+
IFERROR(VLOOKUP(A143,'Centre WR11'!$A$7:$N$160,7,FALSE),0)+
IFERROR(VLOOKUP(A143,'Centre WV11'!$A$7:$N$160,7,FALSE),0)</f>
        <v>0</v>
      </c>
      <c r="H143" s="10">
        <f>IFERROR(VLOOKUP(A143,'Centre DW11'!$A$7:$N$160,8,FALSE),0)+
IFERROR(VLOOKUP(A143,'Centre WP11'!$A$7:$N$160,8,FALSE),0)+
IFERROR(VLOOKUP(A143,'Centre WR11'!$A$7:$N$160,8,FALSE),0)+
IFERROR(VLOOKUP(A143,'Centre WV11'!$A$7:$N$160,8,FALSE),0)</f>
        <v>0</v>
      </c>
      <c r="I143" s="10">
        <f>IFERROR(VLOOKUP(A143,'Centre DW11'!$A$7:$N$160,9,FALSE),0)+
IFERROR(VLOOKUP(A143,'Centre WP11'!$A$7:$N$160,9,FALSE),0)+
IFERROR(VLOOKUP(A143,'Centre WR11'!$A$7:$N$160,9,FALSE),0)+
IFERROR(VLOOKUP(A143,'Centre WV11'!$A$7:$N$160,9,FALSE),0)</f>
        <v>0</v>
      </c>
      <c r="J143" s="10">
        <f>IFERROR(VLOOKUP(A143,'Centre DW11'!$A$7:$N$160,10,FALSE),0)+
IFERROR(VLOOKUP(A143,'Centre WP11'!$A$7:$N$160,10,FALSE),0)+
IFERROR(VLOOKUP(A143,'Centre WR11'!$A$7:$N$160,10,FALSE),0)+
IFERROR(VLOOKUP(A143,'Centre WV11'!$A$7:$N$160,10,FALSE),0)</f>
        <v>0</v>
      </c>
      <c r="K143" s="10">
        <f>IFERROR(VLOOKUP(A143,'Centre DW11'!$A$7:$N$160,11,FALSE),0)+
IFERROR(VLOOKUP(A143,'Centre WP11'!$A$7:$N$160,11,FALSE),0)+
IFERROR(VLOOKUP(A143,'Centre WR11'!$A$7:$N$160,11,FALSE),0)+
IFERROR(VLOOKUP(A143,'Centre WV11'!$A$7:$N$160,11,FALSE),0)</f>
        <v>0</v>
      </c>
      <c r="L143" s="10">
        <f>IFERROR(VLOOKUP(A143,'Centre DW11'!$A$7:$N$160,12,FALSE),0)+
IFERROR(VLOOKUP(A143,'Centre WP11'!$A$7:$N$160,12,FALSE),0)+
IFERROR(VLOOKUP(A143,'Centre WR11'!$A$7:$N$160,12,FALSE),0)+
IFERROR(VLOOKUP(A143,'Centre WV11'!$A$7:$N$160,12,FALSE),0)</f>
        <v>0</v>
      </c>
      <c r="M143" s="10">
        <f>IFERROR(VLOOKUP(A143,'Centre DW11'!$A$7:$N$160,13,FALSE),0)+
IFERROR(VLOOKUP(A143,'Centre WP11'!$A$7:$N$160,13,FALSE),0)+
IFERROR(VLOOKUP(A143,'Centre WR11'!$A$7:$N$160,13,FALSE),0)+
IFERROR(VLOOKUP(A143,'Centre WV11'!$A$7:$N$160,13,FALSE),0)</f>
        <v>0</v>
      </c>
      <c r="N143" s="10">
        <f>IFERROR(VLOOKUP(A143,'Centre DW11'!$A$7:$N$160,14,FALSE),0)+
IFERROR(VLOOKUP(A143,'Centre WP11'!$A$7:$N$160,14,FALSE),0)+
IFERROR(VLOOKUP(A143,'Centre WR11'!$A$7:$N$160,14,FALSE),0)+
IFERROR(VLOOKUP(A143,'Centre WV11'!$A$7:$N$160,14,FALSE),0)</f>
        <v>0</v>
      </c>
    </row>
    <row r="144" spans="1:14" hidden="1" outlineLevel="1" x14ac:dyDescent="0.2">
      <c r="A144" s="9" t="s">
        <v>359</v>
      </c>
      <c r="B144" s="1" t="s">
        <v>360</v>
      </c>
      <c r="C144" s="10">
        <f>IFERROR(VLOOKUP(A144,'Centre DW11'!$A$7:$N$160,3,FALSE),0)+
IFERROR(VLOOKUP(A144,'Centre WP11'!$A$7:$N$160,3,FALSE),0)+
IFERROR(VLOOKUP(A144,'Centre WR11'!$A$7:$N$160,3,FALSE),0)+
IFERROR(VLOOKUP(A144,'Centre WV11'!$A$7:$N$160,3,FALSE),0)</f>
        <v>0</v>
      </c>
      <c r="D144" s="10">
        <f>IFERROR(VLOOKUP(A144,'Centre DW11'!$A$7:$N$160,4,FALSE),0)+
IFERROR(VLOOKUP(A144,'Centre WP11'!$A$7:$N$160,4,FALSE),0)+
IFERROR(VLOOKUP(A144,'Centre WR11'!$A$7:$N$160,4,FALSE),0)+
IFERROR(VLOOKUP(A144,'Centre WV11'!$A$7:$N$160,4,FALSE),0)</f>
        <v>0</v>
      </c>
      <c r="E144" s="10">
        <f>IFERROR(VLOOKUP(A144,'Centre DW11'!$A$7:$N$160,5,FALSE),0)+
IFERROR(VLOOKUP(A144,'Centre WP11'!$A$7:$N$160,5,FALSE),0)+
IFERROR(VLOOKUP(A144,'Centre WR11'!$A$7:$N$160,5,FALSE),0)+
IFERROR(VLOOKUP(A144,'Centre WV11'!$A$7:$N$160,5,FALSE),0)</f>
        <v>0</v>
      </c>
      <c r="F144" s="10">
        <f>IFERROR(VLOOKUP(A144,'Centre DW11'!$A$7:$N$160,6,FALSE),0)+
IFERROR(VLOOKUP(A144,'Centre WP11'!$A$7:$N$160,6,FALSE),0)+
IFERROR(VLOOKUP(A144,'Centre WR11'!$A$7:$N$160,6,FALSE),0)+
IFERROR(VLOOKUP(A144,'Centre WV11'!$A$7:$N$160,6,FALSE),0)</f>
        <v>0</v>
      </c>
      <c r="G144" s="10">
        <f>IFERROR(VLOOKUP(A144,'Centre DW11'!$A$7:$N$160,7,FALSE),0)+
IFERROR(VLOOKUP(A144,'Centre WP11'!$A$7:$N$160,7,FALSE),0)+
IFERROR(VLOOKUP(A144,'Centre WR11'!$A$7:$N$160,7,FALSE),0)+
IFERROR(VLOOKUP(A144,'Centre WV11'!$A$7:$N$160,7,FALSE),0)</f>
        <v>0</v>
      </c>
      <c r="H144" s="10">
        <f>IFERROR(VLOOKUP(A144,'Centre DW11'!$A$7:$N$160,8,FALSE),0)+
IFERROR(VLOOKUP(A144,'Centre WP11'!$A$7:$N$160,8,FALSE),0)+
IFERROR(VLOOKUP(A144,'Centre WR11'!$A$7:$N$160,8,FALSE),0)+
IFERROR(VLOOKUP(A144,'Centre WV11'!$A$7:$N$160,8,FALSE),0)</f>
        <v>0</v>
      </c>
      <c r="I144" s="10">
        <f>IFERROR(VLOOKUP(A144,'Centre DW11'!$A$7:$N$160,9,FALSE),0)+
IFERROR(VLOOKUP(A144,'Centre WP11'!$A$7:$N$160,9,FALSE),0)+
IFERROR(VLOOKUP(A144,'Centre WR11'!$A$7:$N$160,9,FALSE),0)+
IFERROR(VLOOKUP(A144,'Centre WV11'!$A$7:$N$160,9,FALSE),0)</f>
        <v>0</v>
      </c>
      <c r="J144" s="10">
        <f>IFERROR(VLOOKUP(A144,'Centre DW11'!$A$7:$N$160,10,FALSE),0)+
IFERROR(VLOOKUP(A144,'Centre WP11'!$A$7:$N$160,10,FALSE),0)+
IFERROR(VLOOKUP(A144,'Centre WR11'!$A$7:$N$160,10,FALSE),0)+
IFERROR(VLOOKUP(A144,'Centre WV11'!$A$7:$N$160,10,FALSE),0)</f>
        <v>0</v>
      </c>
      <c r="K144" s="10">
        <f>IFERROR(VLOOKUP(A144,'Centre DW11'!$A$7:$N$160,11,FALSE),0)+
IFERROR(VLOOKUP(A144,'Centre WP11'!$A$7:$N$160,11,FALSE),0)+
IFERROR(VLOOKUP(A144,'Centre WR11'!$A$7:$N$160,11,FALSE),0)+
IFERROR(VLOOKUP(A144,'Centre WV11'!$A$7:$N$160,11,FALSE),0)</f>
        <v>0</v>
      </c>
      <c r="L144" s="10">
        <f>IFERROR(VLOOKUP(A144,'Centre DW11'!$A$7:$N$160,12,FALSE),0)+
IFERROR(VLOOKUP(A144,'Centre WP11'!$A$7:$N$160,12,FALSE),0)+
IFERROR(VLOOKUP(A144,'Centre WR11'!$A$7:$N$160,12,FALSE),0)+
IFERROR(VLOOKUP(A144,'Centre WV11'!$A$7:$N$160,12,FALSE),0)</f>
        <v>0</v>
      </c>
      <c r="M144" s="10">
        <f>IFERROR(VLOOKUP(A144,'Centre DW11'!$A$7:$N$160,13,FALSE),0)+
IFERROR(VLOOKUP(A144,'Centre WP11'!$A$7:$N$160,13,FALSE),0)+
IFERROR(VLOOKUP(A144,'Centre WR11'!$A$7:$N$160,13,FALSE),0)+
IFERROR(VLOOKUP(A144,'Centre WV11'!$A$7:$N$160,13,FALSE),0)</f>
        <v>0</v>
      </c>
      <c r="N144" s="10">
        <f>IFERROR(VLOOKUP(A144,'Centre DW11'!$A$7:$N$160,14,FALSE),0)+
IFERROR(VLOOKUP(A144,'Centre WP11'!$A$7:$N$160,14,FALSE),0)+
IFERROR(VLOOKUP(A144,'Centre WR11'!$A$7:$N$160,14,FALSE),0)+
IFERROR(VLOOKUP(A144,'Centre WV11'!$A$7:$N$160,14,FALSE),0)</f>
        <v>0</v>
      </c>
    </row>
    <row r="145" spans="1:14" hidden="1" outlineLevel="1" x14ac:dyDescent="0.2">
      <c r="A145" s="9" t="s">
        <v>361</v>
      </c>
      <c r="B145" s="1" t="s">
        <v>362</v>
      </c>
      <c r="C145" s="10">
        <f>IFERROR(VLOOKUP(A145,'Centre DW11'!$A$7:$N$160,3,FALSE),0)+
IFERROR(VLOOKUP(A145,'Centre WP11'!$A$7:$N$160,3,FALSE),0)+
IFERROR(VLOOKUP(A145,'Centre WR11'!$A$7:$N$160,3,FALSE),0)+
IFERROR(VLOOKUP(A145,'Centre WV11'!$A$7:$N$160,3,FALSE),0)</f>
        <v>0</v>
      </c>
      <c r="D145" s="10">
        <f>IFERROR(VLOOKUP(A145,'Centre DW11'!$A$7:$N$160,4,FALSE),0)+
IFERROR(VLOOKUP(A145,'Centre WP11'!$A$7:$N$160,4,FALSE),0)+
IFERROR(VLOOKUP(A145,'Centre WR11'!$A$7:$N$160,4,FALSE),0)+
IFERROR(VLOOKUP(A145,'Centre WV11'!$A$7:$N$160,4,FALSE),0)</f>
        <v>0</v>
      </c>
      <c r="E145" s="10">
        <f>IFERROR(VLOOKUP(A145,'Centre DW11'!$A$7:$N$160,5,FALSE),0)+
IFERROR(VLOOKUP(A145,'Centre WP11'!$A$7:$N$160,5,FALSE),0)+
IFERROR(VLOOKUP(A145,'Centre WR11'!$A$7:$N$160,5,FALSE),0)+
IFERROR(VLOOKUP(A145,'Centre WV11'!$A$7:$N$160,5,FALSE),0)</f>
        <v>0</v>
      </c>
      <c r="F145" s="10">
        <f>IFERROR(VLOOKUP(A145,'Centre DW11'!$A$7:$N$160,6,FALSE),0)+
IFERROR(VLOOKUP(A145,'Centre WP11'!$A$7:$N$160,6,FALSE),0)+
IFERROR(VLOOKUP(A145,'Centre WR11'!$A$7:$N$160,6,FALSE),0)+
IFERROR(VLOOKUP(A145,'Centre WV11'!$A$7:$N$160,6,FALSE),0)</f>
        <v>0</v>
      </c>
      <c r="G145" s="10">
        <f>IFERROR(VLOOKUP(A145,'Centre DW11'!$A$7:$N$160,7,FALSE),0)+
IFERROR(VLOOKUP(A145,'Centre WP11'!$A$7:$N$160,7,FALSE),0)+
IFERROR(VLOOKUP(A145,'Centre WR11'!$A$7:$N$160,7,FALSE),0)+
IFERROR(VLOOKUP(A145,'Centre WV11'!$A$7:$N$160,7,FALSE),0)</f>
        <v>0</v>
      </c>
      <c r="H145" s="10">
        <f>IFERROR(VLOOKUP(A145,'Centre DW11'!$A$7:$N$160,8,FALSE),0)+
IFERROR(VLOOKUP(A145,'Centre WP11'!$A$7:$N$160,8,FALSE),0)+
IFERROR(VLOOKUP(A145,'Centre WR11'!$A$7:$N$160,8,FALSE),0)+
IFERROR(VLOOKUP(A145,'Centre WV11'!$A$7:$N$160,8,FALSE),0)</f>
        <v>0</v>
      </c>
      <c r="I145" s="10">
        <f>IFERROR(VLOOKUP(A145,'Centre DW11'!$A$7:$N$160,9,FALSE),0)+
IFERROR(VLOOKUP(A145,'Centre WP11'!$A$7:$N$160,9,FALSE),0)+
IFERROR(VLOOKUP(A145,'Centre WR11'!$A$7:$N$160,9,FALSE),0)+
IFERROR(VLOOKUP(A145,'Centre WV11'!$A$7:$N$160,9,FALSE),0)</f>
        <v>0</v>
      </c>
      <c r="J145" s="10">
        <f>IFERROR(VLOOKUP(A145,'Centre DW11'!$A$7:$N$160,10,FALSE),0)+
IFERROR(VLOOKUP(A145,'Centre WP11'!$A$7:$N$160,10,FALSE),0)+
IFERROR(VLOOKUP(A145,'Centre WR11'!$A$7:$N$160,10,FALSE),0)+
IFERROR(VLOOKUP(A145,'Centre WV11'!$A$7:$N$160,10,FALSE),0)</f>
        <v>0</v>
      </c>
      <c r="K145" s="10">
        <f>IFERROR(VLOOKUP(A145,'Centre DW11'!$A$7:$N$160,11,FALSE),0)+
IFERROR(VLOOKUP(A145,'Centre WP11'!$A$7:$N$160,11,FALSE),0)+
IFERROR(VLOOKUP(A145,'Centre WR11'!$A$7:$N$160,11,FALSE),0)+
IFERROR(VLOOKUP(A145,'Centre WV11'!$A$7:$N$160,11,FALSE),0)</f>
        <v>0</v>
      </c>
      <c r="L145" s="10">
        <f>IFERROR(VLOOKUP(A145,'Centre DW11'!$A$7:$N$160,12,FALSE),0)+
IFERROR(VLOOKUP(A145,'Centre WP11'!$A$7:$N$160,12,FALSE),0)+
IFERROR(VLOOKUP(A145,'Centre WR11'!$A$7:$N$160,12,FALSE),0)+
IFERROR(VLOOKUP(A145,'Centre WV11'!$A$7:$N$160,12,FALSE),0)</f>
        <v>0</v>
      </c>
      <c r="M145" s="10">
        <f>IFERROR(VLOOKUP(A145,'Centre DW11'!$A$7:$N$160,13,FALSE),0)+
IFERROR(VLOOKUP(A145,'Centre WP11'!$A$7:$N$160,13,FALSE),0)+
IFERROR(VLOOKUP(A145,'Centre WR11'!$A$7:$N$160,13,FALSE),0)+
IFERROR(VLOOKUP(A145,'Centre WV11'!$A$7:$N$160,13,FALSE),0)</f>
        <v>0</v>
      </c>
      <c r="N145" s="10">
        <f>IFERROR(VLOOKUP(A145,'Centre DW11'!$A$7:$N$160,14,FALSE),0)+
IFERROR(VLOOKUP(A145,'Centre WP11'!$A$7:$N$160,14,FALSE),0)+
IFERROR(VLOOKUP(A145,'Centre WR11'!$A$7:$N$160,14,FALSE),0)+
IFERROR(VLOOKUP(A145,'Centre WV11'!$A$7:$N$160,14,FALSE),0)</f>
        <v>0</v>
      </c>
    </row>
    <row r="146" spans="1:14" collapsed="1" x14ac:dyDescent="0.2">
      <c r="A146" s="33" t="s">
        <v>244</v>
      </c>
      <c r="B146" s="34" t="s">
        <v>245</v>
      </c>
      <c r="C146" s="44">
        <f>IFERROR(VLOOKUP(A146,'Centre DW11'!$A$7:$N$160,3,FALSE),0)+
IFERROR(VLOOKUP(A146,'Centre WP11'!$A$7:$N$160,3,FALSE),0)+
IFERROR(VLOOKUP(A146,'Centre WR11'!$A$7:$N$160,3,FALSE),0)+
IFERROR(VLOOKUP(A146,'Centre WV11'!$A$7:$N$160,3,FALSE),0)</f>
        <v>0</v>
      </c>
      <c r="D146" s="44">
        <f>IFERROR(VLOOKUP(A146,'Centre DW11'!$A$7:$N$160,4,FALSE),0)+
IFERROR(VLOOKUP(A146,'Centre WP11'!$A$7:$N$160,4,FALSE),0)+
IFERROR(VLOOKUP(A146,'Centre WR11'!$A$7:$N$160,4,FALSE),0)+
IFERROR(VLOOKUP(A146,'Centre WV11'!$A$7:$N$160,4,FALSE),0)</f>
        <v>0</v>
      </c>
      <c r="E146" s="44">
        <f>IFERROR(VLOOKUP(A146,'Centre DW11'!$A$7:$N$160,5,FALSE),0)+
IFERROR(VLOOKUP(A146,'Centre WP11'!$A$7:$N$160,5,FALSE),0)+
IFERROR(VLOOKUP(A146,'Centre WR11'!$A$7:$N$160,5,FALSE),0)+
IFERROR(VLOOKUP(A146,'Centre WV11'!$A$7:$N$160,5,FALSE),0)</f>
        <v>0</v>
      </c>
      <c r="F146" s="44">
        <f>IFERROR(VLOOKUP(A146,'Centre DW11'!$A$7:$N$160,6,FALSE),0)+
IFERROR(VLOOKUP(A146,'Centre WP11'!$A$7:$N$160,6,FALSE),0)+
IFERROR(VLOOKUP(A146,'Centre WR11'!$A$7:$N$160,6,FALSE),0)+
IFERROR(VLOOKUP(A146,'Centre WV11'!$A$7:$N$160,6,FALSE),0)</f>
        <v>0</v>
      </c>
      <c r="G146" s="44">
        <f>IFERROR(VLOOKUP(A146,'Centre DW11'!$A$7:$N$160,7,FALSE),0)+
IFERROR(VLOOKUP(A146,'Centre WP11'!$A$7:$N$160,7,FALSE),0)+
IFERROR(VLOOKUP(A146,'Centre WR11'!$A$7:$N$160,7,FALSE),0)+
IFERROR(VLOOKUP(A146,'Centre WV11'!$A$7:$N$160,7,FALSE),0)</f>
        <v>0</v>
      </c>
      <c r="H146" s="44">
        <f>IFERROR(VLOOKUP(A146,'Centre DW11'!$A$7:$N$160,8,FALSE),0)+
IFERROR(VLOOKUP(A146,'Centre WP11'!$A$7:$N$160,8,FALSE),0)+
IFERROR(VLOOKUP(A146,'Centre WR11'!$A$7:$N$160,8,FALSE),0)+
IFERROR(VLOOKUP(A146,'Centre WV11'!$A$7:$N$160,8,FALSE),0)</f>
        <v>0</v>
      </c>
      <c r="I146" s="44">
        <f>IFERROR(VLOOKUP(A146,'Centre DW11'!$A$7:$N$160,9,FALSE),0)+
IFERROR(VLOOKUP(A146,'Centre WP11'!$A$7:$N$160,9,FALSE),0)+
IFERROR(VLOOKUP(A146,'Centre WR11'!$A$7:$N$160,9,FALSE),0)+
IFERROR(VLOOKUP(A146,'Centre WV11'!$A$7:$N$160,9,FALSE),0)</f>
        <v>0</v>
      </c>
      <c r="J146" s="44">
        <f>IFERROR(VLOOKUP(A146,'Centre DW11'!$A$7:$N$160,10,FALSE),0)+
IFERROR(VLOOKUP(A146,'Centre WP11'!$A$7:$N$160,10,FALSE),0)+
IFERROR(VLOOKUP(A146,'Centre WR11'!$A$7:$N$160,10,FALSE),0)+
IFERROR(VLOOKUP(A146,'Centre WV11'!$A$7:$N$160,10,FALSE),0)</f>
        <v>0</v>
      </c>
      <c r="K146" s="44">
        <f>IFERROR(VLOOKUP(A146,'Centre DW11'!$A$7:$N$160,11,FALSE),0)+
IFERROR(VLOOKUP(A146,'Centre WP11'!$A$7:$N$160,11,FALSE),0)+
IFERROR(VLOOKUP(A146,'Centre WR11'!$A$7:$N$160,11,FALSE),0)+
IFERROR(VLOOKUP(A146,'Centre WV11'!$A$7:$N$160,11,FALSE),0)</f>
        <v>0</v>
      </c>
      <c r="L146" s="44">
        <f>IFERROR(VLOOKUP(A146,'Centre DW11'!$A$7:$N$160,12,FALSE),0)+
IFERROR(VLOOKUP(A146,'Centre WP11'!$A$7:$N$160,12,FALSE),0)+
IFERROR(VLOOKUP(A146,'Centre WR11'!$A$7:$N$160,12,FALSE),0)+
IFERROR(VLOOKUP(A146,'Centre WV11'!$A$7:$N$160,12,FALSE),0)</f>
        <v>0</v>
      </c>
      <c r="M146" s="44">
        <f>IFERROR(VLOOKUP(A146,'Centre DW11'!$A$7:$N$160,13,FALSE),0)+
IFERROR(VLOOKUP(A146,'Centre WP11'!$A$7:$N$160,13,FALSE),0)+
IFERROR(VLOOKUP(A146,'Centre WR11'!$A$7:$N$160,13,FALSE),0)+
IFERROR(VLOOKUP(A146,'Centre WV11'!$A$7:$N$160,13,FALSE),0)</f>
        <v>0</v>
      </c>
      <c r="N146" s="44">
        <f>IFERROR(VLOOKUP(A146,'Centre DW11'!$A$7:$N$160,14,FALSE),0)+
IFERROR(VLOOKUP(A146,'Centre WP11'!$A$7:$N$160,14,FALSE),0)+
IFERROR(VLOOKUP(A146,'Centre WR11'!$A$7:$N$160,14,FALSE),0)+
IFERROR(VLOOKUP(A146,'Centre WV11'!$A$7:$N$160,14,FALSE),0)</f>
        <v>0</v>
      </c>
    </row>
    <row r="147" spans="1:14" x14ac:dyDescent="0.2">
      <c r="A147" s="35"/>
      <c r="B147" s="35" t="s">
        <v>246</v>
      </c>
      <c r="C147" s="21">
        <f t="shared" ref="C147:M147" si="52">+C140-(C141+C146)</f>
        <v>2.1000000000000072</v>
      </c>
      <c r="D147" s="21">
        <f t="shared" si="52"/>
        <v>-16.200000000000006</v>
      </c>
      <c r="E147" s="21">
        <f t="shared" si="52"/>
        <v>32.699999999999974</v>
      </c>
      <c r="F147" s="21">
        <f t="shared" si="52"/>
        <v>13.199999999999967</v>
      </c>
      <c r="G147" s="21">
        <f t="shared" si="52"/>
        <v>6.8999999999999249</v>
      </c>
      <c r="H147" s="21">
        <f t="shared" si="52"/>
        <v>15.799999999999983</v>
      </c>
      <c r="I147" s="21">
        <f t="shared" si="52"/>
        <v>28.999999999999964</v>
      </c>
      <c r="J147" s="21">
        <f t="shared" si="52"/>
        <v>-5.00000000000004</v>
      </c>
      <c r="K147" s="21">
        <f t="shared" si="52"/>
        <v>34.999999999999957</v>
      </c>
      <c r="L147" s="21">
        <f t="shared" si="52"/>
        <v>18.300000000000033</v>
      </c>
      <c r="M147" s="21">
        <f t="shared" si="52"/>
        <v>-11.3</v>
      </c>
      <c r="N147" s="21">
        <f t="shared" ref="N147" si="53">+N140-(N141+N146)</f>
        <v>116.60000000000004</v>
      </c>
    </row>
    <row r="148" spans="1:14" x14ac:dyDescent="0.2">
      <c r="A148" s="9" t="s">
        <v>74</v>
      </c>
      <c r="B148" s="1" t="s">
        <v>74</v>
      </c>
      <c r="C148" s="15" t="s">
        <v>74</v>
      </c>
      <c r="D148" s="15" t="s">
        <v>74</v>
      </c>
      <c r="E148" s="15" t="s">
        <v>74</v>
      </c>
      <c r="F148" s="15" t="s">
        <v>74</v>
      </c>
      <c r="G148" s="15" t="s">
        <v>74</v>
      </c>
      <c r="H148" s="15" t="s">
        <v>74</v>
      </c>
      <c r="I148" s="15" t="s">
        <v>74</v>
      </c>
      <c r="J148" s="15" t="s">
        <v>74</v>
      </c>
      <c r="K148" s="15" t="s">
        <v>74</v>
      </c>
      <c r="L148" s="15" t="s">
        <v>74</v>
      </c>
      <c r="M148" s="15" t="s">
        <v>74</v>
      </c>
      <c r="N148" s="15" t="s">
        <v>74</v>
      </c>
    </row>
    <row r="149" spans="1:14" x14ac:dyDescent="0.2">
      <c r="A149" s="12"/>
      <c r="B149" s="12" t="s">
        <v>247</v>
      </c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</row>
    <row r="150" spans="1:14" x14ac:dyDescent="0.2">
      <c r="A150" s="9" t="s">
        <v>248</v>
      </c>
      <c r="B150" s="1" t="s">
        <v>249</v>
      </c>
      <c r="C150" s="15">
        <v>25</v>
      </c>
      <c r="D150" s="15">
        <v>25</v>
      </c>
      <c r="E150" s="15">
        <v>22</v>
      </c>
      <c r="F150" s="15">
        <v>21</v>
      </c>
      <c r="G150" s="15">
        <v>22</v>
      </c>
      <c r="H150" s="15">
        <v>21</v>
      </c>
      <c r="I150" s="15">
        <v>20</v>
      </c>
      <c r="J150" s="15">
        <v>22</v>
      </c>
      <c r="K150" s="15">
        <v>21</v>
      </c>
      <c r="L150" s="15">
        <v>22</v>
      </c>
      <c r="M150" s="15">
        <v>21</v>
      </c>
      <c r="N150" s="15">
        <v>20</v>
      </c>
    </row>
    <row r="151" spans="1:14" hidden="1" outlineLevel="1" x14ac:dyDescent="0.2">
      <c r="A151" s="9" t="s">
        <v>250</v>
      </c>
      <c r="B151" s="1" t="s">
        <v>251</v>
      </c>
      <c r="C151" s="15">
        <v>25</v>
      </c>
      <c r="D151" s="15">
        <v>25</v>
      </c>
      <c r="E151" s="15">
        <v>22</v>
      </c>
      <c r="F151" s="15">
        <v>21</v>
      </c>
      <c r="G151" s="15">
        <v>22</v>
      </c>
      <c r="H151" s="15">
        <v>21</v>
      </c>
      <c r="I151" s="15">
        <v>20</v>
      </c>
      <c r="J151" s="15">
        <v>22</v>
      </c>
      <c r="K151" s="15">
        <v>21</v>
      </c>
      <c r="L151" s="15">
        <v>22</v>
      </c>
      <c r="M151" s="15">
        <v>21</v>
      </c>
      <c r="N151" s="15">
        <v>20</v>
      </c>
    </row>
    <row r="152" spans="1:14" collapsed="1" x14ac:dyDescent="0.2">
      <c r="A152" s="9" t="s">
        <v>252</v>
      </c>
      <c r="B152" s="1" t="s">
        <v>253</v>
      </c>
      <c r="C152" s="15">
        <v>32.4</v>
      </c>
      <c r="D152" s="15">
        <v>30.5</v>
      </c>
      <c r="E152" s="15">
        <v>28.6</v>
      </c>
      <c r="F152" s="15">
        <v>27.6</v>
      </c>
      <c r="G152" s="15">
        <v>26.6</v>
      </c>
      <c r="H152" s="15">
        <v>26.1</v>
      </c>
      <c r="I152" s="15">
        <v>24.6</v>
      </c>
      <c r="J152" s="15">
        <v>26.6</v>
      </c>
      <c r="K152" s="15">
        <v>26.1</v>
      </c>
      <c r="L152" s="15">
        <v>26.6</v>
      </c>
      <c r="M152" s="15">
        <v>26.1</v>
      </c>
      <c r="N152" s="15">
        <v>24.6</v>
      </c>
    </row>
    <row r="153" spans="1:14" hidden="1" outlineLevel="1" x14ac:dyDescent="0.2">
      <c r="A153" s="9" t="s">
        <v>254</v>
      </c>
      <c r="B153" s="1" t="s">
        <v>255</v>
      </c>
      <c r="C153" s="15">
        <v>32.4</v>
      </c>
      <c r="D153" s="15">
        <v>30.5</v>
      </c>
      <c r="E153" s="15">
        <v>28.6</v>
      </c>
      <c r="F153" s="15">
        <v>27.6</v>
      </c>
      <c r="G153" s="15">
        <v>26.6</v>
      </c>
      <c r="H153" s="15">
        <v>26.1</v>
      </c>
      <c r="I153" s="15">
        <v>24.6</v>
      </c>
      <c r="J153" s="15">
        <v>26.6</v>
      </c>
      <c r="K153" s="15">
        <v>26.1</v>
      </c>
      <c r="L153" s="15">
        <v>26.6</v>
      </c>
      <c r="M153" s="15">
        <v>26.1</v>
      </c>
      <c r="N153" s="15">
        <v>24.6</v>
      </c>
    </row>
    <row r="154" spans="1:14" collapsed="1" x14ac:dyDescent="0.2">
      <c r="A154" s="9" t="s">
        <v>256</v>
      </c>
      <c r="B154" s="1" t="s">
        <v>257</v>
      </c>
      <c r="C154" s="15">
        <v>0.9</v>
      </c>
      <c r="D154" s="15">
        <v>0.9</v>
      </c>
      <c r="E154" s="15">
        <v>0.9</v>
      </c>
      <c r="F154" s="15">
        <v>0.3</v>
      </c>
      <c r="G154" s="15">
        <v>0.3</v>
      </c>
      <c r="H154" s="15">
        <v>0.3</v>
      </c>
      <c r="I154" s="15">
        <v>0</v>
      </c>
      <c r="J154" s="15">
        <v>0.3</v>
      </c>
      <c r="K154" s="15">
        <v>0.3</v>
      </c>
      <c r="L154" s="15">
        <v>0.3</v>
      </c>
      <c r="M154" s="15">
        <v>0.3</v>
      </c>
      <c r="N154" s="15">
        <v>0</v>
      </c>
    </row>
    <row r="155" spans="1:14" hidden="1" outlineLevel="1" x14ac:dyDescent="0.2">
      <c r="A155" s="9" t="s">
        <v>258</v>
      </c>
      <c r="B155" s="1" t="s">
        <v>259</v>
      </c>
      <c r="C155" s="15">
        <v>0.9</v>
      </c>
      <c r="D155" s="15">
        <v>0.9</v>
      </c>
      <c r="E155" s="15">
        <v>0.9</v>
      </c>
      <c r="F155" s="15">
        <v>0.3</v>
      </c>
      <c r="G155" s="15">
        <v>0.3</v>
      </c>
      <c r="H155" s="15">
        <v>0.3</v>
      </c>
      <c r="I155" s="15">
        <v>0</v>
      </c>
      <c r="J155" s="15">
        <v>0.3</v>
      </c>
      <c r="K155" s="15">
        <v>0.3</v>
      </c>
      <c r="L155" s="15">
        <v>0.3</v>
      </c>
      <c r="M155" s="15">
        <v>0.3</v>
      </c>
      <c r="N155" s="15">
        <v>0</v>
      </c>
    </row>
    <row r="156" spans="1:14" hidden="1" outlineLevel="1" x14ac:dyDescent="0.2">
      <c r="A156" s="9" t="s">
        <v>363</v>
      </c>
      <c r="B156" s="1" t="s">
        <v>259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collapsed="1" x14ac:dyDescent="0.2">
      <c r="A157" s="9" t="s">
        <v>260</v>
      </c>
      <c r="B157" s="1" t="s">
        <v>261</v>
      </c>
      <c r="C157" s="15">
        <v>24.3</v>
      </c>
      <c r="D157" s="15">
        <v>23.4</v>
      </c>
      <c r="E157" s="15">
        <v>21.5</v>
      </c>
      <c r="F157" s="15">
        <v>21.3</v>
      </c>
      <c r="G157" s="15">
        <v>22.3</v>
      </c>
      <c r="H157" s="15">
        <v>21.7</v>
      </c>
      <c r="I157" s="15">
        <v>20.6</v>
      </c>
      <c r="J157" s="15">
        <v>22.3</v>
      </c>
      <c r="K157" s="15">
        <v>21.7</v>
      </c>
      <c r="L157" s="15">
        <v>22.3</v>
      </c>
      <c r="M157" s="15">
        <v>21.7</v>
      </c>
      <c r="N157" s="15">
        <v>20.6</v>
      </c>
    </row>
    <row r="158" spans="1:14" hidden="1" outlineLevel="1" x14ac:dyDescent="0.2">
      <c r="A158" s="9" t="s">
        <v>262</v>
      </c>
      <c r="B158" s="1" t="s">
        <v>263</v>
      </c>
      <c r="C158" s="15">
        <v>24.3</v>
      </c>
      <c r="D158" s="15">
        <v>23.4</v>
      </c>
      <c r="E158" s="15">
        <v>21.5</v>
      </c>
      <c r="F158" s="15">
        <v>21.3</v>
      </c>
      <c r="G158" s="15">
        <v>22.3</v>
      </c>
      <c r="H158" s="15">
        <v>21.7</v>
      </c>
      <c r="I158" s="15">
        <v>20.6</v>
      </c>
      <c r="J158" s="15">
        <v>22.3</v>
      </c>
      <c r="K158" s="15">
        <v>21.7</v>
      </c>
      <c r="L158" s="15">
        <v>22.3</v>
      </c>
      <c r="M158" s="15">
        <v>21.7</v>
      </c>
      <c r="N158" s="15">
        <v>20.6</v>
      </c>
    </row>
    <row r="159" spans="1:14" hidden="1" outlineLevel="1" x14ac:dyDescent="0.2">
      <c r="A159" s="9" t="s">
        <v>364</v>
      </c>
      <c r="B159" s="1" t="s">
        <v>263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collapsed="1" x14ac:dyDescent="0.2">
      <c r="A160" s="9" t="s">
        <v>264</v>
      </c>
      <c r="B160" s="1" t="s">
        <v>265</v>
      </c>
      <c r="C160" s="15">
        <v>7.2</v>
      </c>
      <c r="D160" s="15">
        <v>6.2</v>
      </c>
      <c r="E160" s="15">
        <v>6.2</v>
      </c>
      <c r="F160" s="15">
        <v>6</v>
      </c>
      <c r="G160" s="15">
        <v>4</v>
      </c>
      <c r="H160" s="15">
        <v>4</v>
      </c>
      <c r="I160" s="15">
        <v>4</v>
      </c>
      <c r="J160" s="15">
        <v>4</v>
      </c>
      <c r="K160" s="15">
        <v>4</v>
      </c>
      <c r="L160" s="15">
        <v>4</v>
      </c>
      <c r="M160" s="15">
        <v>4</v>
      </c>
      <c r="N160" s="15">
        <v>4</v>
      </c>
    </row>
    <row r="161" spans="1:14" hidden="1" outlineLevel="1" x14ac:dyDescent="0.2">
      <c r="A161" s="9" t="s">
        <v>266</v>
      </c>
      <c r="B161" s="1" t="s">
        <v>267</v>
      </c>
      <c r="C161" s="15">
        <v>7.2</v>
      </c>
      <c r="D161" s="15">
        <v>6.2</v>
      </c>
      <c r="E161" s="15">
        <v>6.2</v>
      </c>
      <c r="F161" s="15">
        <v>6</v>
      </c>
      <c r="G161" s="15">
        <v>4</v>
      </c>
      <c r="H161" s="15">
        <v>4</v>
      </c>
      <c r="I161" s="15">
        <v>4</v>
      </c>
      <c r="J161" s="15">
        <v>4</v>
      </c>
      <c r="K161" s="15">
        <v>4</v>
      </c>
      <c r="L161" s="15">
        <v>4</v>
      </c>
      <c r="M161" s="15">
        <v>4</v>
      </c>
      <c r="N161" s="15">
        <v>4</v>
      </c>
    </row>
    <row r="162" spans="1:14" hidden="1" outlineLevel="1" x14ac:dyDescent="0.2">
      <c r="A162" s="9" t="s">
        <v>365</v>
      </c>
      <c r="B162" s="1" t="s">
        <v>366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collapsed="1" x14ac:dyDescent="0.2">
      <c r="A163" s="9" t="s">
        <v>268</v>
      </c>
      <c r="B163" s="1" t="s">
        <v>269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">
      <c r="A164" s="9" t="s">
        <v>270</v>
      </c>
      <c r="B164" s="1" t="s">
        <v>271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">
      <c r="A165" s="9" t="s">
        <v>272</v>
      </c>
      <c r="B165" s="1" t="s">
        <v>273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">
      <c r="A166" s="9" t="s">
        <v>274</v>
      </c>
      <c r="B166" s="1" t="s">
        <v>275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">
      <c r="A167" s="9" t="s">
        <v>276</v>
      </c>
      <c r="B167" s="1" t="s">
        <v>277</v>
      </c>
      <c r="C167" s="19">
        <v>2710</v>
      </c>
      <c r="D167" s="19">
        <v>2710</v>
      </c>
      <c r="E167" s="19">
        <v>2710</v>
      </c>
      <c r="F167" s="19">
        <v>2450</v>
      </c>
      <c r="G167" s="19">
        <v>2450</v>
      </c>
      <c r="H167" s="19">
        <v>2450</v>
      </c>
      <c r="I167" s="19">
        <v>2450</v>
      </c>
      <c r="J167" s="19">
        <v>2450</v>
      </c>
      <c r="K167" s="19">
        <v>2450</v>
      </c>
      <c r="L167" s="19">
        <v>2450</v>
      </c>
      <c r="M167" s="19">
        <v>2450</v>
      </c>
      <c r="N167" s="19">
        <v>2450</v>
      </c>
    </row>
    <row r="168" spans="1:14" hidden="1" outlineLevel="1" x14ac:dyDescent="0.2">
      <c r="A168" s="9" t="s">
        <v>278</v>
      </c>
      <c r="B168" s="1" t="s">
        <v>279</v>
      </c>
      <c r="C168" s="19">
        <v>2710</v>
      </c>
      <c r="D168" s="19">
        <v>2710</v>
      </c>
      <c r="E168" s="19">
        <v>2710</v>
      </c>
      <c r="F168" s="19">
        <v>2450</v>
      </c>
      <c r="G168" s="19">
        <v>2450</v>
      </c>
      <c r="H168" s="19">
        <v>2450</v>
      </c>
      <c r="I168" s="19">
        <v>2450</v>
      </c>
      <c r="J168" s="19">
        <v>2450</v>
      </c>
      <c r="K168" s="19">
        <v>2450</v>
      </c>
      <c r="L168" s="19">
        <v>2450</v>
      </c>
      <c r="M168" s="19">
        <v>2450</v>
      </c>
      <c r="N168" s="19">
        <v>2450</v>
      </c>
    </row>
    <row r="169" spans="1:14" collapsed="1" x14ac:dyDescent="0.2">
      <c r="A169" s="9" t="s">
        <v>280</v>
      </c>
      <c r="B169" s="1" t="s">
        <v>281</v>
      </c>
      <c r="C169" s="19">
        <v>2710</v>
      </c>
      <c r="D169" s="19">
        <v>2710</v>
      </c>
      <c r="E169" s="19">
        <v>2710</v>
      </c>
      <c r="F169" s="19">
        <v>2450</v>
      </c>
      <c r="G169" s="19">
        <v>2450</v>
      </c>
      <c r="H169" s="19">
        <v>2450</v>
      </c>
      <c r="I169" s="19">
        <v>2450</v>
      </c>
      <c r="J169" s="19">
        <v>2450</v>
      </c>
      <c r="K169" s="19">
        <v>2450</v>
      </c>
      <c r="L169" s="19">
        <v>2450</v>
      </c>
      <c r="M169" s="19">
        <v>2450</v>
      </c>
      <c r="N169" s="19">
        <v>2450</v>
      </c>
    </row>
    <row r="170" spans="1:14" hidden="1" outlineLevel="1" x14ac:dyDescent="0.2">
      <c r="A170" s="9" t="s">
        <v>282</v>
      </c>
      <c r="B170" s="1" t="s">
        <v>283</v>
      </c>
      <c r="C170" s="19">
        <v>2710</v>
      </c>
      <c r="D170" s="19">
        <v>2710</v>
      </c>
      <c r="E170" s="19">
        <v>2710</v>
      </c>
      <c r="F170" s="19">
        <v>2450</v>
      </c>
      <c r="G170" s="19">
        <v>2450</v>
      </c>
      <c r="H170" s="19">
        <v>2450</v>
      </c>
      <c r="I170" s="19">
        <v>2450</v>
      </c>
      <c r="J170" s="19">
        <v>2450</v>
      </c>
      <c r="K170" s="19">
        <v>2450</v>
      </c>
      <c r="L170" s="19">
        <v>2450</v>
      </c>
      <c r="M170" s="19">
        <v>2450</v>
      </c>
      <c r="N170" s="19">
        <v>2450</v>
      </c>
    </row>
    <row r="171" spans="1:14" collapsed="1" x14ac:dyDescent="0.2">
      <c r="A171" s="9" t="s">
        <v>284</v>
      </c>
      <c r="B171" s="1" t="s">
        <v>285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">
      <c r="A172" s="9" t="s">
        <v>288</v>
      </c>
      <c r="B172" s="1" t="s">
        <v>289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">
      <c r="A173" s="3"/>
      <c r="B173" s="3" t="s">
        <v>290</v>
      </c>
      <c r="C173" s="17">
        <v>7.2</v>
      </c>
      <c r="D173" s="17">
        <v>7.4</v>
      </c>
      <c r="E173" s="17">
        <v>8.5</v>
      </c>
      <c r="F173" s="17">
        <v>8.9</v>
      </c>
      <c r="G173" s="17">
        <v>9.3000000000000007</v>
      </c>
      <c r="H173" s="17">
        <v>9</v>
      </c>
      <c r="I173" s="17">
        <v>9.6999999999999993</v>
      </c>
      <c r="J173" s="17">
        <v>9.3000000000000007</v>
      </c>
      <c r="K173" s="17">
        <v>9</v>
      </c>
      <c r="L173" s="17">
        <v>9.3000000000000007</v>
      </c>
      <c r="M173" s="17">
        <v>9</v>
      </c>
      <c r="N173" s="17">
        <v>9.6999999999999993</v>
      </c>
    </row>
    <row r="174" spans="1:14" x14ac:dyDescent="0.2">
      <c r="A174" s="3"/>
      <c r="B174" s="3" t="s">
        <v>291</v>
      </c>
      <c r="C174" s="17" t="s">
        <v>292</v>
      </c>
      <c r="D174" s="17" t="s">
        <v>292</v>
      </c>
      <c r="E174" s="17" t="s">
        <v>292</v>
      </c>
      <c r="F174" s="17" t="s">
        <v>292</v>
      </c>
      <c r="G174" s="17" t="s">
        <v>292</v>
      </c>
      <c r="H174" s="17" t="s">
        <v>292</v>
      </c>
      <c r="I174" s="17" t="s">
        <v>292</v>
      </c>
      <c r="J174" s="17" t="s">
        <v>292</v>
      </c>
      <c r="K174" s="17" t="s">
        <v>292</v>
      </c>
      <c r="L174" s="17" t="s">
        <v>292</v>
      </c>
      <c r="M174" s="17" t="s">
        <v>292</v>
      </c>
      <c r="N174" s="17" t="s">
        <v>292</v>
      </c>
    </row>
    <row r="175" spans="1:14" x14ac:dyDescent="0.2">
      <c r="A175" s="3"/>
      <c r="B175" s="3" t="s">
        <v>293</v>
      </c>
      <c r="C175" s="17" t="s">
        <v>292</v>
      </c>
      <c r="D175" s="17" t="s">
        <v>292</v>
      </c>
      <c r="E175" s="17" t="s">
        <v>292</v>
      </c>
      <c r="F175" s="17" t="s">
        <v>292</v>
      </c>
      <c r="G175" s="17" t="s">
        <v>292</v>
      </c>
      <c r="H175" s="17" t="s">
        <v>292</v>
      </c>
      <c r="I175" s="17" t="s">
        <v>292</v>
      </c>
      <c r="J175" s="17" t="s">
        <v>292</v>
      </c>
      <c r="K175" s="17" t="s">
        <v>292</v>
      </c>
      <c r="L175" s="17" t="s">
        <v>292</v>
      </c>
      <c r="M175" s="17" t="s">
        <v>292</v>
      </c>
      <c r="N175" s="17" t="s">
        <v>292</v>
      </c>
    </row>
    <row r="176" spans="1:14" x14ac:dyDescent="0.2">
      <c r="A176" s="3"/>
      <c r="B176" s="3" t="s">
        <v>294</v>
      </c>
      <c r="C176" s="17">
        <v>0</v>
      </c>
      <c r="D176" s="17">
        <v>0</v>
      </c>
      <c r="E176" s="17">
        <v>0</v>
      </c>
      <c r="F176" s="17">
        <v>0</v>
      </c>
      <c r="G176" s="17">
        <v>0</v>
      </c>
      <c r="H176" s="17">
        <v>0</v>
      </c>
      <c r="I176" s="17">
        <v>0</v>
      </c>
      <c r="J176" s="17">
        <v>0</v>
      </c>
      <c r="K176" s="17">
        <v>0</v>
      </c>
      <c r="L176" s="17">
        <v>0</v>
      </c>
      <c r="M176" s="17">
        <v>0</v>
      </c>
      <c r="N176" s="17">
        <v>0</v>
      </c>
    </row>
    <row r="177" spans="1:14" x14ac:dyDescent="0.2">
      <c r="A177" s="12"/>
      <c r="B177" s="12" t="s">
        <v>295</v>
      </c>
      <c r="C177" s="16" t="s">
        <v>292</v>
      </c>
      <c r="D177" s="16" t="s">
        <v>292</v>
      </c>
      <c r="E177" s="16" t="s">
        <v>292</v>
      </c>
      <c r="F177" s="16" t="s">
        <v>292</v>
      </c>
      <c r="G177" s="16" t="s">
        <v>292</v>
      </c>
      <c r="H177" s="16" t="s">
        <v>292</v>
      </c>
      <c r="I177" s="16" t="s">
        <v>292</v>
      </c>
      <c r="J177" s="16" t="s">
        <v>292</v>
      </c>
      <c r="K177" s="16" t="s">
        <v>292</v>
      </c>
      <c r="L177" s="16" t="s">
        <v>292</v>
      </c>
      <c r="M177" s="16" t="s">
        <v>292</v>
      </c>
      <c r="N177" s="16" t="s">
        <v>292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2CBE-0BB8-4BA3-9E65-16FC9F401554}">
  <sheetPr codeName="Hoja49">
    <tabColor rgb="FF00B0F0"/>
  </sheetPr>
  <dimension ref="A1:N77"/>
  <sheetViews>
    <sheetView zoomScale="55" zoomScaleNormal="55" workbookViewId="0">
      <pane ySplit="6" topLeftCell="A13" activePane="bottomLeft" state="frozen"/>
      <selection activeCell="I54" sqref="I54"/>
      <selection pane="bottomLeft" activeCell="J13" sqref="J13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381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f t="shared" ref="C7" si="0">+C8</f>
        <v>3</v>
      </c>
      <c r="D7" s="10">
        <f t="shared" ref="D7" si="1">+D8</f>
        <v>3</v>
      </c>
      <c r="E7" s="10">
        <f t="shared" ref="E7" si="2">+E8</f>
        <v>3</v>
      </c>
      <c r="F7" s="10">
        <f t="shared" ref="F7" si="3">+F8</f>
        <v>3</v>
      </c>
      <c r="G7" s="10">
        <f t="shared" ref="G7" si="4">+G8</f>
        <v>3</v>
      </c>
      <c r="H7" s="10">
        <f t="shared" ref="H7" si="5">+H8</f>
        <v>3</v>
      </c>
      <c r="I7" s="10">
        <f t="shared" ref="I7" si="6">+I8</f>
        <v>3</v>
      </c>
      <c r="J7" s="10">
        <f t="shared" ref="J7:N7" si="7">+J8</f>
        <v>3</v>
      </c>
      <c r="K7" s="10">
        <f t="shared" si="7"/>
        <v>3</v>
      </c>
      <c r="L7" s="10">
        <f t="shared" si="7"/>
        <v>3</v>
      </c>
      <c r="M7" s="10">
        <f t="shared" si="7"/>
        <v>3</v>
      </c>
      <c r="N7" s="10">
        <f t="shared" si="7"/>
        <v>3</v>
      </c>
    </row>
    <row r="8" spans="1:14" hidden="1" outlineLevel="1" x14ac:dyDescent="0.2">
      <c r="A8" s="9" t="s">
        <v>27</v>
      </c>
      <c r="B8" s="1" t="s">
        <v>28</v>
      </c>
      <c r="C8" s="10">
        <v>3</v>
      </c>
      <c r="D8" s="10">
        <v>3</v>
      </c>
      <c r="E8" s="10">
        <v>3</v>
      </c>
      <c r="F8" s="10">
        <v>3</v>
      </c>
      <c r="G8" s="10">
        <v>3</v>
      </c>
      <c r="H8" s="10">
        <v>3</v>
      </c>
      <c r="I8" s="10">
        <v>3</v>
      </c>
      <c r="J8" s="10">
        <v>3</v>
      </c>
      <c r="K8" s="10">
        <v>3</v>
      </c>
      <c r="L8" s="10">
        <v>3</v>
      </c>
      <c r="M8" s="10">
        <v>3</v>
      </c>
      <c r="N8" s="10">
        <v>3</v>
      </c>
    </row>
    <row r="9" spans="1:14" collapsed="1" x14ac:dyDescent="0.2">
      <c r="A9" s="9" t="s">
        <v>37</v>
      </c>
      <c r="B9" s="1" t="s">
        <v>38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28">
        <v>0</v>
      </c>
      <c r="K9" s="28">
        <v>0</v>
      </c>
      <c r="L9" s="28">
        <v>0</v>
      </c>
      <c r="M9" s="28">
        <v>0</v>
      </c>
      <c r="N9" s="28">
        <v>0</v>
      </c>
    </row>
    <row r="10" spans="1:14" x14ac:dyDescent="0.2">
      <c r="A10" s="9" t="s">
        <v>39</v>
      </c>
      <c r="B10" s="1" t="s">
        <v>40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28">
        <v>0</v>
      </c>
      <c r="K10" s="28">
        <v>0</v>
      </c>
      <c r="L10" s="28">
        <v>0</v>
      </c>
      <c r="M10" s="28">
        <v>0</v>
      </c>
      <c r="N10" s="28">
        <v>0</v>
      </c>
    </row>
    <row r="11" spans="1:14" x14ac:dyDescent="0.2">
      <c r="A11" s="9" t="s">
        <v>41</v>
      </c>
      <c r="B11" s="1" t="s">
        <v>42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28">
        <v>0</v>
      </c>
      <c r="K11" s="28">
        <v>0</v>
      </c>
      <c r="L11" s="28">
        <v>0</v>
      </c>
      <c r="M11" s="28">
        <v>0</v>
      </c>
      <c r="N11" s="28">
        <v>0</v>
      </c>
    </row>
    <row r="12" spans="1:14" x14ac:dyDescent="0.2">
      <c r="A12" s="9" t="s">
        <v>45</v>
      </c>
      <c r="B12" s="1" t="s">
        <v>46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</row>
    <row r="13" spans="1:14" x14ac:dyDescent="0.2">
      <c r="A13" s="12"/>
      <c r="B13" s="12" t="s">
        <v>47</v>
      </c>
      <c r="C13" s="29">
        <f t="shared" ref="C13" si="8">+C7+C9+C10+C11+C12</f>
        <v>3</v>
      </c>
      <c r="D13" s="29">
        <f t="shared" ref="D13" si="9">+D7+D9+D10+D11+D12</f>
        <v>3</v>
      </c>
      <c r="E13" s="29">
        <f t="shared" ref="E13" si="10">+E7+E9+E10+E11+E12</f>
        <v>3</v>
      </c>
      <c r="F13" s="29">
        <f t="shared" ref="F13" si="11">+F7+F9+F10+F11+F12</f>
        <v>3</v>
      </c>
      <c r="G13" s="29">
        <f t="shared" ref="G13" si="12">+G7+G9+G10+G11+G12</f>
        <v>3</v>
      </c>
      <c r="H13" s="29">
        <f t="shared" ref="H13" si="13">+H7+H9+H10+H11+H12</f>
        <v>3</v>
      </c>
      <c r="I13" s="29">
        <f t="shared" ref="I13" si="14">+I7+I9+I10+I11+I12</f>
        <v>3</v>
      </c>
      <c r="J13" s="29">
        <f>+J7+J9+J10+J11+J12</f>
        <v>3</v>
      </c>
      <c r="K13" s="29">
        <f t="shared" ref="K13:N13" si="15">+K7+K9+K10+K11+K12</f>
        <v>3</v>
      </c>
      <c r="L13" s="29">
        <f t="shared" si="15"/>
        <v>3</v>
      </c>
      <c r="M13" s="29">
        <f t="shared" si="15"/>
        <v>3</v>
      </c>
      <c r="N13" s="29">
        <f t="shared" si="15"/>
        <v>3</v>
      </c>
    </row>
    <row r="14" spans="1:14" x14ac:dyDescent="0.2">
      <c r="A14" s="9" t="s">
        <v>48</v>
      </c>
      <c r="B14" s="1" t="s">
        <v>49</v>
      </c>
      <c r="C14" s="10">
        <f>SUM(C15:C16)</f>
        <v>0.4</v>
      </c>
      <c r="D14" s="10">
        <f t="shared" ref="D14:N14" si="16">SUM(D15:D16)</f>
        <v>0.4</v>
      </c>
      <c r="E14" s="10">
        <f t="shared" si="16"/>
        <v>0.4</v>
      </c>
      <c r="F14" s="10">
        <f t="shared" si="16"/>
        <v>0.4</v>
      </c>
      <c r="G14" s="10">
        <f t="shared" si="16"/>
        <v>0.4</v>
      </c>
      <c r="H14" s="10">
        <f t="shared" si="16"/>
        <v>0.4</v>
      </c>
      <c r="I14" s="10">
        <f t="shared" si="16"/>
        <v>0.4</v>
      </c>
      <c r="J14" s="10">
        <f t="shared" si="16"/>
        <v>0.4</v>
      </c>
      <c r="K14" s="10">
        <f t="shared" si="16"/>
        <v>0.4</v>
      </c>
      <c r="L14" s="10">
        <f t="shared" si="16"/>
        <v>0.4</v>
      </c>
      <c r="M14" s="10">
        <f t="shared" si="16"/>
        <v>0.4</v>
      </c>
      <c r="N14" s="10">
        <f t="shared" si="16"/>
        <v>0.4</v>
      </c>
    </row>
    <row r="15" spans="1:14" hidden="1" outlineLevel="1" x14ac:dyDescent="0.2">
      <c r="A15" s="9" t="s">
        <v>54</v>
      </c>
      <c r="B15" s="1" t="s">
        <v>55</v>
      </c>
      <c r="C15" s="10">
        <v>0.4</v>
      </c>
      <c r="D15" s="10">
        <v>0.4</v>
      </c>
      <c r="E15" s="10">
        <v>0.4</v>
      </c>
      <c r="F15" s="10">
        <v>0.4</v>
      </c>
      <c r="G15" s="10">
        <v>0.4</v>
      </c>
      <c r="H15" s="10">
        <v>0.4</v>
      </c>
      <c r="I15" s="10">
        <v>0.4</v>
      </c>
      <c r="J15" s="10">
        <v>0.4</v>
      </c>
      <c r="K15" s="10">
        <v>0.4</v>
      </c>
      <c r="L15" s="10">
        <v>0.4</v>
      </c>
      <c r="M15" s="10">
        <v>0.4</v>
      </c>
      <c r="N15" s="10">
        <v>0.4</v>
      </c>
    </row>
    <row r="16" spans="1:14" hidden="1" outlineLevel="1" x14ac:dyDescent="0.2">
      <c r="A16" s="9" t="s">
        <v>56</v>
      </c>
      <c r="B16" s="1" t="s">
        <v>51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</row>
    <row r="17" spans="1:14" collapsed="1" x14ac:dyDescent="0.2">
      <c r="A17" s="9" t="s">
        <v>60</v>
      </c>
      <c r="B17" s="1" t="s">
        <v>61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</row>
    <row r="18" spans="1:14" x14ac:dyDescent="0.2">
      <c r="A18" s="9" t="s">
        <v>62</v>
      </c>
      <c r="B18" s="1" t="s">
        <v>63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</row>
    <row r="19" spans="1:14" x14ac:dyDescent="0.2">
      <c r="A19" s="9" t="s">
        <v>64</v>
      </c>
      <c r="B19" s="1" t="s">
        <v>65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</row>
    <row r="20" spans="1:14" x14ac:dyDescent="0.2">
      <c r="A20" s="9" t="s">
        <v>68</v>
      </c>
      <c r="B20" s="1" t="s">
        <v>69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28">
        <f>+J21</f>
        <v>0</v>
      </c>
      <c r="K20" s="28">
        <f t="shared" ref="K20:N20" si="17">+K21</f>
        <v>0</v>
      </c>
      <c r="L20" s="28">
        <f t="shared" si="17"/>
        <v>0</v>
      </c>
      <c r="M20" s="28">
        <f t="shared" si="17"/>
        <v>0</v>
      </c>
      <c r="N20" s="28">
        <f t="shared" si="17"/>
        <v>0</v>
      </c>
    </row>
    <row r="21" spans="1:14" hidden="1" outlineLevel="1" x14ac:dyDescent="0.2">
      <c r="A21" s="9" t="s">
        <v>70</v>
      </c>
      <c r="B21" s="1" t="s">
        <v>71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collapsed="1" x14ac:dyDescent="0.2">
      <c r="A22" s="3"/>
      <c r="B22" s="3" t="s">
        <v>72</v>
      </c>
      <c r="C22" s="14">
        <f t="shared" ref="C22:J22" si="18">+C14+C17+C18+C19+C20</f>
        <v>0.4</v>
      </c>
      <c r="D22" s="14">
        <f t="shared" si="18"/>
        <v>0.4</v>
      </c>
      <c r="E22" s="14">
        <f t="shared" si="18"/>
        <v>0.4</v>
      </c>
      <c r="F22" s="14">
        <f t="shared" si="18"/>
        <v>0.4</v>
      </c>
      <c r="G22" s="14">
        <f t="shared" si="18"/>
        <v>0.4</v>
      </c>
      <c r="H22" s="14">
        <f t="shared" si="18"/>
        <v>0.4</v>
      </c>
      <c r="I22" s="14">
        <f t="shared" si="18"/>
        <v>0.4</v>
      </c>
      <c r="J22" s="14">
        <f t="shared" si="18"/>
        <v>0.4</v>
      </c>
      <c r="K22" s="14">
        <f>+K14+K17+K18+K19+K20</f>
        <v>0.4</v>
      </c>
      <c r="L22" s="14">
        <f t="shared" ref="L22:N22" si="19">+L14+L17+L18+L19+L20</f>
        <v>0.4</v>
      </c>
      <c r="M22" s="14">
        <f t="shared" si="19"/>
        <v>0.4</v>
      </c>
      <c r="N22" s="14">
        <f t="shared" si="19"/>
        <v>0.4</v>
      </c>
    </row>
    <row r="23" spans="1:14" x14ac:dyDescent="0.2">
      <c r="A23" s="12"/>
      <c r="B23" s="12" t="s">
        <v>73</v>
      </c>
      <c r="C23" s="29">
        <f t="shared" ref="C23:I23" si="20">+C13-C22</f>
        <v>2.6</v>
      </c>
      <c r="D23" s="29">
        <f t="shared" si="20"/>
        <v>2.6</v>
      </c>
      <c r="E23" s="29">
        <f t="shared" si="20"/>
        <v>2.6</v>
      </c>
      <c r="F23" s="29">
        <f t="shared" si="20"/>
        <v>2.6</v>
      </c>
      <c r="G23" s="29">
        <f t="shared" si="20"/>
        <v>2.6</v>
      </c>
      <c r="H23" s="29">
        <f t="shared" si="20"/>
        <v>2.6</v>
      </c>
      <c r="I23" s="29">
        <f t="shared" si="20"/>
        <v>2.6</v>
      </c>
      <c r="J23" s="29">
        <f>+J13-J22</f>
        <v>2.6</v>
      </c>
      <c r="K23" s="29">
        <f t="shared" ref="K23:N23" si="21">+K13-K22</f>
        <v>2.6</v>
      </c>
      <c r="L23" s="29">
        <f t="shared" si="21"/>
        <v>2.6</v>
      </c>
      <c r="M23" s="29">
        <f t="shared" si="21"/>
        <v>2.6</v>
      </c>
      <c r="N23" s="29">
        <f t="shared" si="21"/>
        <v>2.6</v>
      </c>
    </row>
    <row r="24" spans="1:14" x14ac:dyDescent="0.2">
      <c r="A24" s="9" t="s">
        <v>74</v>
      </c>
      <c r="B24" s="1" t="s">
        <v>74</v>
      </c>
      <c r="C24" s="10" t="s">
        <v>74</v>
      </c>
      <c r="D24" s="10" t="s">
        <v>74</v>
      </c>
      <c r="E24" s="10" t="s">
        <v>74</v>
      </c>
      <c r="F24" s="10" t="s">
        <v>74</v>
      </c>
      <c r="G24" s="10" t="s">
        <v>74</v>
      </c>
      <c r="H24" s="10" t="s">
        <v>74</v>
      </c>
      <c r="I24" s="10" t="s">
        <v>74</v>
      </c>
      <c r="J24" s="10" t="s">
        <v>74</v>
      </c>
      <c r="K24" s="10" t="s">
        <v>74</v>
      </c>
      <c r="L24" s="10" t="s">
        <v>74</v>
      </c>
      <c r="M24" s="10" t="s">
        <v>74</v>
      </c>
      <c r="N24" s="10" t="s">
        <v>74</v>
      </c>
    </row>
    <row r="25" spans="1:14" x14ac:dyDescent="0.2">
      <c r="A25" s="9" t="s">
        <v>75</v>
      </c>
      <c r="B25" s="1" t="s">
        <v>76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</row>
    <row r="26" spans="1:14" x14ac:dyDescent="0.2">
      <c r="A26" s="9" t="s">
        <v>111</v>
      </c>
      <c r="B26" s="1" t="s">
        <v>112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</row>
    <row r="27" spans="1:14" x14ac:dyDescent="0.2">
      <c r="A27" s="9" t="s">
        <v>119</v>
      </c>
      <c r="B27" s="1" t="s">
        <v>120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28">
        <v>0</v>
      </c>
      <c r="K27" s="28">
        <v>0</v>
      </c>
      <c r="L27" s="28">
        <v>0</v>
      </c>
      <c r="M27" s="28">
        <v>0</v>
      </c>
      <c r="N27" s="28">
        <v>0</v>
      </c>
    </row>
    <row r="28" spans="1:14" x14ac:dyDescent="0.2">
      <c r="A28" s="9" t="s">
        <v>127</v>
      </c>
      <c r="B28" s="1" t="s">
        <v>128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28">
        <v>0</v>
      </c>
      <c r="K28" s="28">
        <v>0</v>
      </c>
      <c r="L28" s="28">
        <v>0</v>
      </c>
      <c r="M28" s="28">
        <v>0</v>
      </c>
      <c r="N28" s="28">
        <v>0</v>
      </c>
    </row>
    <row r="29" spans="1:14" x14ac:dyDescent="0.2">
      <c r="A29" s="9" t="s">
        <v>133</v>
      </c>
      <c r="B29" s="1" t="s">
        <v>134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</row>
    <row r="30" spans="1:14" x14ac:dyDescent="0.2">
      <c r="A30" s="9" t="s">
        <v>137</v>
      </c>
      <c r="B30" s="1" t="s">
        <v>138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28">
        <v>0</v>
      </c>
      <c r="K30" s="28">
        <v>0</v>
      </c>
      <c r="L30" s="28">
        <v>0</v>
      </c>
      <c r="M30" s="28">
        <v>0</v>
      </c>
      <c r="N30" s="28">
        <v>0</v>
      </c>
    </row>
    <row r="31" spans="1:14" x14ac:dyDescent="0.2">
      <c r="A31" s="9" t="s">
        <v>139</v>
      </c>
      <c r="B31" s="1" t="s">
        <v>140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</row>
    <row r="32" spans="1:14" x14ac:dyDescent="0.2">
      <c r="A32" s="9" t="s">
        <v>141</v>
      </c>
      <c r="B32" s="1" t="s">
        <v>142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28">
        <v>0</v>
      </c>
      <c r="K32" s="28">
        <v>0</v>
      </c>
      <c r="L32" s="28">
        <v>0</v>
      </c>
      <c r="M32" s="28">
        <v>0</v>
      </c>
      <c r="N32" s="28">
        <v>0</v>
      </c>
    </row>
    <row r="33" spans="1:14" x14ac:dyDescent="0.2">
      <c r="A33" s="9" t="s">
        <v>143</v>
      </c>
      <c r="B33" s="1" t="s">
        <v>144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28">
        <v>0</v>
      </c>
      <c r="K33" s="28">
        <v>0</v>
      </c>
      <c r="L33" s="28">
        <v>0</v>
      </c>
      <c r="M33" s="28">
        <v>0</v>
      </c>
      <c r="N33" s="28">
        <v>0</v>
      </c>
    </row>
    <row r="34" spans="1:14" x14ac:dyDescent="0.2">
      <c r="A34" s="9" t="s">
        <v>157</v>
      </c>
      <c r="B34" s="1" t="s">
        <v>158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28">
        <v>0</v>
      </c>
      <c r="K34" s="28">
        <v>0</v>
      </c>
      <c r="L34" s="28">
        <v>0</v>
      </c>
      <c r="M34" s="28">
        <v>0</v>
      </c>
      <c r="N34" s="28">
        <v>0</v>
      </c>
    </row>
    <row r="35" spans="1:14" x14ac:dyDescent="0.2">
      <c r="A35" s="3"/>
      <c r="B35" s="3" t="s">
        <v>165</v>
      </c>
      <c r="C35" s="30">
        <f t="shared" ref="C35:I35" si="22">SUM(C25:C34)</f>
        <v>0</v>
      </c>
      <c r="D35" s="30">
        <f t="shared" si="22"/>
        <v>0</v>
      </c>
      <c r="E35" s="30">
        <f t="shared" si="22"/>
        <v>0</v>
      </c>
      <c r="F35" s="30">
        <f t="shared" si="22"/>
        <v>0</v>
      </c>
      <c r="G35" s="30">
        <f t="shared" si="22"/>
        <v>0</v>
      </c>
      <c r="H35" s="30">
        <f t="shared" si="22"/>
        <v>0</v>
      </c>
      <c r="I35" s="30">
        <f t="shared" si="22"/>
        <v>0</v>
      </c>
      <c r="J35" s="30">
        <f>SUM(J25:J34)</f>
        <v>0</v>
      </c>
      <c r="K35" s="30">
        <f t="shared" ref="K35:N35" si="23">SUM(K25:K34)</f>
        <v>0</v>
      </c>
      <c r="L35" s="30">
        <f t="shared" si="23"/>
        <v>0</v>
      </c>
      <c r="M35" s="30">
        <f t="shared" si="23"/>
        <v>0</v>
      </c>
      <c r="N35" s="30">
        <f t="shared" si="23"/>
        <v>0</v>
      </c>
    </row>
    <row r="36" spans="1:14" x14ac:dyDescent="0.2">
      <c r="A36" s="12"/>
      <c r="B36" s="12" t="s">
        <v>166</v>
      </c>
      <c r="C36" s="29">
        <f t="shared" ref="C36:I36" si="24">+C23-C35</f>
        <v>2.6</v>
      </c>
      <c r="D36" s="29">
        <f t="shared" si="24"/>
        <v>2.6</v>
      </c>
      <c r="E36" s="29">
        <f t="shared" si="24"/>
        <v>2.6</v>
      </c>
      <c r="F36" s="29">
        <f t="shared" si="24"/>
        <v>2.6</v>
      </c>
      <c r="G36" s="29">
        <f t="shared" si="24"/>
        <v>2.6</v>
      </c>
      <c r="H36" s="29">
        <f t="shared" si="24"/>
        <v>2.6</v>
      </c>
      <c r="I36" s="29">
        <f t="shared" si="24"/>
        <v>2.6</v>
      </c>
      <c r="J36" s="29">
        <f>+J23-J35</f>
        <v>2.6</v>
      </c>
      <c r="K36" s="29">
        <f t="shared" ref="K36:N36" si="25">+K23-K35</f>
        <v>2.6</v>
      </c>
      <c r="L36" s="29">
        <f t="shared" si="25"/>
        <v>2.6</v>
      </c>
      <c r="M36" s="29">
        <f t="shared" si="25"/>
        <v>2.6</v>
      </c>
      <c r="N36" s="29">
        <f t="shared" si="25"/>
        <v>2.6</v>
      </c>
    </row>
    <row r="37" spans="1:14" x14ac:dyDescent="0.2">
      <c r="A37" s="9" t="s">
        <v>167</v>
      </c>
      <c r="B37" s="1" t="s">
        <v>168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28">
        <f>SUM(J38:J41)</f>
        <v>0</v>
      </c>
      <c r="K37" s="28">
        <f t="shared" ref="K37:N37" si="26">SUM(K38:K41)</f>
        <v>0</v>
      </c>
      <c r="L37" s="28">
        <f t="shared" si="26"/>
        <v>0</v>
      </c>
      <c r="M37" s="28">
        <f t="shared" si="26"/>
        <v>0</v>
      </c>
      <c r="N37" s="28">
        <f t="shared" si="26"/>
        <v>0</v>
      </c>
    </row>
    <row r="38" spans="1:14" hidden="1" outlineLevel="1" x14ac:dyDescent="0.2">
      <c r="A38" s="9" t="s">
        <v>173</v>
      </c>
      <c r="B38" s="1" t="s">
        <v>174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hidden="1" outlineLevel="1" x14ac:dyDescent="0.2">
      <c r="A39" s="9" t="s">
        <v>175</v>
      </c>
      <c r="B39" s="1" t="s">
        <v>176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hidden="1" outlineLevel="1" x14ac:dyDescent="0.2">
      <c r="A40" s="9" t="s">
        <v>177</v>
      </c>
      <c r="B40" s="1" t="s">
        <v>178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hidden="1" outlineLevel="1" x14ac:dyDescent="0.2">
      <c r="A41" s="9" t="s">
        <v>179</v>
      </c>
      <c r="B41" s="1" t="s">
        <v>180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collapsed="1" x14ac:dyDescent="0.2">
      <c r="A42" s="9" t="s">
        <v>200</v>
      </c>
      <c r="B42" s="1" t="s">
        <v>201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28">
        <f>SUM(J43:J47)</f>
        <v>0</v>
      </c>
      <c r="K42" s="28">
        <f t="shared" ref="K42:N42" si="27">SUM(K43:K47)</f>
        <v>0</v>
      </c>
      <c r="L42" s="28">
        <f t="shared" si="27"/>
        <v>0</v>
      </c>
      <c r="M42" s="28">
        <f t="shared" si="27"/>
        <v>0</v>
      </c>
      <c r="N42" s="28">
        <f t="shared" si="27"/>
        <v>0</v>
      </c>
    </row>
    <row r="43" spans="1:14" hidden="1" outlineLevel="1" x14ac:dyDescent="0.2">
      <c r="A43" s="9" t="s">
        <v>212</v>
      </c>
      <c r="B43" s="1" t="s">
        <v>213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214</v>
      </c>
      <c r="B44" s="1" t="s">
        <v>215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hidden="1" outlineLevel="1" x14ac:dyDescent="0.2">
      <c r="A45" s="9" t="s">
        <v>218</v>
      </c>
      <c r="B45" s="1" t="s">
        <v>219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hidden="1" outlineLevel="1" x14ac:dyDescent="0.2">
      <c r="A46" s="9" t="s">
        <v>220</v>
      </c>
      <c r="B46" s="1" t="s">
        <v>221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hidden="1" outlineLevel="1" x14ac:dyDescent="0.2">
      <c r="A47" s="9" t="s">
        <v>224</v>
      </c>
      <c r="B47" s="1" t="s">
        <v>225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collapsed="1" x14ac:dyDescent="0.2">
      <c r="A48" s="9" t="s">
        <v>226</v>
      </c>
      <c r="B48" s="1" t="s">
        <v>227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28">
        <v>0</v>
      </c>
      <c r="K48" s="28">
        <v>0</v>
      </c>
      <c r="L48" s="28">
        <v>0</v>
      </c>
      <c r="M48" s="28">
        <v>0</v>
      </c>
      <c r="N48" s="28">
        <v>0</v>
      </c>
    </row>
    <row r="49" spans="1:14" x14ac:dyDescent="0.2">
      <c r="A49" s="9" t="s">
        <v>228</v>
      </c>
      <c r="B49" s="1" t="s">
        <v>229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28">
        <v>0</v>
      </c>
      <c r="K49" s="28">
        <v>0</v>
      </c>
      <c r="L49" s="28">
        <v>0</v>
      </c>
      <c r="M49" s="28">
        <v>0</v>
      </c>
      <c r="N49" s="28">
        <v>0</v>
      </c>
    </row>
    <row r="50" spans="1:14" x14ac:dyDescent="0.2">
      <c r="A50" s="9" t="s">
        <v>230</v>
      </c>
      <c r="B50" s="1" t="s">
        <v>231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28">
        <f>+J51</f>
        <v>0</v>
      </c>
      <c r="K50" s="28">
        <f t="shared" ref="K50:N50" si="28">+K51</f>
        <v>0</v>
      </c>
      <c r="L50" s="28">
        <f t="shared" si="28"/>
        <v>0</v>
      </c>
      <c r="M50" s="28">
        <f t="shared" si="28"/>
        <v>0</v>
      </c>
      <c r="N50" s="28">
        <f t="shared" si="28"/>
        <v>0</v>
      </c>
    </row>
    <row r="51" spans="1:14" hidden="1" outlineLevel="1" x14ac:dyDescent="0.2">
      <c r="A51" s="9" t="s">
        <v>234</v>
      </c>
      <c r="B51" s="1" t="s">
        <v>235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collapsed="1" x14ac:dyDescent="0.2">
      <c r="A52" s="3"/>
      <c r="B52" s="3" t="s">
        <v>236</v>
      </c>
      <c r="C52" s="30">
        <f t="shared" ref="C52:I52" si="29">+C37+C42+C48+C49+C50</f>
        <v>0</v>
      </c>
      <c r="D52" s="30">
        <f t="shared" si="29"/>
        <v>0</v>
      </c>
      <c r="E52" s="30">
        <f t="shared" si="29"/>
        <v>0</v>
      </c>
      <c r="F52" s="30">
        <f t="shared" si="29"/>
        <v>0</v>
      </c>
      <c r="G52" s="30">
        <f t="shared" si="29"/>
        <v>0</v>
      </c>
      <c r="H52" s="30">
        <f t="shared" si="29"/>
        <v>0</v>
      </c>
      <c r="I52" s="30">
        <f t="shared" si="29"/>
        <v>0</v>
      </c>
      <c r="J52" s="30">
        <f>+J37+J42+J48+J49+J50</f>
        <v>0</v>
      </c>
      <c r="K52" s="30">
        <f t="shared" ref="K52:N52" si="30">+K37+K42+K48+K49+K50</f>
        <v>0</v>
      </c>
      <c r="L52" s="30">
        <f t="shared" si="30"/>
        <v>0</v>
      </c>
      <c r="M52" s="30">
        <f t="shared" si="30"/>
        <v>0</v>
      </c>
      <c r="N52" s="30">
        <f t="shared" si="30"/>
        <v>0</v>
      </c>
    </row>
    <row r="53" spans="1:14" x14ac:dyDescent="0.2">
      <c r="A53" s="12"/>
      <c r="B53" s="12" t="s">
        <v>237</v>
      </c>
      <c r="C53" s="29">
        <f t="shared" ref="C53:I53" si="31">+C36-C52</f>
        <v>2.6</v>
      </c>
      <c r="D53" s="29">
        <f t="shared" si="31"/>
        <v>2.6</v>
      </c>
      <c r="E53" s="29">
        <f t="shared" si="31"/>
        <v>2.6</v>
      </c>
      <c r="F53" s="29">
        <f t="shared" si="31"/>
        <v>2.6</v>
      </c>
      <c r="G53" s="29">
        <f t="shared" si="31"/>
        <v>2.6</v>
      </c>
      <c r="H53" s="29">
        <f t="shared" si="31"/>
        <v>2.6</v>
      </c>
      <c r="I53" s="29">
        <f t="shared" si="31"/>
        <v>2.6</v>
      </c>
      <c r="J53" s="29">
        <f>+J36-J52</f>
        <v>2.6</v>
      </c>
      <c r="K53" s="29">
        <f t="shared" ref="K53:N53" si="32">+K36-K52</f>
        <v>2.6</v>
      </c>
      <c r="L53" s="29">
        <f t="shared" si="32"/>
        <v>2.6</v>
      </c>
      <c r="M53" s="29">
        <f t="shared" si="32"/>
        <v>2.6</v>
      </c>
      <c r="N53" s="29">
        <f t="shared" si="32"/>
        <v>2.6</v>
      </c>
    </row>
    <row r="54" spans="1:14" x14ac:dyDescent="0.2">
      <c r="A54" s="9" t="s">
        <v>238</v>
      </c>
      <c r="B54" s="1" t="s">
        <v>239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28">
        <f>+J55</f>
        <v>0</v>
      </c>
      <c r="K54" s="28">
        <f t="shared" ref="K54:N54" si="33">+K55</f>
        <v>0</v>
      </c>
      <c r="L54" s="28">
        <f t="shared" si="33"/>
        <v>0</v>
      </c>
      <c r="M54" s="28">
        <f t="shared" si="33"/>
        <v>0</v>
      </c>
      <c r="N54" s="28">
        <f t="shared" si="33"/>
        <v>0</v>
      </c>
    </row>
    <row r="55" spans="1:14" hidden="1" outlineLevel="1" x14ac:dyDescent="0.2">
      <c r="A55" s="9" t="s">
        <v>242</v>
      </c>
      <c r="B55" s="1" t="s">
        <v>243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collapsed="1" x14ac:dyDescent="0.2">
      <c r="A56" s="9" t="s">
        <v>244</v>
      </c>
      <c r="B56" s="1" t="s">
        <v>245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28">
        <v>0</v>
      </c>
      <c r="K56" s="28">
        <v>0</v>
      </c>
      <c r="L56" s="28">
        <v>0</v>
      </c>
      <c r="M56" s="28">
        <v>0</v>
      </c>
      <c r="N56" s="28">
        <v>0</v>
      </c>
    </row>
    <row r="57" spans="1:14" x14ac:dyDescent="0.2">
      <c r="A57" s="12"/>
      <c r="B57" s="12" t="s">
        <v>246</v>
      </c>
      <c r="C57" s="29">
        <f t="shared" ref="C57:I57" si="34">C53-SUM(C54,C56)</f>
        <v>2.6</v>
      </c>
      <c r="D57" s="29">
        <f t="shared" si="34"/>
        <v>2.6</v>
      </c>
      <c r="E57" s="29">
        <f t="shared" si="34"/>
        <v>2.6</v>
      </c>
      <c r="F57" s="29">
        <f t="shared" si="34"/>
        <v>2.6</v>
      </c>
      <c r="G57" s="29">
        <f t="shared" si="34"/>
        <v>2.6</v>
      </c>
      <c r="H57" s="29">
        <f t="shared" si="34"/>
        <v>2.6</v>
      </c>
      <c r="I57" s="29">
        <f t="shared" si="34"/>
        <v>2.6</v>
      </c>
      <c r="J57" s="29">
        <f>J53-SUM(J54,J56)</f>
        <v>2.6</v>
      </c>
      <c r="K57" s="29">
        <f t="shared" ref="K57:N57" si="35">K53-SUM(K54,K56)</f>
        <v>2.6</v>
      </c>
      <c r="L57" s="29">
        <f t="shared" si="35"/>
        <v>2.6</v>
      </c>
      <c r="M57" s="29">
        <f t="shared" si="35"/>
        <v>2.6</v>
      </c>
      <c r="N57" s="29">
        <f t="shared" si="35"/>
        <v>2.6</v>
      </c>
    </row>
    <row r="58" spans="1:14" x14ac:dyDescent="0.2">
      <c r="A58" s="9" t="s">
        <v>74</v>
      </c>
      <c r="B58" s="1" t="s">
        <v>74</v>
      </c>
      <c r="C58" s="15" t="s">
        <v>74</v>
      </c>
      <c r="D58" s="15" t="s">
        <v>74</v>
      </c>
      <c r="E58" s="15" t="s">
        <v>74</v>
      </c>
      <c r="F58" s="15" t="s">
        <v>74</v>
      </c>
      <c r="G58" s="15" t="s">
        <v>74</v>
      </c>
      <c r="H58" s="15" t="s">
        <v>74</v>
      </c>
      <c r="I58" s="15" t="s">
        <v>74</v>
      </c>
      <c r="J58" s="15" t="s">
        <v>74</v>
      </c>
      <c r="K58" s="15" t="s">
        <v>74</v>
      </c>
      <c r="L58" s="15" t="s">
        <v>74</v>
      </c>
      <c r="M58" s="15" t="s">
        <v>74</v>
      </c>
      <c r="N58" s="15" t="s">
        <v>74</v>
      </c>
    </row>
    <row r="59" spans="1:14" x14ac:dyDescent="0.2">
      <c r="A59" s="12"/>
      <c r="B59" s="12" t="s">
        <v>247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</row>
    <row r="60" spans="1:14" x14ac:dyDescent="0.2">
      <c r="A60" s="9" t="s">
        <v>248</v>
      </c>
      <c r="B60" s="1" t="s">
        <v>249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">
      <c r="A61" s="9" t="s">
        <v>252</v>
      </c>
      <c r="B61" s="1" t="s">
        <v>253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">
      <c r="A62" s="9" t="s">
        <v>256</v>
      </c>
      <c r="B62" s="1" t="s">
        <v>257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">
      <c r="A63" s="9" t="s">
        <v>260</v>
      </c>
      <c r="B63" s="1" t="s">
        <v>261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">
      <c r="A64" s="9" t="s">
        <v>264</v>
      </c>
      <c r="B64" s="1" t="s">
        <v>265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">
      <c r="A65" s="9" t="s">
        <v>268</v>
      </c>
      <c r="B65" s="1" t="s">
        <v>269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">
      <c r="A66" s="9" t="s">
        <v>270</v>
      </c>
      <c r="B66" s="1" t="s">
        <v>271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">
      <c r="A67" s="9" t="s">
        <v>272</v>
      </c>
      <c r="B67" s="1" t="s">
        <v>273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">
      <c r="A68" s="9" t="s">
        <v>274</v>
      </c>
      <c r="B68" s="1" t="s">
        <v>275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">
      <c r="A69" s="9" t="s">
        <v>276</v>
      </c>
      <c r="B69" s="1" t="s">
        <v>277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">
      <c r="A70" s="9" t="s">
        <v>280</v>
      </c>
      <c r="B70" s="1" t="s">
        <v>281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">
      <c r="A71" s="9" t="s">
        <v>284</v>
      </c>
      <c r="B71" s="1" t="s">
        <v>285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">
      <c r="A72" s="9" t="s">
        <v>288</v>
      </c>
      <c r="B72" s="1" t="s">
        <v>289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">
      <c r="A73" s="3"/>
      <c r="B73" s="3" t="s">
        <v>290</v>
      </c>
      <c r="C73" s="17" t="s">
        <v>292</v>
      </c>
      <c r="D73" s="17" t="s">
        <v>292</v>
      </c>
      <c r="E73" s="17" t="s">
        <v>292</v>
      </c>
      <c r="F73" s="17" t="s">
        <v>292</v>
      </c>
      <c r="G73" s="17" t="s">
        <v>292</v>
      </c>
      <c r="H73" s="17" t="s">
        <v>292</v>
      </c>
      <c r="I73" s="17" t="s">
        <v>292</v>
      </c>
      <c r="J73" s="17" t="s">
        <v>292</v>
      </c>
      <c r="K73" s="17" t="s">
        <v>292</v>
      </c>
      <c r="L73" s="17" t="s">
        <v>292</v>
      </c>
      <c r="M73" s="17" t="s">
        <v>292</v>
      </c>
      <c r="N73" s="17" t="s">
        <v>292</v>
      </c>
    </row>
    <row r="74" spans="1:14" x14ac:dyDescent="0.2">
      <c r="A74" s="3"/>
      <c r="B74" s="3" t="s">
        <v>291</v>
      </c>
      <c r="C74" s="17" t="s">
        <v>292</v>
      </c>
      <c r="D74" s="17" t="s">
        <v>292</v>
      </c>
      <c r="E74" s="17" t="s">
        <v>292</v>
      </c>
      <c r="F74" s="17" t="s">
        <v>292</v>
      </c>
      <c r="G74" s="17" t="s">
        <v>292</v>
      </c>
      <c r="H74" s="17" t="s">
        <v>292</v>
      </c>
      <c r="I74" s="17" t="s">
        <v>292</v>
      </c>
      <c r="J74" s="17" t="s">
        <v>292</v>
      </c>
      <c r="K74" s="17" t="s">
        <v>292</v>
      </c>
      <c r="L74" s="17" t="s">
        <v>292</v>
      </c>
      <c r="M74" s="17" t="s">
        <v>292</v>
      </c>
      <c r="N74" s="17" t="s">
        <v>292</v>
      </c>
    </row>
    <row r="75" spans="1:14" x14ac:dyDescent="0.2">
      <c r="A75" s="3"/>
      <c r="B75" s="3" t="s">
        <v>293</v>
      </c>
      <c r="C75" s="17" t="s">
        <v>292</v>
      </c>
      <c r="D75" s="17" t="s">
        <v>292</v>
      </c>
      <c r="E75" s="17" t="s">
        <v>292</v>
      </c>
      <c r="F75" s="17" t="s">
        <v>292</v>
      </c>
      <c r="G75" s="17" t="s">
        <v>292</v>
      </c>
      <c r="H75" s="17" t="s">
        <v>292</v>
      </c>
      <c r="I75" s="17" t="s">
        <v>292</v>
      </c>
      <c r="J75" s="17" t="s">
        <v>292</v>
      </c>
      <c r="K75" s="17" t="s">
        <v>292</v>
      </c>
      <c r="L75" s="17" t="s">
        <v>292</v>
      </c>
      <c r="M75" s="17" t="s">
        <v>292</v>
      </c>
      <c r="N75" s="17" t="s">
        <v>292</v>
      </c>
    </row>
    <row r="76" spans="1:14" x14ac:dyDescent="0.2">
      <c r="A76" s="3"/>
      <c r="B76" s="3" t="s">
        <v>294</v>
      </c>
      <c r="C76" s="17" t="s">
        <v>292</v>
      </c>
      <c r="D76" s="17" t="s">
        <v>292</v>
      </c>
      <c r="E76" s="17" t="s">
        <v>292</v>
      </c>
      <c r="F76" s="17" t="s">
        <v>292</v>
      </c>
      <c r="G76" s="17" t="s">
        <v>292</v>
      </c>
      <c r="H76" s="17" t="s">
        <v>292</v>
      </c>
      <c r="I76" s="17" t="s">
        <v>292</v>
      </c>
      <c r="J76" s="17" t="s">
        <v>292</v>
      </c>
      <c r="K76" s="17" t="s">
        <v>292</v>
      </c>
      <c r="L76" s="17" t="s">
        <v>292</v>
      </c>
      <c r="M76" s="17" t="s">
        <v>292</v>
      </c>
      <c r="N76" s="17" t="s">
        <v>292</v>
      </c>
    </row>
    <row r="77" spans="1:14" x14ac:dyDescent="0.2">
      <c r="A77" s="12"/>
      <c r="B77" s="12" t="s">
        <v>295</v>
      </c>
      <c r="C77" s="16" t="s">
        <v>292</v>
      </c>
      <c r="D77" s="16" t="s">
        <v>292</v>
      </c>
      <c r="E77" s="16" t="s">
        <v>292</v>
      </c>
      <c r="F77" s="16" t="s">
        <v>292</v>
      </c>
      <c r="G77" s="16" t="s">
        <v>292</v>
      </c>
      <c r="H77" s="16" t="s">
        <v>292</v>
      </c>
      <c r="I77" s="16" t="s">
        <v>292</v>
      </c>
      <c r="J77" s="16" t="s">
        <v>292</v>
      </c>
      <c r="K77" s="16" t="s">
        <v>292</v>
      </c>
      <c r="L77" s="16" t="s">
        <v>292</v>
      </c>
      <c r="M77" s="16" t="s">
        <v>292</v>
      </c>
      <c r="N77" s="16" t="s">
        <v>292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AF41A-A94D-4C15-A998-199D2EFF354D}">
  <sheetPr codeName="Hoja50">
    <tabColor rgb="FF00B0F0"/>
  </sheetPr>
  <dimension ref="A1:N160"/>
  <sheetViews>
    <sheetView zoomScale="70" zoomScaleNormal="70" workbookViewId="0">
      <pane ySplit="6" topLeftCell="A79" activePane="bottomLeft" state="frozen"/>
      <selection activeCell="I54" sqref="I54"/>
      <selection pane="bottomLeft" activeCell="J17" sqref="C17:J17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382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" si="0">SUM(C8:C11)</f>
        <v>168.3</v>
      </c>
      <c r="D7" s="28">
        <f t="shared" ref="D7" si="1">SUM(D8:D11)</f>
        <v>163</v>
      </c>
      <c r="E7" s="28">
        <f t="shared" ref="E7" si="2">SUM(E8:E11)</f>
        <v>129.80000000000001</v>
      </c>
      <c r="F7" s="28">
        <f t="shared" ref="F7" si="3">SUM(F8:F11)</f>
        <v>130.6</v>
      </c>
      <c r="G7" s="28">
        <f t="shared" ref="G7" si="4">SUM(G8:G11)</f>
        <v>134.19999999999999</v>
      </c>
      <c r="H7" s="28">
        <f t="shared" ref="H7" si="5">SUM(H8:H11)</f>
        <v>121.6</v>
      </c>
      <c r="I7" s="28">
        <f t="shared" ref="I7" si="6">SUM(I8:I11)</f>
        <v>118.3</v>
      </c>
      <c r="J7" s="28">
        <f t="shared" ref="J7" si="7">SUM(J8:J11)</f>
        <v>165</v>
      </c>
      <c r="K7" s="28">
        <f t="shared" ref="K7" si="8">SUM(K8:K11)</f>
        <v>173</v>
      </c>
      <c r="L7" s="28">
        <f t="shared" ref="L7" si="9">SUM(L8:L11)</f>
        <v>163</v>
      </c>
      <c r="M7" s="28">
        <f t="shared" ref="M7" si="10">SUM(M8:M11)</f>
        <v>139</v>
      </c>
      <c r="N7" s="28">
        <f t="shared" ref="N7" si="11">SUM(N8:N11)</f>
        <v>229</v>
      </c>
    </row>
    <row r="8" spans="1:14" hidden="1" outlineLevel="1" x14ac:dyDescent="0.2">
      <c r="A8" s="9" t="s">
        <v>370</v>
      </c>
      <c r="B8" s="1" t="s">
        <v>30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29</v>
      </c>
      <c r="B9" s="1" t="s">
        <v>30</v>
      </c>
      <c r="C9" s="10">
        <v>-66.099999999999994</v>
      </c>
      <c r="D9" s="10">
        <v>-66.099999999999994</v>
      </c>
      <c r="E9" s="10">
        <v>-117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31</v>
      </c>
      <c r="B10" s="1" t="s">
        <v>32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121.6</v>
      </c>
      <c r="I10" s="10">
        <v>118.3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hidden="1" outlineLevel="1" x14ac:dyDescent="0.2">
      <c r="A11" s="9" t="s">
        <v>33</v>
      </c>
      <c r="B11" s="1" t="s">
        <v>34</v>
      </c>
      <c r="C11" s="10">
        <v>234.4</v>
      </c>
      <c r="D11" s="10">
        <v>229.1</v>
      </c>
      <c r="E11" s="10">
        <v>246.8</v>
      </c>
      <c r="F11" s="10">
        <v>130.6</v>
      </c>
      <c r="G11" s="10">
        <v>134.19999999999999</v>
      </c>
      <c r="H11" s="10">
        <v>0</v>
      </c>
      <c r="I11" s="10">
        <v>0</v>
      </c>
      <c r="J11" s="10">
        <v>165</v>
      </c>
      <c r="K11" s="10">
        <v>173</v>
      </c>
      <c r="L11" s="10">
        <v>163</v>
      </c>
      <c r="M11" s="10">
        <v>139</v>
      </c>
      <c r="N11" s="10">
        <v>229</v>
      </c>
    </row>
    <row r="12" spans="1:14" collapsed="1" x14ac:dyDescent="0.2">
      <c r="A12" s="9" t="s">
        <v>37</v>
      </c>
      <c r="B12" s="1" t="s">
        <v>38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</row>
    <row r="13" spans="1:14" x14ac:dyDescent="0.2">
      <c r="A13" s="9" t="s">
        <v>39</v>
      </c>
      <c r="B13" s="1" t="s">
        <v>40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</row>
    <row r="14" spans="1:14" x14ac:dyDescent="0.2">
      <c r="A14" s="9" t="s">
        <v>41</v>
      </c>
      <c r="B14" s="1" t="s">
        <v>42</v>
      </c>
      <c r="C14" s="28">
        <f t="shared" ref="C14" si="12">+C15</f>
        <v>0</v>
      </c>
      <c r="D14" s="28">
        <f t="shared" ref="D14" si="13">+D15</f>
        <v>0</v>
      </c>
      <c r="E14" s="28">
        <f t="shared" ref="E14" si="14">+E15</f>
        <v>0</v>
      </c>
      <c r="F14" s="28">
        <f t="shared" ref="F14" si="15">+F15</f>
        <v>0</v>
      </c>
      <c r="G14" s="28">
        <f t="shared" ref="G14" si="16">+G15</f>
        <v>0</v>
      </c>
      <c r="H14" s="28">
        <f t="shared" ref="H14" si="17">+H15</f>
        <v>0</v>
      </c>
      <c r="I14" s="28">
        <f t="shared" ref="I14" si="18">+I15</f>
        <v>0</v>
      </c>
      <c r="J14" s="28">
        <f t="shared" ref="J14" si="19">+J15</f>
        <v>0</v>
      </c>
      <c r="K14" s="28">
        <f t="shared" ref="K14" si="20">+K15</f>
        <v>0</v>
      </c>
      <c r="L14" s="28">
        <f t="shared" ref="L14" si="21">+L15</f>
        <v>0</v>
      </c>
      <c r="M14" s="28">
        <f t="shared" ref="M14" si="22">+M15</f>
        <v>0</v>
      </c>
      <c r="N14" s="28">
        <f t="shared" ref="N14" si="23">+N15</f>
        <v>0</v>
      </c>
    </row>
    <row r="15" spans="1:14" hidden="1" outlineLevel="1" x14ac:dyDescent="0.2">
      <c r="A15" s="9" t="s">
        <v>43</v>
      </c>
      <c r="B15" s="1" t="s">
        <v>44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collapsed="1" x14ac:dyDescent="0.2">
      <c r="A16" s="9" t="s">
        <v>45</v>
      </c>
      <c r="B16" s="1" t="s">
        <v>46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</row>
    <row r="17" spans="1:14" x14ac:dyDescent="0.2">
      <c r="A17" s="12"/>
      <c r="B17" s="12" t="s">
        <v>47</v>
      </c>
      <c r="C17" s="29">
        <f t="shared" ref="C17:I17" si="24">+C7+C12+C13+C14+C16</f>
        <v>168.3</v>
      </c>
      <c r="D17" s="29">
        <f t="shared" si="24"/>
        <v>163</v>
      </c>
      <c r="E17" s="29">
        <f t="shared" si="24"/>
        <v>129.80000000000001</v>
      </c>
      <c r="F17" s="29">
        <f t="shared" si="24"/>
        <v>130.6</v>
      </c>
      <c r="G17" s="29">
        <f t="shared" si="24"/>
        <v>134.19999999999999</v>
      </c>
      <c r="H17" s="29">
        <f t="shared" si="24"/>
        <v>121.6</v>
      </c>
      <c r="I17" s="29">
        <f t="shared" si="24"/>
        <v>118.3</v>
      </c>
      <c r="J17" s="29">
        <f>+J7+J12+J13+J14+J16</f>
        <v>165</v>
      </c>
      <c r="K17" s="29">
        <f t="shared" ref="K17:N17" si="25">+K7+K12+K13+K14+K16</f>
        <v>173</v>
      </c>
      <c r="L17" s="29">
        <f t="shared" si="25"/>
        <v>163</v>
      </c>
      <c r="M17" s="29">
        <f t="shared" si="25"/>
        <v>139</v>
      </c>
      <c r="N17" s="29">
        <f t="shared" si="25"/>
        <v>229</v>
      </c>
    </row>
    <row r="18" spans="1:14" x14ac:dyDescent="0.2">
      <c r="A18" s="9" t="s">
        <v>48</v>
      </c>
      <c r="B18" s="1" t="s">
        <v>49</v>
      </c>
      <c r="C18" s="28">
        <f t="shared" ref="C18:I18" si="26">SUM(C19:C22)</f>
        <v>0</v>
      </c>
      <c r="D18" s="28">
        <f t="shared" si="26"/>
        <v>3.6</v>
      </c>
      <c r="E18" s="28">
        <f t="shared" si="26"/>
        <v>0</v>
      </c>
      <c r="F18" s="28">
        <f t="shared" si="26"/>
        <v>3.4</v>
      </c>
      <c r="G18" s="28">
        <f t="shared" si="26"/>
        <v>0</v>
      </c>
      <c r="H18" s="28">
        <f t="shared" si="26"/>
        <v>0</v>
      </c>
      <c r="I18" s="28">
        <f t="shared" si="26"/>
        <v>0</v>
      </c>
      <c r="J18" s="28">
        <f>SUM(J19:J22)</f>
        <v>3.6</v>
      </c>
      <c r="K18" s="28">
        <f t="shared" ref="K18:N18" si="27">SUM(K19:K22)</f>
        <v>0</v>
      </c>
      <c r="L18" s="28">
        <f t="shared" si="27"/>
        <v>3.4</v>
      </c>
      <c r="M18" s="28">
        <f t="shared" si="27"/>
        <v>0</v>
      </c>
      <c r="N18" s="28">
        <f t="shared" si="27"/>
        <v>0</v>
      </c>
    </row>
    <row r="19" spans="1:14" hidden="1" outlineLevel="1" x14ac:dyDescent="0.2">
      <c r="A19" s="9" t="s">
        <v>50</v>
      </c>
      <c r="B19" s="1" t="s">
        <v>51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hidden="1" outlineLevel="1" x14ac:dyDescent="0.2">
      <c r="A20" s="9" t="s">
        <v>56</v>
      </c>
      <c r="B20" s="1" t="s">
        <v>51</v>
      </c>
      <c r="C20" s="10">
        <v>0</v>
      </c>
      <c r="D20" s="10">
        <v>3.6</v>
      </c>
      <c r="E20" s="10">
        <v>0</v>
      </c>
      <c r="F20" s="10">
        <v>3.4</v>
      </c>
      <c r="G20" s="10">
        <v>0</v>
      </c>
      <c r="H20" s="10">
        <v>0</v>
      </c>
      <c r="I20" s="10">
        <v>0</v>
      </c>
      <c r="J20" s="10">
        <v>3.6</v>
      </c>
      <c r="K20" s="10">
        <v>0</v>
      </c>
      <c r="L20" s="10">
        <v>3.4</v>
      </c>
      <c r="M20" s="10">
        <v>0</v>
      </c>
      <c r="N20" s="10">
        <v>0</v>
      </c>
    </row>
    <row r="21" spans="1:14" hidden="1" outlineLevel="1" x14ac:dyDescent="0.2">
      <c r="A21" s="9" t="s">
        <v>57</v>
      </c>
      <c r="B21" s="1" t="s">
        <v>58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hidden="1" outlineLevel="1" x14ac:dyDescent="0.2">
      <c r="A22" s="9" t="s">
        <v>59</v>
      </c>
      <c r="B22" s="1" t="s">
        <v>53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collapsed="1" x14ac:dyDescent="0.2">
      <c r="A23" s="9" t="s">
        <v>60</v>
      </c>
      <c r="B23" s="1" t="s">
        <v>61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8">
        <v>0</v>
      </c>
      <c r="K23" s="28">
        <v>0</v>
      </c>
      <c r="L23" s="28">
        <v>0</v>
      </c>
      <c r="M23" s="28">
        <v>0</v>
      </c>
      <c r="N23" s="28">
        <v>0</v>
      </c>
    </row>
    <row r="24" spans="1:14" x14ac:dyDescent="0.2">
      <c r="A24" s="9" t="s">
        <v>62</v>
      </c>
      <c r="B24" s="1" t="s">
        <v>63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</row>
    <row r="25" spans="1:14" x14ac:dyDescent="0.2">
      <c r="A25" s="9" t="s">
        <v>64</v>
      </c>
      <c r="B25" s="1" t="s">
        <v>65</v>
      </c>
      <c r="C25" s="28">
        <f t="shared" ref="C25:I25" si="28">+C26</f>
        <v>0</v>
      </c>
      <c r="D25" s="28">
        <f t="shared" si="28"/>
        <v>0</v>
      </c>
      <c r="E25" s="28">
        <f t="shared" si="28"/>
        <v>3.6</v>
      </c>
      <c r="F25" s="28">
        <f t="shared" si="28"/>
        <v>4.4000000000000004</v>
      </c>
      <c r="G25" s="28">
        <f t="shared" si="28"/>
        <v>0</v>
      </c>
      <c r="H25" s="28">
        <f t="shared" si="28"/>
        <v>0</v>
      </c>
      <c r="I25" s="28">
        <f t="shared" si="28"/>
        <v>-8</v>
      </c>
      <c r="J25" s="28">
        <f>+J26</f>
        <v>3.6</v>
      </c>
      <c r="K25" s="28">
        <f t="shared" ref="K25:N25" si="29">+K26</f>
        <v>4.4000000000000004</v>
      </c>
      <c r="L25" s="28">
        <f t="shared" si="29"/>
        <v>3.6</v>
      </c>
      <c r="M25" s="28">
        <f t="shared" si="29"/>
        <v>4.4000000000000004</v>
      </c>
      <c r="N25" s="28">
        <f t="shared" si="29"/>
        <v>0</v>
      </c>
    </row>
    <row r="26" spans="1:14" hidden="1" outlineLevel="1" x14ac:dyDescent="0.2">
      <c r="A26" s="9" t="s">
        <v>66</v>
      </c>
      <c r="B26" s="1" t="s">
        <v>67</v>
      </c>
      <c r="C26" s="10">
        <v>0</v>
      </c>
      <c r="D26" s="10">
        <v>0</v>
      </c>
      <c r="E26" s="10">
        <v>3.6</v>
      </c>
      <c r="F26" s="10">
        <v>4.4000000000000004</v>
      </c>
      <c r="G26" s="10">
        <v>0</v>
      </c>
      <c r="H26" s="10">
        <v>0</v>
      </c>
      <c r="I26" s="10">
        <v>-8</v>
      </c>
      <c r="J26" s="10">
        <v>3.6</v>
      </c>
      <c r="K26" s="10">
        <v>4.4000000000000004</v>
      </c>
      <c r="L26" s="10">
        <v>3.6</v>
      </c>
      <c r="M26" s="10">
        <v>4.4000000000000004</v>
      </c>
      <c r="N26" s="10">
        <v>0</v>
      </c>
    </row>
    <row r="27" spans="1:14" collapsed="1" x14ac:dyDescent="0.2">
      <c r="A27" s="9" t="s">
        <v>68</v>
      </c>
      <c r="B27" s="1" t="s">
        <v>69</v>
      </c>
      <c r="C27" s="28">
        <f t="shared" ref="C27:I27" si="30">+C28</f>
        <v>0</v>
      </c>
      <c r="D27" s="28">
        <f t="shared" si="30"/>
        <v>0</v>
      </c>
      <c r="E27" s="28">
        <f t="shared" si="30"/>
        <v>0</v>
      </c>
      <c r="F27" s="28">
        <f t="shared" si="30"/>
        <v>0</v>
      </c>
      <c r="G27" s="28">
        <f t="shared" si="30"/>
        <v>0</v>
      </c>
      <c r="H27" s="28">
        <f t="shared" si="30"/>
        <v>0</v>
      </c>
      <c r="I27" s="28">
        <f t="shared" si="30"/>
        <v>0</v>
      </c>
      <c r="J27" s="28">
        <f>+J28</f>
        <v>0</v>
      </c>
      <c r="K27" s="28">
        <f t="shared" ref="K27:N27" si="31">+K28</f>
        <v>0</v>
      </c>
      <c r="L27" s="28">
        <f t="shared" si="31"/>
        <v>0</v>
      </c>
      <c r="M27" s="28">
        <f t="shared" si="31"/>
        <v>0</v>
      </c>
      <c r="N27" s="28">
        <f t="shared" si="31"/>
        <v>0</v>
      </c>
    </row>
    <row r="28" spans="1:14" hidden="1" outlineLevel="1" x14ac:dyDescent="0.2">
      <c r="A28" s="9" t="s">
        <v>70</v>
      </c>
      <c r="B28" s="1" t="s">
        <v>71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collapsed="1" x14ac:dyDescent="0.2">
      <c r="A29" s="3"/>
      <c r="B29" s="3" t="s">
        <v>72</v>
      </c>
      <c r="C29" s="30">
        <f t="shared" ref="C29:I29" si="32">+C18+C23+C24+C25+C27</f>
        <v>0</v>
      </c>
      <c r="D29" s="30">
        <f t="shared" si="32"/>
        <v>3.6</v>
      </c>
      <c r="E29" s="30">
        <f t="shared" si="32"/>
        <v>3.6</v>
      </c>
      <c r="F29" s="30">
        <f t="shared" si="32"/>
        <v>7.8000000000000007</v>
      </c>
      <c r="G29" s="30">
        <f t="shared" si="32"/>
        <v>0</v>
      </c>
      <c r="H29" s="30">
        <f t="shared" si="32"/>
        <v>0</v>
      </c>
      <c r="I29" s="30">
        <f t="shared" si="32"/>
        <v>-8</v>
      </c>
      <c r="J29" s="30">
        <f>+J18+J23+J24+J25+J27</f>
        <v>7.2</v>
      </c>
      <c r="K29" s="30">
        <f t="shared" ref="K29:N29" si="33">+K18+K23+K24+K25+K27</f>
        <v>4.4000000000000004</v>
      </c>
      <c r="L29" s="30">
        <f t="shared" si="33"/>
        <v>7</v>
      </c>
      <c r="M29" s="30">
        <f t="shared" si="33"/>
        <v>4.4000000000000004</v>
      </c>
      <c r="N29" s="30">
        <f t="shared" si="33"/>
        <v>0</v>
      </c>
    </row>
    <row r="30" spans="1:14" x14ac:dyDescent="0.2">
      <c r="A30" s="12"/>
      <c r="B30" s="12" t="s">
        <v>73</v>
      </c>
      <c r="C30" s="29">
        <f t="shared" ref="C30:I30" si="34">+C17-C29</f>
        <v>168.3</v>
      </c>
      <c r="D30" s="29">
        <f t="shared" si="34"/>
        <v>159.4</v>
      </c>
      <c r="E30" s="29">
        <f t="shared" si="34"/>
        <v>126.20000000000002</v>
      </c>
      <c r="F30" s="29">
        <f t="shared" si="34"/>
        <v>122.8</v>
      </c>
      <c r="G30" s="29">
        <f t="shared" si="34"/>
        <v>134.19999999999999</v>
      </c>
      <c r="H30" s="29">
        <f t="shared" si="34"/>
        <v>121.6</v>
      </c>
      <c r="I30" s="29">
        <f t="shared" si="34"/>
        <v>126.3</v>
      </c>
      <c r="J30" s="29">
        <f>+J17-J29</f>
        <v>157.80000000000001</v>
      </c>
      <c r="K30" s="29">
        <f t="shared" ref="K30:N30" si="35">+K17-K29</f>
        <v>168.6</v>
      </c>
      <c r="L30" s="29">
        <f t="shared" si="35"/>
        <v>156</v>
      </c>
      <c r="M30" s="29">
        <f t="shared" si="35"/>
        <v>134.6</v>
      </c>
      <c r="N30" s="29">
        <f t="shared" si="35"/>
        <v>229</v>
      </c>
    </row>
    <row r="31" spans="1:14" x14ac:dyDescent="0.2">
      <c r="A31" s="9" t="s">
        <v>74</v>
      </c>
      <c r="B31" s="1" t="s">
        <v>74</v>
      </c>
      <c r="C31" s="10" t="s">
        <v>74</v>
      </c>
      <c r="D31" s="10" t="s">
        <v>74</v>
      </c>
      <c r="E31" s="10" t="s">
        <v>74</v>
      </c>
      <c r="F31" s="10" t="s">
        <v>74</v>
      </c>
      <c r="G31" s="10" t="s">
        <v>74</v>
      </c>
      <c r="H31" s="10" t="s">
        <v>74</v>
      </c>
      <c r="I31" s="10" t="s">
        <v>74</v>
      </c>
      <c r="J31" s="10" t="s">
        <v>74</v>
      </c>
      <c r="K31" s="10" t="s">
        <v>74</v>
      </c>
      <c r="L31" s="10" t="s">
        <v>74</v>
      </c>
      <c r="M31" s="10" t="s">
        <v>74</v>
      </c>
      <c r="N31" s="10" t="s">
        <v>74</v>
      </c>
    </row>
    <row r="32" spans="1:14" x14ac:dyDescent="0.2">
      <c r="A32" s="9" t="s">
        <v>75</v>
      </c>
      <c r="B32" s="1" t="s">
        <v>76</v>
      </c>
      <c r="C32" s="28">
        <f t="shared" ref="C32:I32" si="36">SUM(C33:C51)</f>
        <v>78.199999999999989</v>
      </c>
      <c r="D32" s="28">
        <f t="shared" si="36"/>
        <v>71.900000000000006</v>
      </c>
      <c r="E32" s="28">
        <f t="shared" si="36"/>
        <v>83.100000000000009</v>
      </c>
      <c r="F32" s="28">
        <f t="shared" si="36"/>
        <v>76.000000000000014</v>
      </c>
      <c r="G32" s="28">
        <f t="shared" si="36"/>
        <v>78.8</v>
      </c>
      <c r="H32" s="28">
        <f t="shared" si="36"/>
        <v>80.900000000000006</v>
      </c>
      <c r="I32" s="28">
        <f t="shared" si="36"/>
        <v>71</v>
      </c>
      <c r="J32" s="28">
        <f>SUM(J33:J51)</f>
        <v>81.900000000000006</v>
      </c>
      <c r="K32" s="28">
        <f t="shared" ref="K32:N32" si="37">SUM(K33:K51)</f>
        <v>75.800000000000011</v>
      </c>
      <c r="L32" s="28">
        <f t="shared" si="37"/>
        <v>69.3</v>
      </c>
      <c r="M32" s="28">
        <f t="shared" si="37"/>
        <v>77.000000000000014</v>
      </c>
      <c r="N32" s="28">
        <f t="shared" si="37"/>
        <v>79.7</v>
      </c>
    </row>
    <row r="33" spans="1:14" hidden="1" outlineLevel="1" x14ac:dyDescent="0.2">
      <c r="A33" s="9" t="s">
        <v>77</v>
      </c>
      <c r="B33" s="1" t="s">
        <v>78</v>
      </c>
      <c r="C33" s="10">
        <v>34.1</v>
      </c>
      <c r="D33" s="10">
        <v>35.4</v>
      </c>
      <c r="E33" s="10">
        <v>38.200000000000003</v>
      </c>
      <c r="F33" s="10">
        <v>39.200000000000003</v>
      </c>
      <c r="G33" s="10">
        <v>41.5</v>
      </c>
      <c r="H33" s="10">
        <v>39.9</v>
      </c>
      <c r="I33" s="10">
        <v>32.299999999999997</v>
      </c>
      <c r="J33" s="10">
        <v>37</v>
      </c>
      <c r="K33" s="10">
        <v>39</v>
      </c>
      <c r="L33" s="10">
        <v>32</v>
      </c>
      <c r="M33" s="10">
        <v>36</v>
      </c>
      <c r="N33" s="10">
        <v>41</v>
      </c>
    </row>
    <row r="34" spans="1:14" hidden="1" outlineLevel="1" x14ac:dyDescent="0.2">
      <c r="A34" s="9" t="s">
        <v>79</v>
      </c>
      <c r="B34" s="1" t="s">
        <v>80</v>
      </c>
      <c r="C34" s="10">
        <v>0.5</v>
      </c>
      <c r="D34" s="10">
        <v>0.5</v>
      </c>
      <c r="E34" s="10">
        <v>0.5</v>
      </c>
      <c r="F34" s="10">
        <v>0.5</v>
      </c>
      <c r="G34" s="10">
        <v>0.5</v>
      </c>
      <c r="H34" s="10">
        <v>0.5</v>
      </c>
      <c r="I34" s="10">
        <v>0</v>
      </c>
      <c r="J34" s="10">
        <v>0.5</v>
      </c>
      <c r="K34" s="10">
        <v>0.5</v>
      </c>
      <c r="L34" s="10">
        <v>0.5</v>
      </c>
      <c r="M34" s="10">
        <v>0.5</v>
      </c>
      <c r="N34" s="10">
        <v>0</v>
      </c>
    </row>
    <row r="35" spans="1:14" hidden="1" outlineLevel="1" x14ac:dyDescent="0.2">
      <c r="A35" s="9" t="s">
        <v>81</v>
      </c>
      <c r="B35" s="1" t="s">
        <v>82</v>
      </c>
      <c r="C35" s="10">
        <v>8.4</v>
      </c>
      <c r="D35" s="10">
        <v>8.4</v>
      </c>
      <c r="E35" s="10">
        <v>8.6999999999999993</v>
      </c>
      <c r="F35" s="10">
        <v>8.6999999999999993</v>
      </c>
      <c r="G35" s="10">
        <v>8.9</v>
      </c>
      <c r="H35" s="10">
        <v>6.2</v>
      </c>
      <c r="I35" s="10">
        <v>6.8</v>
      </c>
      <c r="J35" s="10">
        <v>8.6999999999999993</v>
      </c>
      <c r="K35" s="10">
        <v>8.6999999999999993</v>
      </c>
      <c r="L35" s="10">
        <v>8.9</v>
      </c>
      <c r="M35" s="10">
        <v>6.2</v>
      </c>
      <c r="N35" s="10">
        <v>6.8</v>
      </c>
    </row>
    <row r="36" spans="1:14" hidden="1" outlineLevel="1" x14ac:dyDescent="0.2">
      <c r="A36" s="9" t="s">
        <v>83</v>
      </c>
      <c r="B36" s="1" t="s">
        <v>84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hidden="1" outlineLevel="1" x14ac:dyDescent="0.2">
      <c r="A37" s="9" t="s">
        <v>85</v>
      </c>
      <c r="B37" s="1" t="s">
        <v>86</v>
      </c>
      <c r="C37" s="10">
        <v>0.6</v>
      </c>
      <c r="D37" s="10">
        <v>0.5</v>
      </c>
      <c r="E37" s="10">
        <v>0.5</v>
      </c>
      <c r="F37" s="10">
        <v>0.6</v>
      </c>
      <c r="G37" s="10">
        <v>1.4</v>
      </c>
      <c r="H37" s="10">
        <v>1.5</v>
      </c>
      <c r="I37" s="10">
        <v>1.2</v>
      </c>
      <c r="J37" s="10">
        <v>0.5</v>
      </c>
      <c r="K37" s="10">
        <v>0.6</v>
      </c>
      <c r="L37" s="10">
        <v>1.4</v>
      </c>
      <c r="M37" s="10">
        <v>1.5</v>
      </c>
      <c r="N37" s="10">
        <v>1.2</v>
      </c>
    </row>
    <row r="38" spans="1:14" hidden="1" outlineLevel="1" x14ac:dyDescent="0.2">
      <c r="A38" s="9" t="s">
        <v>87</v>
      </c>
      <c r="B38" s="1" t="s">
        <v>88</v>
      </c>
      <c r="C38" s="10">
        <v>4</v>
      </c>
      <c r="D38" s="10">
        <v>3.8</v>
      </c>
      <c r="E38" s="10">
        <v>3.5</v>
      </c>
      <c r="F38" s="10">
        <v>3.4</v>
      </c>
      <c r="G38" s="10">
        <v>3.9</v>
      </c>
      <c r="H38" s="10">
        <v>3.3</v>
      </c>
      <c r="I38" s="10">
        <v>3.2</v>
      </c>
      <c r="J38" s="10">
        <v>3.5</v>
      </c>
      <c r="K38" s="10">
        <v>3.4</v>
      </c>
      <c r="L38" s="10">
        <v>3.9</v>
      </c>
      <c r="M38" s="10">
        <v>3.3</v>
      </c>
      <c r="N38" s="10">
        <v>3.2</v>
      </c>
    </row>
    <row r="39" spans="1:14" hidden="1" outlineLevel="1" x14ac:dyDescent="0.2">
      <c r="A39" s="9" t="s">
        <v>89</v>
      </c>
      <c r="B39" s="1" t="s">
        <v>90</v>
      </c>
      <c r="C39" s="10">
        <v>4.4000000000000004</v>
      </c>
      <c r="D39" s="10">
        <v>4.2</v>
      </c>
      <c r="E39" s="10">
        <v>4.0999999999999996</v>
      </c>
      <c r="F39" s="10">
        <v>3.6</v>
      </c>
      <c r="G39" s="10">
        <v>4.3</v>
      </c>
      <c r="H39" s="10">
        <v>3.9</v>
      </c>
      <c r="I39" s="10">
        <v>3.4</v>
      </c>
      <c r="J39" s="10">
        <v>4.0999999999999996</v>
      </c>
      <c r="K39" s="10">
        <v>3.6</v>
      </c>
      <c r="L39" s="10">
        <v>4.3</v>
      </c>
      <c r="M39" s="10">
        <v>3.9</v>
      </c>
      <c r="N39" s="10">
        <v>3.4</v>
      </c>
    </row>
    <row r="40" spans="1:14" hidden="1" outlineLevel="1" x14ac:dyDescent="0.2">
      <c r="A40" s="9" t="s">
        <v>93</v>
      </c>
      <c r="B40" s="1" t="s">
        <v>94</v>
      </c>
      <c r="C40" s="10">
        <v>5</v>
      </c>
      <c r="D40" s="10">
        <v>5.3</v>
      </c>
      <c r="E40" s="10">
        <v>5.5</v>
      </c>
      <c r="F40" s="10">
        <v>5.0999999999999996</v>
      </c>
      <c r="G40" s="10">
        <v>3.9</v>
      </c>
      <c r="H40" s="10">
        <v>3.7</v>
      </c>
      <c r="I40" s="10">
        <v>5.2</v>
      </c>
      <c r="J40" s="10">
        <v>5.5</v>
      </c>
      <c r="K40" s="10">
        <v>5.0999999999999996</v>
      </c>
      <c r="L40" s="10">
        <v>3.9</v>
      </c>
      <c r="M40" s="10">
        <v>3.7</v>
      </c>
      <c r="N40" s="10">
        <v>5.2</v>
      </c>
    </row>
    <row r="41" spans="1:14" hidden="1" outlineLevel="1" x14ac:dyDescent="0.2">
      <c r="A41" s="9" t="s">
        <v>95</v>
      </c>
      <c r="B41" s="1" t="s">
        <v>96</v>
      </c>
      <c r="C41" s="10">
        <v>0.8</v>
      </c>
      <c r="D41" s="10">
        <v>0.8</v>
      </c>
      <c r="E41" s="10">
        <v>0.8</v>
      </c>
      <c r="F41" s="10">
        <v>0.5</v>
      </c>
      <c r="G41" s="10">
        <v>0.6</v>
      </c>
      <c r="H41" s="10">
        <v>0.5</v>
      </c>
      <c r="I41" s="10">
        <v>0.2</v>
      </c>
      <c r="J41" s="10">
        <v>0.8</v>
      </c>
      <c r="K41" s="10">
        <v>0.5</v>
      </c>
      <c r="L41" s="10">
        <v>0.6</v>
      </c>
      <c r="M41" s="10">
        <v>0.5</v>
      </c>
      <c r="N41" s="10">
        <v>0.2</v>
      </c>
    </row>
    <row r="42" spans="1:14" hidden="1" outlineLevel="1" x14ac:dyDescent="0.2">
      <c r="A42" s="9" t="s">
        <v>97</v>
      </c>
      <c r="B42" s="1" t="s">
        <v>98</v>
      </c>
      <c r="C42" s="10">
        <v>1.9</v>
      </c>
      <c r="D42" s="10">
        <v>5</v>
      </c>
      <c r="E42" s="10">
        <v>4.3</v>
      </c>
      <c r="F42" s="10">
        <v>5.3</v>
      </c>
      <c r="G42" s="10">
        <v>-0.1</v>
      </c>
      <c r="H42" s="10">
        <v>8.3000000000000007</v>
      </c>
      <c r="I42" s="10">
        <v>8.8000000000000007</v>
      </c>
      <c r="J42" s="10">
        <v>4.3</v>
      </c>
      <c r="K42" s="10">
        <v>5.3</v>
      </c>
      <c r="L42" s="10">
        <v>-0.1</v>
      </c>
      <c r="M42" s="10">
        <v>8.3000000000000007</v>
      </c>
      <c r="N42" s="10">
        <v>8.8000000000000007</v>
      </c>
    </row>
    <row r="43" spans="1:14" hidden="1" outlineLevel="1" x14ac:dyDescent="0.2">
      <c r="A43" s="9" t="s">
        <v>303</v>
      </c>
      <c r="B43" s="1" t="s">
        <v>304</v>
      </c>
      <c r="C43" s="10">
        <v>0</v>
      </c>
      <c r="D43" s="10">
        <v>0.1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99</v>
      </c>
      <c r="B44" s="1" t="s">
        <v>100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hidden="1" outlineLevel="1" x14ac:dyDescent="0.2">
      <c r="A45" s="9" t="s">
        <v>101</v>
      </c>
      <c r="B45" s="1" t="s">
        <v>102</v>
      </c>
      <c r="C45" s="10">
        <v>1.9</v>
      </c>
      <c r="D45" s="10">
        <v>1.4</v>
      </c>
      <c r="E45" s="10">
        <v>0</v>
      </c>
      <c r="F45" s="10">
        <v>0</v>
      </c>
      <c r="G45" s="10">
        <v>1.2</v>
      </c>
      <c r="H45" s="10">
        <v>0</v>
      </c>
      <c r="I45" s="10">
        <v>0</v>
      </c>
      <c r="J45" s="10">
        <v>0</v>
      </c>
      <c r="K45" s="10">
        <v>0</v>
      </c>
      <c r="L45" s="10">
        <v>1.2</v>
      </c>
      <c r="M45" s="10">
        <v>0</v>
      </c>
      <c r="N45" s="10">
        <v>0</v>
      </c>
    </row>
    <row r="46" spans="1:14" hidden="1" outlineLevel="1" x14ac:dyDescent="0.2">
      <c r="A46" s="9" t="s">
        <v>103</v>
      </c>
      <c r="B46" s="1" t="s">
        <v>104</v>
      </c>
      <c r="C46" s="10">
        <v>3.2</v>
      </c>
      <c r="D46" s="10">
        <v>3.2</v>
      </c>
      <c r="E46" s="10">
        <v>3.1</v>
      </c>
      <c r="F46" s="10">
        <v>3.4</v>
      </c>
      <c r="G46" s="10">
        <v>3.3</v>
      </c>
      <c r="H46" s="10">
        <v>3.4</v>
      </c>
      <c r="I46" s="10">
        <v>3.5</v>
      </c>
      <c r="J46" s="10">
        <v>3.1</v>
      </c>
      <c r="K46" s="10">
        <v>3.4</v>
      </c>
      <c r="L46" s="10">
        <v>3.3</v>
      </c>
      <c r="M46" s="10">
        <v>3.4</v>
      </c>
      <c r="N46" s="10">
        <v>3.5</v>
      </c>
    </row>
    <row r="47" spans="1:14" hidden="1" outlineLevel="1" x14ac:dyDescent="0.2">
      <c r="A47" s="9" t="s">
        <v>305</v>
      </c>
      <c r="B47" s="1" t="s">
        <v>306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hidden="1" outlineLevel="1" x14ac:dyDescent="0.2">
      <c r="A48" s="9" t="s">
        <v>105</v>
      </c>
      <c r="B48" s="1" t="s">
        <v>106</v>
      </c>
      <c r="C48" s="10">
        <v>12.5</v>
      </c>
      <c r="D48" s="10">
        <v>2.4</v>
      </c>
      <c r="E48" s="10">
        <v>11.5</v>
      </c>
      <c r="F48" s="10">
        <v>5.7</v>
      </c>
      <c r="G48" s="10">
        <v>7.5</v>
      </c>
      <c r="H48" s="10">
        <v>-8.4</v>
      </c>
      <c r="I48" s="10">
        <v>7.8</v>
      </c>
      <c r="J48" s="10">
        <v>11.5</v>
      </c>
      <c r="K48" s="10">
        <v>5.7</v>
      </c>
      <c r="L48" s="10">
        <v>7.5</v>
      </c>
      <c r="M48" s="10">
        <v>-8.4</v>
      </c>
      <c r="N48" s="10">
        <v>7.8</v>
      </c>
    </row>
    <row r="49" spans="1:14" hidden="1" outlineLevel="1" x14ac:dyDescent="0.2">
      <c r="A49" s="9" t="s">
        <v>107</v>
      </c>
      <c r="B49" s="1" t="s">
        <v>108</v>
      </c>
      <c r="C49" s="10">
        <v>0.8</v>
      </c>
      <c r="D49" s="10">
        <v>0.9</v>
      </c>
      <c r="E49" s="10">
        <v>2.2000000000000002</v>
      </c>
      <c r="F49" s="10">
        <v>0</v>
      </c>
      <c r="G49" s="10">
        <v>0.4</v>
      </c>
      <c r="H49" s="10">
        <v>15.7</v>
      </c>
      <c r="I49" s="10">
        <v>0.3</v>
      </c>
      <c r="J49" s="10">
        <v>2.2000000000000002</v>
      </c>
      <c r="K49" s="10">
        <v>0</v>
      </c>
      <c r="L49" s="10">
        <v>0.4</v>
      </c>
      <c r="M49" s="10">
        <v>15.7</v>
      </c>
      <c r="N49" s="10">
        <v>0.3</v>
      </c>
    </row>
    <row r="50" spans="1:14" hidden="1" outlineLevel="1" x14ac:dyDescent="0.2">
      <c r="A50" s="9" t="s">
        <v>109</v>
      </c>
      <c r="B50" s="1" t="s">
        <v>110</v>
      </c>
      <c r="C50" s="10">
        <v>0.1</v>
      </c>
      <c r="D50" s="10">
        <v>0</v>
      </c>
      <c r="E50" s="10">
        <v>0.2</v>
      </c>
      <c r="F50" s="10">
        <v>0</v>
      </c>
      <c r="G50" s="10">
        <v>0.6</v>
      </c>
      <c r="H50" s="10">
        <v>2.4</v>
      </c>
      <c r="I50" s="10">
        <v>-1.7</v>
      </c>
      <c r="J50" s="10">
        <v>0.2</v>
      </c>
      <c r="K50" s="10">
        <v>0</v>
      </c>
      <c r="L50" s="10">
        <v>0.6</v>
      </c>
      <c r="M50" s="10">
        <v>2.4</v>
      </c>
      <c r="N50" s="10">
        <v>-1.7</v>
      </c>
    </row>
    <row r="51" spans="1:14" hidden="1" outlineLevel="1" x14ac:dyDescent="0.2">
      <c r="A51" s="9" t="s">
        <v>307</v>
      </c>
      <c r="B51" s="1" t="s">
        <v>308</v>
      </c>
      <c r="C51" s="10">
        <v>0</v>
      </c>
      <c r="D51" s="10">
        <v>0</v>
      </c>
      <c r="E51" s="10">
        <v>0</v>
      </c>
      <c r="F51" s="10">
        <v>0</v>
      </c>
      <c r="G51" s="10">
        <v>0.9</v>
      </c>
      <c r="H51" s="10">
        <v>0</v>
      </c>
      <c r="I51" s="10">
        <v>0</v>
      </c>
      <c r="J51" s="10">
        <v>0</v>
      </c>
      <c r="K51" s="10">
        <v>0</v>
      </c>
      <c r="L51" s="10">
        <v>0.9</v>
      </c>
      <c r="M51" s="10">
        <v>0</v>
      </c>
      <c r="N51" s="10">
        <v>0</v>
      </c>
    </row>
    <row r="52" spans="1:14" collapsed="1" x14ac:dyDescent="0.2">
      <c r="A52" s="9" t="s">
        <v>111</v>
      </c>
      <c r="B52" s="1" t="s">
        <v>112</v>
      </c>
      <c r="C52" s="28">
        <f t="shared" ref="C52:I52" si="38">SUM(C53:C57)</f>
        <v>0.30000000000000004</v>
      </c>
      <c r="D52" s="28">
        <f t="shared" si="38"/>
        <v>0.60000000000000009</v>
      </c>
      <c r="E52" s="28">
        <f t="shared" si="38"/>
        <v>2.1</v>
      </c>
      <c r="F52" s="28">
        <f t="shared" si="38"/>
        <v>-0.5</v>
      </c>
      <c r="G52" s="28">
        <f t="shared" si="38"/>
        <v>0.1</v>
      </c>
      <c r="H52" s="28">
        <f t="shared" si="38"/>
        <v>0</v>
      </c>
      <c r="I52" s="28">
        <f t="shared" si="38"/>
        <v>1.5</v>
      </c>
      <c r="J52" s="28">
        <f>SUM(J53:J57)</f>
        <v>2.1</v>
      </c>
      <c r="K52" s="28">
        <f t="shared" ref="K52:N52" si="39">SUM(K53:K57)</f>
        <v>-0.5</v>
      </c>
      <c r="L52" s="28">
        <f t="shared" si="39"/>
        <v>0.1</v>
      </c>
      <c r="M52" s="28">
        <f t="shared" si="39"/>
        <v>0</v>
      </c>
      <c r="N52" s="28">
        <f t="shared" si="39"/>
        <v>1.5</v>
      </c>
    </row>
    <row r="53" spans="1:14" hidden="1" outlineLevel="1" x14ac:dyDescent="0.2">
      <c r="A53" s="9" t="s">
        <v>113</v>
      </c>
      <c r="B53" s="1" t="s">
        <v>114</v>
      </c>
      <c r="C53" s="10">
        <v>0.2</v>
      </c>
      <c r="D53" s="10">
        <v>0</v>
      </c>
      <c r="E53" s="10">
        <v>0.9</v>
      </c>
      <c r="F53" s="10">
        <v>-0.6</v>
      </c>
      <c r="G53" s="10">
        <v>0</v>
      </c>
      <c r="H53" s="10">
        <v>0</v>
      </c>
      <c r="I53" s="10">
        <v>0</v>
      </c>
      <c r="J53" s="10">
        <v>0.9</v>
      </c>
      <c r="K53" s="10">
        <v>-0.6</v>
      </c>
      <c r="L53" s="10">
        <v>0</v>
      </c>
      <c r="M53" s="10">
        <v>0</v>
      </c>
      <c r="N53" s="10">
        <v>0</v>
      </c>
    </row>
    <row r="54" spans="1:14" hidden="1" outlineLevel="1" x14ac:dyDescent="0.2">
      <c r="A54" s="9" t="s">
        <v>115</v>
      </c>
      <c r="B54" s="1" t="s">
        <v>116</v>
      </c>
      <c r="C54" s="10">
        <v>0</v>
      </c>
      <c r="D54" s="10">
        <v>0.2</v>
      </c>
      <c r="E54" s="10">
        <v>-0.1</v>
      </c>
      <c r="F54" s="10">
        <v>0</v>
      </c>
      <c r="G54" s="10">
        <v>0</v>
      </c>
      <c r="H54" s="10">
        <v>0</v>
      </c>
      <c r="I54" s="10">
        <v>0</v>
      </c>
      <c r="J54" s="10">
        <v>-0.1</v>
      </c>
      <c r="K54" s="10">
        <v>0</v>
      </c>
      <c r="L54" s="10">
        <v>0</v>
      </c>
      <c r="M54" s="10">
        <v>0</v>
      </c>
      <c r="N54" s="10">
        <v>0</v>
      </c>
    </row>
    <row r="55" spans="1:14" hidden="1" outlineLevel="1" x14ac:dyDescent="0.2">
      <c r="A55" s="9" t="s">
        <v>311</v>
      </c>
      <c r="B55" s="1" t="s">
        <v>312</v>
      </c>
      <c r="C55" s="10">
        <v>0.1</v>
      </c>
      <c r="D55" s="10">
        <v>0</v>
      </c>
      <c r="E55" s="10">
        <v>1.3</v>
      </c>
      <c r="F55" s="10">
        <v>0.1</v>
      </c>
      <c r="G55" s="10">
        <v>0.1</v>
      </c>
      <c r="H55" s="10">
        <v>0</v>
      </c>
      <c r="I55" s="10">
        <v>0.7</v>
      </c>
      <c r="J55" s="10">
        <v>1.3</v>
      </c>
      <c r="K55" s="10">
        <v>0.1</v>
      </c>
      <c r="L55" s="10">
        <v>0.1</v>
      </c>
      <c r="M55" s="10">
        <v>0</v>
      </c>
      <c r="N55" s="10">
        <v>0.7</v>
      </c>
    </row>
    <row r="56" spans="1:14" hidden="1" outlineLevel="1" x14ac:dyDescent="0.2">
      <c r="A56" s="9" t="s">
        <v>117</v>
      </c>
      <c r="B56" s="1" t="s">
        <v>118</v>
      </c>
      <c r="C56" s="10">
        <v>0</v>
      </c>
      <c r="D56" s="10">
        <v>0.4</v>
      </c>
      <c r="E56" s="10">
        <v>0</v>
      </c>
      <c r="F56" s="10">
        <v>0</v>
      </c>
      <c r="G56" s="10">
        <v>0</v>
      </c>
      <c r="H56" s="10">
        <v>0</v>
      </c>
      <c r="I56" s="10">
        <v>0.8</v>
      </c>
      <c r="J56" s="10">
        <v>0</v>
      </c>
      <c r="K56" s="10">
        <v>0</v>
      </c>
      <c r="L56" s="10">
        <v>0</v>
      </c>
      <c r="M56" s="10">
        <v>0</v>
      </c>
      <c r="N56" s="10">
        <v>0.8</v>
      </c>
    </row>
    <row r="57" spans="1:14" hidden="1" outlineLevel="1" x14ac:dyDescent="0.2">
      <c r="A57" s="9" t="s">
        <v>313</v>
      </c>
      <c r="B57" s="1" t="s">
        <v>314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collapsed="1" x14ac:dyDescent="0.2">
      <c r="A58" s="9" t="s">
        <v>119</v>
      </c>
      <c r="B58" s="1" t="s">
        <v>120</v>
      </c>
      <c r="C58" s="28">
        <f t="shared" ref="C58:I58" si="40">SUM(C59:C60)</f>
        <v>0.9</v>
      </c>
      <c r="D58" s="28">
        <f t="shared" si="40"/>
        <v>0.9</v>
      </c>
      <c r="E58" s="28">
        <f t="shared" si="40"/>
        <v>0.5</v>
      </c>
      <c r="F58" s="28">
        <f t="shared" si="40"/>
        <v>0.5</v>
      </c>
      <c r="G58" s="28">
        <f t="shared" si="40"/>
        <v>0.5</v>
      </c>
      <c r="H58" s="28">
        <f t="shared" si="40"/>
        <v>0.4</v>
      </c>
      <c r="I58" s="28">
        <f t="shared" si="40"/>
        <v>0.5</v>
      </c>
      <c r="J58" s="28">
        <f>SUM(J59:J60)</f>
        <v>0.5</v>
      </c>
      <c r="K58" s="28">
        <f t="shared" ref="K58:N58" si="41">SUM(K59:K60)</f>
        <v>0.5</v>
      </c>
      <c r="L58" s="28">
        <f t="shared" si="41"/>
        <v>0.5</v>
      </c>
      <c r="M58" s="28">
        <f t="shared" si="41"/>
        <v>0.5</v>
      </c>
      <c r="N58" s="28">
        <f t="shared" si="41"/>
        <v>0.4</v>
      </c>
    </row>
    <row r="59" spans="1:14" hidden="1" outlineLevel="1" x14ac:dyDescent="0.2">
      <c r="A59" s="9" t="s">
        <v>121</v>
      </c>
      <c r="B59" s="1" t="s">
        <v>122</v>
      </c>
      <c r="C59" s="10">
        <v>0.5</v>
      </c>
      <c r="D59" s="10">
        <v>0.5</v>
      </c>
      <c r="E59" s="10">
        <v>0.1</v>
      </c>
      <c r="F59" s="10">
        <v>0.1</v>
      </c>
      <c r="G59" s="10">
        <v>0.1</v>
      </c>
      <c r="H59" s="10">
        <v>0.1</v>
      </c>
      <c r="I59" s="10">
        <v>0.1</v>
      </c>
      <c r="J59" s="10">
        <v>0.1</v>
      </c>
      <c r="K59" s="10">
        <v>0.1</v>
      </c>
      <c r="L59" s="10">
        <v>0.1</v>
      </c>
      <c r="M59" s="10">
        <v>0.1</v>
      </c>
      <c r="N59" s="10">
        <v>0.1</v>
      </c>
    </row>
    <row r="60" spans="1:14" hidden="1" outlineLevel="1" x14ac:dyDescent="0.2">
      <c r="A60" s="9" t="s">
        <v>123</v>
      </c>
      <c r="B60" s="1" t="s">
        <v>124</v>
      </c>
      <c r="C60" s="10">
        <v>0.4</v>
      </c>
      <c r="D60" s="10">
        <v>0.4</v>
      </c>
      <c r="E60" s="10">
        <v>0.4</v>
      </c>
      <c r="F60" s="10">
        <v>0.4</v>
      </c>
      <c r="G60" s="10">
        <v>0.4</v>
      </c>
      <c r="H60" s="10">
        <v>0.3</v>
      </c>
      <c r="I60" s="10">
        <v>0.4</v>
      </c>
      <c r="J60" s="10">
        <v>0.4</v>
      </c>
      <c r="K60" s="10">
        <v>0.4</v>
      </c>
      <c r="L60" s="10">
        <v>0.4</v>
      </c>
      <c r="M60" s="10">
        <v>0.4</v>
      </c>
      <c r="N60" s="10">
        <v>0.3</v>
      </c>
    </row>
    <row r="61" spans="1:14" collapsed="1" x14ac:dyDescent="0.2">
      <c r="A61" s="9" t="s">
        <v>127</v>
      </c>
      <c r="B61" s="1" t="s">
        <v>128</v>
      </c>
      <c r="C61" s="28">
        <f t="shared" ref="C61:I61" si="42">SUM(C62:C65)</f>
        <v>0.3</v>
      </c>
      <c r="D61" s="28">
        <f t="shared" si="42"/>
        <v>14</v>
      </c>
      <c r="E61" s="28">
        <f t="shared" si="42"/>
        <v>13.1</v>
      </c>
      <c r="F61" s="28">
        <f t="shared" si="42"/>
        <v>22.3</v>
      </c>
      <c r="G61" s="28">
        <f t="shared" si="42"/>
        <v>0.7</v>
      </c>
      <c r="H61" s="28">
        <f t="shared" si="42"/>
        <v>0.8</v>
      </c>
      <c r="I61" s="28">
        <f t="shared" si="42"/>
        <v>23.1</v>
      </c>
      <c r="J61" s="28">
        <f>SUM(J62:J65)</f>
        <v>17</v>
      </c>
      <c r="K61" s="28">
        <f t="shared" ref="K61:N61" si="43">SUM(K62:K65)</f>
        <v>19</v>
      </c>
      <c r="L61" s="28">
        <f t="shared" si="43"/>
        <v>21</v>
      </c>
      <c r="M61" s="28">
        <f t="shared" si="43"/>
        <v>17</v>
      </c>
      <c r="N61" s="28">
        <f t="shared" si="43"/>
        <v>15</v>
      </c>
    </row>
    <row r="62" spans="1:14" hidden="1" outlineLevel="1" x14ac:dyDescent="0.2">
      <c r="A62" s="9" t="s">
        <v>129</v>
      </c>
      <c r="B62" s="1" t="s">
        <v>130</v>
      </c>
      <c r="C62" s="10">
        <v>0.3</v>
      </c>
      <c r="D62" s="10">
        <v>13.1</v>
      </c>
      <c r="E62" s="10">
        <v>13.1</v>
      </c>
      <c r="F62" s="10">
        <v>22.3</v>
      </c>
      <c r="G62" s="10">
        <v>0.6</v>
      </c>
      <c r="H62" s="10">
        <v>0.8</v>
      </c>
      <c r="I62" s="10">
        <v>23.1</v>
      </c>
      <c r="J62" s="10">
        <v>17</v>
      </c>
      <c r="K62" s="10">
        <v>19</v>
      </c>
      <c r="L62" s="10">
        <v>21</v>
      </c>
      <c r="M62" s="10">
        <v>17</v>
      </c>
      <c r="N62" s="10">
        <v>15</v>
      </c>
    </row>
    <row r="63" spans="1:14" hidden="1" outlineLevel="1" x14ac:dyDescent="0.2">
      <c r="A63" s="9" t="s">
        <v>371</v>
      </c>
      <c r="B63" s="1" t="s">
        <v>372</v>
      </c>
      <c r="C63" s="10">
        <v>0</v>
      </c>
      <c r="D63" s="10">
        <v>0</v>
      </c>
      <c r="E63" s="10">
        <v>0</v>
      </c>
      <c r="F63" s="10">
        <v>0</v>
      </c>
      <c r="G63" s="10">
        <v>0.1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</row>
    <row r="64" spans="1:14" hidden="1" outlineLevel="1" x14ac:dyDescent="0.2">
      <c r="A64" s="9" t="s">
        <v>131</v>
      </c>
      <c r="B64" s="1" t="s">
        <v>132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</row>
    <row r="65" spans="1:14" hidden="1" outlineLevel="1" x14ac:dyDescent="0.2">
      <c r="A65" s="9" t="s">
        <v>325</v>
      </c>
      <c r="B65" s="1" t="s">
        <v>326</v>
      </c>
      <c r="C65" s="10">
        <v>0</v>
      </c>
      <c r="D65" s="10">
        <v>0.9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</row>
    <row r="66" spans="1:14" collapsed="1" x14ac:dyDescent="0.2">
      <c r="A66" s="9" t="s">
        <v>133</v>
      </c>
      <c r="B66" s="1" t="s">
        <v>134</v>
      </c>
      <c r="C66" s="28">
        <f t="shared" ref="C66:I66" si="44">SUM(C67:C74)</f>
        <v>0</v>
      </c>
      <c r="D66" s="28">
        <f t="shared" si="44"/>
        <v>0.1</v>
      </c>
      <c r="E66" s="28">
        <f t="shared" si="44"/>
        <v>0</v>
      </c>
      <c r="F66" s="28">
        <f t="shared" si="44"/>
        <v>0</v>
      </c>
      <c r="G66" s="28">
        <f t="shared" si="44"/>
        <v>9.3000000000000007</v>
      </c>
      <c r="H66" s="28">
        <f t="shared" si="44"/>
        <v>15.6</v>
      </c>
      <c r="I66" s="28">
        <f t="shared" si="44"/>
        <v>4</v>
      </c>
      <c r="J66" s="28">
        <f>SUM(J67:J74)</f>
        <v>3</v>
      </c>
      <c r="K66" s="28">
        <f t="shared" ref="K66:N66" si="45">SUM(K67:K74)</f>
        <v>3</v>
      </c>
      <c r="L66" s="28">
        <f t="shared" si="45"/>
        <v>11</v>
      </c>
      <c r="M66" s="28">
        <f t="shared" si="45"/>
        <v>10</v>
      </c>
      <c r="N66" s="28">
        <f t="shared" si="45"/>
        <v>2</v>
      </c>
    </row>
    <row r="67" spans="1:14" hidden="1" outlineLevel="1" x14ac:dyDescent="0.2">
      <c r="A67" s="9" t="s">
        <v>327</v>
      </c>
      <c r="B67" s="1" t="s">
        <v>328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</row>
    <row r="68" spans="1:14" hidden="1" outlineLevel="1" x14ac:dyDescent="0.2">
      <c r="A68" s="9" t="s">
        <v>329</v>
      </c>
      <c r="B68" s="1" t="s">
        <v>330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15.6</v>
      </c>
      <c r="I68" s="10">
        <v>4</v>
      </c>
      <c r="J68" s="10">
        <v>3</v>
      </c>
      <c r="K68" s="10">
        <v>3</v>
      </c>
      <c r="L68" s="10">
        <v>11</v>
      </c>
      <c r="M68" s="10">
        <v>10</v>
      </c>
      <c r="N68" s="10">
        <v>2</v>
      </c>
    </row>
    <row r="69" spans="1:14" hidden="1" outlineLevel="1" x14ac:dyDescent="0.2">
      <c r="A69" s="9" t="s">
        <v>331</v>
      </c>
      <c r="B69" s="1" t="s">
        <v>332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</row>
    <row r="70" spans="1:14" hidden="1" outlineLevel="1" x14ac:dyDescent="0.2">
      <c r="A70" s="9" t="s">
        <v>135</v>
      </c>
      <c r="B70" s="1" t="s">
        <v>136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</row>
    <row r="71" spans="1:14" hidden="1" outlineLevel="1" x14ac:dyDescent="0.2">
      <c r="A71" s="9" t="s">
        <v>373</v>
      </c>
      <c r="B71" s="1" t="s">
        <v>374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>
        <v>0</v>
      </c>
      <c r="N71" s="10">
        <v>0</v>
      </c>
    </row>
    <row r="72" spans="1:14" hidden="1" outlineLevel="1" x14ac:dyDescent="0.2">
      <c r="A72" s="9" t="s">
        <v>335</v>
      </c>
      <c r="B72" s="1" t="s">
        <v>336</v>
      </c>
      <c r="C72" s="10">
        <v>0</v>
      </c>
      <c r="D72" s="10">
        <v>0.1</v>
      </c>
      <c r="E72" s="10">
        <v>0</v>
      </c>
      <c r="F72" s="10">
        <v>0</v>
      </c>
      <c r="G72" s="10">
        <v>8.5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</row>
    <row r="73" spans="1:14" hidden="1" outlineLevel="1" x14ac:dyDescent="0.2">
      <c r="A73" s="9" t="s">
        <v>375</v>
      </c>
      <c r="B73" s="1" t="s">
        <v>376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</row>
    <row r="74" spans="1:14" hidden="1" outlineLevel="1" x14ac:dyDescent="0.2">
      <c r="A74" s="9" t="s">
        <v>337</v>
      </c>
      <c r="B74" s="1" t="s">
        <v>338</v>
      </c>
      <c r="C74" s="10">
        <v>0</v>
      </c>
      <c r="D74" s="10">
        <v>0</v>
      </c>
      <c r="E74" s="10">
        <v>0</v>
      </c>
      <c r="F74" s="10">
        <v>0</v>
      </c>
      <c r="G74" s="10">
        <v>0.8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</row>
    <row r="75" spans="1:14" collapsed="1" x14ac:dyDescent="0.2">
      <c r="A75" s="9" t="s">
        <v>137</v>
      </c>
      <c r="B75" s="1" t="s">
        <v>138</v>
      </c>
      <c r="C75" s="28">
        <f t="shared" ref="C75:I75" si="46">SUM(C76:C80)</f>
        <v>4.0999999999999996</v>
      </c>
      <c r="D75" s="28">
        <f t="shared" si="46"/>
        <v>4.0999999999999996</v>
      </c>
      <c r="E75" s="28">
        <f t="shared" si="46"/>
        <v>4.0999999999999996</v>
      </c>
      <c r="F75" s="28">
        <f t="shared" si="46"/>
        <v>4.0999999999999996</v>
      </c>
      <c r="G75" s="28">
        <f t="shared" si="46"/>
        <v>3.8000000000000003</v>
      </c>
      <c r="H75" s="28">
        <f t="shared" si="46"/>
        <v>1.4000000000000001</v>
      </c>
      <c r="I75" s="28">
        <f t="shared" si="46"/>
        <v>3.8000000000000003</v>
      </c>
      <c r="J75" s="28">
        <f>SUM(J76:J80)</f>
        <v>1.9</v>
      </c>
      <c r="K75" s="28">
        <f t="shared" ref="K75:N75" si="47">SUM(K76:K80)</f>
        <v>3.8000000000000003</v>
      </c>
      <c r="L75" s="28">
        <f t="shared" si="47"/>
        <v>1.7000000000000002</v>
      </c>
      <c r="M75" s="28">
        <f t="shared" si="47"/>
        <v>3.6000000000000005</v>
      </c>
      <c r="N75" s="28">
        <f t="shared" si="47"/>
        <v>2.6</v>
      </c>
    </row>
    <row r="76" spans="1:14" hidden="1" outlineLevel="1" x14ac:dyDescent="0.2">
      <c r="A76" s="9" t="s">
        <v>339</v>
      </c>
      <c r="B76" s="1" t="s">
        <v>340</v>
      </c>
      <c r="C76" s="10">
        <v>3.1</v>
      </c>
      <c r="D76" s="10">
        <v>3.1</v>
      </c>
      <c r="E76" s="10">
        <v>3.1</v>
      </c>
      <c r="F76" s="10">
        <v>3.1</v>
      </c>
      <c r="G76" s="10">
        <v>3.1</v>
      </c>
      <c r="H76" s="10">
        <v>0.9</v>
      </c>
      <c r="I76" s="10">
        <v>3.1</v>
      </c>
      <c r="J76" s="10">
        <v>1</v>
      </c>
      <c r="K76" s="10">
        <v>3</v>
      </c>
      <c r="L76" s="10">
        <v>1</v>
      </c>
      <c r="M76" s="10">
        <v>3</v>
      </c>
      <c r="N76" s="10">
        <v>2</v>
      </c>
    </row>
    <row r="77" spans="1:14" hidden="1" outlineLevel="1" x14ac:dyDescent="0.2">
      <c r="A77" s="9" t="s">
        <v>341</v>
      </c>
      <c r="B77" s="1" t="s">
        <v>342</v>
      </c>
      <c r="C77" s="10">
        <v>0.3</v>
      </c>
      <c r="D77" s="10">
        <v>0.3</v>
      </c>
      <c r="E77" s="10">
        <v>0.3</v>
      </c>
      <c r="F77" s="10">
        <v>0.3</v>
      </c>
      <c r="G77" s="10">
        <v>0.3</v>
      </c>
      <c r="H77" s="10">
        <v>0.2</v>
      </c>
      <c r="I77" s="10">
        <v>0.3</v>
      </c>
      <c r="J77" s="10">
        <v>0.3</v>
      </c>
      <c r="K77" s="10">
        <v>0.2</v>
      </c>
      <c r="L77" s="10">
        <v>0.3</v>
      </c>
      <c r="M77" s="10">
        <v>0.2</v>
      </c>
      <c r="N77" s="10">
        <v>0.3</v>
      </c>
    </row>
    <row r="78" spans="1:14" hidden="1" outlineLevel="1" x14ac:dyDescent="0.2">
      <c r="A78" s="9" t="s">
        <v>345</v>
      </c>
      <c r="B78" s="1" t="s">
        <v>346</v>
      </c>
      <c r="C78" s="10">
        <v>0.2</v>
      </c>
      <c r="D78" s="10">
        <v>0.2</v>
      </c>
      <c r="E78" s="10">
        <v>0.2</v>
      </c>
      <c r="F78" s="10">
        <v>0.2</v>
      </c>
      <c r="G78" s="10">
        <v>0.2</v>
      </c>
      <c r="H78" s="10">
        <v>0.2</v>
      </c>
      <c r="I78" s="10">
        <v>0.2</v>
      </c>
      <c r="J78" s="10">
        <v>0.2</v>
      </c>
      <c r="K78" s="10">
        <v>0.2</v>
      </c>
      <c r="L78" s="10">
        <v>0.2</v>
      </c>
      <c r="M78" s="10">
        <v>0.2</v>
      </c>
      <c r="N78" s="10">
        <v>0.1</v>
      </c>
    </row>
    <row r="79" spans="1:14" hidden="1" outlineLevel="1" x14ac:dyDescent="0.2">
      <c r="A79" s="9" t="s">
        <v>347</v>
      </c>
      <c r="B79" s="1" t="s">
        <v>348</v>
      </c>
      <c r="C79" s="10">
        <v>0.4</v>
      </c>
      <c r="D79" s="10">
        <v>0.4</v>
      </c>
      <c r="E79" s="10">
        <v>0.4</v>
      </c>
      <c r="F79" s="10">
        <v>0.4</v>
      </c>
      <c r="G79" s="10">
        <v>0.1</v>
      </c>
      <c r="H79" s="10">
        <v>0.1</v>
      </c>
      <c r="I79" s="10">
        <v>0.1</v>
      </c>
      <c r="J79" s="10">
        <v>0.4</v>
      </c>
      <c r="K79" s="10">
        <v>0.4</v>
      </c>
      <c r="L79" s="10">
        <v>0.1</v>
      </c>
      <c r="M79" s="10">
        <v>0.1</v>
      </c>
      <c r="N79" s="10">
        <v>0.1</v>
      </c>
    </row>
    <row r="80" spans="1:14" hidden="1" outlineLevel="1" x14ac:dyDescent="0.2">
      <c r="A80" s="9" t="s">
        <v>349</v>
      </c>
      <c r="B80" s="1" t="s">
        <v>350</v>
      </c>
      <c r="C80" s="10">
        <v>0.1</v>
      </c>
      <c r="D80" s="10">
        <v>0.1</v>
      </c>
      <c r="E80" s="10">
        <v>0.1</v>
      </c>
      <c r="F80" s="10">
        <v>0.1</v>
      </c>
      <c r="G80" s="10">
        <v>0.1</v>
      </c>
      <c r="H80" s="10">
        <v>0</v>
      </c>
      <c r="I80" s="10">
        <v>0.1</v>
      </c>
      <c r="J80" s="10">
        <v>0</v>
      </c>
      <c r="K80" s="10">
        <v>0</v>
      </c>
      <c r="L80" s="10">
        <v>0.1</v>
      </c>
      <c r="M80" s="10">
        <v>0.1</v>
      </c>
      <c r="N80" s="10">
        <v>0.1</v>
      </c>
    </row>
    <row r="81" spans="1:14" collapsed="1" x14ac:dyDescent="0.2">
      <c r="A81" s="9" t="s">
        <v>139</v>
      </c>
      <c r="B81" s="1" t="s">
        <v>140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28">
        <v>0</v>
      </c>
      <c r="K81" s="28">
        <v>0</v>
      </c>
      <c r="L81" s="28">
        <v>0</v>
      </c>
      <c r="M81" s="28">
        <v>0</v>
      </c>
      <c r="N81" s="28">
        <v>0</v>
      </c>
    </row>
    <row r="82" spans="1:14" x14ac:dyDescent="0.2">
      <c r="A82" s="9" t="s">
        <v>141</v>
      </c>
      <c r="B82" s="1" t="s">
        <v>142</v>
      </c>
      <c r="C82" s="28">
        <f t="shared" ref="C82:I82" si="48">+C83</f>
        <v>0</v>
      </c>
      <c r="D82" s="28">
        <f t="shared" si="48"/>
        <v>0</v>
      </c>
      <c r="E82" s="28">
        <f t="shared" si="48"/>
        <v>0</v>
      </c>
      <c r="F82" s="28">
        <f t="shared" si="48"/>
        <v>4.0999999999999996</v>
      </c>
      <c r="G82" s="28">
        <f t="shared" si="48"/>
        <v>0</v>
      </c>
      <c r="H82" s="28">
        <f t="shared" si="48"/>
        <v>0</v>
      </c>
      <c r="I82" s="28">
        <f t="shared" si="48"/>
        <v>0</v>
      </c>
      <c r="J82" s="28">
        <f>+J83</f>
        <v>0</v>
      </c>
      <c r="K82" s="28">
        <f t="shared" ref="K82:N82" si="49">+K83</f>
        <v>0</v>
      </c>
      <c r="L82" s="28">
        <f t="shared" si="49"/>
        <v>0</v>
      </c>
      <c r="M82" s="28">
        <f t="shared" si="49"/>
        <v>0</v>
      </c>
      <c r="N82" s="28">
        <f t="shared" si="49"/>
        <v>0</v>
      </c>
    </row>
    <row r="83" spans="1:14" hidden="1" outlineLevel="1" x14ac:dyDescent="0.2">
      <c r="A83" s="9" t="s">
        <v>379</v>
      </c>
      <c r="B83" s="1" t="s">
        <v>380</v>
      </c>
      <c r="C83" s="10">
        <v>0</v>
      </c>
      <c r="D83" s="10">
        <v>0</v>
      </c>
      <c r="E83" s="10">
        <v>0</v>
      </c>
      <c r="F83" s="10">
        <v>4.0999999999999996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0">
        <v>0</v>
      </c>
    </row>
    <row r="84" spans="1:14" collapsed="1" x14ac:dyDescent="0.2">
      <c r="A84" s="9" t="s">
        <v>143</v>
      </c>
      <c r="B84" s="1" t="s">
        <v>144</v>
      </c>
      <c r="C84" s="28">
        <f t="shared" ref="C84:I84" si="50">SUM(C85:C90)</f>
        <v>-0.2</v>
      </c>
      <c r="D84" s="28">
        <f t="shared" si="50"/>
        <v>8.6</v>
      </c>
      <c r="E84" s="28">
        <f t="shared" si="50"/>
        <v>4.2</v>
      </c>
      <c r="F84" s="28">
        <f t="shared" si="50"/>
        <v>15.100000000000001</v>
      </c>
      <c r="G84" s="28">
        <f t="shared" si="50"/>
        <v>4.3</v>
      </c>
      <c r="H84" s="28">
        <f t="shared" si="50"/>
        <v>5</v>
      </c>
      <c r="I84" s="28">
        <f t="shared" si="50"/>
        <v>7.1000000000000005</v>
      </c>
      <c r="J84" s="28">
        <f>SUM(J85:J90)</f>
        <v>11.2</v>
      </c>
      <c r="K84" s="28">
        <f t="shared" ref="K84:N84" si="51">SUM(K85:K90)</f>
        <v>6.9</v>
      </c>
      <c r="L84" s="28">
        <f t="shared" si="51"/>
        <v>6.9</v>
      </c>
      <c r="M84" s="28">
        <f t="shared" si="51"/>
        <v>7</v>
      </c>
      <c r="N84" s="28">
        <f t="shared" si="51"/>
        <v>7.7</v>
      </c>
    </row>
    <row r="85" spans="1:14" hidden="1" outlineLevel="1" x14ac:dyDescent="0.2">
      <c r="A85" s="9" t="s">
        <v>145</v>
      </c>
      <c r="B85" s="1" t="s">
        <v>146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hidden="1" outlineLevel="1" x14ac:dyDescent="0.2">
      <c r="A86" s="9" t="s">
        <v>149</v>
      </c>
      <c r="B86" s="1" t="s">
        <v>150</v>
      </c>
      <c r="C86" s="10">
        <v>0</v>
      </c>
      <c r="D86" s="10">
        <v>0</v>
      </c>
      <c r="E86" s="10">
        <v>0</v>
      </c>
      <c r="F86" s="10">
        <v>6.3</v>
      </c>
      <c r="G86" s="10">
        <v>0</v>
      </c>
      <c r="H86" s="10">
        <v>0</v>
      </c>
      <c r="I86" s="10">
        <v>0</v>
      </c>
      <c r="J86" s="10">
        <v>0</v>
      </c>
      <c r="K86" s="10">
        <v>0</v>
      </c>
      <c r="L86" s="10">
        <v>0</v>
      </c>
      <c r="M86" s="10">
        <v>0</v>
      </c>
      <c r="N86" s="10">
        <v>0</v>
      </c>
    </row>
    <row r="87" spans="1:14" hidden="1" outlineLevel="1" x14ac:dyDescent="0.2">
      <c r="A87" s="9" t="s">
        <v>151</v>
      </c>
      <c r="B87" s="1" t="s">
        <v>152</v>
      </c>
      <c r="C87" s="10">
        <v>0</v>
      </c>
      <c r="D87" s="10">
        <v>0</v>
      </c>
      <c r="E87" s="10">
        <v>0</v>
      </c>
      <c r="F87" s="10">
        <v>0.8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</row>
    <row r="88" spans="1:14" hidden="1" outlineLevel="1" x14ac:dyDescent="0.2">
      <c r="A88" s="9" t="s">
        <v>355</v>
      </c>
      <c r="B88" s="1" t="s">
        <v>356</v>
      </c>
      <c r="C88" s="10">
        <v>0</v>
      </c>
      <c r="D88" s="10">
        <v>8.5</v>
      </c>
      <c r="E88" s="10">
        <v>4.2</v>
      </c>
      <c r="F88" s="10">
        <v>4.2</v>
      </c>
      <c r="G88" s="10">
        <v>4.3</v>
      </c>
      <c r="H88" s="10">
        <v>5</v>
      </c>
      <c r="I88" s="10">
        <v>4.4000000000000004</v>
      </c>
      <c r="J88" s="10">
        <v>8.5</v>
      </c>
      <c r="K88" s="10">
        <v>4.2</v>
      </c>
      <c r="L88" s="10">
        <v>4.2</v>
      </c>
      <c r="M88" s="10">
        <v>4.3</v>
      </c>
      <c r="N88" s="10">
        <v>5</v>
      </c>
    </row>
    <row r="89" spans="1:14" hidden="1" outlineLevel="1" x14ac:dyDescent="0.2">
      <c r="A89" s="9" t="s">
        <v>153</v>
      </c>
      <c r="B89" s="1" t="s">
        <v>154</v>
      </c>
      <c r="C89" s="10">
        <v>0</v>
      </c>
      <c r="D89" s="10">
        <v>0</v>
      </c>
      <c r="E89" s="10">
        <v>0</v>
      </c>
      <c r="F89" s="10">
        <v>1.8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</v>
      </c>
      <c r="M89" s="10">
        <v>0</v>
      </c>
      <c r="N89" s="10">
        <v>0</v>
      </c>
    </row>
    <row r="90" spans="1:14" hidden="1" outlineLevel="1" x14ac:dyDescent="0.2">
      <c r="A90" s="9" t="s">
        <v>155</v>
      </c>
      <c r="B90" s="1" t="s">
        <v>156</v>
      </c>
      <c r="C90" s="10">
        <v>-0.2</v>
      </c>
      <c r="D90" s="10">
        <v>0.1</v>
      </c>
      <c r="E90" s="10">
        <v>0</v>
      </c>
      <c r="F90" s="10">
        <v>2</v>
      </c>
      <c r="G90" s="10">
        <v>0</v>
      </c>
      <c r="H90" s="10">
        <v>0</v>
      </c>
      <c r="I90" s="10">
        <v>2.7</v>
      </c>
      <c r="J90" s="10">
        <v>2.7</v>
      </c>
      <c r="K90" s="10">
        <v>2.7</v>
      </c>
      <c r="L90" s="10">
        <v>2.7</v>
      </c>
      <c r="M90" s="10">
        <v>2.7</v>
      </c>
      <c r="N90" s="10">
        <v>2.7</v>
      </c>
    </row>
    <row r="91" spans="1:14" collapsed="1" x14ac:dyDescent="0.2">
      <c r="A91" s="9" t="s">
        <v>157</v>
      </c>
      <c r="B91" s="1" t="s">
        <v>158</v>
      </c>
      <c r="C91" s="28">
        <f t="shared" ref="C91:I91" si="52">+C92</f>
        <v>-6</v>
      </c>
      <c r="D91" s="28">
        <f t="shared" si="52"/>
        <v>4.8</v>
      </c>
      <c r="E91" s="28">
        <f t="shared" si="52"/>
        <v>0.3</v>
      </c>
      <c r="F91" s="28">
        <f t="shared" si="52"/>
        <v>-2.4</v>
      </c>
      <c r="G91" s="28">
        <f t="shared" si="52"/>
        <v>-2.1</v>
      </c>
      <c r="H91" s="28">
        <f t="shared" si="52"/>
        <v>0.1</v>
      </c>
      <c r="I91" s="28">
        <f t="shared" si="52"/>
        <v>-0.4</v>
      </c>
      <c r="J91" s="28">
        <f>+J92</f>
        <v>-2.4</v>
      </c>
      <c r="K91" s="28">
        <f t="shared" ref="K91:N91" si="53">+K92</f>
        <v>-2.1</v>
      </c>
      <c r="L91" s="28">
        <f t="shared" si="53"/>
        <v>-2.4</v>
      </c>
      <c r="M91" s="28">
        <f t="shared" si="53"/>
        <v>-2.1</v>
      </c>
      <c r="N91" s="28">
        <f t="shared" si="53"/>
        <v>0.1</v>
      </c>
    </row>
    <row r="92" spans="1:14" hidden="1" outlineLevel="1" x14ac:dyDescent="0.2">
      <c r="A92" s="9" t="s">
        <v>159</v>
      </c>
      <c r="B92" s="1" t="s">
        <v>160</v>
      </c>
      <c r="C92" s="10">
        <v>-6</v>
      </c>
      <c r="D92" s="10">
        <v>4.8</v>
      </c>
      <c r="E92" s="10">
        <v>0.3</v>
      </c>
      <c r="F92" s="10">
        <v>-2.4</v>
      </c>
      <c r="G92" s="10">
        <v>-2.1</v>
      </c>
      <c r="H92" s="10">
        <v>0.1</v>
      </c>
      <c r="I92" s="10">
        <v>-0.4</v>
      </c>
      <c r="J92" s="10">
        <v>-2.4</v>
      </c>
      <c r="K92" s="10">
        <v>-2.1</v>
      </c>
      <c r="L92" s="10">
        <v>-2.4</v>
      </c>
      <c r="M92" s="10">
        <v>-2.1</v>
      </c>
      <c r="N92" s="10">
        <v>0.1</v>
      </c>
    </row>
    <row r="93" spans="1:14" collapsed="1" x14ac:dyDescent="0.2">
      <c r="A93" s="3"/>
      <c r="B93" s="3" t="s">
        <v>165</v>
      </c>
      <c r="C93" s="30">
        <f t="shared" ref="C93:I93" si="54">+C32+C52+C58+C61+C66+C75+C81+C82+C84+C91</f>
        <v>77.59999999999998</v>
      </c>
      <c r="D93" s="30">
        <f t="shared" si="54"/>
        <v>104.99999999999999</v>
      </c>
      <c r="E93" s="30">
        <f t="shared" si="54"/>
        <v>107.39999999999999</v>
      </c>
      <c r="F93" s="30">
        <f t="shared" si="54"/>
        <v>119.19999999999999</v>
      </c>
      <c r="G93" s="30">
        <f t="shared" si="54"/>
        <v>95.399999999999991</v>
      </c>
      <c r="H93" s="30">
        <f t="shared" si="54"/>
        <v>104.2</v>
      </c>
      <c r="I93" s="30">
        <f t="shared" si="54"/>
        <v>110.59999999999998</v>
      </c>
      <c r="J93" s="30">
        <f>+J32+J52+J58+J61+J66+J75+J81+J82+J84+J91</f>
        <v>115.2</v>
      </c>
      <c r="K93" s="30">
        <f t="shared" ref="K93:N93" si="55">+K32+K52+K58+K61+K66+K75+K81+K82+K84+K91</f>
        <v>106.40000000000002</v>
      </c>
      <c r="L93" s="30">
        <f t="shared" si="55"/>
        <v>108.1</v>
      </c>
      <c r="M93" s="30">
        <f t="shared" si="55"/>
        <v>113.00000000000001</v>
      </c>
      <c r="N93" s="30">
        <f t="shared" si="55"/>
        <v>109</v>
      </c>
    </row>
    <row r="94" spans="1:14" x14ac:dyDescent="0.2">
      <c r="A94" s="12"/>
      <c r="B94" s="12" t="s">
        <v>166</v>
      </c>
      <c r="C94" s="29">
        <f t="shared" ref="C94:I94" si="56">+C30-C93</f>
        <v>90.700000000000031</v>
      </c>
      <c r="D94" s="29">
        <f t="shared" si="56"/>
        <v>54.40000000000002</v>
      </c>
      <c r="E94" s="29">
        <f t="shared" si="56"/>
        <v>18.800000000000026</v>
      </c>
      <c r="F94" s="29">
        <f t="shared" si="56"/>
        <v>3.6000000000000085</v>
      </c>
      <c r="G94" s="29">
        <f t="shared" si="56"/>
        <v>38.799999999999997</v>
      </c>
      <c r="H94" s="29">
        <f t="shared" si="56"/>
        <v>17.399999999999991</v>
      </c>
      <c r="I94" s="29">
        <f t="shared" si="56"/>
        <v>15.700000000000017</v>
      </c>
      <c r="J94" s="29">
        <f>+J30-J93</f>
        <v>42.600000000000009</v>
      </c>
      <c r="K94" s="29">
        <f t="shared" ref="K94:N94" si="57">+K30-K93</f>
        <v>62.199999999999974</v>
      </c>
      <c r="L94" s="29">
        <f t="shared" si="57"/>
        <v>47.900000000000006</v>
      </c>
      <c r="M94" s="29">
        <f t="shared" si="57"/>
        <v>21.59999999999998</v>
      </c>
      <c r="N94" s="29">
        <f t="shared" si="57"/>
        <v>120</v>
      </c>
    </row>
    <row r="95" spans="1:14" x14ac:dyDescent="0.2">
      <c r="A95" s="9" t="s">
        <v>167</v>
      </c>
      <c r="B95" s="1" t="s">
        <v>168</v>
      </c>
      <c r="C95" s="28">
        <f t="shared" ref="C95:I95" si="58">SUM(C96:C109)</f>
        <v>27.700000000000003</v>
      </c>
      <c r="D95" s="28">
        <f t="shared" si="58"/>
        <v>30.7</v>
      </c>
      <c r="E95" s="28">
        <f t="shared" si="58"/>
        <v>28.599999999999998</v>
      </c>
      <c r="F95" s="28">
        <f t="shared" si="58"/>
        <v>21.9</v>
      </c>
      <c r="G95" s="28">
        <f t="shared" si="58"/>
        <v>22.000000000000004</v>
      </c>
      <c r="H95" s="28">
        <f t="shared" si="58"/>
        <v>20.200000000000003</v>
      </c>
      <c r="I95" s="28">
        <f t="shared" si="58"/>
        <v>9</v>
      </c>
      <c r="J95" s="28">
        <f>SUM(J96:J109)</f>
        <v>28.599999999999998</v>
      </c>
      <c r="K95" s="28">
        <f t="shared" ref="K95:N95" si="59">SUM(K96:K109)</f>
        <v>21.9</v>
      </c>
      <c r="L95" s="28">
        <f t="shared" si="59"/>
        <v>22.000000000000004</v>
      </c>
      <c r="M95" s="28">
        <f t="shared" si="59"/>
        <v>20.200000000000003</v>
      </c>
      <c r="N95" s="28">
        <f t="shared" si="59"/>
        <v>9</v>
      </c>
    </row>
    <row r="96" spans="1:14" hidden="1" outlineLevel="1" x14ac:dyDescent="0.2">
      <c r="A96" s="9" t="s">
        <v>169</v>
      </c>
      <c r="B96" s="1" t="s">
        <v>170</v>
      </c>
      <c r="C96" s="10">
        <v>1.1000000000000001</v>
      </c>
      <c r="D96" s="10">
        <v>1.1000000000000001</v>
      </c>
      <c r="E96" s="10">
        <v>1.1000000000000001</v>
      </c>
      <c r="F96" s="10">
        <v>0.5</v>
      </c>
      <c r="G96" s="10">
        <v>0.5</v>
      </c>
      <c r="H96" s="10">
        <v>0.5</v>
      </c>
      <c r="I96" s="10">
        <v>0</v>
      </c>
      <c r="J96" s="10">
        <v>1.1000000000000001</v>
      </c>
      <c r="K96" s="10">
        <v>0.5</v>
      </c>
      <c r="L96" s="10">
        <v>0.5</v>
      </c>
      <c r="M96" s="10">
        <v>0.5</v>
      </c>
      <c r="N96" s="10">
        <v>0</v>
      </c>
    </row>
    <row r="97" spans="1:14" hidden="1" outlineLevel="1" x14ac:dyDescent="0.2">
      <c r="A97" s="9" t="s">
        <v>171</v>
      </c>
      <c r="B97" s="1" t="s">
        <v>172</v>
      </c>
      <c r="C97" s="10">
        <v>6.6</v>
      </c>
      <c r="D97" s="10">
        <v>4.4000000000000004</v>
      </c>
      <c r="E97" s="10">
        <v>3.5</v>
      </c>
      <c r="F97" s="10">
        <v>4.4000000000000004</v>
      </c>
      <c r="G97" s="10">
        <v>0.5</v>
      </c>
      <c r="H97" s="10">
        <v>0.7</v>
      </c>
      <c r="I97" s="10">
        <v>0</v>
      </c>
      <c r="J97" s="10">
        <v>3.5</v>
      </c>
      <c r="K97" s="10">
        <v>4.4000000000000004</v>
      </c>
      <c r="L97" s="10">
        <v>0.5</v>
      </c>
      <c r="M97" s="10">
        <v>0.7</v>
      </c>
      <c r="N97" s="10">
        <v>0</v>
      </c>
    </row>
    <row r="98" spans="1:14" hidden="1" outlineLevel="1" x14ac:dyDescent="0.2">
      <c r="A98" s="9" t="s">
        <v>175</v>
      </c>
      <c r="B98" s="1" t="s">
        <v>176</v>
      </c>
      <c r="C98" s="10">
        <v>9.3000000000000007</v>
      </c>
      <c r="D98" s="10">
        <v>11.8</v>
      </c>
      <c r="E98" s="10">
        <v>12.6</v>
      </c>
      <c r="F98" s="10">
        <v>5.9</v>
      </c>
      <c r="G98" s="10">
        <v>8.8000000000000007</v>
      </c>
      <c r="H98" s="10">
        <v>7.7</v>
      </c>
      <c r="I98" s="10">
        <v>0</v>
      </c>
      <c r="J98" s="10">
        <v>12.6</v>
      </c>
      <c r="K98" s="10">
        <v>5.9</v>
      </c>
      <c r="L98" s="10">
        <v>8.8000000000000007</v>
      </c>
      <c r="M98" s="10">
        <v>7.7</v>
      </c>
      <c r="N98" s="10">
        <v>0</v>
      </c>
    </row>
    <row r="99" spans="1:14" hidden="1" outlineLevel="1" x14ac:dyDescent="0.2">
      <c r="A99" s="9" t="s">
        <v>177</v>
      </c>
      <c r="B99" s="1" t="s">
        <v>178</v>
      </c>
      <c r="C99" s="10">
        <v>1.1000000000000001</v>
      </c>
      <c r="D99" s="10">
        <v>1.2</v>
      </c>
      <c r="E99" s="10">
        <v>1.2</v>
      </c>
      <c r="F99" s="10">
        <v>0.5</v>
      </c>
      <c r="G99" s="10">
        <v>0.7</v>
      </c>
      <c r="H99" s="10">
        <v>0.6</v>
      </c>
      <c r="I99" s="10">
        <v>0</v>
      </c>
      <c r="J99" s="10">
        <v>1.2</v>
      </c>
      <c r="K99" s="10">
        <v>0.5</v>
      </c>
      <c r="L99" s="10">
        <v>0.7</v>
      </c>
      <c r="M99" s="10">
        <v>0.6</v>
      </c>
      <c r="N99" s="10">
        <v>0</v>
      </c>
    </row>
    <row r="100" spans="1:14" hidden="1" outlineLevel="1" x14ac:dyDescent="0.2">
      <c r="A100" s="9" t="s">
        <v>181</v>
      </c>
      <c r="B100" s="1" t="s">
        <v>182</v>
      </c>
      <c r="C100" s="10">
        <v>5.6</v>
      </c>
      <c r="D100" s="10">
        <v>6.7</v>
      </c>
      <c r="E100" s="10">
        <v>4.0999999999999996</v>
      </c>
      <c r="F100" s="10">
        <v>3.1</v>
      </c>
      <c r="G100" s="10">
        <v>3.8</v>
      </c>
      <c r="H100" s="10">
        <v>3.6</v>
      </c>
      <c r="I100" s="10">
        <v>2.9</v>
      </c>
      <c r="J100" s="10">
        <v>4.0999999999999996</v>
      </c>
      <c r="K100" s="10">
        <v>3.1</v>
      </c>
      <c r="L100" s="10">
        <v>3.8</v>
      </c>
      <c r="M100" s="10">
        <v>3.6</v>
      </c>
      <c r="N100" s="10">
        <v>2.9</v>
      </c>
    </row>
    <row r="101" spans="1:14" hidden="1" outlineLevel="1" x14ac:dyDescent="0.2">
      <c r="A101" s="9" t="s">
        <v>183</v>
      </c>
      <c r="B101" s="1" t="s">
        <v>184</v>
      </c>
      <c r="C101" s="10">
        <v>0</v>
      </c>
      <c r="D101" s="10">
        <v>0.2</v>
      </c>
      <c r="E101" s="10">
        <v>1.4</v>
      </c>
      <c r="F101" s="10">
        <v>2.7</v>
      </c>
      <c r="G101" s="10">
        <v>3.5</v>
      </c>
      <c r="H101" s="10">
        <v>1.8</v>
      </c>
      <c r="I101" s="10">
        <v>1</v>
      </c>
      <c r="J101" s="10">
        <v>1.4</v>
      </c>
      <c r="K101" s="10">
        <v>2.7</v>
      </c>
      <c r="L101" s="10">
        <v>3.5</v>
      </c>
      <c r="M101" s="10">
        <v>1.8</v>
      </c>
      <c r="N101" s="10">
        <v>1</v>
      </c>
    </row>
    <row r="102" spans="1:14" hidden="1" outlineLevel="1" x14ac:dyDescent="0.2">
      <c r="A102" s="9" t="s">
        <v>185</v>
      </c>
      <c r="B102" s="1" t="s">
        <v>186</v>
      </c>
      <c r="C102" s="10">
        <v>0.7</v>
      </c>
      <c r="D102" s="10">
        <v>0.6</v>
      </c>
      <c r="E102" s="10">
        <v>1</v>
      </c>
      <c r="F102" s="10">
        <v>0.9</v>
      </c>
      <c r="G102" s="10">
        <v>1.1000000000000001</v>
      </c>
      <c r="H102" s="10">
        <v>0.8</v>
      </c>
      <c r="I102" s="10">
        <v>1.5</v>
      </c>
      <c r="J102" s="10">
        <v>1</v>
      </c>
      <c r="K102" s="10">
        <v>0.9</v>
      </c>
      <c r="L102" s="10">
        <v>1.1000000000000001</v>
      </c>
      <c r="M102" s="10">
        <v>0.8</v>
      </c>
      <c r="N102" s="10">
        <v>1.5</v>
      </c>
    </row>
    <row r="103" spans="1:14" hidden="1" outlineLevel="1" x14ac:dyDescent="0.2">
      <c r="A103" s="9" t="s">
        <v>187</v>
      </c>
      <c r="B103" s="1" t="s">
        <v>184</v>
      </c>
      <c r="C103" s="10">
        <v>0.1</v>
      </c>
      <c r="D103" s="10">
        <v>0.1</v>
      </c>
      <c r="E103" s="10">
        <v>0.1</v>
      </c>
      <c r="F103" s="10">
        <v>0.1</v>
      </c>
      <c r="G103" s="10">
        <v>0.1</v>
      </c>
      <c r="H103" s="10">
        <v>0.1</v>
      </c>
      <c r="I103" s="10">
        <v>0.1</v>
      </c>
      <c r="J103" s="10">
        <v>0.1</v>
      </c>
      <c r="K103" s="10">
        <v>0.1</v>
      </c>
      <c r="L103" s="10">
        <v>0.1</v>
      </c>
      <c r="M103" s="10">
        <v>0.1</v>
      </c>
      <c r="N103" s="10">
        <v>0.1</v>
      </c>
    </row>
    <row r="104" spans="1:14" hidden="1" outlineLevel="1" x14ac:dyDescent="0.2">
      <c r="A104" s="9" t="s">
        <v>188</v>
      </c>
      <c r="B104" s="1" t="s">
        <v>189</v>
      </c>
      <c r="C104" s="10">
        <v>1</v>
      </c>
      <c r="D104" s="10">
        <v>1.1000000000000001</v>
      </c>
      <c r="E104" s="10">
        <v>1.4</v>
      </c>
      <c r="F104" s="10">
        <v>1.4</v>
      </c>
      <c r="G104" s="10">
        <v>0.7</v>
      </c>
      <c r="H104" s="10">
        <v>1.5</v>
      </c>
      <c r="I104" s="10">
        <v>0.9</v>
      </c>
      <c r="J104" s="10">
        <v>1.4</v>
      </c>
      <c r="K104" s="10">
        <v>1.4</v>
      </c>
      <c r="L104" s="10">
        <v>0.7</v>
      </c>
      <c r="M104" s="10">
        <v>1.5</v>
      </c>
      <c r="N104" s="10">
        <v>0.9</v>
      </c>
    </row>
    <row r="105" spans="1:14" hidden="1" outlineLevel="1" x14ac:dyDescent="0.2">
      <c r="A105" s="9" t="s">
        <v>190</v>
      </c>
      <c r="B105" s="1" t="s">
        <v>191</v>
      </c>
      <c r="C105" s="10">
        <v>0.4</v>
      </c>
      <c r="D105" s="10">
        <v>0.4</v>
      </c>
      <c r="E105" s="10">
        <v>0.6</v>
      </c>
      <c r="F105" s="10">
        <v>0.6</v>
      </c>
      <c r="G105" s="10">
        <v>0.3</v>
      </c>
      <c r="H105" s="10">
        <v>1.1000000000000001</v>
      </c>
      <c r="I105" s="10">
        <v>0.6</v>
      </c>
      <c r="J105" s="10">
        <v>0.6</v>
      </c>
      <c r="K105" s="10">
        <v>0.6</v>
      </c>
      <c r="L105" s="10">
        <v>0.3</v>
      </c>
      <c r="M105" s="10">
        <v>1.1000000000000001</v>
      </c>
      <c r="N105" s="10">
        <v>0.6</v>
      </c>
    </row>
    <row r="106" spans="1:14" hidden="1" outlineLevel="1" x14ac:dyDescent="0.2">
      <c r="A106" s="9" t="s">
        <v>192</v>
      </c>
      <c r="B106" s="1" t="s">
        <v>193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</row>
    <row r="107" spans="1:14" hidden="1" outlineLevel="1" x14ac:dyDescent="0.2">
      <c r="A107" s="9" t="s">
        <v>194</v>
      </c>
      <c r="B107" s="1" t="s">
        <v>195</v>
      </c>
      <c r="C107" s="10">
        <v>1.1000000000000001</v>
      </c>
      <c r="D107" s="10">
        <v>2.4</v>
      </c>
      <c r="E107" s="10">
        <v>0.9</v>
      </c>
      <c r="F107" s="10">
        <v>0.9</v>
      </c>
      <c r="G107" s="10">
        <v>1.1000000000000001</v>
      </c>
      <c r="H107" s="10">
        <v>1.2</v>
      </c>
      <c r="I107" s="10">
        <v>1.1000000000000001</v>
      </c>
      <c r="J107" s="10">
        <v>0.9</v>
      </c>
      <c r="K107" s="10">
        <v>0.9</v>
      </c>
      <c r="L107" s="10">
        <v>1.1000000000000001</v>
      </c>
      <c r="M107" s="10">
        <v>1.2</v>
      </c>
      <c r="N107" s="10">
        <v>1.1000000000000001</v>
      </c>
    </row>
    <row r="108" spans="1:14" hidden="1" outlineLevel="1" x14ac:dyDescent="0.2">
      <c r="A108" s="9" t="s">
        <v>196</v>
      </c>
      <c r="B108" s="1" t="s">
        <v>197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</row>
    <row r="109" spans="1:14" hidden="1" outlineLevel="1" x14ac:dyDescent="0.2">
      <c r="A109" s="9" t="s">
        <v>198</v>
      </c>
      <c r="B109" s="1" t="s">
        <v>199</v>
      </c>
      <c r="C109" s="10">
        <v>0.7</v>
      </c>
      <c r="D109" s="10">
        <v>0.7</v>
      </c>
      <c r="E109" s="10">
        <v>0.7</v>
      </c>
      <c r="F109" s="10">
        <v>0.9</v>
      </c>
      <c r="G109" s="10">
        <v>0.9</v>
      </c>
      <c r="H109" s="10">
        <v>0.6</v>
      </c>
      <c r="I109" s="10">
        <v>0.9</v>
      </c>
      <c r="J109" s="10">
        <v>0.7</v>
      </c>
      <c r="K109" s="10">
        <v>0.9</v>
      </c>
      <c r="L109" s="10">
        <v>0.9</v>
      </c>
      <c r="M109" s="10">
        <v>0.6</v>
      </c>
      <c r="N109" s="10">
        <v>0.9</v>
      </c>
    </row>
    <row r="110" spans="1:14" collapsed="1" x14ac:dyDescent="0.2">
      <c r="A110" s="9" t="s">
        <v>200</v>
      </c>
      <c r="B110" s="1" t="s">
        <v>201</v>
      </c>
      <c r="C110" s="28">
        <f t="shared" ref="C110:I110" si="60">SUM(C111:C120)</f>
        <v>2.9</v>
      </c>
      <c r="D110" s="28">
        <f t="shared" si="60"/>
        <v>2.5</v>
      </c>
      <c r="E110" s="28">
        <f t="shared" si="60"/>
        <v>3.1</v>
      </c>
      <c r="F110" s="28">
        <f t="shared" si="60"/>
        <v>2.1</v>
      </c>
      <c r="G110" s="28">
        <f t="shared" si="60"/>
        <v>1.9000000000000001</v>
      </c>
      <c r="H110" s="28">
        <f t="shared" si="60"/>
        <v>1.9000000000000001</v>
      </c>
      <c r="I110" s="28">
        <f t="shared" si="60"/>
        <v>1.1000000000000001</v>
      </c>
      <c r="J110" s="28">
        <f>SUM(J111:J120)</f>
        <v>3.1</v>
      </c>
      <c r="K110" s="28">
        <f t="shared" ref="K110:N110" si="61">SUM(K111:K120)</f>
        <v>2.1</v>
      </c>
      <c r="L110" s="28">
        <f t="shared" si="61"/>
        <v>1.9000000000000001</v>
      </c>
      <c r="M110" s="28">
        <f t="shared" si="61"/>
        <v>1.9000000000000001</v>
      </c>
      <c r="N110" s="28">
        <f t="shared" si="61"/>
        <v>1.1000000000000001</v>
      </c>
    </row>
    <row r="111" spans="1:14" hidden="1" outlineLevel="1" x14ac:dyDescent="0.2">
      <c r="A111" s="9" t="s">
        <v>202</v>
      </c>
      <c r="B111" s="1" t="s">
        <v>203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  <c r="M111" s="10">
        <v>0</v>
      </c>
      <c r="N111" s="10">
        <v>0</v>
      </c>
    </row>
    <row r="112" spans="1:14" hidden="1" outlineLevel="1" x14ac:dyDescent="0.2">
      <c r="A112" s="9" t="s">
        <v>204</v>
      </c>
      <c r="B112" s="1" t="s">
        <v>205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  <c r="M112" s="10">
        <v>0</v>
      </c>
      <c r="N112" s="10">
        <v>0</v>
      </c>
    </row>
    <row r="113" spans="1:14" hidden="1" outlineLevel="1" x14ac:dyDescent="0.2">
      <c r="A113" s="9" t="s">
        <v>206</v>
      </c>
      <c r="B113" s="1" t="s">
        <v>207</v>
      </c>
      <c r="C113" s="10">
        <v>0.1</v>
      </c>
      <c r="D113" s="10">
        <v>0.1</v>
      </c>
      <c r="E113" s="10">
        <v>0.1</v>
      </c>
      <c r="F113" s="10">
        <v>0.1</v>
      </c>
      <c r="G113" s="10">
        <v>0.1</v>
      </c>
      <c r="H113" s="10">
        <v>0.1</v>
      </c>
      <c r="I113" s="10">
        <v>0.1</v>
      </c>
      <c r="J113" s="10">
        <v>0.1</v>
      </c>
      <c r="K113" s="10">
        <v>0.1</v>
      </c>
      <c r="L113" s="10">
        <v>0.1</v>
      </c>
      <c r="M113" s="10">
        <v>0.1</v>
      </c>
      <c r="N113" s="10">
        <v>0.1</v>
      </c>
    </row>
    <row r="114" spans="1:14" hidden="1" outlineLevel="1" x14ac:dyDescent="0.2">
      <c r="A114" s="9" t="s">
        <v>208</v>
      </c>
      <c r="B114" s="1" t="s">
        <v>209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0</v>
      </c>
      <c r="J114" s="10">
        <v>0</v>
      </c>
      <c r="K114" s="10">
        <v>0</v>
      </c>
      <c r="L114" s="10">
        <v>0</v>
      </c>
      <c r="M114" s="10">
        <v>0</v>
      </c>
      <c r="N114" s="10">
        <v>0</v>
      </c>
    </row>
    <row r="115" spans="1:14" hidden="1" outlineLevel="1" x14ac:dyDescent="0.2">
      <c r="A115" s="9" t="s">
        <v>210</v>
      </c>
      <c r="B115" s="1" t="s">
        <v>211</v>
      </c>
      <c r="C115" s="10">
        <v>0.3</v>
      </c>
      <c r="D115" s="10">
        <v>0.3</v>
      </c>
      <c r="E115" s="10">
        <v>0.3</v>
      </c>
      <c r="F115" s="10">
        <v>0.3</v>
      </c>
      <c r="G115" s="10">
        <v>0.3</v>
      </c>
      <c r="H115" s="10">
        <v>0.3</v>
      </c>
      <c r="I115" s="10">
        <v>0.3</v>
      </c>
      <c r="J115" s="10">
        <v>0.3</v>
      </c>
      <c r="K115" s="10">
        <v>0.3</v>
      </c>
      <c r="L115" s="10">
        <v>0.3</v>
      </c>
      <c r="M115" s="10">
        <v>0.3</v>
      </c>
      <c r="N115" s="10">
        <v>0.3</v>
      </c>
    </row>
    <row r="116" spans="1:14" hidden="1" outlineLevel="1" x14ac:dyDescent="0.2">
      <c r="A116" s="9" t="s">
        <v>212</v>
      </c>
      <c r="B116" s="1" t="s">
        <v>213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0</v>
      </c>
      <c r="J116" s="10">
        <v>0</v>
      </c>
      <c r="K116" s="10">
        <v>0</v>
      </c>
      <c r="L116" s="10">
        <v>0</v>
      </c>
      <c r="M116" s="10">
        <v>0</v>
      </c>
      <c r="N116" s="10">
        <v>0</v>
      </c>
    </row>
    <row r="117" spans="1:14" hidden="1" outlineLevel="1" x14ac:dyDescent="0.2">
      <c r="A117" s="9" t="s">
        <v>214</v>
      </c>
      <c r="B117" s="1" t="s">
        <v>215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0</v>
      </c>
      <c r="K117" s="10">
        <v>0</v>
      </c>
      <c r="L117" s="10">
        <v>0</v>
      </c>
      <c r="M117" s="10">
        <v>0</v>
      </c>
      <c r="N117" s="10">
        <v>0</v>
      </c>
    </row>
    <row r="118" spans="1:14" hidden="1" outlineLevel="1" x14ac:dyDescent="0.2">
      <c r="A118" s="9" t="s">
        <v>216</v>
      </c>
      <c r="B118" s="1" t="s">
        <v>217</v>
      </c>
      <c r="C118" s="10">
        <v>1</v>
      </c>
      <c r="D118" s="10">
        <v>0.4</v>
      </c>
      <c r="E118" s="10">
        <v>1.1000000000000001</v>
      </c>
      <c r="F118" s="10">
        <v>1.1000000000000001</v>
      </c>
      <c r="G118" s="10">
        <v>0.8</v>
      </c>
      <c r="H118" s="10">
        <v>0.8</v>
      </c>
      <c r="I118" s="10">
        <v>0.7</v>
      </c>
      <c r="J118" s="10">
        <v>1.1000000000000001</v>
      </c>
      <c r="K118" s="10">
        <v>1.1000000000000001</v>
      </c>
      <c r="L118" s="10">
        <v>0.8</v>
      </c>
      <c r="M118" s="10">
        <v>0.8</v>
      </c>
      <c r="N118" s="10">
        <v>0.7</v>
      </c>
    </row>
    <row r="119" spans="1:14" hidden="1" outlineLevel="1" x14ac:dyDescent="0.2">
      <c r="A119" s="9" t="s">
        <v>218</v>
      </c>
      <c r="B119" s="1" t="s">
        <v>219</v>
      </c>
      <c r="C119" s="10">
        <v>1.5</v>
      </c>
      <c r="D119" s="10">
        <v>1.7</v>
      </c>
      <c r="E119" s="10">
        <v>1.6</v>
      </c>
      <c r="F119" s="10">
        <v>0.6</v>
      </c>
      <c r="G119" s="10">
        <v>0.7</v>
      </c>
      <c r="H119" s="10">
        <v>0.7</v>
      </c>
      <c r="I119" s="10">
        <v>0</v>
      </c>
      <c r="J119" s="10">
        <v>1.6</v>
      </c>
      <c r="K119" s="10">
        <v>0.6</v>
      </c>
      <c r="L119" s="10">
        <v>0.7</v>
      </c>
      <c r="M119" s="10">
        <v>0.7</v>
      </c>
      <c r="N119" s="10">
        <v>0</v>
      </c>
    </row>
    <row r="120" spans="1:14" hidden="1" outlineLevel="1" x14ac:dyDescent="0.2">
      <c r="A120" s="9" t="s">
        <v>220</v>
      </c>
      <c r="B120" s="1" t="s">
        <v>221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10">
        <v>0</v>
      </c>
      <c r="K120" s="10">
        <v>0</v>
      </c>
      <c r="L120" s="10">
        <v>0</v>
      </c>
      <c r="M120" s="10">
        <v>0</v>
      </c>
      <c r="N120" s="10">
        <v>0</v>
      </c>
    </row>
    <row r="121" spans="1:14" collapsed="1" x14ac:dyDescent="0.2">
      <c r="A121" s="9" t="s">
        <v>226</v>
      </c>
      <c r="B121" s="1" t="s">
        <v>227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  <c r="I121" s="10">
        <v>0</v>
      </c>
      <c r="J121" s="28">
        <v>0</v>
      </c>
      <c r="K121" s="28">
        <v>0</v>
      </c>
      <c r="L121" s="28">
        <v>0</v>
      </c>
      <c r="M121" s="28">
        <v>0</v>
      </c>
      <c r="N121" s="28">
        <v>0</v>
      </c>
    </row>
    <row r="122" spans="1:14" x14ac:dyDescent="0.2">
      <c r="A122" s="9" t="s">
        <v>228</v>
      </c>
      <c r="B122" s="1" t="s">
        <v>229</v>
      </c>
      <c r="C122" s="10">
        <v>0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0</v>
      </c>
      <c r="J122" s="28">
        <v>0</v>
      </c>
      <c r="K122" s="28">
        <v>0</v>
      </c>
      <c r="L122" s="28">
        <v>0</v>
      </c>
      <c r="M122" s="28">
        <v>0</v>
      </c>
      <c r="N122" s="28">
        <v>0</v>
      </c>
    </row>
    <row r="123" spans="1:14" x14ac:dyDescent="0.2">
      <c r="A123" s="9" t="s">
        <v>230</v>
      </c>
      <c r="B123" s="1" t="s">
        <v>231</v>
      </c>
      <c r="C123" s="28">
        <f t="shared" ref="C123:I123" si="62">+C124+C125</f>
        <v>7.8</v>
      </c>
      <c r="D123" s="28">
        <f t="shared" si="62"/>
        <v>7.8</v>
      </c>
      <c r="E123" s="28">
        <f t="shared" si="62"/>
        <v>2.8</v>
      </c>
      <c r="F123" s="28">
        <f t="shared" si="62"/>
        <v>2.9</v>
      </c>
      <c r="G123" s="28">
        <f t="shared" si="62"/>
        <v>3.2</v>
      </c>
      <c r="H123" s="28">
        <f t="shared" si="62"/>
        <v>3.7</v>
      </c>
      <c r="I123" s="28">
        <f t="shared" si="62"/>
        <v>0</v>
      </c>
      <c r="J123" s="28">
        <f>+J124+J125</f>
        <v>7.8</v>
      </c>
      <c r="K123" s="28">
        <f t="shared" ref="K123:N123" si="63">+K124+K125</f>
        <v>2.8</v>
      </c>
      <c r="L123" s="28">
        <f t="shared" si="63"/>
        <v>2.9</v>
      </c>
      <c r="M123" s="28">
        <f t="shared" si="63"/>
        <v>3.5</v>
      </c>
      <c r="N123" s="28">
        <f t="shared" si="63"/>
        <v>3.7</v>
      </c>
    </row>
    <row r="124" spans="1:14" hidden="1" outlineLevel="1" x14ac:dyDescent="0.2">
      <c r="A124" s="9" t="s">
        <v>232</v>
      </c>
      <c r="B124" s="1" t="s">
        <v>233</v>
      </c>
      <c r="C124" s="10">
        <v>7.8</v>
      </c>
      <c r="D124" s="10">
        <v>7.8</v>
      </c>
      <c r="E124" s="10">
        <v>2.8</v>
      </c>
      <c r="F124" s="10">
        <v>2.9</v>
      </c>
      <c r="G124" s="10">
        <v>3.5</v>
      </c>
      <c r="H124" s="10">
        <v>3.7</v>
      </c>
      <c r="I124" s="10">
        <v>0</v>
      </c>
      <c r="J124" s="10">
        <v>7.8</v>
      </c>
      <c r="K124" s="10">
        <v>2.8</v>
      </c>
      <c r="L124" s="10">
        <v>2.9</v>
      </c>
      <c r="M124" s="10">
        <v>3.5</v>
      </c>
      <c r="N124" s="10">
        <v>3.7</v>
      </c>
    </row>
    <row r="125" spans="1:14" hidden="1" outlineLevel="1" x14ac:dyDescent="0.2">
      <c r="A125" s="9" t="s">
        <v>234</v>
      </c>
      <c r="B125" s="1" t="s">
        <v>235</v>
      </c>
      <c r="C125" s="10">
        <v>0</v>
      </c>
      <c r="D125" s="10">
        <v>0</v>
      </c>
      <c r="E125" s="10">
        <v>0</v>
      </c>
      <c r="F125" s="10">
        <v>0</v>
      </c>
      <c r="G125" s="10">
        <v>-0.3</v>
      </c>
      <c r="H125" s="10">
        <v>0</v>
      </c>
      <c r="I125" s="10">
        <v>0</v>
      </c>
      <c r="J125" s="10">
        <v>0</v>
      </c>
      <c r="K125" s="10">
        <v>0</v>
      </c>
      <c r="L125" s="10">
        <v>0</v>
      </c>
      <c r="M125" s="10">
        <v>0</v>
      </c>
      <c r="N125" s="10">
        <v>0</v>
      </c>
    </row>
    <row r="126" spans="1:14" collapsed="1" x14ac:dyDescent="0.2">
      <c r="A126" s="3"/>
      <c r="B126" s="3" t="s">
        <v>236</v>
      </c>
      <c r="C126" s="30">
        <f t="shared" ref="C126:I126" si="64">+C95+C110+C121+C122+C123</f>
        <v>38.4</v>
      </c>
      <c r="D126" s="30">
        <f t="shared" si="64"/>
        <v>41</v>
      </c>
      <c r="E126" s="30">
        <f t="shared" si="64"/>
        <v>34.5</v>
      </c>
      <c r="F126" s="30">
        <f t="shared" si="64"/>
        <v>26.9</v>
      </c>
      <c r="G126" s="30">
        <f t="shared" si="64"/>
        <v>27.1</v>
      </c>
      <c r="H126" s="30">
        <f t="shared" si="64"/>
        <v>25.8</v>
      </c>
      <c r="I126" s="30">
        <f t="shared" si="64"/>
        <v>10.1</v>
      </c>
      <c r="J126" s="30">
        <f>+J95+J110+J121+J122+J123</f>
        <v>39.5</v>
      </c>
      <c r="K126" s="30">
        <f t="shared" ref="K126:N126" si="65">+K95+K110+K121+K122+K123</f>
        <v>26.8</v>
      </c>
      <c r="L126" s="30">
        <f t="shared" si="65"/>
        <v>26.8</v>
      </c>
      <c r="M126" s="30">
        <f t="shared" si="65"/>
        <v>25.6</v>
      </c>
      <c r="N126" s="30">
        <f t="shared" si="65"/>
        <v>13.8</v>
      </c>
    </row>
    <row r="127" spans="1:14" x14ac:dyDescent="0.2">
      <c r="A127" s="12"/>
      <c r="B127" s="12" t="s">
        <v>237</v>
      </c>
      <c r="C127" s="29">
        <f t="shared" ref="C127:I127" si="66">+C94-C126</f>
        <v>52.300000000000033</v>
      </c>
      <c r="D127" s="29">
        <f t="shared" si="66"/>
        <v>13.40000000000002</v>
      </c>
      <c r="E127" s="29">
        <f t="shared" si="66"/>
        <v>-15.699999999999974</v>
      </c>
      <c r="F127" s="29">
        <f t="shared" si="66"/>
        <v>-23.29999999999999</v>
      </c>
      <c r="G127" s="29">
        <f t="shared" si="66"/>
        <v>11.699999999999996</v>
      </c>
      <c r="H127" s="29">
        <f t="shared" si="66"/>
        <v>-8.4000000000000092</v>
      </c>
      <c r="I127" s="29">
        <f t="shared" si="66"/>
        <v>5.6000000000000174</v>
      </c>
      <c r="J127" s="29">
        <f>+J94-J126</f>
        <v>3.1000000000000085</v>
      </c>
      <c r="K127" s="29">
        <f t="shared" ref="K127:N127" si="67">+K94-K126</f>
        <v>35.399999999999977</v>
      </c>
      <c r="L127" s="29">
        <f t="shared" si="67"/>
        <v>21.100000000000005</v>
      </c>
      <c r="M127" s="29">
        <f t="shared" si="67"/>
        <v>-4.0000000000000213</v>
      </c>
      <c r="N127" s="29">
        <f t="shared" si="67"/>
        <v>106.2</v>
      </c>
    </row>
    <row r="128" spans="1:14" x14ac:dyDescent="0.2">
      <c r="A128" s="9" t="s">
        <v>238</v>
      </c>
      <c r="B128" s="1" t="s">
        <v>239</v>
      </c>
      <c r="C128" s="28">
        <f t="shared" ref="C128:I128" si="68">+C129+C130</f>
        <v>0.9</v>
      </c>
      <c r="D128" s="28">
        <f t="shared" si="68"/>
        <v>1.9</v>
      </c>
      <c r="E128" s="28">
        <f t="shared" si="68"/>
        <v>1.8</v>
      </c>
      <c r="F128" s="28">
        <f t="shared" si="68"/>
        <v>1.1000000000000001</v>
      </c>
      <c r="G128" s="28">
        <f t="shared" si="68"/>
        <v>0.9</v>
      </c>
      <c r="H128" s="28">
        <f t="shared" si="68"/>
        <v>0.8</v>
      </c>
      <c r="I128" s="28">
        <f t="shared" si="68"/>
        <v>0.8</v>
      </c>
      <c r="J128" s="28">
        <f>+J129+J130</f>
        <v>1.8</v>
      </c>
      <c r="K128" s="28">
        <f t="shared" ref="K128:N128" si="69">+K129+K130</f>
        <v>1.1000000000000001</v>
      </c>
      <c r="L128" s="28">
        <f t="shared" si="69"/>
        <v>0.9</v>
      </c>
      <c r="M128" s="28">
        <f t="shared" si="69"/>
        <v>0.8</v>
      </c>
      <c r="N128" s="28">
        <f t="shared" si="69"/>
        <v>0.8</v>
      </c>
    </row>
    <row r="129" spans="1:14" hidden="1" outlineLevel="1" x14ac:dyDescent="0.2">
      <c r="A129" s="9" t="s">
        <v>240</v>
      </c>
      <c r="B129" s="1" t="s">
        <v>241</v>
      </c>
      <c r="C129" s="10">
        <v>0.9</v>
      </c>
      <c r="D129" s="10">
        <v>1.9</v>
      </c>
      <c r="E129" s="10">
        <v>1.8</v>
      </c>
      <c r="F129" s="10">
        <v>1.1000000000000001</v>
      </c>
      <c r="G129" s="10">
        <v>0.9</v>
      </c>
      <c r="H129" s="10">
        <v>0.8</v>
      </c>
      <c r="I129" s="10">
        <v>0.8</v>
      </c>
      <c r="J129" s="10">
        <v>1.8</v>
      </c>
      <c r="K129" s="10">
        <v>1.1000000000000001</v>
      </c>
      <c r="L129" s="10">
        <v>0.9</v>
      </c>
      <c r="M129" s="10">
        <v>0.8</v>
      </c>
      <c r="N129" s="10">
        <v>0.8</v>
      </c>
    </row>
    <row r="130" spans="1:14" hidden="1" outlineLevel="1" x14ac:dyDescent="0.2">
      <c r="A130" s="9" t="s">
        <v>242</v>
      </c>
      <c r="B130" s="1" t="s">
        <v>243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</row>
    <row r="131" spans="1:14" collapsed="1" x14ac:dyDescent="0.2">
      <c r="A131" s="9" t="s">
        <v>244</v>
      </c>
      <c r="B131" s="1" t="s">
        <v>245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28">
        <v>0</v>
      </c>
      <c r="K131" s="28">
        <v>0</v>
      </c>
      <c r="L131" s="28">
        <v>0</v>
      </c>
      <c r="M131" s="28">
        <v>0</v>
      </c>
      <c r="N131" s="28">
        <v>0</v>
      </c>
    </row>
    <row r="132" spans="1:14" x14ac:dyDescent="0.2">
      <c r="A132" s="12"/>
      <c r="B132" s="12" t="s">
        <v>246</v>
      </c>
      <c r="C132" s="29">
        <f t="shared" ref="C132:I132" si="70">+C127-SUM(C128,C131)</f>
        <v>51.400000000000034</v>
      </c>
      <c r="D132" s="29">
        <f t="shared" si="70"/>
        <v>11.50000000000002</v>
      </c>
      <c r="E132" s="29">
        <f t="shared" si="70"/>
        <v>-17.499999999999975</v>
      </c>
      <c r="F132" s="29">
        <f t="shared" si="70"/>
        <v>-24.399999999999991</v>
      </c>
      <c r="G132" s="29">
        <f t="shared" si="70"/>
        <v>10.799999999999995</v>
      </c>
      <c r="H132" s="29">
        <f t="shared" si="70"/>
        <v>-9.2000000000000099</v>
      </c>
      <c r="I132" s="29">
        <f t="shared" si="70"/>
        <v>4.8000000000000176</v>
      </c>
      <c r="J132" s="29">
        <f>+J127-SUM(J128,J131)</f>
        <v>1.3000000000000085</v>
      </c>
      <c r="K132" s="29">
        <f t="shared" ref="K132:N132" si="71">+K127-SUM(K128,K131)</f>
        <v>34.299999999999976</v>
      </c>
      <c r="L132" s="29">
        <f t="shared" si="71"/>
        <v>20.200000000000006</v>
      </c>
      <c r="M132" s="29">
        <f t="shared" si="71"/>
        <v>-4.8000000000000211</v>
      </c>
      <c r="N132" s="29">
        <f t="shared" si="71"/>
        <v>105.4</v>
      </c>
    </row>
    <row r="133" spans="1:14" x14ac:dyDescent="0.2">
      <c r="A133" s="2"/>
      <c r="B133" s="2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2">
      <c r="A134" s="12"/>
      <c r="B134" s="12" t="s">
        <v>247</v>
      </c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</row>
    <row r="135" spans="1:14" x14ac:dyDescent="0.2">
      <c r="A135" s="9" t="s">
        <v>248</v>
      </c>
      <c r="B135" s="1" t="s">
        <v>249</v>
      </c>
      <c r="C135" s="15">
        <v>25</v>
      </c>
      <c r="D135" s="15">
        <v>25</v>
      </c>
      <c r="E135" s="15">
        <v>22</v>
      </c>
      <c r="F135" s="15">
        <v>21</v>
      </c>
      <c r="G135" s="15">
        <v>22</v>
      </c>
      <c r="H135" s="15">
        <v>21</v>
      </c>
      <c r="I135" s="15">
        <v>20</v>
      </c>
      <c r="J135" s="15">
        <v>22</v>
      </c>
      <c r="K135" s="15">
        <v>21</v>
      </c>
      <c r="L135" s="15">
        <v>22</v>
      </c>
      <c r="M135" s="15">
        <v>21</v>
      </c>
      <c r="N135" s="15">
        <v>20</v>
      </c>
    </row>
    <row r="136" spans="1:14" hidden="1" outlineLevel="1" x14ac:dyDescent="0.2">
      <c r="A136" s="9" t="s">
        <v>250</v>
      </c>
      <c r="B136" s="1" t="s">
        <v>251</v>
      </c>
      <c r="C136" s="15">
        <v>25</v>
      </c>
      <c r="D136" s="15">
        <v>25</v>
      </c>
      <c r="E136" s="15">
        <v>22</v>
      </c>
      <c r="F136" s="15">
        <v>21</v>
      </c>
      <c r="G136" s="15">
        <v>22</v>
      </c>
      <c r="H136" s="15">
        <v>21</v>
      </c>
      <c r="I136" s="15">
        <v>20</v>
      </c>
      <c r="J136" s="15">
        <v>22</v>
      </c>
      <c r="K136" s="15">
        <v>21</v>
      </c>
      <c r="L136" s="15">
        <v>22</v>
      </c>
      <c r="M136" s="15">
        <v>21</v>
      </c>
      <c r="N136" s="15">
        <v>20</v>
      </c>
    </row>
    <row r="137" spans="1:14" collapsed="1" x14ac:dyDescent="0.2">
      <c r="A137" s="9" t="s">
        <v>252</v>
      </c>
      <c r="B137" s="1" t="s">
        <v>253</v>
      </c>
      <c r="C137" s="15">
        <v>32.4</v>
      </c>
      <c r="D137" s="15">
        <v>30.5</v>
      </c>
      <c r="E137" s="15">
        <v>28.6</v>
      </c>
      <c r="F137" s="15">
        <v>27.6</v>
      </c>
      <c r="G137" s="15">
        <v>26.6</v>
      </c>
      <c r="H137" s="15">
        <v>26.1</v>
      </c>
      <c r="I137" s="15">
        <v>24.6</v>
      </c>
      <c r="J137" s="15">
        <v>28.6</v>
      </c>
      <c r="K137" s="15">
        <v>27.6</v>
      </c>
      <c r="L137" s="15">
        <v>26.6</v>
      </c>
      <c r="M137" s="15">
        <v>26.1</v>
      </c>
      <c r="N137" s="15">
        <v>24.6</v>
      </c>
    </row>
    <row r="138" spans="1:14" hidden="1" outlineLevel="1" x14ac:dyDescent="0.2">
      <c r="A138" s="9" t="s">
        <v>254</v>
      </c>
      <c r="B138" s="1" t="s">
        <v>255</v>
      </c>
      <c r="C138" s="15">
        <v>32.4</v>
      </c>
      <c r="D138" s="15">
        <v>30.5</v>
      </c>
      <c r="E138" s="15">
        <v>28.6</v>
      </c>
      <c r="F138" s="15">
        <v>27.6</v>
      </c>
      <c r="G138" s="15">
        <v>26.6</v>
      </c>
      <c r="H138" s="15">
        <v>26.1</v>
      </c>
      <c r="I138" s="15">
        <v>24.6</v>
      </c>
      <c r="J138" s="15">
        <v>28.6</v>
      </c>
      <c r="K138" s="15">
        <v>27.6</v>
      </c>
      <c r="L138" s="15">
        <v>26.6</v>
      </c>
      <c r="M138" s="15">
        <v>26.1</v>
      </c>
      <c r="N138" s="15">
        <v>24.6</v>
      </c>
    </row>
    <row r="139" spans="1:14" collapsed="1" x14ac:dyDescent="0.2">
      <c r="A139" s="9" t="s">
        <v>256</v>
      </c>
      <c r="B139" s="1" t="s">
        <v>257</v>
      </c>
      <c r="C139" s="15">
        <v>0.9</v>
      </c>
      <c r="D139" s="15">
        <v>0.9</v>
      </c>
      <c r="E139" s="15">
        <v>0.9</v>
      </c>
      <c r="F139" s="15">
        <v>0.3</v>
      </c>
      <c r="G139" s="15">
        <v>0.3</v>
      </c>
      <c r="H139" s="15">
        <v>0.3</v>
      </c>
      <c r="I139" s="15">
        <v>0</v>
      </c>
      <c r="J139" s="15">
        <v>0.9</v>
      </c>
      <c r="K139" s="15">
        <v>0.3</v>
      </c>
      <c r="L139" s="15">
        <v>0.3</v>
      </c>
      <c r="M139" s="15">
        <v>0.3</v>
      </c>
      <c r="N139" s="15">
        <v>0</v>
      </c>
    </row>
    <row r="140" spans="1:14" hidden="1" outlineLevel="1" x14ac:dyDescent="0.2">
      <c r="A140" s="9" t="s">
        <v>258</v>
      </c>
      <c r="B140" s="1" t="s">
        <v>259</v>
      </c>
      <c r="C140" s="15">
        <v>0.9</v>
      </c>
      <c r="D140" s="15">
        <v>0.9</v>
      </c>
      <c r="E140" s="15">
        <v>0.9</v>
      </c>
      <c r="F140" s="15">
        <v>0.3</v>
      </c>
      <c r="G140" s="15">
        <v>0.3</v>
      </c>
      <c r="H140" s="15">
        <v>0.3</v>
      </c>
      <c r="I140" s="15">
        <v>0</v>
      </c>
      <c r="J140" s="15">
        <v>0.9</v>
      </c>
      <c r="K140" s="15">
        <v>0.3</v>
      </c>
      <c r="L140" s="15">
        <v>0.3</v>
      </c>
      <c r="M140" s="15">
        <v>0.3</v>
      </c>
      <c r="N140" s="15">
        <v>0</v>
      </c>
    </row>
    <row r="141" spans="1:14" hidden="1" outlineLevel="1" x14ac:dyDescent="0.2">
      <c r="A141" s="9" t="s">
        <v>363</v>
      </c>
      <c r="B141" s="1" t="s">
        <v>259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collapsed="1" x14ac:dyDescent="0.2">
      <c r="A142" s="9" t="s">
        <v>260</v>
      </c>
      <c r="B142" s="1" t="s">
        <v>261</v>
      </c>
      <c r="C142" s="15">
        <v>24.3</v>
      </c>
      <c r="D142" s="15">
        <v>23.4</v>
      </c>
      <c r="E142" s="15">
        <v>21.5</v>
      </c>
      <c r="F142" s="15">
        <v>21.3</v>
      </c>
      <c r="G142" s="15">
        <v>22.3</v>
      </c>
      <c r="H142" s="15">
        <v>21.7</v>
      </c>
      <c r="I142" s="15">
        <v>20.6</v>
      </c>
      <c r="J142" s="15">
        <v>21.5</v>
      </c>
      <c r="K142" s="15">
        <v>21.3</v>
      </c>
      <c r="L142" s="15">
        <v>22.3</v>
      </c>
      <c r="M142" s="15">
        <v>21.7</v>
      </c>
      <c r="N142" s="15">
        <v>20.6</v>
      </c>
    </row>
    <row r="143" spans="1:14" hidden="1" outlineLevel="1" x14ac:dyDescent="0.2">
      <c r="A143" s="9" t="s">
        <v>262</v>
      </c>
      <c r="B143" s="1" t="s">
        <v>263</v>
      </c>
      <c r="C143" s="15">
        <v>24.3</v>
      </c>
      <c r="D143" s="15">
        <v>23.4</v>
      </c>
      <c r="E143" s="15">
        <v>21.5</v>
      </c>
      <c r="F143" s="15">
        <v>21.3</v>
      </c>
      <c r="G143" s="15">
        <v>22.3</v>
      </c>
      <c r="H143" s="15">
        <v>21.7</v>
      </c>
      <c r="I143" s="15">
        <v>20.6</v>
      </c>
      <c r="J143" s="15">
        <v>21.5</v>
      </c>
      <c r="K143" s="15">
        <v>21.3</v>
      </c>
      <c r="L143" s="15">
        <v>22.3</v>
      </c>
      <c r="M143" s="15">
        <v>21.7</v>
      </c>
      <c r="N143" s="15">
        <v>20.6</v>
      </c>
    </row>
    <row r="144" spans="1:14" hidden="1" outlineLevel="1" x14ac:dyDescent="0.2">
      <c r="A144" s="9" t="s">
        <v>364</v>
      </c>
      <c r="B144" s="1" t="s">
        <v>263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collapsed="1" x14ac:dyDescent="0.2">
      <c r="A145" s="9" t="s">
        <v>264</v>
      </c>
      <c r="B145" s="1" t="s">
        <v>265</v>
      </c>
      <c r="C145" s="15">
        <v>7.2</v>
      </c>
      <c r="D145" s="15">
        <v>6.2</v>
      </c>
      <c r="E145" s="15">
        <v>6.2</v>
      </c>
      <c r="F145" s="15">
        <v>6</v>
      </c>
      <c r="G145" s="15">
        <v>4</v>
      </c>
      <c r="H145" s="15">
        <v>4</v>
      </c>
      <c r="I145" s="15">
        <v>4</v>
      </c>
      <c r="J145" s="15">
        <v>6.2</v>
      </c>
      <c r="K145" s="15">
        <v>6</v>
      </c>
      <c r="L145" s="15">
        <v>4</v>
      </c>
      <c r="M145" s="15">
        <v>4</v>
      </c>
      <c r="N145" s="15">
        <v>4</v>
      </c>
    </row>
    <row r="146" spans="1:14" hidden="1" outlineLevel="1" x14ac:dyDescent="0.2">
      <c r="A146" s="9" t="s">
        <v>266</v>
      </c>
      <c r="B146" s="1" t="s">
        <v>267</v>
      </c>
      <c r="C146" s="15">
        <v>7.2</v>
      </c>
      <c r="D146" s="15">
        <v>6.2</v>
      </c>
      <c r="E146" s="15">
        <v>6.2</v>
      </c>
      <c r="F146" s="15">
        <v>6</v>
      </c>
      <c r="G146" s="15">
        <v>4</v>
      </c>
      <c r="H146" s="15">
        <v>4</v>
      </c>
      <c r="I146" s="15">
        <v>4</v>
      </c>
      <c r="J146" s="15">
        <v>6.2</v>
      </c>
      <c r="K146" s="15">
        <v>6</v>
      </c>
      <c r="L146" s="15">
        <v>4</v>
      </c>
      <c r="M146" s="15">
        <v>4</v>
      </c>
      <c r="N146" s="15">
        <v>4</v>
      </c>
    </row>
    <row r="147" spans="1:14" hidden="1" outlineLevel="1" x14ac:dyDescent="0.2">
      <c r="A147" s="9" t="s">
        <v>365</v>
      </c>
      <c r="B147" s="1" t="s">
        <v>366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collapsed="1" x14ac:dyDescent="0.2">
      <c r="A148" s="9" t="s">
        <v>268</v>
      </c>
      <c r="B148" s="1" t="s">
        <v>269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">
      <c r="A149" s="9" t="s">
        <v>270</v>
      </c>
      <c r="B149" s="1" t="s">
        <v>271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">
      <c r="A150" s="9" t="s">
        <v>272</v>
      </c>
      <c r="B150" s="1" t="s">
        <v>273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">
      <c r="A151" s="9" t="s">
        <v>274</v>
      </c>
      <c r="B151" s="1" t="s">
        <v>275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">
      <c r="A152" s="9" t="s">
        <v>276</v>
      </c>
      <c r="B152" s="1" t="s">
        <v>277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">
      <c r="A153" s="9" t="s">
        <v>280</v>
      </c>
      <c r="B153" s="1" t="s">
        <v>281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">
      <c r="A154" s="9" t="s">
        <v>284</v>
      </c>
      <c r="B154" s="1" t="s">
        <v>285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">
      <c r="A155" s="9" t="s">
        <v>288</v>
      </c>
      <c r="B155" s="1" t="s">
        <v>289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">
      <c r="A156" s="3"/>
      <c r="B156" s="3" t="s">
        <v>290</v>
      </c>
      <c r="C156" s="17">
        <v>5.2</v>
      </c>
      <c r="D156" s="17">
        <v>5.2</v>
      </c>
      <c r="E156" s="17">
        <v>4.4000000000000004</v>
      </c>
      <c r="F156" s="17">
        <v>4.4000000000000004</v>
      </c>
      <c r="G156" s="17">
        <v>5</v>
      </c>
      <c r="H156" s="17">
        <v>4.7</v>
      </c>
      <c r="I156" s="17">
        <v>5.0999999999999996</v>
      </c>
      <c r="J156" s="17">
        <v>4.4000000000000004</v>
      </c>
      <c r="K156" s="17">
        <v>4.4000000000000004</v>
      </c>
      <c r="L156" s="17">
        <v>5</v>
      </c>
      <c r="M156" s="17">
        <v>4.7</v>
      </c>
      <c r="N156" s="17">
        <v>5.0999999999999996</v>
      </c>
    </row>
    <row r="157" spans="1:14" x14ac:dyDescent="0.2">
      <c r="A157" s="3"/>
      <c r="B157" s="3" t="s">
        <v>291</v>
      </c>
      <c r="C157" s="17" t="s">
        <v>292</v>
      </c>
      <c r="D157" s="17" t="s">
        <v>292</v>
      </c>
      <c r="E157" s="17" t="s">
        <v>292</v>
      </c>
      <c r="F157" s="17" t="s">
        <v>292</v>
      </c>
      <c r="G157" s="17" t="s">
        <v>292</v>
      </c>
      <c r="H157" s="17" t="s">
        <v>292</v>
      </c>
      <c r="I157" s="17" t="s">
        <v>292</v>
      </c>
      <c r="J157" s="17" t="s">
        <v>292</v>
      </c>
      <c r="K157" s="17" t="s">
        <v>292</v>
      </c>
      <c r="L157" s="17" t="s">
        <v>292</v>
      </c>
      <c r="M157" s="17" t="s">
        <v>292</v>
      </c>
      <c r="N157" s="17" t="s">
        <v>292</v>
      </c>
    </row>
    <row r="158" spans="1:14" x14ac:dyDescent="0.2">
      <c r="A158" s="3"/>
      <c r="B158" s="3" t="s">
        <v>293</v>
      </c>
      <c r="C158" s="17" t="s">
        <v>292</v>
      </c>
      <c r="D158" s="17" t="s">
        <v>292</v>
      </c>
      <c r="E158" s="17" t="s">
        <v>292</v>
      </c>
      <c r="F158" s="17" t="s">
        <v>292</v>
      </c>
      <c r="G158" s="17" t="s">
        <v>292</v>
      </c>
      <c r="H158" s="17" t="s">
        <v>292</v>
      </c>
      <c r="I158" s="17" t="s">
        <v>292</v>
      </c>
      <c r="J158" s="17" t="s">
        <v>292</v>
      </c>
      <c r="K158" s="17" t="s">
        <v>292</v>
      </c>
      <c r="L158" s="17" t="s">
        <v>292</v>
      </c>
      <c r="M158" s="17" t="s">
        <v>292</v>
      </c>
      <c r="N158" s="17" t="s">
        <v>292</v>
      </c>
    </row>
    <row r="159" spans="1:14" x14ac:dyDescent="0.2">
      <c r="A159" s="3"/>
      <c r="B159" s="3" t="s">
        <v>294</v>
      </c>
      <c r="C159" s="17">
        <v>0</v>
      </c>
      <c r="D159" s="17">
        <v>0</v>
      </c>
      <c r="E159" s="17">
        <v>0</v>
      </c>
      <c r="F159" s="17">
        <v>0</v>
      </c>
      <c r="G159" s="17">
        <v>0</v>
      </c>
      <c r="H159" s="17">
        <v>0</v>
      </c>
      <c r="I159" s="17">
        <v>0</v>
      </c>
      <c r="J159" s="17">
        <v>0</v>
      </c>
      <c r="K159" s="17">
        <v>0</v>
      </c>
      <c r="L159" s="17">
        <v>0</v>
      </c>
      <c r="M159" s="17">
        <v>0</v>
      </c>
      <c r="N159" s="17">
        <v>0</v>
      </c>
    </row>
    <row r="160" spans="1:14" x14ac:dyDescent="0.2">
      <c r="A160" s="12"/>
      <c r="B160" s="12" t="s">
        <v>295</v>
      </c>
      <c r="C160" s="16" t="s">
        <v>292</v>
      </c>
      <c r="D160" s="16" t="s">
        <v>292</v>
      </c>
      <c r="E160" s="16" t="s">
        <v>292</v>
      </c>
      <c r="F160" s="16" t="s">
        <v>292</v>
      </c>
      <c r="G160" s="16" t="s">
        <v>292</v>
      </c>
      <c r="H160" s="16" t="s">
        <v>292</v>
      </c>
      <c r="I160" s="16" t="s">
        <v>292</v>
      </c>
      <c r="J160" s="16" t="s">
        <v>292</v>
      </c>
      <c r="K160" s="16" t="s">
        <v>292</v>
      </c>
      <c r="L160" s="16" t="s">
        <v>292</v>
      </c>
      <c r="M160" s="16" t="s">
        <v>292</v>
      </c>
      <c r="N160" s="16" t="s">
        <v>292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B6061-28A2-4A44-93E8-8238ED77F9B8}">
  <sheetPr codeName="Hoja51">
    <tabColor rgb="FF00B0F0"/>
  </sheetPr>
  <dimension ref="A1:N113"/>
  <sheetViews>
    <sheetView zoomScale="70" zoomScaleNormal="70" workbookViewId="0">
      <pane ySplit="6" topLeftCell="A7" activePane="bottomLeft" state="frozen"/>
      <selection activeCell="I54" sqref="I54"/>
      <selection pane="bottomLeft" activeCell="B57" sqref="B47:B57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3" width="12.5703125" style="1" customWidth="1"/>
    <col min="4" max="9" width="10.5703125" style="1" customWidth="1"/>
    <col min="10" max="14" width="14.4257812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383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:I7" si="0">SUM(C8:C15)</f>
        <v>66.099999999999994</v>
      </c>
      <c r="D7" s="28">
        <f t="shared" si="0"/>
        <v>66.099999999999994</v>
      </c>
      <c r="E7" s="28">
        <f t="shared" si="0"/>
        <v>117</v>
      </c>
      <c r="F7" s="28">
        <f t="shared" si="0"/>
        <v>122.8</v>
      </c>
      <c r="G7" s="28">
        <f t="shared" si="0"/>
        <v>112.7</v>
      </c>
      <c r="H7" s="28">
        <f t="shared" si="0"/>
        <v>112.3</v>
      </c>
      <c r="I7" s="28">
        <f t="shared" si="0"/>
        <v>112.3</v>
      </c>
      <c r="J7" s="28">
        <f>SUM(J8:J15)</f>
        <v>115</v>
      </c>
      <c r="K7" s="28">
        <f t="shared" ref="K7:N7" si="1">SUM(K8:K15)</f>
        <v>115</v>
      </c>
      <c r="L7" s="28">
        <f t="shared" si="1"/>
        <v>114</v>
      </c>
      <c r="M7" s="28">
        <f t="shared" si="1"/>
        <v>111</v>
      </c>
      <c r="N7" s="28">
        <f t="shared" si="1"/>
        <v>118</v>
      </c>
    </row>
    <row r="8" spans="1:14" hidden="1" outlineLevel="1" x14ac:dyDescent="0.2">
      <c r="A8" s="9" t="s">
        <v>370</v>
      </c>
      <c r="B8" s="1" t="s">
        <v>30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25</v>
      </c>
      <c r="B9" s="1" t="s">
        <v>26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300</v>
      </c>
      <c r="B10" s="1" t="s">
        <v>36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hidden="1" outlineLevel="1" x14ac:dyDescent="0.2">
      <c r="A11" s="9" t="s">
        <v>27</v>
      </c>
      <c r="B11" s="1" t="s">
        <v>28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hidden="1" outlineLevel="1" x14ac:dyDescent="0.2">
      <c r="A12" s="9" t="s">
        <v>29</v>
      </c>
      <c r="B12" s="1" t="s">
        <v>30</v>
      </c>
      <c r="C12" s="10">
        <v>66.099999999999994</v>
      </c>
      <c r="D12" s="10">
        <v>66.099999999999994</v>
      </c>
      <c r="E12" s="10">
        <v>117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</row>
    <row r="13" spans="1:14" hidden="1" outlineLevel="1" x14ac:dyDescent="0.2">
      <c r="A13" s="9" t="s">
        <v>31</v>
      </c>
      <c r="B13" s="1" t="s">
        <v>32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112.3</v>
      </c>
      <c r="I13" s="10">
        <v>112.3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</row>
    <row r="14" spans="1:14" hidden="1" outlineLevel="1" x14ac:dyDescent="0.2">
      <c r="A14" s="9" t="s">
        <v>33</v>
      </c>
      <c r="B14" s="1" t="s">
        <v>34</v>
      </c>
      <c r="C14" s="10">
        <v>0</v>
      </c>
      <c r="D14" s="10">
        <v>0</v>
      </c>
      <c r="E14" s="10">
        <v>0</v>
      </c>
      <c r="F14" s="10">
        <v>122.8</v>
      </c>
      <c r="G14" s="10">
        <v>112.7</v>
      </c>
      <c r="H14" s="10">
        <v>0</v>
      </c>
      <c r="I14" s="10">
        <v>0</v>
      </c>
      <c r="J14" s="10">
        <v>115</v>
      </c>
      <c r="K14" s="10">
        <v>115</v>
      </c>
      <c r="L14" s="10">
        <v>114</v>
      </c>
      <c r="M14" s="10">
        <v>111</v>
      </c>
      <c r="N14" s="10">
        <v>118</v>
      </c>
    </row>
    <row r="15" spans="1:14" hidden="1" outlineLevel="1" x14ac:dyDescent="0.2">
      <c r="A15" s="9" t="s">
        <v>35</v>
      </c>
      <c r="B15" s="1" t="s">
        <v>36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collapsed="1" x14ac:dyDescent="0.2">
      <c r="A16" s="9" t="s">
        <v>37</v>
      </c>
      <c r="B16" s="1" t="s">
        <v>38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</row>
    <row r="17" spans="1:14" x14ac:dyDescent="0.2">
      <c r="A17" s="9" t="s">
        <v>39</v>
      </c>
      <c r="B17" s="1" t="s">
        <v>40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</row>
    <row r="18" spans="1:14" x14ac:dyDescent="0.2">
      <c r="A18" s="9" t="s">
        <v>41</v>
      </c>
      <c r="B18" s="1" t="s">
        <v>42</v>
      </c>
      <c r="C18" s="28">
        <f t="shared" ref="C18:I18" si="2">+C19</f>
        <v>0</v>
      </c>
      <c r="D18" s="28">
        <f t="shared" si="2"/>
        <v>0</v>
      </c>
      <c r="E18" s="28">
        <f t="shared" si="2"/>
        <v>0</v>
      </c>
      <c r="F18" s="28">
        <f t="shared" si="2"/>
        <v>0</v>
      </c>
      <c r="G18" s="28">
        <f t="shared" si="2"/>
        <v>0</v>
      </c>
      <c r="H18" s="28">
        <f t="shared" si="2"/>
        <v>0</v>
      </c>
      <c r="I18" s="28">
        <f t="shared" si="2"/>
        <v>0</v>
      </c>
      <c r="J18" s="28">
        <f>+J19</f>
        <v>0</v>
      </c>
      <c r="K18" s="28">
        <f>+K19</f>
        <v>0</v>
      </c>
      <c r="L18" s="28">
        <f t="shared" ref="L18:N18" si="3">+L19</f>
        <v>0</v>
      </c>
      <c r="M18" s="28">
        <f t="shared" si="3"/>
        <v>0</v>
      </c>
      <c r="N18" s="28">
        <f t="shared" si="3"/>
        <v>0</v>
      </c>
    </row>
    <row r="19" spans="1:14" hidden="1" outlineLevel="1" x14ac:dyDescent="0.2">
      <c r="A19" s="9" t="s">
        <v>43</v>
      </c>
      <c r="B19" s="1" t="s">
        <v>44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collapsed="1" x14ac:dyDescent="0.2">
      <c r="A20" s="9" t="s">
        <v>45</v>
      </c>
      <c r="B20" s="1" t="s">
        <v>46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</row>
    <row r="21" spans="1:14" x14ac:dyDescent="0.2">
      <c r="A21" s="12"/>
      <c r="B21" s="12" t="s">
        <v>47</v>
      </c>
      <c r="C21" s="29">
        <f t="shared" ref="C21" si="4">+C7+C16+C17+C18+C20</f>
        <v>66.099999999999994</v>
      </c>
      <c r="D21" s="29">
        <f t="shared" ref="D21" si="5">+D7+D16+D17+D18+D20</f>
        <v>66.099999999999994</v>
      </c>
      <c r="E21" s="29">
        <f t="shared" ref="E21" si="6">+E7+E16+E17+E18+E20</f>
        <v>117</v>
      </c>
      <c r="F21" s="29">
        <f t="shared" ref="F21" si="7">+F7+F16+F17+F18+F20</f>
        <v>122.8</v>
      </c>
      <c r="G21" s="29">
        <f t="shared" ref="G21" si="8">+G7+G16+G17+G18+G20</f>
        <v>112.7</v>
      </c>
      <c r="H21" s="29">
        <f t="shared" ref="H21" si="9">+H7+H16+H17+H18+H20</f>
        <v>112.3</v>
      </c>
      <c r="I21" s="29">
        <f t="shared" ref="I21" si="10">+I7+I16+I17+I18+I20</f>
        <v>112.3</v>
      </c>
      <c r="J21" s="29">
        <f t="shared" ref="J21" si="11">+J7+J16+J17+J18+J20</f>
        <v>115</v>
      </c>
      <c r="K21" s="29">
        <f t="shared" ref="K21" si="12">+K7+K16+K17+K18+K20</f>
        <v>115</v>
      </c>
      <c r="L21" s="29">
        <f t="shared" ref="L21:N21" si="13">+L7+L16+L17+L18+L20</f>
        <v>114</v>
      </c>
      <c r="M21" s="29">
        <f t="shared" si="13"/>
        <v>111</v>
      </c>
      <c r="N21" s="29">
        <f t="shared" si="13"/>
        <v>118</v>
      </c>
    </row>
    <row r="22" spans="1:14" x14ac:dyDescent="0.2">
      <c r="A22" s="9" t="s">
        <v>48</v>
      </c>
      <c r="B22" s="1" t="s">
        <v>49</v>
      </c>
      <c r="C22" s="28">
        <f t="shared" ref="C22:I22" si="14">SUM(C23:C24)</f>
        <v>0</v>
      </c>
      <c r="D22" s="28">
        <f t="shared" si="14"/>
        <v>0</v>
      </c>
      <c r="E22" s="28">
        <f t="shared" si="14"/>
        <v>0</v>
      </c>
      <c r="F22" s="28">
        <f t="shared" si="14"/>
        <v>0</v>
      </c>
      <c r="G22" s="28">
        <f t="shared" si="14"/>
        <v>0</v>
      </c>
      <c r="H22" s="28">
        <f t="shared" si="14"/>
        <v>0</v>
      </c>
      <c r="I22" s="28">
        <f t="shared" si="14"/>
        <v>0</v>
      </c>
      <c r="J22" s="28">
        <f>SUM(J23:J24)</f>
        <v>0</v>
      </c>
      <c r="K22" s="28">
        <f t="shared" ref="K22:N22" si="15">SUM(K23:K24)</f>
        <v>0</v>
      </c>
      <c r="L22" s="28">
        <f t="shared" si="15"/>
        <v>0</v>
      </c>
      <c r="M22" s="28">
        <f t="shared" si="15"/>
        <v>0</v>
      </c>
      <c r="N22" s="28">
        <f t="shared" si="15"/>
        <v>0</v>
      </c>
    </row>
    <row r="23" spans="1:14" hidden="1" outlineLevel="1" x14ac:dyDescent="0.2">
      <c r="A23" s="9" t="s">
        <v>56</v>
      </c>
      <c r="B23" s="1" t="s">
        <v>51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</row>
    <row r="24" spans="1:14" hidden="1" outlineLevel="1" x14ac:dyDescent="0.2">
      <c r="A24" s="9" t="s">
        <v>57</v>
      </c>
      <c r="B24" s="1" t="s">
        <v>58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</row>
    <row r="25" spans="1:14" collapsed="1" x14ac:dyDescent="0.2">
      <c r="A25" s="9" t="s">
        <v>60</v>
      </c>
      <c r="B25" s="1" t="s">
        <v>61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</row>
    <row r="26" spans="1:14" x14ac:dyDescent="0.2">
      <c r="A26" s="9" t="s">
        <v>62</v>
      </c>
      <c r="B26" s="1" t="s">
        <v>63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</row>
    <row r="27" spans="1:14" x14ac:dyDescent="0.2">
      <c r="A27" s="9" t="s">
        <v>64</v>
      </c>
      <c r="B27" s="1" t="s">
        <v>65</v>
      </c>
      <c r="C27" s="28">
        <f t="shared" ref="C27:I27" si="16">+C28</f>
        <v>0</v>
      </c>
      <c r="D27" s="28">
        <f t="shared" si="16"/>
        <v>0</v>
      </c>
      <c r="E27" s="28">
        <f t="shared" si="16"/>
        <v>0</v>
      </c>
      <c r="F27" s="28">
        <f t="shared" si="16"/>
        <v>0</v>
      </c>
      <c r="G27" s="28">
        <f t="shared" si="16"/>
        <v>0</v>
      </c>
      <c r="H27" s="28">
        <f t="shared" si="16"/>
        <v>0</v>
      </c>
      <c r="I27" s="28">
        <f t="shared" si="16"/>
        <v>0</v>
      </c>
      <c r="J27" s="28">
        <f>+J28</f>
        <v>0</v>
      </c>
      <c r="K27" s="28">
        <f t="shared" ref="K27:N27" si="17">+K28</f>
        <v>0</v>
      </c>
      <c r="L27" s="28">
        <f t="shared" si="17"/>
        <v>0</v>
      </c>
      <c r="M27" s="28">
        <f t="shared" si="17"/>
        <v>0</v>
      </c>
      <c r="N27" s="28">
        <f t="shared" si="17"/>
        <v>0</v>
      </c>
    </row>
    <row r="28" spans="1:14" hidden="1" outlineLevel="1" x14ac:dyDescent="0.2">
      <c r="A28" s="9" t="s">
        <v>66</v>
      </c>
      <c r="B28" s="1" t="s">
        <v>67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collapsed="1" x14ac:dyDescent="0.2">
      <c r="A29" s="9" t="s">
        <v>68</v>
      </c>
      <c r="B29" s="1" t="s">
        <v>69</v>
      </c>
      <c r="C29" s="28">
        <f t="shared" ref="C29:I29" si="18">+C30</f>
        <v>0</v>
      </c>
      <c r="D29" s="28">
        <f t="shared" si="18"/>
        <v>0</v>
      </c>
      <c r="E29" s="28">
        <f t="shared" si="18"/>
        <v>0</v>
      </c>
      <c r="F29" s="28">
        <f t="shared" si="18"/>
        <v>0</v>
      </c>
      <c r="G29" s="28">
        <f t="shared" si="18"/>
        <v>0</v>
      </c>
      <c r="H29" s="28">
        <f t="shared" si="18"/>
        <v>0</v>
      </c>
      <c r="I29" s="28">
        <f t="shared" si="18"/>
        <v>0</v>
      </c>
      <c r="J29" s="28">
        <f>+J30</f>
        <v>0</v>
      </c>
      <c r="K29" s="28">
        <f t="shared" ref="K29:N29" si="19">+K30</f>
        <v>0</v>
      </c>
      <c r="L29" s="28">
        <f t="shared" si="19"/>
        <v>0</v>
      </c>
      <c r="M29" s="28">
        <f t="shared" si="19"/>
        <v>0</v>
      </c>
      <c r="N29" s="28">
        <f t="shared" si="19"/>
        <v>0</v>
      </c>
    </row>
    <row r="30" spans="1:14" hidden="1" outlineLevel="1" x14ac:dyDescent="0.2">
      <c r="A30" s="9" t="s">
        <v>70</v>
      </c>
      <c r="B30" s="1" t="s">
        <v>71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collapsed="1" x14ac:dyDescent="0.2">
      <c r="A31" s="3"/>
      <c r="B31" s="3" t="s">
        <v>72</v>
      </c>
      <c r="C31" s="30">
        <f t="shared" ref="C31:I31" si="20">+C22+C25+C26+C27+C29</f>
        <v>0</v>
      </c>
      <c r="D31" s="30">
        <f t="shared" si="20"/>
        <v>0</v>
      </c>
      <c r="E31" s="30">
        <f t="shared" si="20"/>
        <v>0</v>
      </c>
      <c r="F31" s="30">
        <f t="shared" si="20"/>
        <v>0</v>
      </c>
      <c r="G31" s="30">
        <f t="shared" si="20"/>
        <v>0</v>
      </c>
      <c r="H31" s="30">
        <f t="shared" si="20"/>
        <v>0</v>
      </c>
      <c r="I31" s="30">
        <f t="shared" si="20"/>
        <v>0</v>
      </c>
      <c r="J31" s="30">
        <f>+J22+J25+J26+J27+J29</f>
        <v>0</v>
      </c>
      <c r="K31" s="30">
        <f t="shared" ref="K31:N31" si="21">+K22+K25+K26+K27+K29</f>
        <v>0</v>
      </c>
      <c r="L31" s="30">
        <f t="shared" si="21"/>
        <v>0</v>
      </c>
      <c r="M31" s="30">
        <f t="shared" si="21"/>
        <v>0</v>
      </c>
      <c r="N31" s="30">
        <f t="shared" si="21"/>
        <v>0</v>
      </c>
    </row>
    <row r="32" spans="1:14" x14ac:dyDescent="0.2">
      <c r="A32" s="12"/>
      <c r="B32" s="12" t="s">
        <v>73</v>
      </c>
      <c r="C32" s="29">
        <f t="shared" ref="C32:I32" si="22">+C21-C31</f>
        <v>66.099999999999994</v>
      </c>
      <c r="D32" s="29">
        <f t="shared" si="22"/>
        <v>66.099999999999994</v>
      </c>
      <c r="E32" s="29">
        <f t="shared" si="22"/>
        <v>117</v>
      </c>
      <c r="F32" s="29">
        <f t="shared" si="22"/>
        <v>122.8</v>
      </c>
      <c r="G32" s="29">
        <f t="shared" si="22"/>
        <v>112.7</v>
      </c>
      <c r="H32" s="29">
        <f t="shared" si="22"/>
        <v>112.3</v>
      </c>
      <c r="I32" s="29">
        <f t="shared" si="22"/>
        <v>112.3</v>
      </c>
      <c r="J32" s="29">
        <f>+J21-J31</f>
        <v>115</v>
      </c>
      <c r="K32" s="29">
        <f t="shared" ref="K32:N32" si="23">+K21-K31</f>
        <v>115</v>
      </c>
      <c r="L32" s="29">
        <f t="shared" si="23"/>
        <v>114</v>
      </c>
      <c r="M32" s="29">
        <f t="shared" si="23"/>
        <v>111</v>
      </c>
      <c r="N32" s="29">
        <f t="shared" si="23"/>
        <v>118</v>
      </c>
    </row>
    <row r="33" spans="1:14" x14ac:dyDescent="0.2">
      <c r="A33" s="9" t="s">
        <v>74</v>
      </c>
      <c r="B33" s="1" t="s">
        <v>74</v>
      </c>
      <c r="C33" s="10" t="s">
        <v>74</v>
      </c>
      <c r="D33" s="10" t="s">
        <v>74</v>
      </c>
      <c r="E33" s="10" t="s">
        <v>74</v>
      </c>
      <c r="F33" s="10" t="s">
        <v>74</v>
      </c>
      <c r="G33" s="10" t="s">
        <v>74</v>
      </c>
      <c r="H33" s="10" t="s">
        <v>74</v>
      </c>
      <c r="I33" s="10" t="s">
        <v>74</v>
      </c>
      <c r="J33" s="10" t="s">
        <v>74</v>
      </c>
      <c r="K33" s="10" t="s">
        <v>74</v>
      </c>
      <c r="L33" s="10" t="s">
        <v>74</v>
      </c>
      <c r="M33" s="10" t="s">
        <v>74</v>
      </c>
      <c r="N33" s="10" t="s">
        <v>74</v>
      </c>
    </row>
    <row r="34" spans="1:14" x14ac:dyDescent="0.2">
      <c r="A34" s="9" t="s">
        <v>75</v>
      </c>
      <c r="B34" s="1" t="s">
        <v>76</v>
      </c>
      <c r="C34" s="28">
        <f t="shared" ref="C34:I34" si="24">SUM(C35:C37)</f>
        <v>0</v>
      </c>
      <c r="D34" s="28">
        <f t="shared" si="24"/>
        <v>0</v>
      </c>
      <c r="E34" s="28">
        <f t="shared" si="24"/>
        <v>0</v>
      </c>
      <c r="F34" s="28">
        <f t="shared" si="24"/>
        <v>0</v>
      </c>
      <c r="G34" s="28">
        <f t="shared" si="24"/>
        <v>0</v>
      </c>
      <c r="H34" s="28">
        <f t="shared" si="24"/>
        <v>0.3</v>
      </c>
      <c r="I34" s="28">
        <f t="shared" si="24"/>
        <v>0</v>
      </c>
      <c r="J34" s="28">
        <f>SUM(J35:J37)</f>
        <v>0</v>
      </c>
      <c r="K34" s="28">
        <f t="shared" ref="K34:N34" si="25">SUM(K35:K37)</f>
        <v>0</v>
      </c>
      <c r="L34" s="28">
        <f t="shared" si="25"/>
        <v>0</v>
      </c>
      <c r="M34" s="28">
        <f t="shared" si="25"/>
        <v>0.3</v>
      </c>
      <c r="N34" s="28">
        <f t="shared" si="25"/>
        <v>0</v>
      </c>
    </row>
    <row r="35" spans="1:14" hidden="1" outlineLevel="1" x14ac:dyDescent="0.2">
      <c r="A35" s="9" t="s">
        <v>97</v>
      </c>
      <c r="B35" s="1" t="s">
        <v>98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0.3</v>
      </c>
      <c r="I35" s="10">
        <v>0</v>
      </c>
      <c r="J35" s="10">
        <v>0</v>
      </c>
      <c r="K35" s="10">
        <v>0</v>
      </c>
      <c r="L35" s="10">
        <v>0</v>
      </c>
      <c r="M35" s="10">
        <v>0.3</v>
      </c>
      <c r="N35" s="10">
        <v>0</v>
      </c>
    </row>
    <row r="36" spans="1:14" hidden="1" outlineLevel="1" x14ac:dyDescent="0.2">
      <c r="A36" s="9" t="s">
        <v>105</v>
      </c>
      <c r="B36" s="1" t="s">
        <v>106</v>
      </c>
      <c r="C36" s="10">
        <v>0</v>
      </c>
      <c r="D36" s="10">
        <v>-0.2</v>
      </c>
      <c r="E36" s="10">
        <v>0</v>
      </c>
      <c r="F36" s="10">
        <v>-0.2</v>
      </c>
      <c r="G36" s="10">
        <v>0</v>
      </c>
      <c r="H36" s="10">
        <v>0</v>
      </c>
      <c r="I36" s="10">
        <v>0</v>
      </c>
      <c r="J36" s="10">
        <v>-0.2</v>
      </c>
      <c r="K36" s="10">
        <v>-0.2</v>
      </c>
      <c r="L36" s="10">
        <v>0</v>
      </c>
      <c r="M36" s="10">
        <v>0</v>
      </c>
      <c r="N36" s="10">
        <v>0</v>
      </c>
    </row>
    <row r="37" spans="1:14" hidden="1" outlineLevel="1" x14ac:dyDescent="0.2">
      <c r="A37" s="9" t="s">
        <v>107</v>
      </c>
      <c r="B37" s="1" t="s">
        <v>108</v>
      </c>
      <c r="C37" s="10">
        <v>0</v>
      </c>
      <c r="D37" s="10">
        <v>0.2</v>
      </c>
      <c r="E37" s="10">
        <v>0</v>
      </c>
      <c r="F37" s="10">
        <v>0.2</v>
      </c>
      <c r="G37" s="10">
        <v>0</v>
      </c>
      <c r="H37" s="10">
        <v>0</v>
      </c>
      <c r="I37" s="10">
        <v>0</v>
      </c>
      <c r="J37" s="10">
        <v>0.2</v>
      </c>
      <c r="K37" s="10">
        <v>0.2</v>
      </c>
      <c r="L37" s="10">
        <v>0</v>
      </c>
      <c r="M37" s="10">
        <v>0</v>
      </c>
      <c r="N37" s="10">
        <v>0</v>
      </c>
    </row>
    <row r="38" spans="1:14" collapsed="1" x14ac:dyDescent="0.2">
      <c r="A38" s="9" t="s">
        <v>111</v>
      </c>
      <c r="B38" s="1" t="s">
        <v>112</v>
      </c>
      <c r="C38" s="28">
        <f t="shared" ref="C38:I38" si="26">SUM(C39:C41)</f>
        <v>1.5</v>
      </c>
      <c r="D38" s="28">
        <f t="shared" si="26"/>
        <v>2.9</v>
      </c>
      <c r="E38" s="28">
        <f t="shared" si="26"/>
        <v>2.1</v>
      </c>
      <c r="F38" s="28">
        <f t="shared" si="26"/>
        <v>1.3</v>
      </c>
      <c r="G38" s="28">
        <f t="shared" si="26"/>
        <v>1.2</v>
      </c>
      <c r="H38" s="28">
        <f t="shared" si="26"/>
        <v>1.5</v>
      </c>
      <c r="I38" s="28">
        <f t="shared" si="26"/>
        <v>-0.1</v>
      </c>
      <c r="J38" s="28">
        <f>SUM(J39:J41)</f>
        <v>2.1</v>
      </c>
      <c r="K38" s="28">
        <f t="shared" ref="K38:N38" si="27">SUM(K39:K41)</f>
        <v>1.3</v>
      </c>
      <c r="L38" s="28">
        <f t="shared" si="27"/>
        <v>1.2</v>
      </c>
      <c r="M38" s="28">
        <f t="shared" si="27"/>
        <v>1.5</v>
      </c>
      <c r="N38" s="28">
        <f t="shared" si="27"/>
        <v>-0.1</v>
      </c>
    </row>
    <row r="39" spans="1:14" hidden="1" outlineLevel="1" x14ac:dyDescent="0.2">
      <c r="A39" s="9" t="s">
        <v>115</v>
      </c>
      <c r="B39" s="1" t="s">
        <v>116</v>
      </c>
      <c r="C39" s="10">
        <v>1.5</v>
      </c>
      <c r="D39" s="10">
        <v>2.9</v>
      </c>
      <c r="E39" s="10">
        <v>1.5</v>
      </c>
      <c r="F39" s="10">
        <v>1.3</v>
      </c>
      <c r="G39" s="10">
        <v>1.2</v>
      </c>
      <c r="H39" s="10">
        <v>1.5</v>
      </c>
      <c r="I39" s="10">
        <v>-0.2</v>
      </c>
      <c r="J39" s="10">
        <v>1.5</v>
      </c>
      <c r="K39" s="10">
        <v>1.3</v>
      </c>
      <c r="L39" s="10">
        <v>1.2</v>
      </c>
      <c r="M39" s="10">
        <v>1.5</v>
      </c>
      <c r="N39" s="10">
        <v>-0.2</v>
      </c>
    </row>
    <row r="40" spans="1:14" hidden="1" outlineLevel="1" x14ac:dyDescent="0.2">
      <c r="A40" s="9" t="s">
        <v>311</v>
      </c>
      <c r="B40" s="1" t="s">
        <v>312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0.1</v>
      </c>
      <c r="J40" s="10">
        <v>0</v>
      </c>
      <c r="K40" s="10">
        <v>0</v>
      </c>
      <c r="L40" s="10">
        <v>0</v>
      </c>
      <c r="M40" s="10">
        <v>0</v>
      </c>
      <c r="N40" s="10">
        <v>0.1</v>
      </c>
    </row>
    <row r="41" spans="1:14" hidden="1" outlineLevel="1" x14ac:dyDescent="0.2">
      <c r="A41" s="9" t="s">
        <v>117</v>
      </c>
      <c r="B41" s="1" t="s">
        <v>118</v>
      </c>
      <c r="C41" s="10">
        <v>0</v>
      </c>
      <c r="D41" s="10">
        <v>0</v>
      </c>
      <c r="E41" s="10">
        <v>0.6</v>
      </c>
      <c r="F41" s="10">
        <v>0</v>
      </c>
      <c r="G41" s="10">
        <v>0</v>
      </c>
      <c r="H41" s="10">
        <v>0</v>
      </c>
      <c r="I41" s="10">
        <v>0</v>
      </c>
      <c r="J41" s="10">
        <v>0.6</v>
      </c>
      <c r="K41" s="10">
        <v>0</v>
      </c>
      <c r="L41" s="10">
        <v>0</v>
      </c>
      <c r="M41" s="10">
        <v>0</v>
      </c>
      <c r="N41" s="10">
        <v>0</v>
      </c>
    </row>
    <row r="42" spans="1:14" collapsed="1" x14ac:dyDescent="0.2">
      <c r="A42" s="9" t="s">
        <v>119</v>
      </c>
      <c r="B42" s="1" t="s">
        <v>120</v>
      </c>
      <c r="C42" s="28">
        <f t="shared" ref="C42:I42" si="28">SUM(C43:C44)</f>
        <v>0</v>
      </c>
      <c r="D42" s="28">
        <f t="shared" si="28"/>
        <v>0</v>
      </c>
      <c r="E42" s="28">
        <f t="shared" si="28"/>
        <v>0</v>
      </c>
      <c r="F42" s="28">
        <f t="shared" si="28"/>
        <v>0</v>
      </c>
      <c r="G42" s="28">
        <f t="shared" si="28"/>
        <v>0</v>
      </c>
      <c r="H42" s="28">
        <f t="shared" si="28"/>
        <v>0</v>
      </c>
      <c r="I42" s="28">
        <f t="shared" si="28"/>
        <v>0</v>
      </c>
      <c r="J42" s="28">
        <f>SUM(J43:J44)</f>
        <v>0</v>
      </c>
      <c r="K42" s="28">
        <f t="shared" ref="K42:N42" si="29">SUM(K43:K44)</f>
        <v>0</v>
      </c>
      <c r="L42" s="28">
        <f t="shared" si="29"/>
        <v>0</v>
      </c>
      <c r="M42" s="28">
        <f t="shared" si="29"/>
        <v>0</v>
      </c>
      <c r="N42" s="28">
        <f t="shared" si="29"/>
        <v>0</v>
      </c>
    </row>
    <row r="43" spans="1:14" hidden="1" outlineLevel="1" x14ac:dyDescent="0.2">
      <c r="A43" s="9" t="s">
        <v>121</v>
      </c>
      <c r="B43" s="1" t="s">
        <v>122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123</v>
      </c>
      <c r="B44" s="1" t="s">
        <v>124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collapsed="1" x14ac:dyDescent="0.2">
      <c r="A45" s="9" t="s">
        <v>127</v>
      </c>
      <c r="B45" s="1" t="s">
        <v>128</v>
      </c>
      <c r="C45" s="28">
        <f t="shared" ref="C45:I45" si="30">+C46</f>
        <v>12.9</v>
      </c>
      <c r="D45" s="28">
        <f t="shared" si="30"/>
        <v>0</v>
      </c>
      <c r="E45" s="28">
        <f t="shared" si="30"/>
        <v>0</v>
      </c>
      <c r="F45" s="28">
        <f t="shared" si="30"/>
        <v>0</v>
      </c>
      <c r="G45" s="28">
        <f t="shared" si="30"/>
        <v>22.2</v>
      </c>
      <c r="H45" s="28">
        <f t="shared" si="30"/>
        <v>22.2</v>
      </c>
      <c r="I45" s="28">
        <f t="shared" si="30"/>
        <v>0</v>
      </c>
      <c r="J45" s="28">
        <f>+J46</f>
        <v>22.2</v>
      </c>
      <c r="K45" s="28">
        <f t="shared" ref="K45:N45" si="31">+K46</f>
        <v>21</v>
      </c>
      <c r="L45" s="28">
        <f t="shared" si="31"/>
        <v>20</v>
      </c>
      <c r="M45" s="28">
        <f t="shared" si="31"/>
        <v>23</v>
      </c>
      <c r="N45" s="28">
        <f t="shared" si="31"/>
        <v>22.2</v>
      </c>
    </row>
    <row r="46" spans="1:14" hidden="1" outlineLevel="1" x14ac:dyDescent="0.2">
      <c r="A46" s="9" t="s">
        <v>129</v>
      </c>
      <c r="B46" s="1" t="s">
        <v>130</v>
      </c>
      <c r="C46" s="10">
        <v>12.9</v>
      </c>
      <c r="D46" s="10">
        <v>0</v>
      </c>
      <c r="E46" s="10">
        <v>0</v>
      </c>
      <c r="F46" s="10">
        <v>0</v>
      </c>
      <c r="G46" s="10">
        <v>22.2</v>
      </c>
      <c r="H46" s="10">
        <v>22.2</v>
      </c>
      <c r="I46" s="10">
        <v>0</v>
      </c>
      <c r="J46" s="10">
        <v>22.2</v>
      </c>
      <c r="K46" s="10">
        <v>21</v>
      </c>
      <c r="L46" s="10">
        <v>20</v>
      </c>
      <c r="M46" s="10">
        <v>23</v>
      </c>
      <c r="N46" s="10">
        <v>22.2</v>
      </c>
    </row>
    <row r="47" spans="1:14" collapsed="1" x14ac:dyDescent="0.2">
      <c r="A47" s="9" t="s">
        <v>133</v>
      </c>
      <c r="B47" s="1" t="s">
        <v>134</v>
      </c>
      <c r="C47" s="28">
        <f t="shared" ref="C47:I47" si="32">+C48+C49</f>
        <v>15.5</v>
      </c>
      <c r="D47" s="28">
        <f t="shared" si="32"/>
        <v>15.6</v>
      </c>
      <c r="E47" s="28">
        <f t="shared" si="32"/>
        <v>17.2</v>
      </c>
      <c r="F47" s="28">
        <f t="shared" si="32"/>
        <v>9.6999999999999993</v>
      </c>
      <c r="G47" s="28">
        <f t="shared" si="32"/>
        <v>21.6</v>
      </c>
      <c r="H47" s="28">
        <f t="shared" si="32"/>
        <v>0</v>
      </c>
      <c r="I47" s="28">
        <f t="shared" si="32"/>
        <v>0</v>
      </c>
      <c r="J47" s="28">
        <f>+J48+J49</f>
        <v>15.5</v>
      </c>
      <c r="K47" s="28">
        <f t="shared" ref="K47:N47" si="33">+K48+K49</f>
        <v>15.6</v>
      </c>
      <c r="L47" s="28">
        <f t="shared" si="33"/>
        <v>17.2</v>
      </c>
      <c r="M47" s="28">
        <f t="shared" si="33"/>
        <v>9.6999999999999993</v>
      </c>
      <c r="N47" s="28">
        <f t="shared" si="33"/>
        <v>21.6</v>
      </c>
    </row>
    <row r="48" spans="1:14" hidden="1" outlineLevel="1" x14ac:dyDescent="0.2">
      <c r="A48" s="9" t="s">
        <v>329</v>
      </c>
      <c r="B48" s="1" t="s">
        <v>330</v>
      </c>
      <c r="C48" s="10">
        <v>15.5</v>
      </c>
      <c r="D48" s="10">
        <v>15.6</v>
      </c>
      <c r="E48" s="10">
        <v>15.4</v>
      </c>
      <c r="F48" s="10">
        <v>9.6999999999999993</v>
      </c>
      <c r="G48" s="10">
        <v>15.6</v>
      </c>
      <c r="H48" s="10">
        <v>0</v>
      </c>
      <c r="I48" s="10">
        <v>0</v>
      </c>
      <c r="J48" s="10">
        <v>15.5</v>
      </c>
      <c r="K48" s="10">
        <v>15.6</v>
      </c>
      <c r="L48" s="10">
        <v>15.4</v>
      </c>
      <c r="M48" s="10">
        <v>9.6999999999999993</v>
      </c>
      <c r="N48" s="10">
        <v>15.6</v>
      </c>
    </row>
    <row r="49" spans="1:14" hidden="1" outlineLevel="1" x14ac:dyDescent="0.2">
      <c r="A49" s="9" t="s">
        <v>331</v>
      </c>
      <c r="B49" s="1" t="s">
        <v>332</v>
      </c>
      <c r="C49" s="10">
        <v>0</v>
      </c>
      <c r="D49" s="10">
        <v>0</v>
      </c>
      <c r="E49" s="10">
        <v>1.8</v>
      </c>
      <c r="F49" s="10">
        <v>0</v>
      </c>
      <c r="G49" s="10">
        <v>6</v>
      </c>
      <c r="H49" s="10">
        <v>0</v>
      </c>
      <c r="I49" s="10">
        <v>0</v>
      </c>
      <c r="J49" s="10">
        <v>0</v>
      </c>
      <c r="K49" s="10">
        <v>0</v>
      </c>
      <c r="L49" s="10">
        <v>1.8</v>
      </c>
      <c r="M49" s="10">
        <v>0</v>
      </c>
      <c r="N49" s="10">
        <v>6</v>
      </c>
    </row>
    <row r="50" spans="1:14" collapsed="1" x14ac:dyDescent="0.2">
      <c r="A50" s="9" t="s">
        <v>137</v>
      </c>
      <c r="B50" s="1" t="s">
        <v>138</v>
      </c>
      <c r="C50" s="28">
        <f t="shared" ref="C50:I50" si="34">SUM(C51:C56)</f>
        <v>10.7</v>
      </c>
      <c r="D50" s="28">
        <f t="shared" si="34"/>
        <v>10.6</v>
      </c>
      <c r="E50" s="28">
        <f t="shared" si="34"/>
        <v>10.399999999999999</v>
      </c>
      <c r="F50" s="28">
        <f t="shared" si="34"/>
        <v>11.6</v>
      </c>
      <c r="G50" s="28">
        <f t="shared" si="34"/>
        <v>11.6</v>
      </c>
      <c r="H50" s="28">
        <f t="shared" si="34"/>
        <v>-5.4</v>
      </c>
      <c r="I50" s="28">
        <f t="shared" si="34"/>
        <v>13.1</v>
      </c>
      <c r="J50" s="28">
        <f>SUM(J51:J56)</f>
        <v>10.6</v>
      </c>
      <c r="K50" s="28">
        <f t="shared" ref="K50:N50" si="35">SUM(K51:K56)</f>
        <v>10.399999999999999</v>
      </c>
      <c r="L50" s="28">
        <f t="shared" si="35"/>
        <v>11.6</v>
      </c>
      <c r="M50" s="28">
        <f t="shared" si="35"/>
        <v>11.6</v>
      </c>
      <c r="N50" s="28">
        <f t="shared" si="35"/>
        <v>-5.4</v>
      </c>
    </row>
    <row r="51" spans="1:14" hidden="1" outlineLevel="1" x14ac:dyDescent="0.2">
      <c r="A51" s="9" t="s">
        <v>377</v>
      </c>
      <c r="B51" s="1" t="s">
        <v>378</v>
      </c>
      <c r="C51" s="10">
        <v>0.5</v>
      </c>
      <c r="D51" s="10">
        <v>0.5</v>
      </c>
      <c r="E51" s="10">
        <v>0.5</v>
      </c>
      <c r="F51" s="10">
        <v>0.5</v>
      </c>
      <c r="G51" s="10">
        <v>0.5</v>
      </c>
      <c r="H51" s="10">
        <v>0</v>
      </c>
      <c r="I51" s="10">
        <v>0.9</v>
      </c>
      <c r="J51" s="10">
        <v>0.5</v>
      </c>
      <c r="K51" s="10">
        <v>0.5</v>
      </c>
      <c r="L51" s="10">
        <v>0.5</v>
      </c>
      <c r="M51" s="10">
        <v>0.5</v>
      </c>
      <c r="N51" s="10">
        <v>0</v>
      </c>
    </row>
    <row r="52" spans="1:14" hidden="1" outlineLevel="1" x14ac:dyDescent="0.2">
      <c r="A52" s="9" t="s">
        <v>339</v>
      </c>
      <c r="B52" s="1" t="s">
        <v>340</v>
      </c>
      <c r="C52" s="10">
        <v>7.4</v>
      </c>
      <c r="D52" s="10">
        <v>7.4</v>
      </c>
      <c r="E52" s="10">
        <v>7.4</v>
      </c>
      <c r="F52" s="10">
        <v>7.4</v>
      </c>
      <c r="G52" s="10">
        <v>7.4</v>
      </c>
      <c r="H52" s="10">
        <v>1.3</v>
      </c>
      <c r="I52" s="10">
        <v>7.4</v>
      </c>
      <c r="J52" s="10">
        <v>7.4</v>
      </c>
      <c r="K52" s="10">
        <v>7.4</v>
      </c>
      <c r="L52" s="10">
        <v>7.4</v>
      </c>
      <c r="M52" s="10">
        <v>7.4</v>
      </c>
      <c r="N52" s="10">
        <v>1.3</v>
      </c>
    </row>
    <row r="53" spans="1:14" hidden="1" outlineLevel="1" x14ac:dyDescent="0.2">
      <c r="A53" s="9" t="s">
        <v>341</v>
      </c>
      <c r="B53" s="1" t="s">
        <v>342</v>
      </c>
      <c r="C53" s="10">
        <v>0.9</v>
      </c>
      <c r="D53" s="10">
        <v>0.8</v>
      </c>
      <c r="E53" s="10">
        <v>0.6</v>
      </c>
      <c r="F53" s="10">
        <v>1.8</v>
      </c>
      <c r="G53" s="10">
        <v>1.8</v>
      </c>
      <c r="H53" s="10">
        <v>1.8</v>
      </c>
      <c r="I53" s="10">
        <v>1.8</v>
      </c>
      <c r="J53" s="10">
        <v>0.8</v>
      </c>
      <c r="K53" s="10">
        <v>0.6</v>
      </c>
      <c r="L53" s="10">
        <v>1.8</v>
      </c>
      <c r="M53" s="10">
        <v>1.8</v>
      </c>
      <c r="N53" s="10">
        <v>1.8</v>
      </c>
    </row>
    <row r="54" spans="1:14" hidden="1" outlineLevel="1" x14ac:dyDescent="0.2">
      <c r="A54" s="9" t="s">
        <v>343</v>
      </c>
      <c r="B54" s="1" t="s">
        <v>344</v>
      </c>
      <c r="C54" s="10">
        <v>0.2</v>
      </c>
      <c r="D54" s="10">
        <v>0.2</v>
      </c>
      <c r="E54" s="10">
        <v>0.2</v>
      </c>
      <c r="F54" s="10">
        <v>0.2</v>
      </c>
      <c r="G54" s="10">
        <v>0.2</v>
      </c>
      <c r="H54" s="10">
        <v>0.2</v>
      </c>
      <c r="I54" s="10">
        <v>0.2</v>
      </c>
      <c r="J54" s="10">
        <v>0.2</v>
      </c>
      <c r="K54" s="10">
        <v>0.2</v>
      </c>
      <c r="L54" s="10">
        <v>0.2</v>
      </c>
      <c r="M54" s="10">
        <v>0.2</v>
      </c>
      <c r="N54" s="10">
        <v>0.2</v>
      </c>
    </row>
    <row r="55" spans="1:14" hidden="1" outlineLevel="1" x14ac:dyDescent="0.2">
      <c r="A55" s="9" t="s">
        <v>347</v>
      </c>
      <c r="B55" s="1" t="s">
        <v>348</v>
      </c>
      <c r="C55" s="10">
        <v>1</v>
      </c>
      <c r="D55" s="10">
        <v>1</v>
      </c>
      <c r="E55" s="10">
        <v>1</v>
      </c>
      <c r="F55" s="10">
        <v>1</v>
      </c>
      <c r="G55" s="10">
        <v>1</v>
      </c>
      <c r="H55" s="10">
        <v>-3.7</v>
      </c>
      <c r="I55" s="10">
        <v>2.2000000000000002</v>
      </c>
      <c r="J55" s="10">
        <v>1</v>
      </c>
      <c r="K55" s="10">
        <v>1</v>
      </c>
      <c r="L55" s="10">
        <v>1</v>
      </c>
      <c r="M55" s="10">
        <v>1</v>
      </c>
      <c r="N55" s="10">
        <v>-3.7</v>
      </c>
    </row>
    <row r="56" spans="1:14" hidden="1" outlineLevel="1" x14ac:dyDescent="0.2">
      <c r="A56" s="9" t="s">
        <v>349</v>
      </c>
      <c r="B56" s="1" t="s">
        <v>350</v>
      </c>
      <c r="C56" s="10">
        <v>0.7</v>
      </c>
      <c r="D56" s="10">
        <v>0.7</v>
      </c>
      <c r="E56" s="10">
        <v>0.7</v>
      </c>
      <c r="F56" s="10">
        <v>0.7</v>
      </c>
      <c r="G56" s="10">
        <v>0.7</v>
      </c>
      <c r="H56" s="10">
        <v>-5</v>
      </c>
      <c r="I56" s="10">
        <v>0.6</v>
      </c>
      <c r="J56" s="10">
        <v>0.7</v>
      </c>
      <c r="K56" s="10">
        <v>0.7</v>
      </c>
      <c r="L56" s="10">
        <v>0.7</v>
      </c>
      <c r="M56" s="10">
        <v>0.7</v>
      </c>
      <c r="N56" s="10">
        <v>-5</v>
      </c>
    </row>
    <row r="57" spans="1:14" collapsed="1" x14ac:dyDescent="0.2">
      <c r="A57" s="9" t="s">
        <v>139</v>
      </c>
      <c r="B57" s="1" t="s">
        <v>140</v>
      </c>
      <c r="C57" s="28">
        <f t="shared" ref="C57:I57" si="36">+C58</f>
        <v>0</v>
      </c>
      <c r="D57" s="28">
        <f t="shared" si="36"/>
        <v>0</v>
      </c>
      <c r="E57" s="28">
        <f t="shared" si="36"/>
        <v>0</v>
      </c>
      <c r="F57" s="28">
        <f t="shared" si="36"/>
        <v>0</v>
      </c>
      <c r="G57" s="28">
        <f t="shared" si="36"/>
        <v>0</v>
      </c>
      <c r="H57" s="28">
        <f t="shared" si="36"/>
        <v>0</v>
      </c>
      <c r="I57" s="28">
        <f t="shared" si="36"/>
        <v>0</v>
      </c>
      <c r="J57" s="28">
        <f>+J58</f>
        <v>0</v>
      </c>
      <c r="K57" s="28">
        <f t="shared" ref="K57:N57" si="37">+K58</f>
        <v>0</v>
      </c>
      <c r="L57" s="28">
        <f t="shared" si="37"/>
        <v>0</v>
      </c>
      <c r="M57" s="28">
        <f t="shared" si="37"/>
        <v>0</v>
      </c>
      <c r="N57" s="28">
        <f t="shared" si="37"/>
        <v>0</v>
      </c>
    </row>
    <row r="58" spans="1:14" hidden="1" outlineLevel="1" x14ac:dyDescent="0.2">
      <c r="A58" s="9" t="s">
        <v>353</v>
      </c>
      <c r="B58" s="1" t="s">
        <v>354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</row>
    <row r="59" spans="1:14" collapsed="1" x14ac:dyDescent="0.2">
      <c r="A59" s="9" t="s">
        <v>141</v>
      </c>
      <c r="B59" s="1" t="s">
        <v>142</v>
      </c>
      <c r="C59" s="28">
        <f t="shared" ref="C59:I59" si="38">+C60</f>
        <v>0</v>
      </c>
      <c r="D59" s="28">
        <f t="shared" si="38"/>
        <v>0</v>
      </c>
      <c r="E59" s="28">
        <f t="shared" si="38"/>
        <v>0</v>
      </c>
      <c r="F59" s="28">
        <f t="shared" si="38"/>
        <v>0.1</v>
      </c>
      <c r="G59" s="28">
        <f t="shared" si="38"/>
        <v>0</v>
      </c>
      <c r="H59" s="28">
        <f t="shared" si="38"/>
        <v>0</v>
      </c>
      <c r="I59" s="28">
        <f t="shared" si="38"/>
        <v>0</v>
      </c>
      <c r="J59" s="28">
        <f>+J60</f>
        <v>0</v>
      </c>
      <c r="K59" s="28">
        <f t="shared" ref="K59:N59" si="39">+K60</f>
        <v>0</v>
      </c>
      <c r="L59" s="28">
        <f t="shared" si="39"/>
        <v>0</v>
      </c>
      <c r="M59" s="28">
        <f t="shared" si="39"/>
        <v>0</v>
      </c>
      <c r="N59" s="28">
        <f t="shared" si="39"/>
        <v>0</v>
      </c>
    </row>
    <row r="60" spans="1:14" hidden="1" outlineLevel="1" x14ac:dyDescent="0.2">
      <c r="A60" s="9" t="s">
        <v>379</v>
      </c>
      <c r="B60" s="1" t="s">
        <v>380</v>
      </c>
      <c r="C60" s="10">
        <v>0</v>
      </c>
      <c r="D60" s="10">
        <v>0</v>
      </c>
      <c r="E60" s="10">
        <v>0</v>
      </c>
      <c r="F60" s="10">
        <v>0.1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</row>
    <row r="61" spans="1:14" collapsed="1" x14ac:dyDescent="0.2">
      <c r="A61" s="9" t="s">
        <v>143</v>
      </c>
      <c r="B61" s="1" t="s">
        <v>144</v>
      </c>
      <c r="C61" s="28">
        <f t="shared" ref="C61:I61" si="40">SUM(C62:C68)</f>
        <v>77.400000000000006</v>
      </c>
      <c r="D61" s="28">
        <f t="shared" si="40"/>
        <v>67.399999999999991</v>
      </c>
      <c r="E61" s="28">
        <f t="shared" si="40"/>
        <v>63.400000000000006</v>
      </c>
      <c r="F61" s="28">
        <f t="shared" si="40"/>
        <v>61.3</v>
      </c>
      <c r="G61" s="28">
        <f t="shared" si="40"/>
        <v>58.800000000000004</v>
      </c>
      <c r="H61" s="28">
        <f t="shared" si="40"/>
        <v>73.5</v>
      </c>
      <c r="I61" s="28">
        <f t="shared" si="40"/>
        <v>74.099999999999994</v>
      </c>
      <c r="J61" s="28">
        <f>SUM(J62:J68)</f>
        <v>69.7</v>
      </c>
      <c r="K61" s="28">
        <f t="shared" ref="K61:N61" si="41">SUM(K62:K68)</f>
        <v>65.3</v>
      </c>
      <c r="L61" s="28">
        <f t="shared" si="41"/>
        <v>64.199999999999989</v>
      </c>
      <c r="M61" s="28">
        <f t="shared" si="41"/>
        <v>71.199999999999989</v>
      </c>
      <c r="N61" s="28">
        <f t="shared" si="41"/>
        <v>72.5</v>
      </c>
    </row>
    <row r="62" spans="1:14" hidden="1" outlineLevel="1" x14ac:dyDescent="0.2">
      <c r="A62" s="9" t="s">
        <v>145</v>
      </c>
      <c r="B62" s="1" t="s">
        <v>146</v>
      </c>
      <c r="C62" s="10">
        <v>28.7</v>
      </c>
      <c r="D62" s="10">
        <v>31.2</v>
      </c>
      <c r="E62" s="10">
        <v>30.1</v>
      </c>
      <c r="F62" s="10">
        <v>30.1</v>
      </c>
      <c r="G62" s="10">
        <v>18.600000000000001</v>
      </c>
      <c r="H62" s="10">
        <v>31</v>
      </c>
      <c r="I62" s="10">
        <v>31.6</v>
      </c>
      <c r="J62" s="10">
        <v>33</v>
      </c>
      <c r="K62" s="10">
        <v>32</v>
      </c>
      <c r="L62" s="10">
        <v>33</v>
      </c>
      <c r="M62" s="10">
        <v>31</v>
      </c>
      <c r="N62" s="10">
        <v>30</v>
      </c>
    </row>
    <row r="63" spans="1:14" hidden="1" outlineLevel="1" x14ac:dyDescent="0.2">
      <c r="A63" s="9" t="s">
        <v>147</v>
      </c>
      <c r="B63" s="1" t="s">
        <v>148</v>
      </c>
      <c r="C63" s="10">
        <v>0.1</v>
      </c>
      <c r="D63" s="10">
        <v>0</v>
      </c>
      <c r="E63" s="10">
        <v>0.1</v>
      </c>
      <c r="F63" s="10">
        <v>0</v>
      </c>
      <c r="G63" s="10">
        <v>0.1</v>
      </c>
      <c r="H63" s="10">
        <v>0.8</v>
      </c>
      <c r="I63" s="10">
        <v>0.1</v>
      </c>
      <c r="J63" s="10">
        <v>0</v>
      </c>
      <c r="K63" s="10">
        <v>0.1</v>
      </c>
      <c r="L63" s="10">
        <v>0</v>
      </c>
      <c r="M63" s="10">
        <v>0.1</v>
      </c>
      <c r="N63" s="10">
        <v>0.8</v>
      </c>
    </row>
    <row r="64" spans="1:14" hidden="1" outlineLevel="1" x14ac:dyDescent="0.2">
      <c r="A64" s="9" t="s">
        <v>149</v>
      </c>
      <c r="B64" s="1" t="s">
        <v>150</v>
      </c>
      <c r="C64" s="10">
        <v>6.3</v>
      </c>
      <c r="D64" s="10">
        <v>9.6</v>
      </c>
      <c r="E64" s="10">
        <v>-0.2</v>
      </c>
      <c r="F64" s="10">
        <v>3.3</v>
      </c>
      <c r="G64" s="10">
        <v>3.6</v>
      </c>
      <c r="H64" s="10">
        <v>6.3</v>
      </c>
      <c r="I64" s="10">
        <v>6.3</v>
      </c>
      <c r="J64" s="10">
        <v>9.6</v>
      </c>
      <c r="K64" s="10">
        <v>-0.2</v>
      </c>
      <c r="L64" s="10">
        <v>3.3</v>
      </c>
      <c r="M64" s="10">
        <v>3.6</v>
      </c>
      <c r="N64" s="10">
        <v>6.3</v>
      </c>
    </row>
    <row r="65" spans="1:14" hidden="1" outlineLevel="1" x14ac:dyDescent="0.2">
      <c r="A65" s="9" t="s">
        <v>151</v>
      </c>
      <c r="B65" s="1" t="s">
        <v>152</v>
      </c>
      <c r="C65" s="10">
        <v>1.2</v>
      </c>
      <c r="D65" s="10">
        <v>1.5</v>
      </c>
      <c r="E65" s="10">
        <v>1.3</v>
      </c>
      <c r="F65" s="10">
        <v>-0.1</v>
      </c>
      <c r="G65" s="10">
        <v>-0.2</v>
      </c>
      <c r="H65" s="10">
        <v>0.5</v>
      </c>
      <c r="I65" s="10">
        <v>0.2</v>
      </c>
      <c r="J65" s="10">
        <v>1.5</v>
      </c>
      <c r="K65" s="10">
        <v>1.3</v>
      </c>
      <c r="L65" s="10">
        <v>-0.1</v>
      </c>
      <c r="M65" s="10">
        <v>-0.2</v>
      </c>
      <c r="N65" s="10">
        <v>0.5</v>
      </c>
    </row>
    <row r="66" spans="1:14" hidden="1" outlineLevel="1" x14ac:dyDescent="0.2">
      <c r="A66" s="9" t="s">
        <v>355</v>
      </c>
      <c r="B66" s="1" t="s">
        <v>356</v>
      </c>
      <c r="C66" s="10">
        <v>6.5</v>
      </c>
      <c r="D66" s="10">
        <v>-6.5</v>
      </c>
      <c r="E66" s="10">
        <v>0</v>
      </c>
      <c r="F66" s="10">
        <v>0</v>
      </c>
      <c r="G66" s="10">
        <v>0</v>
      </c>
      <c r="H66" s="10">
        <v>0</v>
      </c>
      <c r="I66" s="10">
        <v>0.2</v>
      </c>
      <c r="J66" s="10">
        <v>-6.5</v>
      </c>
      <c r="K66" s="10">
        <v>0</v>
      </c>
      <c r="L66" s="10">
        <v>0</v>
      </c>
      <c r="M66" s="10">
        <v>0</v>
      </c>
      <c r="N66" s="10">
        <v>0</v>
      </c>
    </row>
    <row r="67" spans="1:14" hidden="1" outlineLevel="1" x14ac:dyDescent="0.2">
      <c r="A67" s="9" t="s">
        <v>153</v>
      </c>
      <c r="B67" s="1" t="s">
        <v>154</v>
      </c>
      <c r="C67" s="10">
        <v>29.3</v>
      </c>
      <c r="D67" s="10">
        <v>29.8</v>
      </c>
      <c r="E67" s="10">
        <v>29.8</v>
      </c>
      <c r="F67" s="10">
        <v>28</v>
      </c>
      <c r="G67" s="10">
        <v>31.6</v>
      </c>
      <c r="H67" s="10">
        <v>31.6</v>
      </c>
      <c r="I67" s="10">
        <v>31.6</v>
      </c>
      <c r="J67" s="10">
        <v>29.8</v>
      </c>
      <c r="K67" s="10">
        <v>29.8</v>
      </c>
      <c r="L67" s="10">
        <v>28</v>
      </c>
      <c r="M67" s="10">
        <v>31.6</v>
      </c>
      <c r="N67" s="10">
        <v>31.6</v>
      </c>
    </row>
    <row r="68" spans="1:14" hidden="1" outlineLevel="1" x14ac:dyDescent="0.2">
      <c r="A68" s="9" t="s">
        <v>155</v>
      </c>
      <c r="B68" s="1" t="s">
        <v>156</v>
      </c>
      <c r="C68" s="10">
        <v>5.3</v>
      </c>
      <c r="D68" s="10">
        <v>1.8</v>
      </c>
      <c r="E68" s="10">
        <v>2.2999999999999998</v>
      </c>
      <c r="F68" s="10">
        <v>0</v>
      </c>
      <c r="G68" s="10">
        <v>5.0999999999999996</v>
      </c>
      <c r="H68" s="10">
        <v>3.3</v>
      </c>
      <c r="I68" s="10">
        <v>4.0999999999999996</v>
      </c>
      <c r="J68" s="10">
        <v>2.2999999999999998</v>
      </c>
      <c r="K68" s="10">
        <v>2.2999999999999998</v>
      </c>
      <c r="L68" s="10">
        <v>0</v>
      </c>
      <c r="M68" s="10">
        <v>5.0999999999999996</v>
      </c>
      <c r="N68" s="10">
        <v>3.3</v>
      </c>
    </row>
    <row r="69" spans="1:14" collapsed="1" x14ac:dyDescent="0.2">
      <c r="A69" s="9" t="s">
        <v>157</v>
      </c>
      <c r="B69" s="1" t="s">
        <v>158</v>
      </c>
      <c r="C69" s="28">
        <f t="shared" ref="C69:I69" si="42">+C70</f>
        <v>0</v>
      </c>
      <c r="D69" s="28">
        <f t="shared" si="42"/>
        <v>0</v>
      </c>
      <c r="E69" s="28">
        <f t="shared" si="42"/>
        <v>-23.6</v>
      </c>
      <c r="F69" s="28">
        <f t="shared" si="42"/>
        <v>2.9</v>
      </c>
      <c r="G69" s="28">
        <f t="shared" si="42"/>
        <v>2.4</v>
      </c>
      <c r="H69" s="28">
        <f t="shared" si="42"/>
        <v>-2.6</v>
      </c>
      <c r="I69" s="28">
        <f t="shared" si="42"/>
        <v>2.4</v>
      </c>
      <c r="J69" s="28">
        <f>+J70</f>
        <v>2.9</v>
      </c>
      <c r="K69" s="28">
        <f t="shared" ref="K69:N69" si="43">+K70</f>
        <v>2.4</v>
      </c>
      <c r="L69" s="28">
        <f t="shared" si="43"/>
        <v>2.9</v>
      </c>
      <c r="M69" s="28">
        <f t="shared" si="43"/>
        <v>2.4</v>
      </c>
      <c r="N69" s="28">
        <f t="shared" si="43"/>
        <v>-2.6</v>
      </c>
    </row>
    <row r="70" spans="1:14" hidden="1" outlineLevel="1" x14ac:dyDescent="0.2">
      <c r="A70" s="9" t="s">
        <v>159</v>
      </c>
      <c r="B70" s="1" t="s">
        <v>160</v>
      </c>
      <c r="C70" s="10">
        <v>0</v>
      </c>
      <c r="D70" s="10">
        <v>0</v>
      </c>
      <c r="E70" s="10">
        <v>-23.6</v>
      </c>
      <c r="F70" s="10">
        <v>2.9</v>
      </c>
      <c r="G70" s="10">
        <v>2.4</v>
      </c>
      <c r="H70" s="10">
        <v>-2.6</v>
      </c>
      <c r="I70" s="10">
        <v>2.4</v>
      </c>
      <c r="J70" s="10">
        <v>2.9</v>
      </c>
      <c r="K70" s="10">
        <v>2.4</v>
      </c>
      <c r="L70" s="10">
        <v>2.9</v>
      </c>
      <c r="M70" s="10">
        <v>2.4</v>
      </c>
      <c r="N70" s="10">
        <v>-2.6</v>
      </c>
    </row>
    <row r="71" spans="1:14" collapsed="1" x14ac:dyDescent="0.2">
      <c r="A71" s="3"/>
      <c r="B71" s="3" t="s">
        <v>165</v>
      </c>
      <c r="C71" s="30">
        <f t="shared" ref="C71:I71" si="44">+C34+C38+C42+C45+C47+C50+C57+C59+C61+C69</f>
        <v>118</v>
      </c>
      <c r="D71" s="30">
        <f t="shared" si="44"/>
        <v>96.5</v>
      </c>
      <c r="E71" s="30">
        <f t="shared" si="44"/>
        <v>69.5</v>
      </c>
      <c r="F71" s="30">
        <f t="shared" si="44"/>
        <v>86.9</v>
      </c>
      <c r="G71" s="30">
        <f t="shared" si="44"/>
        <v>117.80000000000001</v>
      </c>
      <c r="H71" s="30">
        <f t="shared" si="44"/>
        <v>89.5</v>
      </c>
      <c r="I71" s="30">
        <f t="shared" si="44"/>
        <v>89.5</v>
      </c>
      <c r="J71" s="30">
        <f>+J34+J38+J42+J45+J47+J50+J57+J59+J61+J69</f>
        <v>123</v>
      </c>
      <c r="K71" s="30">
        <f t="shared" ref="K71:N71" si="45">+K34+K38+K42+K45+K47+K50+K57+K59+K61+K69</f>
        <v>116</v>
      </c>
      <c r="L71" s="30">
        <f t="shared" si="45"/>
        <v>117.1</v>
      </c>
      <c r="M71" s="30">
        <f t="shared" si="45"/>
        <v>119.69999999999999</v>
      </c>
      <c r="N71" s="30">
        <f t="shared" si="45"/>
        <v>108.20000000000002</v>
      </c>
    </row>
    <row r="72" spans="1:14" x14ac:dyDescent="0.2">
      <c r="A72" s="12"/>
      <c r="B72" s="12" t="s">
        <v>166</v>
      </c>
      <c r="C72" s="29">
        <f t="shared" ref="C72:I72" si="46">+C32-C71</f>
        <v>-51.900000000000006</v>
      </c>
      <c r="D72" s="29">
        <f t="shared" si="46"/>
        <v>-30.400000000000006</v>
      </c>
      <c r="E72" s="29">
        <f t="shared" si="46"/>
        <v>47.5</v>
      </c>
      <c r="F72" s="29">
        <f t="shared" si="46"/>
        <v>35.899999999999991</v>
      </c>
      <c r="G72" s="29">
        <f t="shared" si="46"/>
        <v>-5.1000000000000085</v>
      </c>
      <c r="H72" s="29">
        <f t="shared" si="46"/>
        <v>22.799999999999997</v>
      </c>
      <c r="I72" s="29">
        <f t="shared" si="46"/>
        <v>22.799999999999997</v>
      </c>
      <c r="J72" s="29">
        <f>+J32-J71</f>
        <v>-8</v>
      </c>
      <c r="K72" s="29">
        <f t="shared" ref="K72:N72" si="47">+K32-K71</f>
        <v>-1</v>
      </c>
      <c r="L72" s="29">
        <f t="shared" si="47"/>
        <v>-3.0999999999999943</v>
      </c>
      <c r="M72" s="29">
        <f t="shared" si="47"/>
        <v>-8.6999999999999886</v>
      </c>
      <c r="N72" s="29">
        <f t="shared" si="47"/>
        <v>9.7999999999999829</v>
      </c>
    </row>
    <row r="73" spans="1:14" x14ac:dyDescent="0.2">
      <c r="A73" s="9" t="s">
        <v>167</v>
      </c>
      <c r="B73" s="1" t="s">
        <v>168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28">
        <v>0</v>
      </c>
      <c r="K73" s="28">
        <v>0</v>
      </c>
      <c r="L73" s="28">
        <v>0</v>
      </c>
      <c r="M73" s="28">
        <v>0</v>
      </c>
      <c r="N73" s="28">
        <v>0</v>
      </c>
    </row>
    <row r="74" spans="1:14" x14ac:dyDescent="0.2">
      <c r="A74" s="9" t="s">
        <v>200</v>
      </c>
      <c r="B74" s="1" t="s">
        <v>201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28">
        <f>+J75+J76</f>
        <v>0</v>
      </c>
      <c r="K74" s="28">
        <f t="shared" ref="K74:N74" si="48">+K75+K76</f>
        <v>0</v>
      </c>
      <c r="L74" s="28">
        <f t="shared" si="48"/>
        <v>0</v>
      </c>
      <c r="M74" s="28">
        <f t="shared" si="48"/>
        <v>0</v>
      </c>
      <c r="N74" s="28">
        <f t="shared" si="48"/>
        <v>0</v>
      </c>
    </row>
    <row r="75" spans="1:14" hidden="1" outlineLevel="1" x14ac:dyDescent="0.2">
      <c r="A75" s="9" t="s">
        <v>220</v>
      </c>
      <c r="B75" s="1" t="s">
        <v>221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10">
        <v>0</v>
      </c>
      <c r="K75" s="10">
        <v>0</v>
      </c>
      <c r="L75" s="10">
        <v>0</v>
      </c>
      <c r="M75" s="10">
        <v>0</v>
      </c>
      <c r="N75" s="10">
        <v>0</v>
      </c>
    </row>
    <row r="76" spans="1:14" hidden="1" outlineLevel="1" x14ac:dyDescent="0.2">
      <c r="A76" s="9" t="s">
        <v>222</v>
      </c>
      <c r="B76" s="1" t="s">
        <v>223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</row>
    <row r="77" spans="1:14" collapsed="1" x14ac:dyDescent="0.2">
      <c r="A77" s="9" t="s">
        <v>226</v>
      </c>
      <c r="B77" s="1" t="s">
        <v>227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28">
        <v>0</v>
      </c>
      <c r="K77" s="28">
        <v>0</v>
      </c>
      <c r="L77" s="28">
        <v>0</v>
      </c>
      <c r="M77" s="28">
        <v>0</v>
      </c>
      <c r="N77" s="28">
        <v>0</v>
      </c>
    </row>
    <row r="78" spans="1:14" x14ac:dyDescent="0.2">
      <c r="A78" s="9" t="s">
        <v>228</v>
      </c>
      <c r="B78" s="1" t="s">
        <v>229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28">
        <v>0</v>
      </c>
      <c r="K78" s="28">
        <v>0</v>
      </c>
      <c r="L78" s="28">
        <v>0</v>
      </c>
      <c r="M78" s="28">
        <v>0</v>
      </c>
      <c r="N78" s="28">
        <v>0</v>
      </c>
    </row>
    <row r="79" spans="1:14" x14ac:dyDescent="0.2">
      <c r="A79" s="9" t="s">
        <v>230</v>
      </c>
      <c r="B79" s="1" t="s">
        <v>231</v>
      </c>
      <c r="C79" s="28">
        <f t="shared" ref="C79:I79" si="49">+C80</f>
        <v>0</v>
      </c>
      <c r="D79" s="28">
        <f t="shared" si="49"/>
        <v>0</v>
      </c>
      <c r="E79" s="28">
        <f t="shared" si="49"/>
        <v>0</v>
      </c>
      <c r="F79" s="28">
        <f t="shared" si="49"/>
        <v>0</v>
      </c>
      <c r="G79" s="28">
        <f t="shared" si="49"/>
        <v>0</v>
      </c>
      <c r="H79" s="28">
        <f t="shared" si="49"/>
        <v>0</v>
      </c>
      <c r="I79" s="28">
        <f t="shared" si="49"/>
        <v>0</v>
      </c>
      <c r="J79" s="28">
        <f>+J80</f>
        <v>0</v>
      </c>
      <c r="K79" s="28">
        <f t="shared" ref="K79:N79" si="50">+K80</f>
        <v>0</v>
      </c>
      <c r="L79" s="28">
        <f t="shared" si="50"/>
        <v>0</v>
      </c>
      <c r="M79" s="28">
        <f t="shared" si="50"/>
        <v>0</v>
      </c>
      <c r="N79" s="28">
        <f t="shared" si="50"/>
        <v>0</v>
      </c>
    </row>
    <row r="80" spans="1:14" hidden="1" outlineLevel="1" x14ac:dyDescent="0.2">
      <c r="A80" s="9" t="s">
        <v>232</v>
      </c>
      <c r="B80" s="1" t="s">
        <v>233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</row>
    <row r="81" spans="1:14" collapsed="1" x14ac:dyDescent="0.2">
      <c r="A81" s="3"/>
      <c r="B81" s="3" t="s">
        <v>236</v>
      </c>
      <c r="C81" s="30">
        <f t="shared" ref="C81:I81" si="51">+C73+C74+C77+C78+C79</f>
        <v>0</v>
      </c>
      <c r="D81" s="30">
        <f t="shared" si="51"/>
        <v>0</v>
      </c>
      <c r="E81" s="30">
        <f t="shared" si="51"/>
        <v>0</v>
      </c>
      <c r="F81" s="30">
        <f t="shared" si="51"/>
        <v>0</v>
      </c>
      <c r="G81" s="30">
        <f t="shared" si="51"/>
        <v>0</v>
      </c>
      <c r="H81" s="30">
        <f t="shared" si="51"/>
        <v>0</v>
      </c>
      <c r="I81" s="30">
        <f t="shared" si="51"/>
        <v>0</v>
      </c>
      <c r="J81" s="30">
        <f>+J73+J74+J77+J78+J79</f>
        <v>0</v>
      </c>
      <c r="K81" s="30">
        <f t="shared" ref="K81:N81" si="52">+K73+K74+K77+K78+K79</f>
        <v>0</v>
      </c>
      <c r="L81" s="30">
        <f t="shared" si="52"/>
        <v>0</v>
      </c>
      <c r="M81" s="30">
        <f t="shared" si="52"/>
        <v>0</v>
      </c>
      <c r="N81" s="30">
        <f t="shared" si="52"/>
        <v>0</v>
      </c>
    </row>
    <row r="82" spans="1:14" x14ac:dyDescent="0.2">
      <c r="A82" s="12"/>
      <c r="B82" s="12" t="s">
        <v>237</v>
      </c>
      <c r="C82" s="29">
        <f t="shared" ref="C82:I82" si="53">+C72-C81</f>
        <v>-51.900000000000006</v>
      </c>
      <c r="D82" s="29">
        <f t="shared" si="53"/>
        <v>-30.400000000000006</v>
      </c>
      <c r="E82" s="29">
        <f t="shared" si="53"/>
        <v>47.5</v>
      </c>
      <c r="F82" s="29">
        <f t="shared" si="53"/>
        <v>35.899999999999991</v>
      </c>
      <c r="G82" s="29">
        <f t="shared" si="53"/>
        <v>-5.1000000000000085</v>
      </c>
      <c r="H82" s="29">
        <f t="shared" si="53"/>
        <v>22.799999999999997</v>
      </c>
      <c r="I82" s="29">
        <f t="shared" si="53"/>
        <v>22.799999999999997</v>
      </c>
      <c r="J82" s="29">
        <f>+J72-J81</f>
        <v>-8</v>
      </c>
      <c r="K82" s="29">
        <f t="shared" ref="K82:N82" si="54">+K72-K81</f>
        <v>-1</v>
      </c>
      <c r="L82" s="29">
        <f t="shared" si="54"/>
        <v>-3.0999999999999943</v>
      </c>
      <c r="M82" s="29">
        <f t="shared" si="54"/>
        <v>-8.6999999999999886</v>
      </c>
      <c r="N82" s="29">
        <f t="shared" si="54"/>
        <v>9.7999999999999829</v>
      </c>
    </row>
    <row r="83" spans="1:14" x14ac:dyDescent="0.2">
      <c r="A83" s="9" t="s">
        <v>238</v>
      </c>
      <c r="B83" s="1" t="s">
        <v>239</v>
      </c>
      <c r="C83" s="28">
        <f t="shared" ref="C83:I83" si="55">SUM(C84:C87)</f>
        <v>0</v>
      </c>
      <c r="D83" s="28">
        <f t="shared" si="55"/>
        <v>-9.9999999999999978E-2</v>
      </c>
      <c r="E83" s="28">
        <f t="shared" si="55"/>
        <v>-9.9999999999999978E-2</v>
      </c>
      <c r="F83" s="28">
        <f t="shared" si="55"/>
        <v>0.9</v>
      </c>
      <c r="G83" s="28">
        <f t="shared" si="55"/>
        <v>1.4</v>
      </c>
      <c r="H83" s="28">
        <f t="shared" si="55"/>
        <v>0.4</v>
      </c>
      <c r="I83" s="28">
        <f t="shared" si="55"/>
        <v>1.2</v>
      </c>
      <c r="J83" s="28">
        <f>SUM(J84:J87)</f>
        <v>0.9</v>
      </c>
      <c r="K83" s="28">
        <f t="shared" ref="K83:N83" si="56">SUM(K84:K87)</f>
        <v>0.9</v>
      </c>
      <c r="L83" s="28">
        <f t="shared" si="56"/>
        <v>1.4</v>
      </c>
      <c r="M83" s="28">
        <f t="shared" si="56"/>
        <v>0.4</v>
      </c>
      <c r="N83" s="28">
        <f t="shared" si="56"/>
        <v>1.2</v>
      </c>
    </row>
    <row r="84" spans="1:14" hidden="1" outlineLevel="1" x14ac:dyDescent="0.2">
      <c r="A84" s="9" t="s">
        <v>240</v>
      </c>
      <c r="B84" s="1" t="s">
        <v>241</v>
      </c>
      <c r="C84" s="10">
        <v>0.5</v>
      </c>
      <c r="D84" s="10">
        <v>0.5</v>
      </c>
      <c r="E84" s="10">
        <v>0.5</v>
      </c>
      <c r="F84" s="10">
        <v>0.9</v>
      </c>
      <c r="G84" s="10">
        <v>1.4</v>
      </c>
      <c r="H84" s="10">
        <v>0.4</v>
      </c>
      <c r="I84" s="10">
        <v>1.2</v>
      </c>
      <c r="J84" s="10">
        <v>0.9</v>
      </c>
      <c r="K84" s="10">
        <v>0.9</v>
      </c>
      <c r="L84" s="10">
        <v>1.4</v>
      </c>
      <c r="M84" s="10">
        <v>0.4</v>
      </c>
      <c r="N84" s="10">
        <v>1.2</v>
      </c>
    </row>
    <row r="85" spans="1:14" hidden="1" outlineLevel="1" x14ac:dyDescent="0.2">
      <c r="A85" s="9" t="s">
        <v>242</v>
      </c>
      <c r="B85" s="1" t="s">
        <v>243</v>
      </c>
      <c r="C85" s="10">
        <v>-0.5</v>
      </c>
      <c r="D85" s="10">
        <v>-0.6</v>
      </c>
      <c r="E85" s="10">
        <v>-0.6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hidden="1" outlineLevel="1" x14ac:dyDescent="0.2">
      <c r="A86" s="9" t="s">
        <v>359</v>
      </c>
      <c r="B86" s="1" t="s">
        <v>360</v>
      </c>
      <c r="C86" s="10">
        <v>0</v>
      </c>
      <c r="D86" s="10">
        <v>0</v>
      </c>
      <c r="E86" s="10">
        <v>0</v>
      </c>
      <c r="F86" s="10">
        <v>0</v>
      </c>
      <c r="G86" s="10">
        <v>0</v>
      </c>
      <c r="H86" s="10">
        <v>0</v>
      </c>
      <c r="I86" s="10">
        <v>0</v>
      </c>
      <c r="J86" s="10">
        <v>0</v>
      </c>
      <c r="K86" s="10">
        <v>0</v>
      </c>
      <c r="L86" s="10">
        <v>0</v>
      </c>
      <c r="M86" s="10">
        <v>0</v>
      </c>
      <c r="N86" s="10">
        <v>0</v>
      </c>
    </row>
    <row r="87" spans="1:14" hidden="1" outlineLevel="1" x14ac:dyDescent="0.2">
      <c r="A87" s="9" t="s">
        <v>361</v>
      </c>
      <c r="B87" s="1" t="s">
        <v>362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</row>
    <row r="88" spans="1:14" collapsed="1" x14ac:dyDescent="0.2">
      <c r="A88" s="9" t="s">
        <v>244</v>
      </c>
      <c r="B88" s="1" t="s">
        <v>245</v>
      </c>
      <c r="C88" s="10">
        <v>0</v>
      </c>
      <c r="D88" s="10">
        <v>0</v>
      </c>
      <c r="E88" s="10">
        <v>0</v>
      </c>
      <c r="F88" s="10">
        <v>0</v>
      </c>
      <c r="G88" s="10">
        <v>0</v>
      </c>
      <c r="H88" s="10">
        <v>0</v>
      </c>
      <c r="I88" s="10">
        <v>0</v>
      </c>
      <c r="J88" s="28">
        <v>0</v>
      </c>
      <c r="K88" s="28">
        <v>0</v>
      </c>
      <c r="L88" s="28">
        <v>0</v>
      </c>
      <c r="M88" s="28">
        <v>0</v>
      </c>
      <c r="N88" s="28">
        <v>0</v>
      </c>
    </row>
    <row r="89" spans="1:14" x14ac:dyDescent="0.2">
      <c r="A89" s="12"/>
      <c r="B89" s="12" t="s">
        <v>246</v>
      </c>
      <c r="C89" s="29">
        <f t="shared" ref="C89:I89" si="57">+C82-SUM(C83,C88)</f>
        <v>-51.900000000000006</v>
      </c>
      <c r="D89" s="29">
        <f t="shared" si="57"/>
        <v>-30.300000000000004</v>
      </c>
      <c r="E89" s="29">
        <f t="shared" si="57"/>
        <v>47.6</v>
      </c>
      <c r="F89" s="29">
        <f t="shared" si="57"/>
        <v>34.999999999999993</v>
      </c>
      <c r="G89" s="29">
        <f t="shared" si="57"/>
        <v>-6.5000000000000089</v>
      </c>
      <c r="H89" s="29">
        <f t="shared" si="57"/>
        <v>22.4</v>
      </c>
      <c r="I89" s="29">
        <f t="shared" si="57"/>
        <v>21.599999999999998</v>
      </c>
      <c r="J89" s="29">
        <f>+J82-SUM(J83,J88)</f>
        <v>-8.9</v>
      </c>
      <c r="K89" s="29">
        <f t="shared" ref="K89:N89" si="58">+K82-SUM(K83,K88)</f>
        <v>-1.9</v>
      </c>
      <c r="L89" s="29">
        <f t="shared" si="58"/>
        <v>-4.4999999999999947</v>
      </c>
      <c r="M89" s="29">
        <f t="shared" si="58"/>
        <v>-9.099999999999989</v>
      </c>
      <c r="N89" s="29">
        <f t="shared" si="58"/>
        <v>8.5999999999999837</v>
      </c>
    </row>
    <row r="90" spans="1:14" x14ac:dyDescent="0.2">
      <c r="A90" s="2"/>
      <c r="B90" s="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2">
      <c r="A91" s="2"/>
      <c r="B91" s="2"/>
      <c r="C91" s="11">
        <f>C61/C103</f>
        <v>2.8560885608856092E-2</v>
      </c>
      <c r="D91" s="11">
        <f t="shared" ref="D91:F91" si="59">D61/D103</f>
        <v>2.4870848708487082E-2</v>
      </c>
      <c r="E91" s="11">
        <f t="shared" si="59"/>
        <v>2.3394833948339487E-2</v>
      </c>
      <c r="F91" s="11">
        <f t="shared" si="59"/>
        <v>2.5020408163265305E-2</v>
      </c>
      <c r="G91" s="11"/>
      <c r="H91" s="11"/>
      <c r="I91" s="11"/>
      <c r="J91" s="11"/>
      <c r="K91" s="11"/>
      <c r="L91" s="11"/>
      <c r="M91" s="11"/>
      <c r="N91" s="11"/>
    </row>
    <row r="92" spans="1:14" x14ac:dyDescent="0.2">
      <c r="A92" s="9" t="s">
        <v>74</v>
      </c>
      <c r="B92" s="1" t="s">
        <v>74</v>
      </c>
      <c r="C92" s="15" t="s">
        <v>74</v>
      </c>
      <c r="D92" s="15" t="s">
        <v>74</v>
      </c>
      <c r="E92" s="15" t="s">
        <v>74</v>
      </c>
      <c r="F92" s="15" t="s">
        <v>74</v>
      </c>
      <c r="G92" s="15" t="s">
        <v>74</v>
      </c>
      <c r="H92" s="15" t="s">
        <v>74</v>
      </c>
      <c r="I92" s="15" t="s">
        <v>74</v>
      </c>
      <c r="J92" s="15" t="s">
        <v>74</v>
      </c>
      <c r="K92" s="15" t="s">
        <v>74</v>
      </c>
      <c r="L92" s="15" t="s">
        <v>74</v>
      </c>
      <c r="M92" s="15" t="s">
        <v>74</v>
      </c>
      <c r="N92" s="15" t="s">
        <v>74</v>
      </c>
    </row>
    <row r="93" spans="1:14" x14ac:dyDescent="0.2">
      <c r="A93" s="12"/>
      <c r="B93" s="12" t="s">
        <v>247</v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</row>
    <row r="94" spans="1:14" x14ac:dyDescent="0.2">
      <c r="A94" s="9" t="s">
        <v>248</v>
      </c>
      <c r="B94" s="1" t="s">
        <v>249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/>
      <c r="K94" s="15"/>
      <c r="L94" s="15"/>
      <c r="M94" s="15"/>
      <c r="N94" s="15">
        <v>0</v>
      </c>
    </row>
    <row r="95" spans="1:14" x14ac:dyDescent="0.2">
      <c r="A95" s="9" t="s">
        <v>252</v>
      </c>
      <c r="B95" s="1" t="s">
        <v>253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/>
      <c r="K95" s="15"/>
      <c r="L95" s="15"/>
      <c r="M95" s="15"/>
      <c r="N95" s="15">
        <v>0</v>
      </c>
    </row>
    <row r="96" spans="1:14" x14ac:dyDescent="0.2">
      <c r="A96" s="9" t="s">
        <v>256</v>
      </c>
      <c r="B96" s="1" t="s">
        <v>257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/>
      <c r="K96" s="15"/>
      <c r="L96" s="15"/>
      <c r="M96" s="15"/>
      <c r="N96" s="15">
        <v>0</v>
      </c>
    </row>
    <row r="97" spans="1:14" x14ac:dyDescent="0.2">
      <c r="A97" s="9" t="s">
        <v>260</v>
      </c>
      <c r="B97" s="1" t="s">
        <v>261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/>
      <c r="K97" s="15"/>
      <c r="L97" s="15"/>
      <c r="M97" s="15"/>
      <c r="N97" s="15">
        <v>0</v>
      </c>
    </row>
    <row r="98" spans="1:14" x14ac:dyDescent="0.2">
      <c r="A98" s="9" t="s">
        <v>264</v>
      </c>
      <c r="B98" s="1" t="s">
        <v>265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/>
      <c r="K98" s="15"/>
      <c r="L98" s="15"/>
      <c r="M98" s="15"/>
      <c r="N98" s="15">
        <v>0</v>
      </c>
    </row>
    <row r="99" spans="1:14" x14ac:dyDescent="0.2">
      <c r="A99" s="9" t="s">
        <v>268</v>
      </c>
      <c r="B99" s="1" t="s">
        <v>269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/>
      <c r="K99" s="15"/>
      <c r="L99" s="15"/>
      <c r="M99" s="15"/>
      <c r="N99" s="15">
        <v>0</v>
      </c>
    </row>
    <row r="100" spans="1:14" x14ac:dyDescent="0.2">
      <c r="A100" s="9" t="s">
        <v>270</v>
      </c>
      <c r="B100" s="1" t="s">
        <v>271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/>
      <c r="K100" s="15"/>
      <c r="L100" s="15"/>
      <c r="M100" s="15"/>
      <c r="N100" s="15">
        <v>0</v>
      </c>
    </row>
    <row r="101" spans="1:14" x14ac:dyDescent="0.2">
      <c r="A101" s="9" t="s">
        <v>272</v>
      </c>
      <c r="B101" s="1" t="s">
        <v>273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/>
      <c r="K101" s="15"/>
      <c r="L101" s="15"/>
      <c r="M101" s="15"/>
      <c r="N101" s="15"/>
    </row>
    <row r="102" spans="1:14" x14ac:dyDescent="0.2">
      <c r="A102" s="9" t="s">
        <v>274</v>
      </c>
      <c r="B102" s="1" t="s">
        <v>275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/>
      <c r="K102" s="15"/>
      <c r="L102" s="15"/>
      <c r="M102" s="15"/>
      <c r="N102" s="15"/>
    </row>
    <row r="103" spans="1:14" x14ac:dyDescent="0.2">
      <c r="A103" s="9" t="s">
        <v>276</v>
      </c>
      <c r="B103" s="1" t="s">
        <v>277</v>
      </c>
      <c r="C103" s="19">
        <v>2710</v>
      </c>
      <c r="D103" s="19">
        <v>2710</v>
      </c>
      <c r="E103" s="19">
        <v>2710</v>
      </c>
      <c r="F103" s="19">
        <v>2450</v>
      </c>
      <c r="G103" s="19">
        <v>2450</v>
      </c>
      <c r="H103" s="19">
        <v>2450</v>
      </c>
      <c r="I103" s="19">
        <v>2450</v>
      </c>
      <c r="J103" s="15"/>
      <c r="K103" s="15"/>
      <c r="L103" s="15"/>
      <c r="M103" s="15"/>
      <c r="N103" s="19">
        <v>2561.4</v>
      </c>
    </row>
    <row r="104" spans="1:14" hidden="1" outlineLevel="1" x14ac:dyDescent="0.2">
      <c r="A104" s="9" t="s">
        <v>278</v>
      </c>
      <c r="B104" s="1" t="s">
        <v>279</v>
      </c>
      <c r="C104" s="19">
        <v>2710</v>
      </c>
      <c r="D104" s="19">
        <v>2710</v>
      </c>
      <c r="E104" s="19">
        <v>2710</v>
      </c>
      <c r="F104" s="19">
        <v>2450</v>
      </c>
      <c r="G104" s="19">
        <v>2450</v>
      </c>
      <c r="H104" s="19">
        <v>2450</v>
      </c>
      <c r="I104" s="19">
        <v>2450</v>
      </c>
      <c r="J104" s="15"/>
      <c r="K104" s="15"/>
      <c r="L104" s="15"/>
      <c r="M104" s="15"/>
      <c r="N104" s="19">
        <v>2561.4</v>
      </c>
    </row>
    <row r="105" spans="1:14" collapsed="1" x14ac:dyDescent="0.2">
      <c r="A105" s="9" t="s">
        <v>280</v>
      </c>
      <c r="B105" s="1" t="s">
        <v>281</v>
      </c>
      <c r="C105" s="19">
        <v>2710</v>
      </c>
      <c r="D105" s="19">
        <v>2710</v>
      </c>
      <c r="E105" s="19">
        <v>2710</v>
      </c>
      <c r="F105" s="19">
        <v>2450</v>
      </c>
      <c r="G105" s="19">
        <v>2450</v>
      </c>
      <c r="H105" s="19">
        <v>2450</v>
      </c>
      <c r="I105" s="19">
        <v>2450</v>
      </c>
      <c r="J105" s="15"/>
      <c r="K105" s="15"/>
      <c r="L105" s="15"/>
      <c r="M105" s="15"/>
      <c r="N105" s="19">
        <v>2561.4</v>
      </c>
    </row>
    <row r="106" spans="1:14" hidden="1" outlineLevel="1" x14ac:dyDescent="0.2">
      <c r="A106" s="9" t="s">
        <v>282</v>
      </c>
      <c r="B106" s="1" t="s">
        <v>283</v>
      </c>
      <c r="C106" s="19">
        <v>2710</v>
      </c>
      <c r="D106" s="19">
        <v>2710</v>
      </c>
      <c r="E106" s="19">
        <v>2710</v>
      </c>
      <c r="F106" s="19">
        <v>2450</v>
      </c>
      <c r="G106" s="19">
        <v>2450</v>
      </c>
      <c r="H106" s="19">
        <v>2450</v>
      </c>
      <c r="I106" s="19">
        <v>2450</v>
      </c>
      <c r="J106" s="15"/>
      <c r="K106" s="15"/>
      <c r="L106" s="15"/>
      <c r="M106" s="15"/>
      <c r="N106" s="19">
        <v>2561.4</v>
      </c>
    </row>
    <row r="107" spans="1:14" collapsed="1" x14ac:dyDescent="0.2">
      <c r="A107" s="9" t="s">
        <v>284</v>
      </c>
      <c r="B107" s="1" t="s">
        <v>285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/>
      <c r="K107" s="15"/>
      <c r="L107" s="15"/>
      <c r="M107" s="15"/>
      <c r="N107" s="15">
        <v>0</v>
      </c>
    </row>
    <row r="108" spans="1:14" x14ac:dyDescent="0.2">
      <c r="A108" s="9" t="s">
        <v>288</v>
      </c>
      <c r="B108" s="1" t="s">
        <v>289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/>
      <c r="K108" s="15"/>
      <c r="L108" s="15"/>
      <c r="M108" s="15"/>
      <c r="N108" s="15"/>
    </row>
    <row r="109" spans="1:14" x14ac:dyDescent="0.2">
      <c r="A109" s="3"/>
      <c r="B109" s="3" t="s">
        <v>290</v>
      </c>
      <c r="C109" s="17" t="s">
        <v>292</v>
      </c>
      <c r="D109" s="17" t="s">
        <v>292</v>
      </c>
      <c r="E109" s="17" t="s">
        <v>292</v>
      </c>
      <c r="F109" s="17" t="s">
        <v>292</v>
      </c>
      <c r="G109" s="17" t="s">
        <v>292</v>
      </c>
      <c r="H109" s="17" t="s">
        <v>292</v>
      </c>
      <c r="I109" s="17" t="s">
        <v>292</v>
      </c>
      <c r="J109" s="17"/>
      <c r="K109" s="17"/>
      <c r="L109" s="17"/>
      <c r="M109" s="17"/>
      <c r="N109" s="17" t="s">
        <v>292</v>
      </c>
    </row>
    <row r="110" spans="1:14" x14ac:dyDescent="0.2">
      <c r="A110" s="3"/>
      <c r="B110" s="3" t="s">
        <v>291</v>
      </c>
      <c r="C110" s="17" t="s">
        <v>292</v>
      </c>
      <c r="D110" s="17" t="s">
        <v>292</v>
      </c>
      <c r="E110" s="17" t="s">
        <v>292</v>
      </c>
      <c r="F110" s="17" t="s">
        <v>292</v>
      </c>
      <c r="G110" s="17" t="s">
        <v>292</v>
      </c>
      <c r="H110" s="17" t="s">
        <v>292</v>
      </c>
      <c r="I110" s="17" t="s">
        <v>292</v>
      </c>
      <c r="J110" s="17"/>
      <c r="K110" s="17"/>
      <c r="L110" s="17"/>
      <c r="M110" s="17"/>
      <c r="N110" s="17"/>
    </row>
    <row r="111" spans="1:14" x14ac:dyDescent="0.2">
      <c r="A111" s="3"/>
      <c r="B111" s="3" t="s">
        <v>293</v>
      </c>
      <c r="C111" s="17" t="s">
        <v>292</v>
      </c>
      <c r="D111" s="17" t="s">
        <v>292</v>
      </c>
      <c r="E111" s="17" t="s">
        <v>292</v>
      </c>
      <c r="F111" s="17" t="s">
        <v>292</v>
      </c>
      <c r="G111" s="17" t="s">
        <v>292</v>
      </c>
      <c r="H111" s="17" t="s">
        <v>292</v>
      </c>
      <c r="I111" s="17" t="s">
        <v>292</v>
      </c>
      <c r="J111" s="17"/>
      <c r="K111" s="17"/>
      <c r="L111" s="17"/>
      <c r="M111" s="17"/>
      <c r="N111" s="17"/>
    </row>
    <row r="112" spans="1:14" x14ac:dyDescent="0.2">
      <c r="A112" s="3"/>
      <c r="B112" s="3" t="s">
        <v>294</v>
      </c>
      <c r="C112" s="17" t="s">
        <v>292</v>
      </c>
      <c r="D112" s="17" t="s">
        <v>292</v>
      </c>
      <c r="E112" s="17" t="s">
        <v>292</v>
      </c>
      <c r="F112" s="17" t="s">
        <v>292</v>
      </c>
      <c r="G112" s="17" t="s">
        <v>292</v>
      </c>
      <c r="H112" s="17" t="s">
        <v>292</v>
      </c>
      <c r="I112" s="17" t="s">
        <v>292</v>
      </c>
      <c r="J112" s="17"/>
      <c r="K112" s="17"/>
      <c r="L112" s="17"/>
      <c r="M112" s="17"/>
      <c r="N112" s="17" t="s">
        <v>292</v>
      </c>
    </row>
    <row r="113" spans="1:14" x14ac:dyDescent="0.2">
      <c r="A113" s="12"/>
      <c r="B113" s="12" t="s">
        <v>295</v>
      </c>
      <c r="C113" s="16" t="s">
        <v>292</v>
      </c>
      <c r="D113" s="16" t="s">
        <v>292</v>
      </c>
      <c r="E113" s="16" t="s">
        <v>292</v>
      </c>
      <c r="F113" s="16" t="s">
        <v>292</v>
      </c>
      <c r="G113" s="16" t="s">
        <v>292</v>
      </c>
      <c r="H113" s="16" t="s">
        <v>292</v>
      </c>
      <c r="I113" s="16" t="s">
        <v>292</v>
      </c>
      <c r="J113" s="16"/>
      <c r="K113" s="16"/>
      <c r="L113" s="16"/>
      <c r="M113" s="16"/>
      <c r="N113" s="1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8885-00FE-48AE-9DAA-8F86B49B6E71}">
  <sheetPr codeName="Hoja52">
    <tabColor rgb="FF00B0F0"/>
  </sheetPr>
  <dimension ref="A1:N80"/>
  <sheetViews>
    <sheetView zoomScale="55" zoomScaleNormal="55" workbookViewId="0">
      <pane ySplit="6" topLeftCell="A7" activePane="bottomLeft" state="frozen"/>
      <selection activeCell="I54" sqref="I54"/>
      <selection pane="bottomLeft" activeCell="C12" sqref="C12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384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</row>
    <row r="8" spans="1:14" x14ac:dyDescent="0.2">
      <c r="A8" s="9" t="s">
        <v>37</v>
      </c>
      <c r="B8" s="1" t="s">
        <v>38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x14ac:dyDescent="0.2">
      <c r="A9" s="9" t="s">
        <v>39</v>
      </c>
      <c r="B9" s="1" t="s">
        <v>40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">
      <c r="A10" s="9" t="s">
        <v>41</v>
      </c>
      <c r="B10" s="1" t="s">
        <v>42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x14ac:dyDescent="0.2">
      <c r="A11" s="9" t="s">
        <v>45</v>
      </c>
      <c r="B11" s="1" t="s">
        <v>46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12"/>
      <c r="B12" s="12" t="s">
        <v>47</v>
      </c>
      <c r="C12" s="13">
        <f t="shared" ref="C12:N12" si="0">+C7+C8+C9+C10+C11</f>
        <v>0</v>
      </c>
      <c r="D12" s="13">
        <f t="shared" si="0"/>
        <v>0</v>
      </c>
      <c r="E12" s="13">
        <f t="shared" si="0"/>
        <v>0</v>
      </c>
      <c r="F12" s="13">
        <f t="shared" si="0"/>
        <v>0</v>
      </c>
      <c r="G12" s="13">
        <f t="shared" si="0"/>
        <v>0</v>
      </c>
      <c r="H12" s="13">
        <f t="shared" si="0"/>
        <v>0</v>
      </c>
      <c r="I12" s="13">
        <f t="shared" si="0"/>
        <v>0</v>
      </c>
      <c r="J12" s="13">
        <f t="shared" si="0"/>
        <v>0</v>
      </c>
      <c r="K12" s="13">
        <f t="shared" si="0"/>
        <v>0</v>
      </c>
      <c r="L12" s="13">
        <f t="shared" si="0"/>
        <v>0</v>
      </c>
      <c r="M12" s="13">
        <f t="shared" si="0"/>
        <v>0</v>
      </c>
      <c r="N12" s="13">
        <f t="shared" si="0"/>
        <v>0</v>
      </c>
    </row>
    <row r="13" spans="1:14" x14ac:dyDescent="0.2">
      <c r="A13" s="9" t="s">
        <v>48</v>
      </c>
      <c r="B13" s="1" t="s">
        <v>49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</row>
    <row r="14" spans="1:14" x14ac:dyDescent="0.2">
      <c r="A14" s="9" t="s">
        <v>60</v>
      </c>
      <c r="B14" s="1" t="s">
        <v>61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x14ac:dyDescent="0.2">
      <c r="A15" s="9" t="s">
        <v>62</v>
      </c>
      <c r="B15" s="1" t="s">
        <v>63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x14ac:dyDescent="0.2">
      <c r="A16" s="9" t="s">
        <v>64</v>
      </c>
      <c r="B16" s="1" t="s">
        <v>65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</row>
    <row r="17" spans="1:14" x14ac:dyDescent="0.2">
      <c r="A17" s="9" t="s">
        <v>68</v>
      </c>
      <c r="B17" s="1" t="s">
        <v>69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3"/>
      <c r="B18" s="3" t="s">
        <v>72</v>
      </c>
      <c r="C18" s="14">
        <f t="shared" ref="C18:M18" si="1">SUM(C13:C17)</f>
        <v>0</v>
      </c>
      <c r="D18" s="14">
        <f t="shared" si="1"/>
        <v>0</v>
      </c>
      <c r="E18" s="14">
        <f t="shared" si="1"/>
        <v>0</v>
      </c>
      <c r="F18" s="14">
        <f t="shared" si="1"/>
        <v>0</v>
      </c>
      <c r="G18" s="14">
        <f t="shared" si="1"/>
        <v>0</v>
      </c>
      <c r="H18" s="14">
        <f t="shared" si="1"/>
        <v>0</v>
      </c>
      <c r="I18" s="14">
        <f t="shared" si="1"/>
        <v>0</v>
      </c>
      <c r="J18" s="14">
        <f t="shared" si="1"/>
        <v>0</v>
      </c>
      <c r="K18" s="14">
        <f t="shared" si="1"/>
        <v>0</v>
      </c>
      <c r="L18" s="14">
        <f t="shared" si="1"/>
        <v>0</v>
      </c>
      <c r="M18" s="14">
        <f t="shared" si="1"/>
        <v>0</v>
      </c>
      <c r="N18" s="14">
        <f t="shared" ref="N18" si="2">SUM(N13:N17)</f>
        <v>0</v>
      </c>
    </row>
    <row r="19" spans="1:14" x14ac:dyDescent="0.2">
      <c r="A19" s="12"/>
      <c r="B19" s="12" t="s">
        <v>73</v>
      </c>
      <c r="C19" s="13">
        <f t="shared" ref="C19:M19" si="3">+C12-C18</f>
        <v>0</v>
      </c>
      <c r="D19" s="13">
        <f t="shared" si="3"/>
        <v>0</v>
      </c>
      <c r="E19" s="13">
        <f t="shared" si="3"/>
        <v>0</v>
      </c>
      <c r="F19" s="13">
        <f t="shared" si="3"/>
        <v>0</v>
      </c>
      <c r="G19" s="13">
        <f t="shared" si="3"/>
        <v>0</v>
      </c>
      <c r="H19" s="13">
        <f t="shared" si="3"/>
        <v>0</v>
      </c>
      <c r="I19" s="13">
        <f t="shared" si="3"/>
        <v>0</v>
      </c>
      <c r="J19" s="13">
        <f t="shared" si="3"/>
        <v>0</v>
      </c>
      <c r="K19" s="13">
        <f t="shared" si="3"/>
        <v>0</v>
      </c>
      <c r="L19" s="13">
        <f t="shared" si="3"/>
        <v>0</v>
      </c>
      <c r="M19" s="13">
        <f t="shared" si="3"/>
        <v>0</v>
      </c>
      <c r="N19" s="13">
        <f t="shared" ref="N19" si="4">+N12-N18</f>
        <v>0</v>
      </c>
    </row>
    <row r="20" spans="1:14" x14ac:dyDescent="0.2">
      <c r="A20" s="9" t="s">
        <v>74</v>
      </c>
      <c r="B20" s="1" t="s">
        <v>74</v>
      </c>
      <c r="C20" s="10" t="s">
        <v>74</v>
      </c>
      <c r="D20" s="10" t="s">
        <v>74</v>
      </c>
      <c r="E20" s="10" t="s">
        <v>74</v>
      </c>
      <c r="F20" s="10" t="s">
        <v>74</v>
      </c>
      <c r="G20" s="10" t="s">
        <v>74</v>
      </c>
      <c r="H20" s="10" t="s">
        <v>74</v>
      </c>
      <c r="I20" s="10" t="s">
        <v>74</v>
      </c>
      <c r="J20" s="10" t="s">
        <v>74</v>
      </c>
      <c r="K20" s="10" t="s">
        <v>74</v>
      </c>
      <c r="L20" s="10" t="s">
        <v>74</v>
      </c>
      <c r="M20" s="10" t="s">
        <v>74</v>
      </c>
      <c r="N20" s="10" t="s">
        <v>74</v>
      </c>
    </row>
    <row r="21" spans="1:14" x14ac:dyDescent="0.2">
      <c r="A21" s="9" t="s">
        <v>75</v>
      </c>
      <c r="B21" s="1" t="s">
        <v>76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x14ac:dyDescent="0.2">
      <c r="A22" s="9" t="s">
        <v>111</v>
      </c>
      <c r="B22" s="1" t="s">
        <v>112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x14ac:dyDescent="0.2">
      <c r="A23" s="9" t="s">
        <v>119</v>
      </c>
      <c r="B23" s="1" t="s">
        <v>120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</row>
    <row r="24" spans="1:14" x14ac:dyDescent="0.2">
      <c r="A24" s="9" t="s">
        <v>127</v>
      </c>
      <c r="B24" s="1" t="s">
        <v>128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</row>
    <row r="25" spans="1:14" x14ac:dyDescent="0.2">
      <c r="A25" s="9" t="s">
        <v>133</v>
      </c>
      <c r="B25" s="1" t="s">
        <v>134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</row>
    <row r="26" spans="1:14" x14ac:dyDescent="0.2">
      <c r="A26" s="9" t="s">
        <v>137</v>
      </c>
      <c r="B26" s="1" t="s">
        <v>138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</row>
    <row r="27" spans="1:14" x14ac:dyDescent="0.2">
      <c r="A27" s="9" t="s">
        <v>139</v>
      </c>
      <c r="B27" s="1" t="s">
        <v>140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4" x14ac:dyDescent="0.2">
      <c r="A28" s="9" t="s">
        <v>141</v>
      </c>
      <c r="B28" s="1" t="s">
        <v>142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x14ac:dyDescent="0.2">
      <c r="A29" s="9" t="s">
        <v>143</v>
      </c>
      <c r="B29" s="1" t="s">
        <v>144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</row>
    <row r="30" spans="1:14" x14ac:dyDescent="0.2">
      <c r="A30" s="9" t="s">
        <v>157</v>
      </c>
      <c r="B30" s="1" t="s">
        <v>158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x14ac:dyDescent="0.2">
      <c r="A31" s="3"/>
      <c r="B31" s="3" t="s">
        <v>165</v>
      </c>
      <c r="C31" s="14">
        <f t="shared" ref="C31:M31" si="5">SUM(C21:C30)</f>
        <v>0</v>
      </c>
      <c r="D31" s="14">
        <f t="shared" si="5"/>
        <v>0</v>
      </c>
      <c r="E31" s="14">
        <f t="shared" si="5"/>
        <v>0</v>
      </c>
      <c r="F31" s="14">
        <f t="shared" si="5"/>
        <v>0</v>
      </c>
      <c r="G31" s="14">
        <f t="shared" si="5"/>
        <v>0</v>
      </c>
      <c r="H31" s="14">
        <f t="shared" si="5"/>
        <v>0</v>
      </c>
      <c r="I31" s="14">
        <f t="shared" si="5"/>
        <v>0</v>
      </c>
      <c r="J31" s="14">
        <f t="shared" si="5"/>
        <v>0</v>
      </c>
      <c r="K31" s="14">
        <f t="shared" si="5"/>
        <v>0</v>
      </c>
      <c r="L31" s="14">
        <f t="shared" si="5"/>
        <v>0</v>
      </c>
      <c r="M31" s="14">
        <f t="shared" si="5"/>
        <v>0</v>
      </c>
      <c r="N31" s="14">
        <f t="shared" ref="N31" si="6">SUM(N21:N30)</f>
        <v>0</v>
      </c>
    </row>
    <row r="32" spans="1:14" x14ac:dyDescent="0.2">
      <c r="A32" s="12"/>
      <c r="B32" s="12" t="s">
        <v>166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f>+J19-J31</f>
        <v>0</v>
      </c>
      <c r="K32" s="13">
        <f t="shared" ref="K32:N32" si="7">+K19-K31</f>
        <v>0</v>
      </c>
      <c r="L32" s="13">
        <f t="shared" si="7"/>
        <v>0</v>
      </c>
      <c r="M32" s="13">
        <f t="shared" si="7"/>
        <v>0</v>
      </c>
      <c r="N32" s="13">
        <f t="shared" si="7"/>
        <v>0</v>
      </c>
    </row>
    <row r="33" spans="1:14" x14ac:dyDescent="0.2">
      <c r="A33" s="9" t="s">
        <v>167</v>
      </c>
      <c r="B33" s="1" t="s">
        <v>168</v>
      </c>
      <c r="C33" s="28">
        <f t="shared" ref="C33:M33" si="8">SUM(C34:C44)</f>
        <v>0</v>
      </c>
      <c r="D33" s="28">
        <f t="shared" si="8"/>
        <v>0</v>
      </c>
      <c r="E33" s="28">
        <f t="shared" si="8"/>
        <v>0</v>
      </c>
      <c r="F33" s="28">
        <f t="shared" si="8"/>
        <v>0</v>
      </c>
      <c r="G33" s="28">
        <f t="shared" si="8"/>
        <v>0</v>
      </c>
      <c r="H33" s="28">
        <f t="shared" si="8"/>
        <v>0</v>
      </c>
      <c r="I33" s="28">
        <f t="shared" si="8"/>
        <v>0</v>
      </c>
      <c r="J33" s="28">
        <f t="shared" si="8"/>
        <v>0</v>
      </c>
      <c r="K33" s="28">
        <f t="shared" si="8"/>
        <v>0</v>
      </c>
      <c r="L33" s="28">
        <f t="shared" si="8"/>
        <v>0</v>
      </c>
      <c r="M33" s="28">
        <f t="shared" si="8"/>
        <v>0</v>
      </c>
      <c r="N33" s="28">
        <f t="shared" ref="N33" si="9">SUM(N34:N44)</f>
        <v>0</v>
      </c>
    </row>
    <row r="34" spans="1:14" hidden="1" outlineLevel="1" x14ac:dyDescent="0.2">
      <c r="A34" s="9" t="s">
        <v>175</v>
      </c>
      <c r="B34" s="1" t="s">
        <v>176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</row>
    <row r="35" spans="1:14" hidden="1" outlineLevel="1" x14ac:dyDescent="0.2">
      <c r="A35" s="9" t="s">
        <v>177</v>
      </c>
      <c r="B35" s="1" t="s">
        <v>178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</row>
    <row r="36" spans="1:14" hidden="1" outlineLevel="1" x14ac:dyDescent="0.2">
      <c r="A36" s="9" t="s">
        <v>181</v>
      </c>
      <c r="B36" s="1" t="s">
        <v>182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hidden="1" outlineLevel="1" x14ac:dyDescent="0.2">
      <c r="A37" s="9" t="s">
        <v>183</v>
      </c>
      <c r="B37" s="1" t="s">
        <v>184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</row>
    <row r="38" spans="1:14" hidden="1" outlineLevel="1" x14ac:dyDescent="0.2">
      <c r="A38" s="9" t="s">
        <v>185</v>
      </c>
      <c r="B38" s="1" t="s">
        <v>186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hidden="1" outlineLevel="1" x14ac:dyDescent="0.2">
      <c r="A39" s="9" t="s">
        <v>187</v>
      </c>
      <c r="B39" s="1" t="s">
        <v>184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hidden="1" outlineLevel="1" x14ac:dyDescent="0.2">
      <c r="A40" s="9" t="s">
        <v>188</v>
      </c>
      <c r="B40" s="1" t="s">
        <v>189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hidden="1" outlineLevel="1" x14ac:dyDescent="0.2">
      <c r="A41" s="9" t="s">
        <v>190</v>
      </c>
      <c r="B41" s="1" t="s">
        <v>191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hidden="1" outlineLevel="1" x14ac:dyDescent="0.2">
      <c r="A42" s="9" t="s">
        <v>192</v>
      </c>
      <c r="B42" s="1" t="s">
        <v>193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hidden="1" outlineLevel="1" x14ac:dyDescent="0.2">
      <c r="A43" s="9" t="s">
        <v>194</v>
      </c>
      <c r="B43" s="1" t="s">
        <v>195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198</v>
      </c>
      <c r="B44" s="1" t="s">
        <v>199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collapsed="1" x14ac:dyDescent="0.2">
      <c r="A45" s="9" t="s">
        <v>200</v>
      </c>
      <c r="B45" s="1" t="s">
        <v>201</v>
      </c>
      <c r="C45" s="28">
        <f t="shared" ref="C45:I45" si="10">SUM(C46:C51)</f>
        <v>0</v>
      </c>
      <c r="D45" s="28">
        <f t="shared" si="10"/>
        <v>0</v>
      </c>
      <c r="E45" s="28">
        <f t="shared" si="10"/>
        <v>0</v>
      </c>
      <c r="F45" s="28">
        <f t="shared" si="10"/>
        <v>0</v>
      </c>
      <c r="G45" s="28">
        <f t="shared" si="10"/>
        <v>0</v>
      </c>
      <c r="H45" s="28">
        <f t="shared" si="10"/>
        <v>0</v>
      </c>
      <c r="I45" s="28">
        <f t="shared" si="10"/>
        <v>0</v>
      </c>
      <c r="J45" s="28">
        <f>SUM(J46:J51)</f>
        <v>0</v>
      </c>
      <c r="K45" s="28">
        <f t="shared" ref="K45:N45" si="11">SUM(K46:K51)</f>
        <v>0</v>
      </c>
      <c r="L45" s="28">
        <f t="shared" si="11"/>
        <v>0</v>
      </c>
      <c r="M45" s="28">
        <f t="shared" si="11"/>
        <v>0</v>
      </c>
      <c r="N45" s="28">
        <f t="shared" si="11"/>
        <v>0</v>
      </c>
    </row>
    <row r="46" spans="1:14" hidden="1" outlineLevel="1" x14ac:dyDescent="0.2">
      <c r="A46" s="9" t="s">
        <v>204</v>
      </c>
      <c r="B46" s="1" t="s">
        <v>205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hidden="1" outlineLevel="1" x14ac:dyDescent="0.2">
      <c r="A47" s="9" t="s">
        <v>206</v>
      </c>
      <c r="B47" s="1" t="s">
        <v>207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hidden="1" outlineLevel="1" x14ac:dyDescent="0.2">
      <c r="A48" s="9" t="s">
        <v>210</v>
      </c>
      <c r="B48" s="1" t="s">
        <v>211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hidden="1" outlineLevel="1" x14ac:dyDescent="0.2">
      <c r="A49" s="9" t="s">
        <v>216</v>
      </c>
      <c r="B49" s="1" t="s">
        <v>217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hidden="1" outlineLevel="1" x14ac:dyDescent="0.2">
      <c r="A50" s="9" t="s">
        <v>218</v>
      </c>
      <c r="B50" s="1" t="s">
        <v>219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</row>
    <row r="51" spans="1:14" hidden="1" outlineLevel="1" x14ac:dyDescent="0.2">
      <c r="A51" s="9" t="s">
        <v>220</v>
      </c>
      <c r="B51" s="1" t="s">
        <v>221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collapsed="1" x14ac:dyDescent="0.2">
      <c r="A52" s="9" t="s">
        <v>226</v>
      </c>
      <c r="B52" s="1" t="s">
        <v>227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28">
        <v>0</v>
      </c>
      <c r="K52" s="28">
        <v>0</v>
      </c>
      <c r="L52" s="28">
        <v>0</v>
      </c>
      <c r="M52" s="28">
        <v>0</v>
      </c>
      <c r="N52" s="28">
        <v>0</v>
      </c>
    </row>
    <row r="53" spans="1:14" x14ac:dyDescent="0.2">
      <c r="A53" s="9" t="s">
        <v>228</v>
      </c>
      <c r="B53" s="1" t="s">
        <v>229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28">
        <v>0</v>
      </c>
      <c r="K53" s="28">
        <v>0</v>
      </c>
      <c r="L53" s="28">
        <v>0</v>
      </c>
      <c r="M53" s="28">
        <v>0</v>
      </c>
      <c r="N53" s="28">
        <v>0</v>
      </c>
    </row>
    <row r="54" spans="1:14" x14ac:dyDescent="0.2">
      <c r="A54" s="9" t="s">
        <v>230</v>
      </c>
      <c r="B54" s="1" t="s">
        <v>231</v>
      </c>
      <c r="C54" s="10">
        <v>0</v>
      </c>
      <c r="D54" s="28">
        <f t="shared" ref="D54:I54" si="12">+D55</f>
        <v>0</v>
      </c>
      <c r="E54" s="28">
        <f t="shared" si="12"/>
        <v>0</v>
      </c>
      <c r="F54" s="28">
        <f t="shared" si="12"/>
        <v>0</v>
      </c>
      <c r="G54" s="28">
        <f t="shared" si="12"/>
        <v>0</v>
      </c>
      <c r="H54" s="28">
        <f t="shared" si="12"/>
        <v>0</v>
      </c>
      <c r="I54" s="28">
        <f t="shared" si="12"/>
        <v>0</v>
      </c>
      <c r="J54" s="28">
        <f>+J55</f>
        <v>0</v>
      </c>
      <c r="K54" s="28">
        <f t="shared" ref="K54:N54" si="13">+K55</f>
        <v>0</v>
      </c>
      <c r="L54" s="28">
        <f t="shared" si="13"/>
        <v>0</v>
      </c>
      <c r="M54" s="28">
        <f t="shared" si="13"/>
        <v>0</v>
      </c>
      <c r="N54" s="28">
        <f t="shared" si="13"/>
        <v>0</v>
      </c>
    </row>
    <row r="55" spans="1:14" hidden="1" outlineLevel="1" x14ac:dyDescent="0.2">
      <c r="A55" s="9" t="s">
        <v>234</v>
      </c>
      <c r="B55" s="1" t="s">
        <v>235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collapsed="1" x14ac:dyDescent="0.2">
      <c r="A56" s="3"/>
      <c r="B56" s="3" t="s">
        <v>236</v>
      </c>
      <c r="C56" s="30">
        <f t="shared" ref="C56:I56" si="14">+C33+C45+C52+C53+C54</f>
        <v>0</v>
      </c>
      <c r="D56" s="30">
        <f t="shared" si="14"/>
        <v>0</v>
      </c>
      <c r="E56" s="30">
        <f t="shared" si="14"/>
        <v>0</v>
      </c>
      <c r="F56" s="30">
        <f t="shared" si="14"/>
        <v>0</v>
      </c>
      <c r="G56" s="30">
        <f t="shared" si="14"/>
        <v>0</v>
      </c>
      <c r="H56" s="30">
        <f t="shared" si="14"/>
        <v>0</v>
      </c>
      <c r="I56" s="30">
        <f t="shared" si="14"/>
        <v>0</v>
      </c>
      <c r="J56" s="30">
        <f>+J33+J45+J52+J53+J54</f>
        <v>0</v>
      </c>
      <c r="K56" s="30">
        <f t="shared" ref="K56:N56" si="15">+K33+K45+K52+K53+K54</f>
        <v>0</v>
      </c>
      <c r="L56" s="30">
        <f t="shared" si="15"/>
        <v>0</v>
      </c>
      <c r="M56" s="30">
        <f t="shared" si="15"/>
        <v>0</v>
      </c>
      <c r="N56" s="30">
        <f t="shared" si="15"/>
        <v>0</v>
      </c>
    </row>
    <row r="57" spans="1:14" x14ac:dyDescent="0.2">
      <c r="A57" s="12"/>
      <c r="B57" s="12" t="s">
        <v>237</v>
      </c>
      <c r="C57" s="29">
        <f t="shared" ref="C57:I57" si="16">+C33+C45+C52+C53+C54</f>
        <v>0</v>
      </c>
      <c r="D57" s="29">
        <f t="shared" si="16"/>
        <v>0</v>
      </c>
      <c r="E57" s="29">
        <f t="shared" si="16"/>
        <v>0</v>
      </c>
      <c r="F57" s="29">
        <f t="shared" si="16"/>
        <v>0</v>
      </c>
      <c r="G57" s="29">
        <f t="shared" si="16"/>
        <v>0</v>
      </c>
      <c r="H57" s="29">
        <f t="shared" si="16"/>
        <v>0</v>
      </c>
      <c r="I57" s="29">
        <f t="shared" si="16"/>
        <v>0</v>
      </c>
      <c r="J57" s="29">
        <f>+J33+J45+J52+J53+J54</f>
        <v>0</v>
      </c>
      <c r="K57" s="29">
        <f t="shared" ref="K57:N57" si="17">+K33+K45+K52+K53+K54</f>
        <v>0</v>
      </c>
      <c r="L57" s="29">
        <f t="shared" si="17"/>
        <v>0</v>
      </c>
      <c r="M57" s="29">
        <f t="shared" si="17"/>
        <v>0</v>
      </c>
      <c r="N57" s="29">
        <f t="shared" si="17"/>
        <v>0</v>
      </c>
    </row>
    <row r="58" spans="1:14" x14ac:dyDescent="0.2">
      <c r="A58" s="9" t="s">
        <v>238</v>
      </c>
      <c r="B58" s="1" t="s">
        <v>239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28">
        <v>0</v>
      </c>
      <c r="K58" s="28">
        <v>0</v>
      </c>
      <c r="L58" s="28">
        <v>0</v>
      </c>
      <c r="M58" s="28">
        <v>0</v>
      </c>
      <c r="N58" s="28">
        <v>0</v>
      </c>
    </row>
    <row r="59" spans="1:14" x14ac:dyDescent="0.2">
      <c r="A59" s="9" t="s">
        <v>244</v>
      </c>
      <c r="B59" s="1" t="s">
        <v>245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28">
        <v>0</v>
      </c>
      <c r="K59" s="28">
        <v>0</v>
      </c>
      <c r="L59" s="28">
        <v>0</v>
      </c>
      <c r="M59" s="28">
        <v>0</v>
      </c>
      <c r="N59" s="28">
        <v>0</v>
      </c>
    </row>
    <row r="60" spans="1:14" x14ac:dyDescent="0.2">
      <c r="A60" s="12"/>
      <c r="B60" s="12" t="s">
        <v>246</v>
      </c>
      <c r="C60" s="13">
        <v>0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f>+J57-(J58+J59)</f>
        <v>0</v>
      </c>
      <c r="K60" s="13">
        <f t="shared" ref="K60:N60" si="18">+K57-(K58+K59)</f>
        <v>0</v>
      </c>
      <c r="L60" s="13">
        <f t="shared" si="18"/>
        <v>0</v>
      </c>
      <c r="M60" s="13">
        <f t="shared" si="18"/>
        <v>0</v>
      </c>
      <c r="N60" s="13">
        <f t="shared" si="18"/>
        <v>0</v>
      </c>
    </row>
    <row r="61" spans="1:14" x14ac:dyDescent="0.2">
      <c r="A61" s="9" t="s">
        <v>74</v>
      </c>
      <c r="B61" s="1" t="s">
        <v>74</v>
      </c>
      <c r="C61" s="15" t="s">
        <v>74</v>
      </c>
      <c r="D61" s="15" t="s">
        <v>74</v>
      </c>
      <c r="E61" s="15" t="s">
        <v>74</v>
      </c>
      <c r="F61" s="15" t="s">
        <v>74</v>
      </c>
      <c r="G61" s="15" t="s">
        <v>74</v>
      </c>
      <c r="H61" s="15" t="s">
        <v>74</v>
      </c>
      <c r="I61" s="15" t="s">
        <v>74</v>
      </c>
      <c r="J61" s="15" t="s">
        <v>74</v>
      </c>
      <c r="K61" s="15" t="s">
        <v>74</v>
      </c>
      <c r="L61" s="15" t="s">
        <v>74</v>
      </c>
      <c r="M61" s="15" t="s">
        <v>74</v>
      </c>
      <c r="N61" s="15" t="s">
        <v>74</v>
      </c>
    </row>
    <row r="62" spans="1:14" x14ac:dyDescent="0.2">
      <c r="A62" s="12"/>
      <c r="B62" s="12" t="s">
        <v>247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</row>
    <row r="63" spans="1:14" x14ac:dyDescent="0.2">
      <c r="A63" s="9" t="s">
        <v>248</v>
      </c>
      <c r="B63" s="1" t="s">
        <v>249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">
      <c r="A64" s="9" t="s">
        <v>252</v>
      </c>
      <c r="B64" s="1" t="s">
        <v>253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">
      <c r="A65" s="9" t="s">
        <v>256</v>
      </c>
      <c r="B65" s="1" t="s">
        <v>257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">
      <c r="A66" s="9" t="s">
        <v>260</v>
      </c>
      <c r="B66" s="1" t="s">
        <v>261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">
      <c r="A67" s="9" t="s">
        <v>264</v>
      </c>
      <c r="B67" s="1" t="s">
        <v>265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">
      <c r="A68" s="9" t="s">
        <v>268</v>
      </c>
      <c r="B68" s="1" t="s">
        <v>269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">
      <c r="A69" s="9" t="s">
        <v>270</v>
      </c>
      <c r="B69" s="1" t="s">
        <v>271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">
      <c r="A70" s="9" t="s">
        <v>272</v>
      </c>
      <c r="B70" s="1" t="s">
        <v>273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">
      <c r="A71" s="9" t="s">
        <v>274</v>
      </c>
      <c r="B71" s="1" t="s">
        <v>275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">
      <c r="A72" s="9" t="s">
        <v>276</v>
      </c>
      <c r="B72" s="1" t="s">
        <v>277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">
      <c r="A73" s="9" t="s">
        <v>280</v>
      </c>
      <c r="B73" s="1" t="s">
        <v>281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">
      <c r="A74" s="9" t="s">
        <v>284</v>
      </c>
      <c r="B74" s="1" t="s">
        <v>285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">
      <c r="A75" s="9" t="s">
        <v>288</v>
      </c>
      <c r="B75" s="1" t="s">
        <v>289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">
      <c r="A76" s="3"/>
      <c r="B76" s="3" t="s">
        <v>290</v>
      </c>
      <c r="C76" s="17" t="s">
        <v>292</v>
      </c>
      <c r="D76" s="17" t="s">
        <v>292</v>
      </c>
      <c r="E76" s="17" t="s">
        <v>292</v>
      </c>
      <c r="F76" s="17" t="s">
        <v>292</v>
      </c>
      <c r="G76" s="17" t="s">
        <v>292</v>
      </c>
      <c r="H76" s="17" t="s">
        <v>292</v>
      </c>
      <c r="I76" s="17" t="s">
        <v>292</v>
      </c>
      <c r="J76" s="17" t="s">
        <v>292</v>
      </c>
      <c r="K76" s="17" t="s">
        <v>292</v>
      </c>
      <c r="L76" s="17" t="s">
        <v>292</v>
      </c>
      <c r="M76" s="17" t="s">
        <v>292</v>
      </c>
      <c r="N76" s="17" t="s">
        <v>292</v>
      </c>
    </row>
    <row r="77" spans="1:14" x14ac:dyDescent="0.2">
      <c r="A77" s="3"/>
      <c r="B77" s="3" t="s">
        <v>291</v>
      </c>
      <c r="C77" s="17" t="s">
        <v>292</v>
      </c>
      <c r="D77" s="17" t="s">
        <v>292</v>
      </c>
      <c r="E77" s="17" t="s">
        <v>292</v>
      </c>
      <c r="F77" s="17" t="s">
        <v>292</v>
      </c>
      <c r="G77" s="17" t="s">
        <v>292</v>
      </c>
      <c r="H77" s="17" t="s">
        <v>292</v>
      </c>
      <c r="I77" s="17" t="s">
        <v>292</v>
      </c>
      <c r="J77" s="17" t="s">
        <v>292</v>
      </c>
      <c r="K77" s="17" t="s">
        <v>292</v>
      </c>
      <c r="L77" s="17" t="s">
        <v>292</v>
      </c>
      <c r="M77" s="17" t="s">
        <v>292</v>
      </c>
      <c r="N77" s="17" t="s">
        <v>292</v>
      </c>
    </row>
    <row r="78" spans="1:14" x14ac:dyDescent="0.2">
      <c r="A78" s="3"/>
      <c r="B78" s="3" t="s">
        <v>293</v>
      </c>
      <c r="C78" s="17" t="s">
        <v>292</v>
      </c>
      <c r="D78" s="17" t="s">
        <v>292</v>
      </c>
      <c r="E78" s="17" t="s">
        <v>292</v>
      </c>
      <c r="F78" s="17" t="s">
        <v>292</v>
      </c>
      <c r="G78" s="17" t="s">
        <v>292</v>
      </c>
      <c r="H78" s="17" t="s">
        <v>292</v>
      </c>
      <c r="I78" s="17" t="s">
        <v>292</v>
      </c>
      <c r="J78" s="17" t="s">
        <v>292</v>
      </c>
      <c r="K78" s="17" t="s">
        <v>292</v>
      </c>
      <c r="L78" s="17" t="s">
        <v>292</v>
      </c>
      <c r="M78" s="17" t="s">
        <v>292</v>
      </c>
      <c r="N78" s="17" t="s">
        <v>292</v>
      </c>
    </row>
    <row r="79" spans="1:14" x14ac:dyDescent="0.2">
      <c r="A79" s="3"/>
      <c r="B79" s="3" t="s">
        <v>294</v>
      </c>
      <c r="C79" s="17" t="s">
        <v>292</v>
      </c>
      <c r="D79" s="17" t="s">
        <v>292</v>
      </c>
      <c r="E79" s="17" t="s">
        <v>292</v>
      </c>
      <c r="F79" s="17" t="s">
        <v>292</v>
      </c>
      <c r="G79" s="17" t="s">
        <v>292</v>
      </c>
      <c r="H79" s="17" t="s">
        <v>292</v>
      </c>
      <c r="I79" s="17" t="s">
        <v>292</v>
      </c>
      <c r="J79" s="17" t="s">
        <v>292</v>
      </c>
      <c r="K79" s="17" t="s">
        <v>292</v>
      </c>
      <c r="L79" s="17" t="s">
        <v>292</v>
      </c>
      <c r="M79" s="17" t="s">
        <v>292</v>
      </c>
      <c r="N79" s="17" t="s">
        <v>292</v>
      </c>
    </row>
    <row r="80" spans="1:14" x14ac:dyDescent="0.2">
      <c r="A80" s="12"/>
      <c r="B80" s="12" t="s">
        <v>295</v>
      </c>
      <c r="C80" s="16" t="s">
        <v>292</v>
      </c>
      <c r="D80" s="16" t="s">
        <v>292</v>
      </c>
      <c r="E80" s="16" t="s">
        <v>292</v>
      </c>
      <c r="F80" s="16" t="s">
        <v>292</v>
      </c>
      <c r="G80" s="16" t="s">
        <v>292</v>
      </c>
      <c r="H80" s="16" t="s">
        <v>292</v>
      </c>
      <c r="I80" s="16" t="s">
        <v>292</v>
      </c>
      <c r="J80" s="16" t="s">
        <v>292</v>
      </c>
      <c r="K80" s="16" t="s">
        <v>292</v>
      </c>
      <c r="L80" s="16" t="s">
        <v>292</v>
      </c>
      <c r="M80" s="16" t="s">
        <v>292</v>
      </c>
      <c r="N80" s="16" t="s">
        <v>292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5F44-C4F8-4189-9E00-0C1931727483}">
  <sheetPr codeName="Hoja64">
    <tabColor rgb="FF7030A0"/>
  </sheetPr>
  <dimension ref="A1:N155"/>
  <sheetViews>
    <sheetView zoomScale="70" zoomScaleNormal="70" workbookViewId="0">
      <pane ySplit="6" topLeftCell="A59" activePane="bottomLeft" state="frozen"/>
      <selection activeCell="F65" sqref="F65"/>
      <selection pane="bottomLeft" activeCell="H116" sqref="H116"/>
    </sheetView>
  </sheetViews>
  <sheetFormatPr baseColWidth="10" defaultRowHeight="12" outlineLevelRow="1" x14ac:dyDescent="0.2"/>
  <cols>
    <col min="1" max="1" width="11.7109375" style="1" customWidth="1"/>
    <col min="2" max="2" width="16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4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</row>
    <row r="4" spans="1:14" x14ac:dyDescent="0.2">
      <c r="A4" s="5"/>
      <c r="B4" s="5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33" t="s">
        <v>23</v>
      </c>
      <c r="B7" s="34" t="s">
        <v>24</v>
      </c>
      <c r="C7" s="44">
        <f>SUM(C8:C12)</f>
        <v>114.60000000000001</v>
      </c>
      <c r="D7" s="44">
        <f t="shared" ref="D7:N7" si="0">SUM(D8:D12)</f>
        <v>60.5</v>
      </c>
      <c r="E7" s="44">
        <f t="shared" si="0"/>
        <v>120.8</v>
      </c>
      <c r="F7" s="44">
        <f t="shared" si="0"/>
        <v>168.29999999999998</v>
      </c>
      <c r="G7" s="44">
        <f t="shared" si="0"/>
        <v>193</v>
      </c>
      <c r="H7" s="44">
        <f t="shared" si="0"/>
        <v>155.9</v>
      </c>
      <c r="I7" s="44">
        <f t="shared" si="0"/>
        <v>259.8</v>
      </c>
      <c r="J7" s="44">
        <f t="shared" si="0"/>
        <v>212</v>
      </c>
      <c r="K7" s="44">
        <f t="shared" si="0"/>
        <v>294</v>
      </c>
      <c r="L7" s="44">
        <f t="shared" si="0"/>
        <v>262</v>
      </c>
      <c r="M7" s="44">
        <f t="shared" si="0"/>
        <v>238</v>
      </c>
      <c r="N7" s="44">
        <f t="shared" si="0"/>
        <v>284</v>
      </c>
    </row>
    <row r="8" spans="1:14" hidden="1" outlineLevel="1" x14ac:dyDescent="0.2">
      <c r="A8" s="9" t="s">
        <v>27</v>
      </c>
      <c r="B8" s="1" t="s">
        <v>28</v>
      </c>
      <c r="C8" s="10">
        <f>IFERROR(VLOOKUP(A8,'Centre DW13'!$A$7:$N$160,3,FALSE),0)+
IFERROR(VLOOKUP(A8,'Centre WR13'!$A$7:$N$160,3,FALSE),0)+
IFERROR(VLOOKUP(A8,'Centre WP13'!$A$7:$N$160,3,FALSE),0)</f>
        <v>0</v>
      </c>
      <c r="D8" s="10">
        <f>IFERROR(VLOOKUP(A8,'Centre DW13'!$A$7:$N$160,4,FALSE),0)+
IFERROR(VLOOKUP(A8,'Centre WR13'!$A$7:$N$160,4,FALSE),0)+
IFERROR(VLOOKUP(A8,'Centre WP13'!$A$7:$N$160,4,FALSE),0)</f>
        <v>0</v>
      </c>
      <c r="E8" s="10">
        <f>IFERROR(VLOOKUP(A8,'Centre DW13'!$A$7:$N$160,5,FALSE),0)+
IFERROR(VLOOKUP(A8,'Centre WR13'!$A$7:$N$160,5,FALSE),0)+
IFERROR(VLOOKUP(A8,'Centre WP13'!$A$7:$N$160,5,FALSE),0)</f>
        <v>0</v>
      </c>
      <c r="F8" s="10">
        <f>IFERROR(VLOOKUP(A8,'Centre DW13'!$A$7:$N$160,6,FALSE),0)+
IFERROR(VLOOKUP(A8,'Centre WR13'!$A$7:$N$160,6,FALSE),0)+
IFERROR(VLOOKUP(A8,'Centre WP13'!$A$7:$N$160,6,FALSE),0)</f>
        <v>0</v>
      </c>
      <c r="G8" s="10">
        <f>IFERROR(VLOOKUP(A8,'Centre DW13'!$A$7:$N$160,7,FALSE),0)+
IFERROR(VLOOKUP(A8,'Centre WR13'!$A$7:$N$160,7,FALSE),0)+
IFERROR(VLOOKUP(A8,'Centre WP13'!$A$7:$N$160,7,FALSE),0)</f>
        <v>0</v>
      </c>
      <c r="H8" s="10">
        <f>IFERROR(VLOOKUP(A8,'Centre DW13'!$A$7:$N$160,8,FALSE),0)+
IFERROR(VLOOKUP(A8,'Centre WR13'!$A$7:$N$160,8,FALSE),0)+
IFERROR(VLOOKUP(A8,'Centre WP13'!$A$7:$N$160,8,FALSE),0)</f>
        <v>0</v>
      </c>
      <c r="I8" s="10">
        <f>IFERROR(VLOOKUP(A8,'Centre DW13'!$A$7:$N$160,9,FALSE),0)+
IFERROR(VLOOKUP(A8,'Centre WR13'!$A$7:$N$160,9,FALSE),0)+
IFERROR(VLOOKUP(A8,'Centre WP13'!$A$7:$N$160,9,FALSE),0)</f>
        <v>0</v>
      </c>
      <c r="J8" s="28">
        <f>IFERROR(VLOOKUP(A8,'Centre DW13'!$A$7:$N$160,10,FALSE),0)+
IFERROR(VLOOKUP(A8,'Centre WR13'!$A$7:$N$160,10,FALSE),0)+
IFERROR(VLOOKUP(A8,'Centre WP13'!$A$7:$N$160,10,FALSE),0)</f>
        <v>0</v>
      </c>
      <c r="K8" s="28">
        <f>IFERROR(VLOOKUP(A8,'Centre DW13'!$A$7:$N$160,11,FALSE),0)+
IFERROR(VLOOKUP(A8,'Centre WR13'!$A$7:$N$160,11,FALSE),0)+
IFERROR(VLOOKUP(A8,'Centre WP13'!$A$7:$N$160,11,FALSE),0)</f>
        <v>0</v>
      </c>
      <c r="L8" s="28">
        <f>IFERROR(VLOOKUP(A8,'Centre DW13'!$A$7:$N$160,12,FALSE),0)+
IFERROR(VLOOKUP(A8,'Centre WR13'!$A$7:$N$160,12,FALSE),0)+
IFERROR(VLOOKUP(A8,'Centre WP13'!$A$7:$N$160,12,FALSE),0)</f>
        <v>0</v>
      </c>
      <c r="M8" s="28">
        <f>IFERROR(VLOOKUP(A8,'Centre DW13'!$A$7:$N$160,13,FALSE),0)+
IFERROR(VLOOKUP(A8,'Centre WR13'!$A$7:$N$160,13,FALSE),0)+
IFERROR(VLOOKUP(A8,'Centre WP13'!$A$7:$N$160,13,FALSE),0)</f>
        <v>0</v>
      </c>
      <c r="N8" s="28">
        <f>IFERROR(VLOOKUP(A8,'Centre DW13'!$A$7:$N$160,14,FALSE),0)+
IFERROR(VLOOKUP(A8,'Centre WR13'!$A$7:$N$160,14,FALSE),0)+
IFERROR(VLOOKUP(A8,'Centre WP13'!$A$7:$N$160,14,FALSE),0)</f>
        <v>0</v>
      </c>
    </row>
    <row r="9" spans="1:14" hidden="1" outlineLevel="1" x14ac:dyDescent="0.2">
      <c r="A9" s="9" t="s">
        <v>29</v>
      </c>
      <c r="B9" s="1" t="s">
        <v>30</v>
      </c>
      <c r="C9" s="10">
        <f>IFERROR(VLOOKUP(A9,'Centre DW13'!$A$7:$N$160,3,FALSE),0)+
IFERROR(VLOOKUP(A9,'Centre WR13'!$A$7:$N$160,3,FALSE),0)+
IFERROR(VLOOKUP(A9,'Centre WP13'!$A$7:$N$160,3,FALSE),0)</f>
        <v>0</v>
      </c>
      <c r="D9" s="10">
        <f>IFERROR(VLOOKUP(A9,'Centre DW13'!$A$7:$N$160,4,FALSE),0)+
IFERROR(VLOOKUP(A9,'Centre WR13'!$A$7:$N$160,4,FALSE),0)+
IFERROR(VLOOKUP(A9,'Centre WP13'!$A$7:$N$160,4,FALSE),0)</f>
        <v>0</v>
      </c>
      <c r="E9" s="10">
        <f>IFERROR(VLOOKUP(A9,'Centre DW13'!$A$7:$N$160,5,FALSE),0)+
IFERROR(VLOOKUP(A9,'Centre WR13'!$A$7:$N$160,5,FALSE),0)+
IFERROR(VLOOKUP(A9,'Centre WP13'!$A$7:$N$160,5,FALSE),0)</f>
        <v>0</v>
      </c>
      <c r="F9" s="10">
        <f>IFERROR(VLOOKUP(A9,'Centre DW13'!$A$7:$N$160,6,FALSE),0)+
IFERROR(VLOOKUP(A9,'Centre WR13'!$A$7:$N$160,6,FALSE),0)+
IFERROR(VLOOKUP(A9,'Centre WP13'!$A$7:$N$160,6,FALSE),0)</f>
        <v>0</v>
      </c>
      <c r="G9" s="10">
        <f>IFERROR(VLOOKUP(A9,'Centre DW13'!$A$7:$N$160,7,FALSE),0)+
IFERROR(VLOOKUP(A9,'Centre WR13'!$A$7:$N$160,7,FALSE),0)+
IFERROR(VLOOKUP(A9,'Centre WP13'!$A$7:$N$160,7,FALSE),0)</f>
        <v>0</v>
      </c>
      <c r="H9" s="10">
        <f>IFERROR(VLOOKUP(A9,'Centre DW13'!$A$7:$N$160,8,FALSE),0)+
IFERROR(VLOOKUP(A9,'Centre WR13'!$A$7:$N$160,8,FALSE),0)+
IFERROR(VLOOKUP(A9,'Centre WP13'!$A$7:$N$160,8,FALSE),0)</f>
        <v>0</v>
      </c>
      <c r="I9" s="10">
        <f>IFERROR(VLOOKUP(A9,'Centre DW13'!$A$7:$N$160,9,FALSE),0)+
IFERROR(VLOOKUP(A9,'Centre WR13'!$A$7:$N$160,9,FALSE),0)+
IFERROR(VLOOKUP(A9,'Centre WP13'!$A$7:$N$160,9,FALSE),0)</f>
        <v>19</v>
      </c>
      <c r="J9" s="28">
        <f>IFERROR(VLOOKUP(A9,'Centre DW13'!$A$7:$N$160,10,FALSE),0)+
IFERROR(VLOOKUP(A9,'Centre WR13'!$A$7:$N$160,10,FALSE),0)+
IFERROR(VLOOKUP(A9,'Centre WP13'!$A$7:$N$160,10,FALSE),0)</f>
        <v>0</v>
      </c>
      <c r="K9" s="28">
        <f>IFERROR(VLOOKUP(A9,'Centre DW13'!$A$7:$N$160,11,FALSE),0)+
IFERROR(VLOOKUP(A9,'Centre WR13'!$A$7:$N$160,11,FALSE),0)+
IFERROR(VLOOKUP(A9,'Centre WP13'!$A$7:$N$160,11,FALSE),0)</f>
        <v>19</v>
      </c>
      <c r="L9" s="28">
        <f>IFERROR(VLOOKUP(A9,'Centre DW13'!$A$7:$N$160,12,FALSE),0)+
IFERROR(VLOOKUP(A9,'Centre WR13'!$A$7:$N$160,12,FALSE),0)+
IFERROR(VLOOKUP(A9,'Centre WP13'!$A$7:$N$160,12,FALSE),0)</f>
        <v>0</v>
      </c>
      <c r="M9" s="28">
        <f>IFERROR(VLOOKUP(A9,'Centre DW13'!$A$7:$N$160,13,FALSE),0)+
IFERROR(VLOOKUP(A9,'Centre WR13'!$A$7:$N$160,13,FALSE),0)+
IFERROR(VLOOKUP(A9,'Centre WP13'!$A$7:$N$160,13,FALSE),0)</f>
        <v>0</v>
      </c>
      <c r="N9" s="28">
        <f>IFERROR(VLOOKUP(A9,'Centre DW13'!$A$7:$N$160,14,FALSE),0)+
IFERROR(VLOOKUP(A9,'Centre WR13'!$A$7:$N$160,14,FALSE),0)+
IFERROR(VLOOKUP(A9,'Centre WP13'!$A$7:$N$160,14,FALSE),0)</f>
        <v>20</v>
      </c>
    </row>
    <row r="10" spans="1:14" hidden="1" outlineLevel="1" x14ac:dyDescent="0.2">
      <c r="A10" s="9" t="s">
        <v>31</v>
      </c>
      <c r="B10" s="1" t="s">
        <v>32</v>
      </c>
      <c r="C10" s="10">
        <f>IFERROR(VLOOKUP(A10,'Centre DW13'!$A$7:$N$160,3,FALSE),0)+
IFERROR(VLOOKUP(A10,'Centre WR13'!$A$7:$N$160,3,FALSE),0)+
IFERROR(VLOOKUP(A10,'Centre WP13'!$A$7:$N$160,3,FALSE),0)</f>
        <v>0</v>
      </c>
      <c r="D10" s="10">
        <f>IFERROR(VLOOKUP(A10,'Centre DW13'!$A$7:$N$160,4,FALSE),0)+
IFERROR(VLOOKUP(A10,'Centre WR13'!$A$7:$N$160,4,FALSE),0)+
IFERROR(VLOOKUP(A10,'Centre WP13'!$A$7:$N$160,4,FALSE),0)</f>
        <v>0</v>
      </c>
      <c r="E10" s="10">
        <f>IFERROR(VLOOKUP(A10,'Centre DW13'!$A$7:$N$160,5,FALSE),0)+
IFERROR(VLOOKUP(A10,'Centre WR13'!$A$7:$N$160,5,FALSE),0)+
IFERROR(VLOOKUP(A10,'Centre WP13'!$A$7:$N$160,5,FALSE),0)</f>
        <v>0</v>
      </c>
      <c r="F10" s="10">
        <f>IFERROR(VLOOKUP(A10,'Centre DW13'!$A$7:$N$160,6,FALSE),0)+
IFERROR(VLOOKUP(A10,'Centre WR13'!$A$7:$N$160,6,FALSE),0)+
IFERROR(VLOOKUP(A10,'Centre WP13'!$A$7:$N$160,6,FALSE),0)</f>
        <v>0</v>
      </c>
      <c r="G10" s="10">
        <f>IFERROR(VLOOKUP(A10,'Centre DW13'!$A$7:$N$160,7,FALSE),0)+
IFERROR(VLOOKUP(A10,'Centre WR13'!$A$7:$N$160,7,FALSE),0)+
IFERROR(VLOOKUP(A10,'Centre WP13'!$A$7:$N$160,7,FALSE),0)</f>
        <v>0</v>
      </c>
      <c r="H10" s="10">
        <f>IFERROR(VLOOKUP(A10,'Centre DW13'!$A$7:$N$160,8,FALSE),0)+
IFERROR(VLOOKUP(A10,'Centre WR13'!$A$7:$N$160,8,FALSE),0)+
IFERROR(VLOOKUP(A10,'Centre WP13'!$A$7:$N$160,8,FALSE),0)</f>
        <v>155.9</v>
      </c>
      <c r="I10" s="10">
        <f>IFERROR(VLOOKUP(A10,'Centre DW13'!$A$7:$N$160,9,FALSE),0)+
IFERROR(VLOOKUP(A10,'Centre WR13'!$A$7:$N$160,9,FALSE),0)+
IFERROR(VLOOKUP(A10,'Centre WP13'!$A$7:$N$160,9,FALSE),0)</f>
        <v>142.80000000000001</v>
      </c>
      <c r="J10" s="28">
        <f>IFERROR(VLOOKUP(A10,'Centre DW13'!$A$7:$N$160,10,FALSE),0)+
IFERROR(VLOOKUP(A10,'Centre WR13'!$A$7:$N$160,10,FALSE),0)+
IFERROR(VLOOKUP(A10,'Centre WP13'!$A$7:$N$160,10,FALSE),0)</f>
        <v>0</v>
      </c>
      <c r="K10" s="28">
        <f>IFERROR(VLOOKUP(A10,'Centre DW13'!$A$7:$N$160,11,FALSE),0)+
IFERROR(VLOOKUP(A10,'Centre WR13'!$A$7:$N$160,11,FALSE),0)+
IFERROR(VLOOKUP(A10,'Centre WP13'!$A$7:$N$160,11,FALSE),0)</f>
        <v>0</v>
      </c>
      <c r="L10" s="28">
        <f>IFERROR(VLOOKUP(A10,'Centre DW13'!$A$7:$N$160,12,FALSE),0)+
IFERROR(VLOOKUP(A10,'Centre WR13'!$A$7:$N$160,12,FALSE),0)+
IFERROR(VLOOKUP(A10,'Centre WP13'!$A$7:$N$160,12,FALSE),0)</f>
        <v>0</v>
      </c>
      <c r="M10" s="28">
        <f>IFERROR(VLOOKUP(A10,'Centre DW13'!$A$7:$N$160,13,FALSE),0)+
IFERROR(VLOOKUP(A10,'Centre WR13'!$A$7:$N$160,13,FALSE),0)+
IFERROR(VLOOKUP(A10,'Centre WP13'!$A$7:$N$160,13,FALSE),0)</f>
        <v>0</v>
      </c>
      <c r="N10" s="28">
        <f>IFERROR(VLOOKUP(A10,'Centre DW13'!$A$7:$N$160,14,FALSE),0)+
IFERROR(VLOOKUP(A10,'Centre WR13'!$A$7:$N$160,14,FALSE),0)+
IFERROR(VLOOKUP(A10,'Centre WP13'!$A$7:$N$160,14,FALSE),0)</f>
        <v>0</v>
      </c>
    </row>
    <row r="11" spans="1:14" hidden="1" outlineLevel="1" x14ac:dyDescent="0.2">
      <c r="A11" s="9" t="s">
        <v>33</v>
      </c>
      <c r="B11" s="1" t="s">
        <v>34</v>
      </c>
      <c r="C11" s="10">
        <f>IFERROR(VLOOKUP(A11,'Centre DW13'!$A$7:$N$160,3,FALSE),0)+
IFERROR(VLOOKUP(A11,'Centre WR13'!$A$7:$N$160,3,FALSE),0)+
IFERROR(VLOOKUP(A11,'Centre WP13'!$A$7:$N$160,3,FALSE),0)</f>
        <v>114.60000000000001</v>
      </c>
      <c r="D11" s="10">
        <f>IFERROR(VLOOKUP(A11,'Centre DW13'!$A$7:$N$160,4,FALSE),0)+
IFERROR(VLOOKUP(A11,'Centre WR13'!$A$7:$N$160,4,FALSE),0)+
IFERROR(VLOOKUP(A11,'Centre WP13'!$A$7:$N$160,4,FALSE),0)</f>
        <v>60.5</v>
      </c>
      <c r="E11" s="10">
        <f>IFERROR(VLOOKUP(A11,'Centre DW13'!$A$7:$N$160,5,FALSE),0)+
IFERROR(VLOOKUP(A11,'Centre WR13'!$A$7:$N$160,5,FALSE),0)+
IFERROR(VLOOKUP(A11,'Centre WP13'!$A$7:$N$160,5,FALSE),0)</f>
        <v>120.8</v>
      </c>
      <c r="F11" s="10">
        <f>IFERROR(VLOOKUP(A11,'Centre DW13'!$A$7:$N$160,6,FALSE),0)+
IFERROR(VLOOKUP(A11,'Centre WR13'!$A$7:$N$160,6,FALSE),0)+
IFERROR(VLOOKUP(A11,'Centre WP13'!$A$7:$N$160,6,FALSE),0)</f>
        <v>168.29999999999998</v>
      </c>
      <c r="G11" s="10">
        <f>IFERROR(VLOOKUP(A11,'Centre DW13'!$A$7:$N$160,7,FALSE),0)+
IFERROR(VLOOKUP(A11,'Centre WR13'!$A$7:$N$160,7,FALSE),0)+
IFERROR(VLOOKUP(A11,'Centre WP13'!$A$7:$N$160,7,FALSE),0)</f>
        <v>193</v>
      </c>
      <c r="H11" s="10">
        <f>IFERROR(VLOOKUP(A11,'Centre DW13'!$A$7:$N$160,8,FALSE),0)+
IFERROR(VLOOKUP(A11,'Centre WR13'!$A$7:$N$160,8,FALSE),0)+
IFERROR(VLOOKUP(A11,'Centre WP13'!$A$7:$N$160,8,FALSE),0)</f>
        <v>0</v>
      </c>
      <c r="I11" s="10">
        <f>IFERROR(VLOOKUP(A11,'Centre DW13'!$A$7:$N$160,9,FALSE),0)+
IFERROR(VLOOKUP(A11,'Centre WR13'!$A$7:$N$160,9,FALSE),0)+
IFERROR(VLOOKUP(A11,'Centre WP13'!$A$7:$N$160,9,FALSE),0)</f>
        <v>98</v>
      </c>
      <c r="J11" s="28">
        <f>IFERROR(VLOOKUP(A11,'Centre DW13'!$A$7:$N$160,10,FALSE),0)+
IFERROR(VLOOKUP(A11,'Centre WR13'!$A$7:$N$160,10,FALSE),0)+
IFERROR(VLOOKUP(A11,'Centre WP13'!$A$7:$N$160,10,FALSE),0)</f>
        <v>212</v>
      </c>
      <c r="K11" s="28">
        <f>IFERROR(VLOOKUP(A11,'Centre DW13'!$A$7:$N$160,11,FALSE),0)+
IFERROR(VLOOKUP(A11,'Centre WR13'!$A$7:$N$160,11,FALSE),0)+
IFERROR(VLOOKUP(A11,'Centre WP13'!$A$7:$N$160,11,FALSE),0)</f>
        <v>275</v>
      </c>
      <c r="L11" s="28">
        <f>IFERROR(VLOOKUP(A11,'Centre DW13'!$A$7:$N$160,12,FALSE),0)+
IFERROR(VLOOKUP(A11,'Centre WR13'!$A$7:$N$160,12,FALSE),0)+
IFERROR(VLOOKUP(A11,'Centre WP13'!$A$7:$N$160,12,FALSE),0)</f>
        <v>262</v>
      </c>
      <c r="M11" s="28">
        <f>IFERROR(VLOOKUP(A11,'Centre DW13'!$A$7:$N$160,13,FALSE),0)+
IFERROR(VLOOKUP(A11,'Centre WR13'!$A$7:$N$160,13,FALSE),0)+
IFERROR(VLOOKUP(A11,'Centre WP13'!$A$7:$N$160,13,FALSE),0)</f>
        <v>238</v>
      </c>
      <c r="N11" s="28">
        <f>IFERROR(VLOOKUP(A11,'Centre DW13'!$A$7:$N$160,14,FALSE),0)+
IFERROR(VLOOKUP(A11,'Centre WR13'!$A$7:$N$160,14,FALSE),0)+
IFERROR(VLOOKUP(A11,'Centre WP13'!$A$7:$N$160,14,FALSE),0)</f>
        <v>264</v>
      </c>
    </row>
    <row r="12" spans="1:14" hidden="1" outlineLevel="1" x14ac:dyDescent="0.2">
      <c r="A12" s="9" t="s">
        <v>35</v>
      </c>
      <c r="B12" s="1" t="s">
        <v>36</v>
      </c>
      <c r="C12" s="10">
        <f>IFERROR(VLOOKUP(A12,'Centre DW13'!$A$7:$N$160,3,FALSE),0)+
IFERROR(VLOOKUP(A12,'Centre WR13'!$A$7:$N$160,3,FALSE),0)+
IFERROR(VLOOKUP(A12,'Centre WP13'!$A$7:$N$160,3,FALSE),0)</f>
        <v>0</v>
      </c>
      <c r="D12" s="10">
        <f>IFERROR(VLOOKUP(A12,'Centre DW13'!$A$7:$N$160,4,FALSE),0)+
IFERROR(VLOOKUP(A12,'Centre WR13'!$A$7:$N$160,4,FALSE),0)+
IFERROR(VLOOKUP(A12,'Centre WP13'!$A$7:$N$160,4,FALSE),0)</f>
        <v>0</v>
      </c>
      <c r="E12" s="10">
        <f>IFERROR(VLOOKUP(A12,'Centre DW13'!$A$7:$N$160,5,FALSE),0)+
IFERROR(VLOOKUP(A12,'Centre WR13'!$A$7:$N$160,5,FALSE),0)+
IFERROR(VLOOKUP(A12,'Centre WP13'!$A$7:$N$160,5,FALSE),0)</f>
        <v>0</v>
      </c>
      <c r="F12" s="10">
        <f>IFERROR(VLOOKUP(A12,'Centre DW13'!$A$7:$N$160,6,FALSE),0)+
IFERROR(VLOOKUP(A12,'Centre WR13'!$A$7:$N$160,6,FALSE),0)+
IFERROR(VLOOKUP(A12,'Centre WP13'!$A$7:$N$160,6,FALSE),0)</f>
        <v>0</v>
      </c>
      <c r="G12" s="10">
        <f>IFERROR(VLOOKUP(A12,'Centre DW13'!$A$7:$N$160,7,FALSE),0)+
IFERROR(VLOOKUP(A12,'Centre WR13'!$A$7:$N$160,7,FALSE),0)+
IFERROR(VLOOKUP(A12,'Centre WP13'!$A$7:$N$160,7,FALSE),0)</f>
        <v>0</v>
      </c>
      <c r="H12" s="10">
        <f>IFERROR(VLOOKUP(A12,'Centre DW13'!$A$7:$N$160,8,FALSE),0)+
IFERROR(VLOOKUP(A12,'Centre WR13'!$A$7:$N$160,8,FALSE),0)+
IFERROR(VLOOKUP(A12,'Centre WP13'!$A$7:$N$160,8,FALSE),0)</f>
        <v>0</v>
      </c>
      <c r="I12" s="10">
        <f>IFERROR(VLOOKUP(A12,'Centre DW13'!$A$7:$N$160,9,FALSE),0)+
IFERROR(VLOOKUP(A12,'Centre WR13'!$A$7:$N$160,9,FALSE),0)+
IFERROR(VLOOKUP(A12,'Centre WP13'!$A$7:$N$160,9,FALSE),0)</f>
        <v>0</v>
      </c>
      <c r="J12" s="28">
        <f>IFERROR(VLOOKUP(A12,'Centre DW13'!$A$7:$N$160,10,FALSE),0)+
IFERROR(VLOOKUP(A12,'Centre WR13'!$A$7:$N$160,10,FALSE),0)+
IFERROR(VLOOKUP(A12,'Centre WP13'!$A$7:$N$160,10,FALSE),0)</f>
        <v>0</v>
      </c>
      <c r="K12" s="28">
        <f>IFERROR(VLOOKUP(A12,'Centre DW13'!$A$7:$N$160,11,FALSE),0)+
IFERROR(VLOOKUP(A12,'Centre WR13'!$A$7:$N$160,11,FALSE),0)+
IFERROR(VLOOKUP(A12,'Centre WP13'!$A$7:$N$160,11,FALSE),0)</f>
        <v>0</v>
      </c>
      <c r="L12" s="28">
        <f>IFERROR(VLOOKUP(A12,'Centre DW13'!$A$7:$N$160,12,FALSE),0)+
IFERROR(VLOOKUP(A12,'Centre WR13'!$A$7:$N$160,12,FALSE),0)+
IFERROR(VLOOKUP(A12,'Centre WP13'!$A$7:$N$160,12,FALSE),0)</f>
        <v>0</v>
      </c>
      <c r="M12" s="28">
        <f>IFERROR(VLOOKUP(A12,'Centre DW13'!$A$7:$N$160,13,FALSE),0)+
IFERROR(VLOOKUP(A12,'Centre WR13'!$A$7:$N$160,13,FALSE),0)+
IFERROR(VLOOKUP(A12,'Centre WP13'!$A$7:$N$160,13,FALSE),0)</f>
        <v>0</v>
      </c>
      <c r="N12" s="28">
        <f>IFERROR(VLOOKUP(A12,'Centre DW13'!$A$7:$N$160,14,FALSE),0)+
IFERROR(VLOOKUP(A12,'Centre WR13'!$A$7:$N$160,14,FALSE),0)+
IFERROR(VLOOKUP(A12,'Centre WP13'!$A$7:$N$160,14,FALSE),0)</f>
        <v>0</v>
      </c>
    </row>
    <row r="13" spans="1:14" collapsed="1" x14ac:dyDescent="0.2">
      <c r="A13" s="33" t="s">
        <v>37</v>
      </c>
      <c r="B13" s="34" t="s">
        <v>38</v>
      </c>
      <c r="C13" s="44">
        <f>IFERROR(VLOOKUP(A13,'Centre DW13'!$A$7:$N$160,3,FALSE),0)+
IFERROR(VLOOKUP(A13,'Centre WR13'!$A$7:$N$160,3,FALSE),0)+
IFERROR(VLOOKUP(A13,'Centre WP13'!$A$7:$N$160,3,FALSE),0)</f>
        <v>0</v>
      </c>
      <c r="D13" s="44">
        <f>IFERROR(VLOOKUP(A13,'Centre DW13'!$A$7:$N$160,4,FALSE),0)+
IFERROR(VLOOKUP(A13,'Centre WR13'!$A$7:$N$160,4,FALSE),0)+
IFERROR(VLOOKUP(A13,'Centre WP13'!$A$7:$N$160,4,FALSE),0)</f>
        <v>0</v>
      </c>
      <c r="E13" s="44">
        <f>IFERROR(VLOOKUP(A13,'Centre DW13'!$A$7:$N$160,5,FALSE),0)+
IFERROR(VLOOKUP(A13,'Centre WR13'!$A$7:$N$160,5,FALSE),0)+
IFERROR(VLOOKUP(A13,'Centre WP13'!$A$7:$N$160,5,FALSE),0)</f>
        <v>0</v>
      </c>
      <c r="F13" s="44">
        <f>IFERROR(VLOOKUP(A13,'Centre DW13'!$A$7:$N$160,6,FALSE),0)+
IFERROR(VLOOKUP(A13,'Centre WR13'!$A$7:$N$160,6,FALSE),0)+
IFERROR(VLOOKUP(A13,'Centre WP13'!$A$7:$N$160,6,FALSE),0)</f>
        <v>0</v>
      </c>
      <c r="G13" s="44">
        <f>IFERROR(VLOOKUP(A13,'Centre DW13'!$A$7:$N$160,7,FALSE),0)+
IFERROR(VLOOKUP(A13,'Centre WR13'!$A$7:$N$160,7,FALSE),0)+
IFERROR(VLOOKUP(A13,'Centre WP13'!$A$7:$N$160,7,FALSE),0)</f>
        <v>0</v>
      </c>
      <c r="H13" s="44">
        <f>IFERROR(VLOOKUP(A13,'Centre DW13'!$A$7:$N$160,8,FALSE),0)+
IFERROR(VLOOKUP(A13,'Centre WR13'!$A$7:$N$160,8,FALSE),0)+
IFERROR(VLOOKUP(A13,'Centre WP13'!$A$7:$N$160,8,FALSE),0)</f>
        <v>0</v>
      </c>
      <c r="I13" s="44">
        <f>IFERROR(VLOOKUP(A13,'Centre DW13'!$A$7:$N$160,9,FALSE),0)+
IFERROR(VLOOKUP(A13,'Centre WR13'!$A$7:$N$160,9,FALSE),0)+
IFERROR(VLOOKUP(A13,'Centre WP13'!$A$7:$N$160,9,FALSE),0)</f>
        <v>0</v>
      </c>
      <c r="J13" s="44">
        <f>IFERROR(VLOOKUP(A13,'Centre DW13'!$A$7:$N$160,10,FALSE),0)+
IFERROR(VLOOKUP(A13,'Centre WR13'!$A$7:$N$160,10,FALSE),0)+
IFERROR(VLOOKUP(A13,'Centre WP13'!$A$7:$N$160,10,FALSE),0)</f>
        <v>0</v>
      </c>
      <c r="K13" s="44">
        <f>IFERROR(VLOOKUP(A13,'Centre DW13'!$A$7:$N$160,11,FALSE),0)+
IFERROR(VLOOKUP(A13,'Centre WR13'!$A$7:$N$160,11,FALSE),0)+
IFERROR(VLOOKUP(A13,'Centre WP13'!$A$7:$N$160,11,FALSE),0)</f>
        <v>0</v>
      </c>
      <c r="L13" s="44">
        <f>IFERROR(VLOOKUP(A13,'Centre DW13'!$A$7:$N$160,12,FALSE),0)+
IFERROR(VLOOKUP(A13,'Centre WR13'!$A$7:$N$160,12,FALSE),0)+
IFERROR(VLOOKUP(A13,'Centre WP13'!$A$7:$N$160,12,FALSE),0)</f>
        <v>0</v>
      </c>
      <c r="M13" s="44">
        <f>IFERROR(VLOOKUP(A13,'Centre DW13'!$A$7:$N$160,13,FALSE),0)+
IFERROR(VLOOKUP(A13,'Centre WR13'!$A$7:$N$160,13,FALSE),0)+
IFERROR(VLOOKUP(A13,'Centre WP13'!$A$7:$N$160,13,FALSE),0)</f>
        <v>0</v>
      </c>
      <c r="N13" s="44">
        <f>IFERROR(VLOOKUP(A13,'Centre DW13'!$A$7:$N$160,14,FALSE),0)+
IFERROR(VLOOKUP(A13,'Centre WR13'!$A$7:$N$160,14,FALSE),0)+
IFERROR(VLOOKUP(A13,'Centre WP13'!$A$7:$N$160,14,FALSE),0)</f>
        <v>0</v>
      </c>
    </row>
    <row r="14" spans="1:14" x14ac:dyDescent="0.2">
      <c r="A14" s="33" t="s">
        <v>39</v>
      </c>
      <c r="B14" s="34" t="s">
        <v>40</v>
      </c>
      <c r="C14" s="44">
        <f>IFERROR(VLOOKUP(A14,'Centre DW13'!$A$7:$N$160,3,FALSE),0)+
IFERROR(VLOOKUP(A14,'Centre WR13'!$A$7:$N$160,3,FALSE),0)+
IFERROR(VLOOKUP(A14,'Centre WP13'!$A$7:$N$160,3,FALSE),0)</f>
        <v>0</v>
      </c>
      <c r="D14" s="44">
        <f>IFERROR(VLOOKUP(A14,'Centre DW13'!$A$7:$N$160,4,FALSE),0)+
IFERROR(VLOOKUP(A14,'Centre WR13'!$A$7:$N$160,4,FALSE),0)+
IFERROR(VLOOKUP(A14,'Centre WP13'!$A$7:$N$160,4,FALSE),0)</f>
        <v>0</v>
      </c>
      <c r="E14" s="44">
        <f>IFERROR(VLOOKUP(A14,'Centre DW13'!$A$7:$N$160,5,FALSE),0)+
IFERROR(VLOOKUP(A14,'Centre WR13'!$A$7:$N$160,5,FALSE),0)+
IFERROR(VLOOKUP(A14,'Centre WP13'!$A$7:$N$160,5,FALSE),0)</f>
        <v>0</v>
      </c>
      <c r="F14" s="44">
        <f>IFERROR(VLOOKUP(A14,'Centre DW13'!$A$7:$N$160,6,FALSE),0)+
IFERROR(VLOOKUP(A14,'Centre WR13'!$A$7:$N$160,6,FALSE),0)+
IFERROR(VLOOKUP(A14,'Centre WP13'!$A$7:$N$160,6,FALSE),0)</f>
        <v>0</v>
      </c>
      <c r="G14" s="44">
        <f>IFERROR(VLOOKUP(A14,'Centre DW13'!$A$7:$N$160,7,FALSE),0)+
IFERROR(VLOOKUP(A14,'Centre WR13'!$A$7:$N$160,7,FALSE),0)+
IFERROR(VLOOKUP(A14,'Centre WP13'!$A$7:$N$160,7,FALSE),0)</f>
        <v>0</v>
      </c>
      <c r="H14" s="44">
        <f>IFERROR(VLOOKUP(A14,'Centre DW13'!$A$7:$N$160,8,FALSE),0)+
IFERROR(VLOOKUP(A14,'Centre WR13'!$A$7:$N$160,8,FALSE),0)+
IFERROR(VLOOKUP(A14,'Centre WP13'!$A$7:$N$160,8,FALSE),0)</f>
        <v>0</v>
      </c>
      <c r="I14" s="44">
        <f>IFERROR(VLOOKUP(A14,'Centre DW13'!$A$7:$N$160,9,FALSE),0)+
IFERROR(VLOOKUP(A14,'Centre WR13'!$A$7:$N$160,9,FALSE),0)+
IFERROR(VLOOKUP(A14,'Centre WP13'!$A$7:$N$160,9,FALSE),0)</f>
        <v>0</v>
      </c>
      <c r="J14" s="44">
        <f>IFERROR(VLOOKUP(A14,'Centre DW13'!$A$7:$N$160,10,FALSE),0)+
IFERROR(VLOOKUP(A14,'Centre WR13'!$A$7:$N$160,10,FALSE),0)+
IFERROR(VLOOKUP(A14,'Centre WP13'!$A$7:$N$160,10,FALSE),0)</f>
        <v>0</v>
      </c>
      <c r="K14" s="44">
        <f>IFERROR(VLOOKUP(A14,'Centre DW13'!$A$7:$N$160,11,FALSE),0)+
IFERROR(VLOOKUP(A14,'Centre WR13'!$A$7:$N$160,11,FALSE),0)+
IFERROR(VLOOKUP(A14,'Centre WP13'!$A$7:$N$160,11,FALSE),0)</f>
        <v>0</v>
      </c>
      <c r="L14" s="44">
        <f>IFERROR(VLOOKUP(A14,'Centre DW13'!$A$7:$N$160,12,FALSE),0)+
IFERROR(VLOOKUP(A14,'Centre WR13'!$A$7:$N$160,12,FALSE),0)+
IFERROR(VLOOKUP(A14,'Centre WP13'!$A$7:$N$160,12,FALSE),0)</f>
        <v>0</v>
      </c>
      <c r="M14" s="44">
        <f>IFERROR(VLOOKUP(A14,'Centre DW13'!$A$7:$N$160,13,FALSE),0)+
IFERROR(VLOOKUP(A14,'Centre WR13'!$A$7:$N$160,13,FALSE),0)+
IFERROR(VLOOKUP(A14,'Centre WP13'!$A$7:$N$160,13,FALSE),0)</f>
        <v>0</v>
      </c>
      <c r="N14" s="44">
        <f>IFERROR(VLOOKUP(A14,'Centre DW13'!$A$7:$N$160,14,FALSE),0)+
IFERROR(VLOOKUP(A14,'Centre WR13'!$A$7:$N$160,14,FALSE),0)+
IFERROR(VLOOKUP(A14,'Centre WP13'!$A$7:$N$160,14,FALSE),0)</f>
        <v>0</v>
      </c>
    </row>
    <row r="15" spans="1:14" x14ac:dyDescent="0.2">
      <c r="A15" s="33" t="s">
        <v>41</v>
      </c>
      <c r="B15" s="34" t="s">
        <v>42</v>
      </c>
      <c r="C15" s="44">
        <f t="shared" ref="C15:N15" si="1">+C16</f>
        <v>0</v>
      </c>
      <c r="D15" s="44">
        <f t="shared" si="1"/>
        <v>0</v>
      </c>
      <c r="E15" s="44">
        <f t="shared" si="1"/>
        <v>0</v>
      </c>
      <c r="F15" s="44">
        <f t="shared" si="1"/>
        <v>0</v>
      </c>
      <c r="G15" s="44">
        <f t="shared" si="1"/>
        <v>0</v>
      </c>
      <c r="H15" s="44">
        <f t="shared" si="1"/>
        <v>0</v>
      </c>
      <c r="I15" s="44">
        <f t="shared" si="1"/>
        <v>0</v>
      </c>
      <c r="J15" s="44">
        <f t="shared" si="1"/>
        <v>0</v>
      </c>
      <c r="K15" s="44">
        <f t="shared" si="1"/>
        <v>0</v>
      </c>
      <c r="L15" s="44">
        <f t="shared" si="1"/>
        <v>0</v>
      </c>
      <c r="M15" s="44">
        <f t="shared" si="1"/>
        <v>0</v>
      </c>
      <c r="N15" s="44">
        <f t="shared" si="1"/>
        <v>0</v>
      </c>
    </row>
    <row r="16" spans="1:14" hidden="1" outlineLevel="1" x14ac:dyDescent="0.2">
      <c r="A16" s="9" t="s">
        <v>43</v>
      </c>
      <c r="B16" s="1" t="s">
        <v>44</v>
      </c>
      <c r="C16" s="10">
        <f>IFERROR(VLOOKUP(A16,'Centre DW13'!$A$7:$N$160,3,FALSE),0)+
IFERROR(VLOOKUP(A16,'Centre WR13'!$A$7:$N$160,3,FALSE),0)+
IFERROR(VLOOKUP(A16,'Centre WP13'!$A$7:$N$160,3,FALSE),0)</f>
        <v>0</v>
      </c>
      <c r="D16" s="10">
        <f>IFERROR(VLOOKUP(A16,'Centre DW13'!$A$7:$N$160,4,FALSE),0)+
IFERROR(VLOOKUP(A16,'Centre WR13'!$A$7:$N$160,4,FALSE),0)+
IFERROR(VLOOKUP(A16,'Centre WP13'!$A$7:$N$160,4,FALSE),0)</f>
        <v>0</v>
      </c>
      <c r="E16" s="10">
        <f>IFERROR(VLOOKUP(A16,'Centre DW13'!$A$7:$N$160,5,FALSE),0)+
IFERROR(VLOOKUP(A16,'Centre WR13'!$A$7:$N$160,5,FALSE),0)+
IFERROR(VLOOKUP(A16,'Centre WP13'!$A$7:$N$160,5,FALSE),0)</f>
        <v>0</v>
      </c>
      <c r="F16" s="10">
        <f>IFERROR(VLOOKUP(A16,'Centre DW13'!$A$7:$N$160,6,FALSE),0)+
IFERROR(VLOOKUP(A16,'Centre WR13'!$A$7:$N$160,6,FALSE),0)+
IFERROR(VLOOKUP(A16,'Centre WP13'!$A$7:$N$160,6,FALSE),0)</f>
        <v>0</v>
      </c>
      <c r="G16" s="10">
        <f>IFERROR(VLOOKUP(A16,'Centre DW13'!$A$7:$N$160,7,FALSE),0)+
IFERROR(VLOOKUP(A16,'Centre WR13'!$A$7:$N$160,7,FALSE),0)+
IFERROR(VLOOKUP(A16,'Centre WP13'!$A$7:$N$160,7,FALSE),0)</f>
        <v>0</v>
      </c>
      <c r="H16" s="10">
        <f>IFERROR(VLOOKUP(A16,'Centre DW13'!$A$7:$N$160,8,FALSE),0)+
IFERROR(VLOOKUP(A16,'Centre WR13'!$A$7:$N$160,8,FALSE),0)+
IFERROR(VLOOKUP(A16,'Centre WP13'!$A$7:$N$160,8,FALSE),0)</f>
        <v>0</v>
      </c>
      <c r="I16" s="10">
        <f>IFERROR(VLOOKUP(A16,'Centre DW13'!$A$7:$N$160,9,FALSE),0)+
IFERROR(VLOOKUP(A16,'Centre WR13'!$A$7:$N$160,9,FALSE),0)+
IFERROR(VLOOKUP(A16,'Centre WP13'!$A$7:$N$160,9,FALSE),0)</f>
        <v>0</v>
      </c>
      <c r="J16" s="28">
        <f>IFERROR(VLOOKUP(A16,'Centre DW13'!$A$7:$N$160,10,FALSE),0)+
IFERROR(VLOOKUP(A16,'Centre WR13'!$A$7:$N$160,10,FALSE),0)+
IFERROR(VLOOKUP(A16,'Centre WP13'!$A$7:$N$160,10,FALSE),0)</f>
        <v>0</v>
      </c>
      <c r="K16" s="28">
        <f>IFERROR(VLOOKUP(A16,'Centre DW13'!$A$7:$N$160,11,FALSE),0)+
IFERROR(VLOOKUP(A16,'Centre WR13'!$A$7:$N$160,11,FALSE),0)+
IFERROR(VLOOKUP(A16,'Centre WP13'!$A$7:$N$160,11,FALSE),0)</f>
        <v>0</v>
      </c>
      <c r="L16" s="28">
        <f>IFERROR(VLOOKUP(A16,'Centre DW13'!$A$7:$N$160,12,FALSE),0)+
IFERROR(VLOOKUP(A16,'Centre WR13'!$A$7:$N$160,12,FALSE),0)+
IFERROR(VLOOKUP(A16,'Centre WP13'!$A$7:$N$160,12,FALSE),0)</f>
        <v>0</v>
      </c>
      <c r="M16" s="28">
        <f>IFERROR(VLOOKUP(A16,'Centre DW13'!$A$7:$N$160,13,FALSE),0)+
IFERROR(VLOOKUP(A16,'Centre WR13'!$A$7:$N$160,13,FALSE),0)+
IFERROR(VLOOKUP(A16,'Centre WP13'!$A$7:$N$160,13,FALSE),0)</f>
        <v>0</v>
      </c>
      <c r="N16" s="28">
        <f>IFERROR(VLOOKUP(A16,'Centre DW13'!$A$7:$N$160,14,FALSE),0)+
IFERROR(VLOOKUP(A16,'Centre WR13'!$A$7:$N$160,14,FALSE),0)+
IFERROR(VLOOKUP(A16,'Centre WP13'!$A$7:$N$160,14,FALSE),0)</f>
        <v>0</v>
      </c>
    </row>
    <row r="17" spans="1:14" collapsed="1" x14ac:dyDescent="0.2">
      <c r="A17" s="33" t="s">
        <v>45</v>
      </c>
      <c r="B17" s="34" t="s">
        <v>46</v>
      </c>
      <c r="C17" s="44">
        <f>IFERROR(VLOOKUP(A17,'Centre DW13'!$A$7:$N$160,3,FALSE),0)+
IFERROR(VLOOKUP(A17,'Centre WR13'!$A$7:$N$160,3,FALSE),0)+
IFERROR(VLOOKUP(A17,'Centre WP13'!$A$7:$N$160,3,FALSE),0)</f>
        <v>0</v>
      </c>
      <c r="D17" s="44">
        <f>IFERROR(VLOOKUP(A17,'Centre DW13'!$A$7:$N$160,4,FALSE),0)+
IFERROR(VLOOKUP(A17,'Centre WR13'!$A$7:$N$160,4,FALSE),0)+
IFERROR(VLOOKUP(A17,'Centre WP13'!$A$7:$N$160,4,FALSE),0)</f>
        <v>0</v>
      </c>
      <c r="E17" s="44">
        <f>IFERROR(VLOOKUP(A17,'Centre DW13'!$A$7:$N$160,5,FALSE),0)+
IFERROR(VLOOKUP(A17,'Centre WR13'!$A$7:$N$160,5,FALSE),0)+
IFERROR(VLOOKUP(A17,'Centre WP13'!$A$7:$N$160,5,FALSE),0)</f>
        <v>0</v>
      </c>
      <c r="F17" s="44">
        <f>IFERROR(VLOOKUP(A17,'Centre DW13'!$A$7:$N$160,6,FALSE),0)+
IFERROR(VLOOKUP(A17,'Centre WR13'!$A$7:$N$160,6,FALSE),0)+
IFERROR(VLOOKUP(A17,'Centre WP13'!$A$7:$N$160,6,FALSE),0)</f>
        <v>0</v>
      </c>
      <c r="G17" s="44">
        <f>IFERROR(VLOOKUP(A17,'Centre DW13'!$A$7:$N$160,7,FALSE),0)+
IFERROR(VLOOKUP(A17,'Centre WR13'!$A$7:$N$160,7,FALSE),0)+
IFERROR(VLOOKUP(A17,'Centre WP13'!$A$7:$N$160,7,FALSE),0)</f>
        <v>0</v>
      </c>
      <c r="H17" s="44">
        <f>IFERROR(VLOOKUP(A17,'Centre DW13'!$A$7:$N$160,8,FALSE),0)+
IFERROR(VLOOKUP(A17,'Centre WR13'!$A$7:$N$160,8,FALSE),0)+
IFERROR(VLOOKUP(A17,'Centre WP13'!$A$7:$N$160,8,FALSE),0)</f>
        <v>0</v>
      </c>
      <c r="I17" s="44">
        <f>IFERROR(VLOOKUP(A17,'Centre DW13'!$A$7:$N$160,9,FALSE),0)+
IFERROR(VLOOKUP(A17,'Centre WR13'!$A$7:$N$160,9,FALSE),0)+
IFERROR(VLOOKUP(A17,'Centre WP13'!$A$7:$N$160,9,FALSE),0)</f>
        <v>0</v>
      </c>
      <c r="J17" s="44">
        <f>IFERROR(VLOOKUP(A17,'Centre DW13'!$A$7:$N$160,10,FALSE),0)+
IFERROR(VLOOKUP(A17,'Centre WR13'!$A$7:$N$160,10,FALSE),0)+
IFERROR(VLOOKUP(A17,'Centre WP13'!$A$7:$N$160,10,FALSE),0)</f>
        <v>0</v>
      </c>
      <c r="K17" s="44">
        <f>IFERROR(VLOOKUP(A17,'Centre DW13'!$A$7:$N$160,11,FALSE),0)+
IFERROR(VLOOKUP(A17,'Centre WR13'!$A$7:$N$160,11,FALSE),0)+
IFERROR(VLOOKUP(A17,'Centre WP13'!$A$7:$N$160,11,FALSE),0)</f>
        <v>0</v>
      </c>
      <c r="L17" s="44">
        <f>IFERROR(VLOOKUP(A17,'Centre DW13'!$A$7:$N$160,12,FALSE),0)+
IFERROR(VLOOKUP(A17,'Centre WR13'!$A$7:$N$160,12,FALSE),0)+
IFERROR(VLOOKUP(A17,'Centre WP13'!$A$7:$N$160,12,FALSE),0)</f>
        <v>0</v>
      </c>
      <c r="M17" s="44">
        <f>IFERROR(VLOOKUP(A17,'Centre DW13'!$A$7:$N$160,13,FALSE),0)+
IFERROR(VLOOKUP(A17,'Centre WR13'!$A$7:$N$160,13,FALSE),0)+
IFERROR(VLOOKUP(A17,'Centre WP13'!$A$7:$N$160,13,FALSE),0)</f>
        <v>0</v>
      </c>
      <c r="N17" s="44">
        <f>IFERROR(VLOOKUP(A17,'Centre DW13'!$A$7:$N$160,14,FALSE),0)+
IFERROR(VLOOKUP(A17,'Centre WR13'!$A$7:$N$160,14,FALSE),0)+
IFERROR(VLOOKUP(A17,'Centre WP13'!$A$7:$N$160,14,FALSE),0)</f>
        <v>0</v>
      </c>
    </row>
    <row r="18" spans="1:14" x14ac:dyDescent="0.2">
      <c r="A18" s="35"/>
      <c r="B18" s="35" t="s">
        <v>47</v>
      </c>
      <c r="C18" s="21">
        <f t="shared" ref="C18:N18" si="2">+C7+C13+C14+C15+C17</f>
        <v>114.60000000000001</v>
      </c>
      <c r="D18" s="21">
        <f t="shared" si="2"/>
        <v>60.5</v>
      </c>
      <c r="E18" s="21">
        <f t="shared" si="2"/>
        <v>120.8</v>
      </c>
      <c r="F18" s="21">
        <f t="shared" si="2"/>
        <v>168.29999999999998</v>
      </c>
      <c r="G18" s="21">
        <f t="shared" si="2"/>
        <v>193</v>
      </c>
      <c r="H18" s="21">
        <f t="shared" si="2"/>
        <v>155.9</v>
      </c>
      <c r="I18" s="21">
        <f t="shared" si="2"/>
        <v>259.8</v>
      </c>
      <c r="J18" s="21">
        <f t="shared" si="2"/>
        <v>212</v>
      </c>
      <c r="K18" s="21">
        <f t="shared" si="2"/>
        <v>294</v>
      </c>
      <c r="L18" s="21">
        <f t="shared" si="2"/>
        <v>262</v>
      </c>
      <c r="M18" s="21">
        <f t="shared" si="2"/>
        <v>238</v>
      </c>
      <c r="N18" s="21">
        <f t="shared" si="2"/>
        <v>284</v>
      </c>
    </row>
    <row r="19" spans="1:14" x14ac:dyDescent="0.2">
      <c r="A19" s="33" t="s">
        <v>48</v>
      </c>
      <c r="B19" s="34" t="s">
        <v>49</v>
      </c>
      <c r="C19" s="44">
        <f t="shared" ref="C19:N19" si="3">SUM(C20:C23)</f>
        <v>49.8</v>
      </c>
      <c r="D19" s="44">
        <f t="shared" si="3"/>
        <v>11</v>
      </c>
      <c r="E19" s="44">
        <f t="shared" si="3"/>
        <v>22.8</v>
      </c>
      <c r="F19" s="44">
        <f t="shared" si="3"/>
        <v>11.2</v>
      </c>
      <c r="G19" s="44">
        <f t="shared" si="3"/>
        <v>45</v>
      </c>
      <c r="H19" s="44">
        <f t="shared" si="3"/>
        <v>14.9</v>
      </c>
      <c r="I19" s="44">
        <f t="shared" si="3"/>
        <v>51.9</v>
      </c>
      <c r="J19" s="44">
        <f>SUM(J20:J23)</f>
        <v>44</v>
      </c>
      <c r="K19" s="44">
        <f t="shared" si="3"/>
        <v>48.9</v>
      </c>
      <c r="L19" s="44">
        <f t="shared" si="3"/>
        <v>59.8</v>
      </c>
      <c r="M19" s="44">
        <f t="shared" si="3"/>
        <v>52</v>
      </c>
      <c r="N19" s="44">
        <f t="shared" si="3"/>
        <v>47</v>
      </c>
    </row>
    <row r="20" spans="1:14" hidden="1" outlineLevel="1" x14ac:dyDescent="0.2">
      <c r="A20" s="9" t="s">
        <v>54</v>
      </c>
      <c r="B20" s="1" t="s">
        <v>55</v>
      </c>
      <c r="C20" s="10">
        <f>IFERROR(VLOOKUP(A20,'Centre DW13'!$A$7:$N$160,3,FALSE),0)+
IFERROR(VLOOKUP(A20,'Centre WR13'!$A$7:$N$160,3,FALSE),0)+
IFERROR(VLOOKUP(A20,'Centre WP13'!$A$7:$N$160,3,FALSE),0)</f>
        <v>0</v>
      </c>
      <c r="D20" s="10">
        <f>IFERROR(VLOOKUP(A20,'Centre DW13'!$A$7:$N$160,4,FALSE),0)+
IFERROR(VLOOKUP(A20,'Centre WR13'!$A$7:$N$160,4,FALSE),0)+
IFERROR(VLOOKUP(A20,'Centre WP13'!$A$7:$N$160,4,FALSE),0)</f>
        <v>0</v>
      </c>
      <c r="E20" s="10">
        <f>IFERROR(VLOOKUP(A20,'Centre DW13'!$A$7:$N$160,5,FALSE),0)+
IFERROR(VLOOKUP(A20,'Centre WR13'!$A$7:$N$160,5,FALSE),0)+
IFERROR(VLOOKUP(A20,'Centre WP13'!$A$7:$N$160,5,FALSE),0)</f>
        <v>0</v>
      </c>
      <c r="F20" s="10">
        <f>IFERROR(VLOOKUP(A20,'Centre DW13'!$A$7:$N$160,6,FALSE),0)+
IFERROR(VLOOKUP(A20,'Centre WR13'!$A$7:$N$160,6,FALSE),0)+
IFERROR(VLOOKUP(A20,'Centre WP13'!$A$7:$N$160,6,FALSE),0)</f>
        <v>0</v>
      </c>
      <c r="G20" s="10">
        <f>IFERROR(VLOOKUP(A20,'Centre DW13'!$A$7:$N$160,7,FALSE),0)+
IFERROR(VLOOKUP(A20,'Centre WR13'!$A$7:$N$160,7,FALSE),0)+
IFERROR(VLOOKUP(A20,'Centre WP13'!$A$7:$N$160,7,FALSE),0)</f>
        <v>0</v>
      </c>
      <c r="H20" s="10">
        <f>IFERROR(VLOOKUP(A20,'Centre DW13'!$A$7:$N$160,8,FALSE),0)+
IFERROR(VLOOKUP(A20,'Centre WR13'!$A$7:$N$160,8,FALSE),0)+
IFERROR(VLOOKUP(A20,'Centre WP13'!$A$7:$N$160,8,FALSE),0)</f>
        <v>14.9</v>
      </c>
      <c r="I20" s="10">
        <f>IFERROR(VLOOKUP(A20,'Centre DW13'!$A$7:$N$160,9,FALSE),0)+
IFERROR(VLOOKUP(A20,'Centre WR13'!$A$7:$N$160,9,FALSE),0)+
IFERROR(VLOOKUP(A20,'Centre WP13'!$A$7:$N$160,9,FALSE),0)</f>
        <v>21.9</v>
      </c>
      <c r="J20" s="28">
        <f>IFERROR(VLOOKUP(A20,'Centre DW13'!$A$7:$N$160,10,FALSE),0)+
IFERROR(VLOOKUP(A20,'Centre WR13'!$A$7:$N$160,10,FALSE),0)+
IFERROR(VLOOKUP(A20,'Centre WP13'!$A$7:$N$160,10,FALSE),0)</f>
        <v>0</v>
      </c>
      <c r="K20" s="28">
        <f>IFERROR(VLOOKUP(A20,'Centre DW13'!$A$7:$N$160,11,FALSE),0)+
IFERROR(VLOOKUP(A20,'Centre WR13'!$A$7:$N$160,11,FALSE),0)+
IFERROR(VLOOKUP(A20,'Centre WP13'!$A$7:$N$160,11,FALSE),0)</f>
        <v>14.9</v>
      </c>
      <c r="L20" s="28">
        <f>IFERROR(VLOOKUP(A20,'Centre DW13'!$A$7:$N$160,12,FALSE),0)+
IFERROR(VLOOKUP(A20,'Centre WR13'!$A$7:$N$160,12,FALSE),0)+
IFERROR(VLOOKUP(A20,'Centre WP13'!$A$7:$N$160,12,FALSE),0)</f>
        <v>9.8000000000000007</v>
      </c>
      <c r="M20" s="28">
        <f>IFERROR(VLOOKUP(A20,'Centre DW13'!$A$7:$N$160,13,FALSE),0)+
IFERROR(VLOOKUP(A20,'Centre WR13'!$A$7:$N$160,13,FALSE),0)+
IFERROR(VLOOKUP(A20,'Centre WP13'!$A$7:$N$160,13,FALSE),0)</f>
        <v>0</v>
      </c>
      <c r="N20" s="28">
        <f>IFERROR(VLOOKUP(A20,'Centre DW13'!$A$7:$N$160,14,FALSE),0)+
IFERROR(VLOOKUP(A20,'Centre WR13'!$A$7:$N$160,14,FALSE),0)+
IFERROR(VLOOKUP(A20,'Centre WP13'!$A$7:$N$160,14,FALSE),0)</f>
        <v>0</v>
      </c>
    </row>
    <row r="21" spans="1:14" hidden="1" outlineLevel="1" x14ac:dyDescent="0.2">
      <c r="A21" s="9" t="s">
        <v>56</v>
      </c>
      <c r="B21" s="1" t="s">
        <v>51</v>
      </c>
      <c r="C21" s="10">
        <f>IFERROR(VLOOKUP(A21,'Centre DW13'!$A$7:$N$160,3,FALSE),0)+
IFERROR(VLOOKUP(A21,'Centre WR13'!$A$7:$N$160,3,FALSE),0)+
IFERROR(VLOOKUP(A21,'Centre WP13'!$A$7:$N$160,3,FALSE),0)</f>
        <v>51.5</v>
      </c>
      <c r="D21" s="10">
        <f>IFERROR(VLOOKUP(A21,'Centre DW13'!$A$7:$N$160,4,FALSE),0)+
IFERROR(VLOOKUP(A21,'Centre WR13'!$A$7:$N$160,4,FALSE),0)+
IFERROR(VLOOKUP(A21,'Centre WP13'!$A$7:$N$160,4,FALSE),0)</f>
        <v>11</v>
      </c>
      <c r="E21" s="10">
        <f>IFERROR(VLOOKUP(A21,'Centre DW13'!$A$7:$N$160,5,FALSE),0)+
IFERROR(VLOOKUP(A21,'Centre WR13'!$A$7:$N$160,5,FALSE),0)+
IFERROR(VLOOKUP(A21,'Centre WP13'!$A$7:$N$160,5,FALSE),0)</f>
        <v>22.8</v>
      </c>
      <c r="F21" s="10">
        <f>IFERROR(VLOOKUP(A21,'Centre DW13'!$A$7:$N$160,6,FALSE),0)+
IFERROR(VLOOKUP(A21,'Centre WR13'!$A$7:$N$160,6,FALSE),0)+
IFERROR(VLOOKUP(A21,'Centre WP13'!$A$7:$N$160,6,FALSE),0)</f>
        <v>11.2</v>
      </c>
      <c r="G21" s="10">
        <f>IFERROR(VLOOKUP(A21,'Centre DW13'!$A$7:$N$160,7,FALSE),0)+
IFERROR(VLOOKUP(A21,'Centre WR13'!$A$7:$N$160,7,FALSE),0)+
IFERROR(VLOOKUP(A21,'Centre WP13'!$A$7:$N$160,7,FALSE),0)</f>
        <v>45</v>
      </c>
      <c r="H21" s="10">
        <f>IFERROR(VLOOKUP(A21,'Centre DW13'!$A$7:$N$160,8,FALSE),0)+
IFERROR(VLOOKUP(A21,'Centre WR13'!$A$7:$N$160,8,FALSE),0)+
IFERROR(VLOOKUP(A21,'Centre WP13'!$A$7:$N$160,8,FALSE),0)</f>
        <v>0</v>
      </c>
      <c r="I21" s="10">
        <f>IFERROR(VLOOKUP(A21,'Centre DW13'!$A$7:$N$160,9,FALSE),0)+
IFERROR(VLOOKUP(A21,'Centre WR13'!$A$7:$N$160,9,FALSE),0)+
IFERROR(VLOOKUP(A21,'Centre WP13'!$A$7:$N$160,9,FALSE),0)</f>
        <v>11.5</v>
      </c>
      <c r="J21" s="28">
        <f>IFERROR(VLOOKUP(A21,'Centre DW13'!$A$7:$N$160,10,FALSE),0)+
IFERROR(VLOOKUP(A21,'Centre WR13'!$A$7:$N$160,10,FALSE),0)+
IFERROR(VLOOKUP(A21,'Centre WP13'!$A$7:$N$160,10,FALSE),0)</f>
        <v>44</v>
      </c>
      <c r="K21" s="28">
        <f>IFERROR(VLOOKUP(A21,'Centre DW13'!$A$7:$N$160,11,FALSE),0)+
IFERROR(VLOOKUP(A21,'Centre WR13'!$A$7:$N$160,11,FALSE),0)+
IFERROR(VLOOKUP(A21,'Centre WP13'!$A$7:$N$160,11,FALSE),0)</f>
        <v>34</v>
      </c>
      <c r="L21" s="28">
        <f>IFERROR(VLOOKUP(A21,'Centre DW13'!$A$7:$N$160,12,FALSE),0)+
IFERROR(VLOOKUP(A21,'Centre WR13'!$A$7:$N$160,12,FALSE),0)+
IFERROR(VLOOKUP(A21,'Centre WP13'!$A$7:$N$160,12,FALSE),0)</f>
        <v>50</v>
      </c>
      <c r="M21" s="28">
        <f>IFERROR(VLOOKUP(A21,'Centre DW13'!$A$7:$N$160,13,FALSE),0)+
IFERROR(VLOOKUP(A21,'Centre WR13'!$A$7:$N$160,13,FALSE),0)+
IFERROR(VLOOKUP(A21,'Centre WP13'!$A$7:$N$160,13,FALSE),0)</f>
        <v>52</v>
      </c>
      <c r="N21" s="28">
        <f>IFERROR(VLOOKUP(A21,'Centre DW13'!$A$7:$N$160,14,FALSE),0)+
IFERROR(VLOOKUP(A21,'Centre WR13'!$A$7:$N$160,14,FALSE),0)+
IFERROR(VLOOKUP(A21,'Centre WP13'!$A$7:$N$160,14,FALSE),0)</f>
        <v>47</v>
      </c>
    </row>
    <row r="22" spans="1:14" hidden="1" outlineLevel="1" x14ac:dyDescent="0.2">
      <c r="A22" s="9" t="s">
        <v>57</v>
      </c>
      <c r="B22" s="1" t="s">
        <v>58</v>
      </c>
      <c r="C22" s="10">
        <f>IFERROR(VLOOKUP(A22,'Centre DW13'!$A$7:$N$160,3,FALSE),0)+
IFERROR(VLOOKUP(A22,'Centre WR13'!$A$7:$N$160,3,FALSE),0)+
IFERROR(VLOOKUP(A22,'Centre WP13'!$A$7:$N$160,3,FALSE),0)</f>
        <v>-1.7</v>
      </c>
      <c r="D22" s="10">
        <f>IFERROR(VLOOKUP(A22,'Centre DW13'!$A$7:$N$160,4,FALSE),0)+
IFERROR(VLOOKUP(A22,'Centre WR13'!$A$7:$N$160,4,FALSE),0)+
IFERROR(VLOOKUP(A22,'Centre WP13'!$A$7:$N$160,4,FALSE),0)</f>
        <v>0</v>
      </c>
      <c r="E22" s="10">
        <f>IFERROR(VLOOKUP(A22,'Centre DW13'!$A$7:$N$160,5,FALSE),0)+
IFERROR(VLOOKUP(A22,'Centre WR13'!$A$7:$N$160,5,FALSE),0)+
IFERROR(VLOOKUP(A22,'Centre WP13'!$A$7:$N$160,5,FALSE),0)</f>
        <v>0</v>
      </c>
      <c r="F22" s="10">
        <f>IFERROR(VLOOKUP(A22,'Centre DW13'!$A$7:$N$160,6,FALSE),0)+
IFERROR(VLOOKUP(A22,'Centre WR13'!$A$7:$N$160,6,FALSE),0)+
IFERROR(VLOOKUP(A22,'Centre WP13'!$A$7:$N$160,6,FALSE),0)</f>
        <v>0</v>
      </c>
      <c r="G22" s="10">
        <f>IFERROR(VLOOKUP(A22,'Centre DW13'!$A$7:$N$160,7,FALSE),0)+
IFERROR(VLOOKUP(A22,'Centre WR13'!$A$7:$N$160,7,FALSE),0)+
IFERROR(VLOOKUP(A22,'Centre WP13'!$A$7:$N$160,7,FALSE),0)</f>
        <v>0</v>
      </c>
      <c r="H22" s="10">
        <f>IFERROR(VLOOKUP(A22,'Centre DW13'!$A$7:$N$160,8,FALSE),0)+
IFERROR(VLOOKUP(A22,'Centre WR13'!$A$7:$N$160,8,FALSE),0)+
IFERROR(VLOOKUP(A22,'Centre WP13'!$A$7:$N$160,8,FALSE),0)</f>
        <v>0</v>
      </c>
      <c r="I22" s="10">
        <f>IFERROR(VLOOKUP(A22,'Centre DW13'!$A$7:$N$160,9,FALSE),0)+
IFERROR(VLOOKUP(A22,'Centre WR13'!$A$7:$N$160,9,FALSE),0)+
IFERROR(VLOOKUP(A22,'Centre WP13'!$A$7:$N$160,9,FALSE),0)</f>
        <v>18.5</v>
      </c>
      <c r="J22" s="28">
        <f>IFERROR(VLOOKUP(A22,'Centre DW13'!$A$7:$N$160,10,FALSE),0)+
IFERROR(VLOOKUP(A22,'Centre WR13'!$A$7:$N$160,10,FALSE),0)+
IFERROR(VLOOKUP(A22,'Centre WP13'!$A$7:$N$160,10,FALSE),0)</f>
        <v>0</v>
      </c>
      <c r="K22" s="28">
        <f>IFERROR(VLOOKUP(A22,'Centre DW13'!$A$7:$N$160,11,FALSE),0)+
IFERROR(VLOOKUP(A22,'Centre WR13'!$A$7:$N$160,11,FALSE),0)+
IFERROR(VLOOKUP(A22,'Centre WP13'!$A$7:$N$160,11,FALSE),0)</f>
        <v>0</v>
      </c>
      <c r="L22" s="28">
        <f>IFERROR(VLOOKUP(A22,'Centre DW13'!$A$7:$N$160,12,FALSE),0)+
IFERROR(VLOOKUP(A22,'Centre WR13'!$A$7:$N$160,12,FALSE),0)+
IFERROR(VLOOKUP(A22,'Centre WP13'!$A$7:$N$160,12,FALSE),0)</f>
        <v>0</v>
      </c>
      <c r="M22" s="28">
        <f>IFERROR(VLOOKUP(A22,'Centre DW13'!$A$7:$N$160,13,FALSE),0)+
IFERROR(VLOOKUP(A22,'Centre WR13'!$A$7:$N$160,13,FALSE),0)+
IFERROR(VLOOKUP(A22,'Centre WP13'!$A$7:$N$160,13,FALSE),0)</f>
        <v>0</v>
      </c>
      <c r="N22" s="28">
        <f>IFERROR(VLOOKUP(A22,'Centre DW13'!$A$7:$N$160,14,FALSE),0)+
IFERROR(VLOOKUP(A22,'Centre WR13'!$A$7:$N$160,14,FALSE),0)+
IFERROR(VLOOKUP(A22,'Centre WP13'!$A$7:$N$160,14,FALSE),0)</f>
        <v>0</v>
      </c>
    </row>
    <row r="23" spans="1:14" hidden="1" outlineLevel="1" x14ac:dyDescent="0.2">
      <c r="A23" s="9" t="s">
        <v>59</v>
      </c>
      <c r="B23" s="1" t="s">
        <v>53</v>
      </c>
      <c r="C23" s="10">
        <f>IFERROR(VLOOKUP(A23,'Centre DW13'!$A$7:$N$160,3,FALSE),0)+
IFERROR(VLOOKUP(A23,'Centre WR13'!$A$7:$N$160,3,FALSE),0)+
IFERROR(VLOOKUP(A23,'Centre WP13'!$A$7:$N$160,3,FALSE),0)</f>
        <v>0</v>
      </c>
      <c r="D23" s="10">
        <f>IFERROR(VLOOKUP(A23,'Centre DW13'!$A$7:$N$160,4,FALSE),0)+
IFERROR(VLOOKUP(A23,'Centre WR13'!$A$7:$N$160,4,FALSE),0)+
IFERROR(VLOOKUP(A23,'Centre WP13'!$A$7:$N$160,4,FALSE),0)</f>
        <v>0</v>
      </c>
      <c r="E23" s="10">
        <f>IFERROR(VLOOKUP(A23,'Centre DW13'!$A$7:$N$160,5,FALSE),0)+
IFERROR(VLOOKUP(A23,'Centre WR13'!$A$7:$N$160,5,FALSE),0)+
IFERROR(VLOOKUP(A23,'Centre WP13'!$A$7:$N$160,5,FALSE),0)</f>
        <v>0</v>
      </c>
      <c r="F23" s="10">
        <f>IFERROR(VLOOKUP(A23,'Centre DW13'!$A$7:$N$160,6,FALSE),0)+
IFERROR(VLOOKUP(A23,'Centre WR13'!$A$7:$N$160,6,FALSE),0)+
IFERROR(VLOOKUP(A23,'Centre WP13'!$A$7:$N$160,6,FALSE),0)</f>
        <v>0</v>
      </c>
      <c r="G23" s="10">
        <f>IFERROR(VLOOKUP(A23,'Centre DW13'!$A$7:$N$160,7,FALSE),0)+
IFERROR(VLOOKUP(A23,'Centre WR13'!$A$7:$N$160,7,FALSE),0)+
IFERROR(VLOOKUP(A23,'Centre WP13'!$A$7:$N$160,7,FALSE),0)</f>
        <v>0</v>
      </c>
      <c r="H23" s="10">
        <f>IFERROR(VLOOKUP(A23,'Centre DW13'!$A$7:$N$160,8,FALSE),0)+
IFERROR(VLOOKUP(A23,'Centre WR13'!$A$7:$N$160,8,FALSE),0)+
IFERROR(VLOOKUP(A23,'Centre WP13'!$A$7:$N$160,8,FALSE),0)</f>
        <v>0</v>
      </c>
      <c r="I23" s="10">
        <f>IFERROR(VLOOKUP(A23,'Centre DW13'!$A$7:$N$160,9,FALSE),0)+
IFERROR(VLOOKUP(A23,'Centre WR13'!$A$7:$N$160,9,FALSE),0)+
IFERROR(VLOOKUP(A23,'Centre WP13'!$A$7:$N$160,9,FALSE),0)</f>
        <v>0</v>
      </c>
      <c r="J23" s="28">
        <f>IFERROR(VLOOKUP(A23,'Centre DW13'!$A$7:$N$160,10,FALSE),0)+
IFERROR(VLOOKUP(A23,'Centre WR13'!$A$7:$N$160,10,FALSE),0)+
IFERROR(VLOOKUP(A23,'Centre WP13'!$A$7:$N$160,10,FALSE),0)</f>
        <v>0</v>
      </c>
      <c r="K23" s="28">
        <f>IFERROR(VLOOKUP(A23,'Centre DW13'!$A$7:$N$160,11,FALSE),0)+
IFERROR(VLOOKUP(A23,'Centre WR13'!$A$7:$N$160,11,FALSE),0)+
IFERROR(VLOOKUP(A23,'Centre WP13'!$A$7:$N$160,11,FALSE),0)</f>
        <v>0</v>
      </c>
      <c r="L23" s="28">
        <f>IFERROR(VLOOKUP(A23,'Centre DW13'!$A$7:$N$160,12,FALSE),0)+
IFERROR(VLOOKUP(A23,'Centre WR13'!$A$7:$N$160,12,FALSE),0)+
IFERROR(VLOOKUP(A23,'Centre WP13'!$A$7:$N$160,12,FALSE),0)</f>
        <v>0</v>
      </c>
      <c r="M23" s="28">
        <f>IFERROR(VLOOKUP(A23,'Centre DW13'!$A$7:$N$160,13,FALSE),0)+
IFERROR(VLOOKUP(A23,'Centre WR13'!$A$7:$N$160,13,FALSE),0)+
IFERROR(VLOOKUP(A23,'Centre WP13'!$A$7:$N$160,13,FALSE),0)</f>
        <v>0</v>
      </c>
      <c r="N23" s="28">
        <f>IFERROR(VLOOKUP(A23,'Centre DW13'!$A$7:$N$160,14,FALSE),0)+
IFERROR(VLOOKUP(A23,'Centre WR13'!$A$7:$N$160,14,FALSE),0)+
IFERROR(VLOOKUP(A23,'Centre WP13'!$A$7:$N$160,14,FALSE),0)</f>
        <v>0</v>
      </c>
    </row>
    <row r="24" spans="1:14" collapsed="1" x14ac:dyDescent="0.2">
      <c r="A24" s="33" t="s">
        <v>60</v>
      </c>
      <c r="B24" s="34" t="s">
        <v>61</v>
      </c>
      <c r="C24" s="44">
        <f>IFERROR(VLOOKUP(A24,'Centre DW13'!$A$7:$N$160,3,FALSE),0)+
IFERROR(VLOOKUP(A24,'Centre WR13'!$A$7:$N$160,3,FALSE),0)+
IFERROR(VLOOKUP(A24,'Centre WP13'!$A$7:$N$160,3,FALSE),0)</f>
        <v>0</v>
      </c>
      <c r="D24" s="44">
        <f>IFERROR(VLOOKUP(A24,'Centre DW13'!$A$7:$N$160,4,FALSE),0)+
IFERROR(VLOOKUP(A24,'Centre WR13'!$A$7:$N$160,4,FALSE),0)+
IFERROR(VLOOKUP(A24,'Centre WP13'!$A$7:$N$160,4,FALSE),0)</f>
        <v>0</v>
      </c>
      <c r="E24" s="44">
        <f>IFERROR(VLOOKUP(A24,'Centre DW13'!$A$7:$N$160,5,FALSE),0)+
IFERROR(VLOOKUP(A24,'Centre WR13'!$A$7:$N$160,5,FALSE),0)+
IFERROR(VLOOKUP(A24,'Centre WP13'!$A$7:$N$160,5,FALSE),0)</f>
        <v>0</v>
      </c>
      <c r="F24" s="44">
        <f>IFERROR(VLOOKUP(A24,'Centre DW13'!$A$7:$N$160,6,FALSE),0)+
IFERROR(VLOOKUP(A24,'Centre WR13'!$A$7:$N$160,6,FALSE),0)+
IFERROR(VLOOKUP(A24,'Centre WP13'!$A$7:$N$160,6,FALSE),0)</f>
        <v>0</v>
      </c>
      <c r="G24" s="44">
        <f>IFERROR(VLOOKUP(A24,'Centre DW13'!$A$7:$N$160,7,FALSE),0)+
IFERROR(VLOOKUP(A24,'Centre WR13'!$A$7:$N$160,7,FALSE),0)+
IFERROR(VLOOKUP(A24,'Centre WP13'!$A$7:$N$160,7,FALSE),0)</f>
        <v>0</v>
      </c>
      <c r="H24" s="44">
        <f>IFERROR(VLOOKUP(A24,'Centre DW13'!$A$7:$N$160,8,FALSE),0)+
IFERROR(VLOOKUP(A24,'Centre WR13'!$A$7:$N$160,8,FALSE),0)+
IFERROR(VLOOKUP(A24,'Centre WP13'!$A$7:$N$160,8,FALSE),0)</f>
        <v>0</v>
      </c>
      <c r="I24" s="44">
        <f>IFERROR(VLOOKUP(A24,'Centre DW13'!$A$7:$N$160,9,FALSE),0)+
IFERROR(VLOOKUP(A24,'Centre WR13'!$A$7:$N$160,9,FALSE),0)+
IFERROR(VLOOKUP(A24,'Centre WP13'!$A$7:$N$160,9,FALSE),0)</f>
        <v>0</v>
      </c>
      <c r="J24" s="44">
        <f>IFERROR(VLOOKUP(A24,'Centre DW13'!$A$7:$N$160,10,FALSE),0)+
IFERROR(VLOOKUP(A24,'Centre WR13'!$A$7:$N$160,10,FALSE),0)+
IFERROR(VLOOKUP(A24,'Centre WP13'!$A$7:$N$160,10,FALSE),0)</f>
        <v>0</v>
      </c>
      <c r="K24" s="44">
        <f>IFERROR(VLOOKUP(A24,'Centre DW13'!$A$7:$N$160,11,FALSE),0)+
IFERROR(VLOOKUP(A24,'Centre WR13'!$A$7:$N$160,11,FALSE),0)+
IFERROR(VLOOKUP(A24,'Centre WP13'!$A$7:$N$160,11,FALSE),0)</f>
        <v>0</v>
      </c>
      <c r="L24" s="44">
        <f>IFERROR(VLOOKUP(A24,'Centre DW13'!$A$7:$N$160,12,FALSE),0)+
IFERROR(VLOOKUP(A24,'Centre WR13'!$A$7:$N$160,12,FALSE),0)+
IFERROR(VLOOKUP(A24,'Centre WP13'!$A$7:$N$160,12,FALSE),0)</f>
        <v>0</v>
      </c>
      <c r="M24" s="44">
        <f>IFERROR(VLOOKUP(A24,'Centre DW13'!$A$7:$N$160,13,FALSE),0)+
IFERROR(VLOOKUP(A24,'Centre WR13'!$A$7:$N$160,13,FALSE),0)+
IFERROR(VLOOKUP(A24,'Centre WP13'!$A$7:$N$160,13,FALSE),0)</f>
        <v>0</v>
      </c>
      <c r="N24" s="44">
        <f>IFERROR(VLOOKUP(A24,'Centre DW13'!$A$7:$N$160,14,FALSE),0)+
IFERROR(VLOOKUP(A24,'Centre WR13'!$A$7:$N$160,14,FALSE),0)+
IFERROR(VLOOKUP(A24,'Centre WP13'!$A$7:$N$160,14,FALSE),0)</f>
        <v>0</v>
      </c>
    </row>
    <row r="25" spans="1:14" x14ac:dyDescent="0.2">
      <c r="A25" s="33" t="s">
        <v>62</v>
      </c>
      <c r="B25" s="34" t="s">
        <v>63</v>
      </c>
      <c r="C25" s="44">
        <f>IFERROR(VLOOKUP(A25,'Centre DW13'!$A$7:$N$160,3,FALSE),0)+
IFERROR(VLOOKUP(A25,'Centre WR13'!$A$7:$N$160,3,FALSE),0)+
IFERROR(VLOOKUP(A25,'Centre WP13'!$A$7:$N$160,3,FALSE),0)</f>
        <v>0</v>
      </c>
      <c r="D25" s="44">
        <f>IFERROR(VLOOKUP(A25,'Centre DW13'!$A$7:$N$160,4,FALSE),0)+
IFERROR(VLOOKUP(A25,'Centre WR13'!$A$7:$N$160,4,FALSE),0)+
IFERROR(VLOOKUP(A25,'Centre WP13'!$A$7:$N$160,4,FALSE),0)</f>
        <v>0</v>
      </c>
      <c r="E25" s="44">
        <f>IFERROR(VLOOKUP(A25,'Centre DW13'!$A$7:$N$160,5,FALSE),0)+
IFERROR(VLOOKUP(A25,'Centre WR13'!$A$7:$N$160,5,FALSE),0)+
IFERROR(VLOOKUP(A25,'Centre WP13'!$A$7:$N$160,5,FALSE),0)</f>
        <v>0</v>
      </c>
      <c r="F25" s="44">
        <f>IFERROR(VLOOKUP(A25,'Centre DW13'!$A$7:$N$160,6,FALSE),0)+
IFERROR(VLOOKUP(A25,'Centre WR13'!$A$7:$N$160,6,FALSE),0)+
IFERROR(VLOOKUP(A25,'Centre WP13'!$A$7:$N$160,6,FALSE),0)</f>
        <v>0</v>
      </c>
      <c r="G25" s="44">
        <f>IFERROR(VLOOKUP(A25,'Centre DW13'!$A$7:$N$160,7,FALSE),0)+
IFERROR(VLOOKUP(A25,'Centre WR13'!$A$7:$N$160,7,FALSE),0)+
IFERROR(VLOOKUP(A25,'Centre WP13'!$A$7:$N$160,7,FALSE),0)</f>
        <v>0</v>
      </c>
      <c r="H25" s="44">
        <f>IFERROR(VLOOKUP(A25,'Centre DW13'!$A$7:$N$160,8,FALSE),0)+
IFERROR(VLOOKUP(A25,'Centre WR13'!$A$7:$N$160,8,FALSE),0)+
IFERROR(VLOOKUP(A25,'Centre WP13'!$A$7:$N$160,8,FALSE),0)</f>
        <v>0</v>
      </c>
      <c r="I25" s="44">
        <f>IFERROR(VLOOKUP(A25,'Centre DW13'!$A$7:$N$160,9,FALSE),0)+
IFERROR(VLOOKUP(A25,'Centre WR13'!$A$7:$N$160,9,FALSE),0)+
IFERROR(VLOOKUP(A25,'Centre WP13'!$A$7:$N$160,9,FALSE),0)</f>
        <v>0</v>
      </c>
      <c r="J25" s="44">
        <f>IFERROR(VLOOKUP(A25,'Centre DW13'!$A$7:$N$160,10,FALSE),0)+
IFERROR(VLOOKUP(A25,'Centre WR13'!$A$7:$N$160,10,FALSE),0)+
IFERROR(VLOOKUP(A25,'Centre WP13'!$A$7:$N$160,10,FALSE),0)</f>
        <v>0</v>
      </c>
      <c r="K25" s="44">
        <f>IFERROR(VLOOKUP(A25,'Centre DW13'!$A$7:$N$160,11,FALSE),0)+
IFERROR(VLOOKUP(A25,'Centre WR13'!$A$7:$N$160,11,FALSE),0)+
IFERROR(VLOOKUP(A25,'Centre WP13'!$A$7:$N$160,11,FALSE),0)</f>
        <v>0</v>
      </c>
      <c r="L25" s="44">
        <f>IFERROR(VLOOKUP(A25,'Centre DW13'!$A$7:$N$160,12,FALSE),0)+
IFERROR(VLOOKUP(A25,'Centre WR13'!$A$7:$N$160,12,FALSE),0)+
IFERROR(VLOOKUP(A25,'Centre WP13'!$A$7:$N$160,12,FALSE),0)</f>
        <v>0</v>
      </c>
      <c r="M25" s="44">
        <f>IFERROR(VLOOKUP(A25,'Centre DW13'!$A$7:$N$160,13,FALSE),0)+
IFERROR(VLOOKUP(A25,'Centre WR13'!$A$7:$N$160,13,FALSE),0)+
IFERROR(VLOOKUP(A25,'Centre WP13'!$A$7:$N$160,13,FALSE),0)</f>
        <v>0</v>
      </c>
      <c r="N25" s="44">
        <f>IFERROR(VLOOKUP(A25,'Centre DW13'!$A$7:$N$160,14,FALSE),0)+
IFERROR(VLOOKUP(A25,'Centre WR13'!$A$7:$N$160,14,FALSE),0)+
IFERROR(VLOOKUP(A25,'Centre WP13'!$A$7:$N$160,14,FALSE),0)</f>
        <v>0</v>
      </c>
    </row>
    <row r="26" spans="1:14" x14ac:dyDescent="0.2">
      <c r="A26" s="33" t="s">
        <v>64</v>
      </c>
      <c r="B26" s="34" t="s">
        <v>65</v>
      </c>
      <c r="C26" s="44">
        <f t="shared" ref="C26:N26" si="4">+C27</f>
        <v>-11</v>
      </c>
      <c r="D26" s="44">
        <f t="shared" si="4"/>
        <v>-0.3</v>
      </c>
      <c r="E26" s="44">
        <f t="shared" si="4"/>
        <v>0.5</v>
      </c>
      <c r="F26" s="44">
        <f t="shared" si="4"/>
        <v>10.1</v>
      </c>
      <c r="G26" s="44">
        <f t="shared" si="4"/>
        <v>4.5999999999999996</v>
      </c>
      <c r="H26" s="44">
        <f t="shared" si="4"/>
        <v>-4.0999999999999996</v>
      </c>
      <c r="I26" s="44">
        <f t="shared" si="4"/>
        <v>-13.2</v>
      </c>
      <c r="J26" s="44">
        <f t="shared" si="4"/>
        <v>8.3000000000000007</v>
      </c>
      <c r="K26" s="44">
        <f t="shared" si="4"/>
        <v>7.8</v>
      </c>
      <c r="L26" s="44">
        <f t="shared" si="4"/>
        <v>-0.9</v>
      </c>
      <c r="M26" s="44">
        <f t="shared" si="4"/>
        <v>-9.1</v>
      </c>
      <c r="N26" s="44">
        <f t="shared" si="4"/>
        <v>-17</v>
      </c>
    </row>
    <row r="27" spans="1:14" hidden="1" outlineLevel="1" x14ac:dyDescent="0.2">
      <c r="A27" s="9" t="s">
        <v>66</v>
      </c>
      <c r="B27" s="1" t="s">
        <v>67</v>
      </c>
      <c r="C27" s="10">
        <f>IFERROR(VLOOKUP(A27,'Centre DW13'!$A$7:$N$160,3,FALSE),0)+
IFERROR(VLOOKUP(A27,'Centre WR13'!$A$7:$N$160,3,FALSE),0)+
IFERROR(VLOOKUP(A27,'Centre WP13'!$A$7:$N$160,3,FALSE),0)</f>
        <v>-11</v>
      </c>
      <c r="D27" s="10">
        <f>IFERROR(VLOOKUP(A27,'Centre DW13'!$A$7:$N$160,4,FALSE),0)+
IFERROR(VLOOKUP(A27,'Centre WR13'!$A$7:$N$160,4,FALSE),0)+
IFERROR(VLOOKUP(A27,'Centre WP13'!$A$7:$N$160,4,FALSE),0)</f>
        <v>-0.3</v>
      </c>
      <c r="E27" s="10">
        <f>IFERROR(VLOOKUP(A27,'Centre DW13'!$A$7:$N$160,5,FALSE),0)+
IFERROR(VLOOKUP(A27,'Centre WR13'!$A$7:$N$160,5,FALSE),0)+
IFERROR(VLOOKUP(A27,'Centre WP13'!$A$7:$N$160,5,FALSE),0)</f>
        <v>0.5</v>
      </c>
      <c r="F27" s="10">
        <f>IFERROR(VLOOKUP(A27,'Centre DW13'!$A$7:$N$160,6,FALSE),0)+
IFERROR(VLOOKUP(A27,'Centre WR13'!$A$7:$N$160,6,FALSE),0)+
IFERROR(VLOOKUP(A27,'Centre WP13'!$A$7:$N$160,6,FALSE),0)</f>
        <v>10.1</v>
      </c>
      <c r="G27" s="10">
        <f>IFERROR(VLOOKUP(A27,'Centre DW13'!$A$7:$N$160,7,FALSE),0)+
IFERROR(VLOOKUP(A27,'Centre WR13'!$A$7:$N$160,7,FALSE),0)+
IFERROR(VLOOKUP(A27,'Centre WP13'!$A$7:$N$160,7,FALSE),0)</f>
        <v>4.5999999999999996</v>
      </c>
      <c r="H27" s="10">
        <f>IFERROR(VLOOKUP(A27,'Centre DW13'!$A$7:$N$160,8,FALSE),0)+
IFERROR(VLOOKUP(A27,'Centre WR13'!$A$7:$N$160,8,FALSE),0)+
IFERROR(VLOOKUP(A27,'Centre WP13'!$A$7:$N$160,8,FALSE),0)</f>
        <v>-4.0999999999999996</v>
      </c>
      <c r="I27" s="10">
        <f>IFERROR(VLOOKUP(A27,'Centre DW13'!$A$7:$N$160,9,FALSE),0)+
IFERROR(VLOOKUP(A27,'Centre WR13'!$A$7:$N$160,9,FALSE),0)+
IFERROR(VLOOKUP(A27,'Centre WP13'!$A$7:$N$160,9,FALSE),0)</f>
        <v>-13.2</v>
      </c>
      <c r="J27" s="28">
        <f>IFERROR(VLOOKUP(A27,'Centre DW13'!$A$7:$N$160,10,FALSE),0)+
IFERROR(VLOOKUP(A27,'Centre WR13'!$A$7:$N$160,10,FALSE),0)+
IFERROR(VLOOKUP(A27,'Centre WP13'!$A$7:$N$160,10,FALSE),0)</f>
        <v>8.3000000000000007</v>
      </c>
      <c r="K27" s="28">
        <f>IFERROR(VLOOKUP(A27,'Centre DW13'!$A$7:$N$160,11,FALSE),0)+
IFERROR(VLOOKUP(A27,'Centre WR13'!$A$7:$N$160,11,FALSE),0)+
IFERROR(VLOOKUP(A27,'Centre WP13'!$A$7:$N$160,11,FALSE),0)</f>
        <v>7.8</v>
      </c>
      <c r="L27" s="28">
        <f>IFERROR(VLOOKUP(A27,'Centre DW13'!$A$7:$N$160,12,FALSE),0)+
IFERROR(VLOOKUP(A27,'Centre WR13'!$A$7:$N$160,12,FALSE),0)+
IFERROR(VLOOKUP(A27,'Centre WP13'!$A$7:$N$160,12,FALSE),0)</f>
        <v>-0.9</v>
      </c>
      <c r="M27" s="28">
        <f>IFERROR(VLOOKUP(A27,'Centre DW13'!$A$7:$N$160,13,FALSE),0)+
IFERROR(VLOOKUP(A27,'Centre WR13'!$A$7:$N$160,13,FALSE),0)+
IFERROR(VLOOKUP(A27,'Centre WP13'!$A$7:$N$160,13,FALSE),0)</f>
        <v>-9.1</v>
      </c>
      <c r="N27" s="28">
        <f>IFERROR(VLOOKUP(A27,'Centre DW13'!$A$7:$N$160,14,FALSE),0)+
IFERROR(VLOOKUP(A27,'Centre WR13'!$A$7:$N$160,14,FALSE),0)+
IFERROR(VLOOKUP(A27,'Centre WP13'!$A$7:$N$160,14,FALSE),0)</f>
        <v>-17</v>
      </c>
    </row>
    <row r="28" spans="1:14" collapsed="1" x14ac:dyDescent="0.2">
      <c r="A28" s="33" t="s">
        <v>68</v>
      </c>
      <c r="B28" s="34" t="s">
        <v>69</v>
      </c>
      <c r="C28" s="44">
        <f t="shared" ref="C28:N28" si="5">+C29</f>
        <v>0</v>
      </c>
      <c r="D28" s="44">
        <f t="shared" si="5"/>
        <v>0</v>
      </c>
      <c r="E28" s="44">
        <f t="shared" si="5"/>
        <v>0</v>
      </c>
      <c r="F28" s="44">
        <f t="shared" si="5"/>
        <v>0</v>
      </c>
      <c r="G28" s="44">
        <f t="shared" si="5"/>
        <v>0</v>
      </c>
      <c r="H28" s="44">
        <f t="shared" si="5"/>
        <v>0</v>
      </c>
      <c r="I28" s="44">
        <f t="shared" si="5"/>
        <v>0</v>
      </c>
      <c r="J28" s="44">
        <f t="shared" si="5"/>
        <v>0</v>
      </c>
      <c r="K28" s="44">
        <f t="shared" si="5"/>
        <v>0</v>
      </c>
      <c r="L28" s="44">
        <f t="shared" si="5"/>
        <v>0</v>
      </c>
      <c r="M28" s="44">
        <f t="shared" si="5"/>
        <v>0</v>
      </c>
      <c r="N28" s="44">
        <f t="shared" si="5"/>
        <v>0</v>
      </c>
    </row>
    <row r="29" spans="1:14" hidden="1" outlineLevel="1" x14ac:dyDescent="0.2">
      <c r="A29" s="9" t="s">
        <v>70</v>
      </c>
      <c r="B29" s="1" t="s">
        <v>71</v>
      </c>
      <c r="C29" s="10">
        <f>IFERROR(VLOOKUP(A29,'Centre DW13'!$A$7:$N$160,3,FALSE),0)+
IFERROR(VLOOKUP(A29,'Centre WR13'!$A$7:$N$160,3,FALSE),0)+
IFERROR(VLOOKUP(A29,'Centre WP13'!$A$7:$N$160,3,FALSE),0)</f>
        <v>0</v>
      </c>
      <c r="D29" s="10">
        <f>IFERROR(VLOOKUP(A29,'Centre DW13'!$A$7:$N$160,4,FALSE),0)+
IFERROR(VLOOKUP(A29,'Centre WR13'!$A$7:$N$160,4,FALSE),0)+
IFERROR(VLOOKUP(A29,'Centre WP13'!$A$7:$N$160,4,FALSE),0)</f>
        <v>0</v>
      </c>
      <c r="E29" s="10">
        <f>IFERROR(VLOOKUP(A29,'Centre DW13'!$A$7:$N$160,5,FALSE),0)+
IFERROR(VLOOKUP(A29,'Centre WR13'!$A$7:$N$160,5,FALSE),0)+
IFERROR(VLOOKUP(A29,'Centre WP13'!$A$7:$N$160,5,FALSE),0)</f>
        <v>0</v>
      </c>
      <c r="F29" s="10">
        <f>IFERROR(VLOOKUP(A29,'Centre DW13'!$A$7:$N$160,6,FALSE),0)+
IFERROR(VLOOKUP(A29,'Centre WR13'!$A$7:$N$160,6,FALSE),0)+
IFERROR(VLOOKUP(A29,'Centre WP13'!$A$7:$N$160,6,FALSE),0)</f>
        <v>0</v>
      </c>
      <c r="G29" s="10">
        <f>IFERROR(VLOOKUP(A29,'Centre DW13'!$A$7:$N$160,7,FALSE),0)+
IFERROR(VLOOKUP(A29,'Centre WR13'!$A$7:$N$160,7,FALSE),0)+
IFERROR(VLOOKUP(A29,'Centre WP13'!$A$7:$N$160,7,FALSE),0)</f>
        <v>0</v>
      </c>
      <c r="H29" s="10">
        <f>IFERROR(VLOOKUP(A29,'Centre DW13'!$A$7:$N$160,8,FALSE),0)+
IFERROR(VLOOKUP(A29,'Centre WR13'!$A$7:$N$160,8,FALSE),0)+
IFERROR(VLOOKUP(A29,'Centre WP13'!$A$7:$N$160,8,FALSE),0)</f>
        <v>0</v>
      </c>
      <c r="I29" s="10">
        <f>IFERROR(VLOOKUP(A29,'Centre DW13'!$A$7:$N$160,9,FALSE),0)+
IFERROR(VLOOKUP(A29,'Centre WR13'!$A$7:$N$160,9,FALSE),0)+
IFERROR(VLOOKUP(A29,'Centre WP13'!$A$7:$N$160,9,FALSE),0)</f>
        <v>0</v>
      </c>
      <c r="J29" s="28">
        <f>IFERROR(VLOOKUP(A29,'Centre DW13'!$A$7:$N$160,10,FALSE),0)+
IFERROR(VLOOKUP(A29,'Centre WR13'!$A$7:$N$160,10,FALSE),0)+
IFERROR(VLOOKUP(A29,'Centre WP13'!$A$7:$N$160,10,FALSE),0)</f>
        <v>0</v>
      </c>
      <c r="K29" s="28">
        <f>IFERROR(VLOOKUP(A29,'Centre DW13'!$A$7:$N$160,11,FALSE),0)+
IFERROR(VLOOKUP(A29,'Centre WR13'!$A$7:$N$160,11,FALSE),0)+
IFERROR(VLOOKUP(A29,'Centre WP13'!$A$7:$N$160,11,FALSE),0)</f>
        <v>0</v>
      </c>
      <c r="L29" s="28">
        <f>IFERROR(VLOOKUP(A29,'Centre DW13'!$A$7:$N$160,12,FALSE),0)+
IFERROR(VLOOKUP(A29,'Centre WR13'!$A$7:$N$160,12,FALSE),0)+
IFERROR(VLOOKUP(A29,'Centre WP13'!$A$7:$N$160,12,FALSE),0)</f>
        <v>0</v>
      </c>
      <c r="M29" s="28">
        <f>IFERROR(VLOOKUP(A29,'Centre DW13'!$A$7:$N$160,13,FALSE),0)+
IFERROR(VLOOKUP(A29,'Centre WR13'!$A$7:$N$160,13,FALSE),0)+
IFERROR(VLOOKUP(A29,'Centre WP13'!$A$7:$N$160,13,FALSE),0)</f>
        <v>0</v>
      </c>
      <c r="N29" s="28">
        <f>IFERROR(VLOOKUP(A29,'Centre DW13'!$A$7:$N$160,14,FALSE),0)+
IFERROR(VLOOKUP(A29,'Centre WR13'!$A$7:$N$160,14,FALSE),0)+
IFERROR(VLOOKUP(A29,'Centre WP13'!$A$7:$N$160,14,FALSE),0)</f>
        <v>0</v>
      </c>
    </row>
    <row r="30" spans="1:14" collapsed="1" x14ac:dyDescent="0.2">
      <c r="A30" s="36"/>
      <c r="B30" s="36" t="s">
        <v>72</v>
      </c>
      <c r="C30" s="45">
        <f t="shared" ref="C30:M30" si="6">+C19+C24+C25+C26+C28</f>
        <v>38.799999999999997</v>
      </c>
      <c r="D30" s="45">
        <f t="shared" si="6"/>
        <v>10.7</v>
      </c>
      <c r="E30" s="45">
        <f t="shared" si="6"/>
        <v>23.3</v>
      </c>
      <c r="F30" s="45">
        <f t="shared" si="6"/>
        <v>21.299999999999997</v>
      </c>
      <c r="G30" s="45">
        <f t="shared" si="6"/>
        <v>49.6</v>
      </c>
      <c r="H30" s="45">
        <f t="shared" si="6"/>
        <v>10.8</v>
      </c>
      <c r="I30" s="45">
        <f t="shared" si="6"/>
        <v>38.700000000000003</v>
      </c>
      <c r="J30" s="45">
        <f t="shared" si="6"/>
        <v>52.3</v>
      </c>
      <c r="K30" s="45">
        <f t="shared" si="6"/>
        <v>56.699999999999996</v>
      </c>
      <c r="L30" s="45">
        <f t="shared" si="6"/>
        <v>58.9</v>
      </c>
      <c r="M30" s="45">
        <f t="shared" si="6"/>
        <v>42.9</v>
      </c>
      <c r="N30" s="45">
        <f t="shared" ref="N30" si="7">+N19+N24+N25+N26+N28</f>
        <v>30</v>
      </c>
    </row>
    <row r="31" spans="1:14" x14ac:dyDescent="0.2">
      <c r="A31" s="35"/>
      <c r="B31" s="35" t="s">
        <v>73</v>
      </c>
      <c r="C31" s="21">
        <f t="shared" ref="C31:M31" si="8">+C18-C30</f>
        <v>75.800000000000011</v>
      </c>
      <c r="D31" s="21">
        <f t="shared" si="8"/>
        <v>49.8</v>
      </c>
      <c r="E31" s="21">
        <f t="shared" si="8"/>
        <v>97.5</v>
      </c>
      <c r="F31" s="21">
        <f t="shared" si="8"/>
        <v>147</v>
      </c>
      <c r="G31" s="21">
        <f t="shared" si="8"/>
        <v>143.4</v>
      </c>
      <c r="H31" s="21">
        <f t="shared" si="8"/>
        <v>145.1</v>
      </c>
      <c r="I31" s="21">
        <f t="shared" si="8"/>
        <v>221.10000000000002</v>
      </c>
      <c r="J31" s="21">
        <f t="shared" si="8"/>
        <v>159.69999999999999</v>
      </c>
      <c r="K31" s="21">
        <f t="shared" si="8"/>
        <v>237.3</v>
      </c>
      <c r="L31" s="21">
        <f t="shared" si="8"/>
        <v>203.1</v>
      </c>
      <c r="M31" s="21">
        <f t="shared" si="8"/>
        <v>195.1</v>
      </c>
      <c r="N31" s="21">
        <f t="shared" ref="N31" si="9">+N18-N30</f>
        <v>254</v>
      </c>
    </row>
    <row r="32" spans="1:14" x14ac:dyDescent="0.2">
      <c r="A32" s="9" t="s">
        <v>74</v>
      </c>
      <c r="B32" s="1" t="s">
        <v>74</v>
      </c>
      <c r="C32" s="10" t="s">
        <v>74</v>
      </c>
      <c r="D32" s="10" t="s">
        <v>74</v>
      </c>
      <c r="E32" s="10" t="s">
        <v>74</v>
      </c>
      <c r="F32" s="10" t="s">
        <v>74</v>
      </c>
      <c r="G32" s="10" t="s">
        <v>74</v>
      </c>
      <c r="H32" s="10" t="s">
        <v>74</v>
      </c>
      <c r="I32" s="10" t="s">
        <v>74</v>
      </c>
      <c r="J32" s="10" t="s">
        <v>74</v>
      </c>
      <c r="K32" s="10" t="s">
        <v>74</v>
      </c>
      <c r="L32" s="10" t="s">
        <v>74</v>
      </c>
      <c r="M32" s="10" t="s">
        <v>74</v>
      </c>
      <c r="N32" s="10" t="s">
        <v>74</v>
      </c>
    </row>
    <row r="33" spans="1:14" x14ac:dyDescent="0.2">
      <c r="A33" s="33" t="s">
        <v>75</v>
      </c>
      <c r="B33" s="34" t="s">
        <v>76</v>
      </c>
      <c r="C33" s="44">
        <f t="shared" ref="C33:N33" si="10">SUM(C34:C53)</f>
        <v>12.500000000000002</v>
      </c>
      <c r="D33" s="44">
        <f t="shared" si="10"/>
        <v>21.5</v>
      </c>
      <c r="E33" s="44">
        <f t="shared" si="10"/>
        <v>18.2</v>
      </c>
      <c r="F33" s="44">
        <f t="shared" si="10"/>
        <v>28.2</v>
      </c>
      <c r="G33" s="44">
        <f t="shared" si="10"/>
        <v>16.2</v>
      </c>
      <c r="H33" s="44">
        <f t="shared" si="10"/>
        <v>24.3</v>
      </c>
      <c r="I33" s="44">
        <f t="shared" si="10"/>
        <v>19.399999999999999</v>
      </c>
      <c r="J33" s="44">
        <f t="shared" si="10"/>
        <v>18.3</v>
      </c>
      <c r="K33" s="44">
        <f t="shared" si="10"/>
        <v>22.8</v>
      </c>
      <c r="L33" s="44">
        <f t="shared" si="10"/>
        <v>17.2</v>
      </c>
      <c r="M33" s="44">
        <f t="shared" si="10"/>
        <v>33.9</v>
      </c>
      <c r="N33" s="44">
        <f t="shared" si="10"/>
        <v>22</v>
      </c>
    </row>
    <row r="34" spans="1:14" hidden="1" outlineLevel="1" x14ac:dyDescent="0.2">
      <c r="A34" s="9" t="s">
        <v>77</v>
      </c>
      <c r="B34" s="1" t="s">
        <v>78</v>
      </c>
      <c r="C34" s="10">
        <f>IFERROR(VLOOKUP(A34,'Centre DW13'!$A$7:$N$160,3,FALSE),0)+
IFERROR(VLOOKUP(A34,'Centre WR13'!$A$7:$N$160,3,FALSE),0)+
IFERROR(VLOOKUP(A34,'Centre WP13'!$A$7:$N$160,3,FALSE),0)</f>
        <v>4.3</v>
      </c>
      <c r="D34" s="10">
        <f>IFERROR(VLOOKUP(A34,'Centre DW13'!$A$7:$N$160,4,FALSE),0)+
IFERROR(VLOOKUP(A34,'Centre WR13'!$A$7:$N$160,4,FALSE),0)+
IFERROR(VLOOKUP(A34,'Centre WP13'!$A$7:$N$160,4,FALSE),0)</f>
        <v>5.7</v>
      </c>
      <c r="E34" s="10">
        <f>IFERROR(VLOOKUP(A34,'Centre DW13'!$A$7:$N$160,5,FALSE),0)+
IFERROR(VLOOKUP(A34,'Centre WR13'!$A$7:$N$160,5,FALSE),0)+
IFERROR(VLOOKUP(A34,'Centre WP13'!$A$7:$N$160,5,FALSE),0)</f>
        <v>6.1</v>
      </c>
      <c r="F34" s="10">
        <f>IFERROR(VLOOKUP(A34,'Centre DW13'!$A$7:$N$160,6,FALSE),0)+
IFERROR(VLOOKUP(A34,'Centre WR13'!$A$7:$N$160,6,FALSE),0)+
IFERROR(VLOOKUP(A34,'Centre WP13'!$A$7:$N$160,6,FALSE),0)</f>
        <v>6.7</v>
      </c>
      <c r="G34" s="10">
        <f>IFERROR(VLOOKUP(A34,'Centre DW13'!$A$7:$N$160,7,FALSE),0)+
IFERROR(VLOOKUP(A34,'Centre WR13'!$A$7:$N$160,7,FALSE),0)+
IFERROR(VLOOKUP(A34,'Centre WP13'!$A$7:$N$160,7,FALSE),0)</f>
        <v>6.1</v>
      </c>
      <c r="H34" s="10">
        <f>IFERROR(VLOOKUP(A34,'Centre DW13'!$A$7:$N$160,8,FALSE),0)+
IFERROR(VLOOKUP(A34,'Centre WR13'!$A$7:$N$160,8,FALSE),0)+
IFERROR(VLOOKUP(A34,'Centre WP13'!$A$7:$N$160,8,FALSE),0)</f>
        <v>10.3</v>
      </c>
      <c r="I34" s="10">
        <f>IFERROR(VLOOKUP(A34,'Centre DW13'!$A$7:$N$160,9,FALSE),0)+
IFERROR(VLOOKUP(A34,'Centre WR13'!$A$7:$N$160,9,FALSE),0)+
IFERROR(VLOOKUP(A34,'Centre WP13'!$A$7:$N$160,9,FALSE),0)</f>
        <v>5</v>
      </c>
      <c r="J34" s="28">
        <f>IFERROR(VLOOKUP(A34,'Centre DW13'!$A$7:$N$160,10,FALSE),0)+
IFERROR(VLOOKUP(A34,'Centre WR13'!$A$7:$N$160,10,FALSE),0)+
IFERROR(VLOOKUP(A34,'Centre WP13'!$A$7:$N$160,10,FALSE),0)</f>
        <v>5.8999999999999995</v>
      </c>
      <c r="K34" s="28">
        <f>IFERROR(VLOOKUP(A34,'Centre DW13'!$A$7:$N$160,11,FALSE),0)+
IFERROR(VLOOKUP(A34,'Centre WR13'!$A$7:$N$160,11,FALSE),0)+
IFERROR(VLOOKUP(A34,'Centre WP13'!$A$7:$N$160,11,FALSE),0)</f>
        <v>8.4</v>
      </c>
      <c r="L34" s="28">
        <f>IFERROR(VLOOKUP(A34,'Centre DW13'!$A$7:$N$160,12,FALSE),0)+
IFERROR(VLOOKUP(A34,'Centre WR13'!$A$7:$N$160,12,FALSE),0)+
IFERROR(VLOOKUP(A34,'Centre WP13'!$A$7:$N$160,12,FALSE),0)</f>
        <v>6.6</v>
      </c>
      <c r="M34" s="28">
        <f>IFERROR(VLOOKUP(A34,'Centre DW13'!$A$7:$N$160,13,FALSE),0)+
IFERROR(VLOOKUP(A34,'Centre WR13'!$A$7:$N$160,13,FALSE),0)+
IFERROR(VLOOKUP(A34,'Centre WP13'!$A$7:$N$160,13,FALSE),0)</f>
        <v>11.2</v>
      </c>
      <c r="N34" s="28">
        <f>IFERROR(VLOOKUP(A34,'Centre DW13'!$A$7:$N$160,14,FALSE),0)+
IFERROR(VLOOKUP(A34,'Centre WR13'!$A$7:$N$160,14,FALSE),0)+
IFERROR(VLOOKUP(A34,'Centre WP13'!$A$7:$N$160,14,FALSE),0)</f>
        <v>7</v>
      </c>
    </row>
    <row r="35" spans="1:14" hidden="1" outlineLevel="1" x14ac:dyDescent="0.2">
      <c r="A35" s="9" t="s">
        <v>79</v>
      </c>
      <c r="B35" s="1" t="s">
        <v>80</v>
      </c>
      <c r="C35" s="10">
        <f>IFERROR(VLOOKUP(A35,'Centre DW13'!$A$7:$N$160,3,FALSE),0)+
IFERROR(VLOOKUP(A35,'Centre WR13'!$A$7:$N$160,3,FALSE),0)+
IFERROR(VLOOKUP(A35,'Centre WP13'!$A$7:$N$160,3,FALSE),0)</f>
        <v>0.2</v>
      </c>
      <c r="D35" s="10">
        <f>IFERROR(VLOOKUP(A35,'Centre DW13'!$A$7:$N$160,4,FALSE),0)+
IFERROR(VLOOKUP(A35,'Centre WR13'!$A$7:$N$160,4,FALSE),0)+
IFERROR(VLOOKUP(A35,'Centre WP13'!$A$7:$N$160,4,FALSE),0)</f>
        <v>0.2</v>
      </c>
      <c r="E35" s="10">
        <f>IFERROR(VLOOKUP(A35,'Centre DW13'!$A$7:$N$160,5,FALSE),0)+
IFERROR(VLOOKUP(A35,'Centre WR13'!$A$7:$N$160,5,FALSE),0)+
IFERROR(VLOOKUP(A35,'Centre WP13'!$A$7:$N$160,5,FALSE),0)</f>
        <v>0.2</v>
      </c>
      <c r="F35" s="10">
        <f>IFERROR(VLOOKUP(A35,'Centre DW13'!$A$7:$N$160,6,FALSE),0)+
IFERROR(VLOOKUP(A35,'Centre WR13'!$A$7:$N$160,6,FALSE),0)+
IFERROR(VLOOKUP(A35,'Centre WP13'!$A$7:$N$160,6,FALSE),0)</f>
        <v>0.1</v>
      </c>
      <c r="G35" s="10">
        <f>IFERROR(VLOOKUP(A35,'Centre DW13'!$A$7:$N$160,7,FALSE),0)+
IFERROR(VLOOKUP(A35,'Centre WR13'!$A$7:$N$160,7,FALSE),0)+
IFERROR(VLOOKUP(A35,'Centre WP13'!$A$7:$N$160,7,FALSE),0)</f>
        <v>0</v>
      </c>
      <c r="H35" s="10">
        <f>IFERROR(VLOOKUP(A35,'Centre DW13'!$A$7:$N$160,8,FALSE),0)+
IFERROR(VLOOKUP(A35,'Centre WR13'!$A$7:$N$160,8,FALSE),0)+
IFERROR(VLOOKUP(A35,'Centre WP13'!$A$7:$N$160,8,FALSE),0)</f>
        <v>0.5</v>
      </c>
      <c r="I35" s="10">
        <f>IFERROR(VLOOKUP(A35,'Centre DW13'!$A$7:$N$160,9,FALSE),0)+
IFERROR(VLOOKUP(A35,'Centre WR13'!$A$7:$N$160,9,FALSE),0)+
IFERROR(VLOOKUP(A35,'Centre WP13'!$A$7:$N$160,9,FALSE),0)</f>
        <v>0</v>
      </c>
      <c r="J35" s="28">
        <f>IFERROR(VLOOKUP(A35,'Centre DW13'!$A$7:$N$160,10,FALSE),0)+
IFERROR(VLOOKUP(A35,'Centre WR13'!$A$7:$N$160,10,FALSE),0)+
IFERROR(VLOOKUP(A35,'Centre WP13'!$A$7:$N$160,10,FALSE),0)</f>
        <v>0.2</v>
      </c>
      <c r="K35" s="28">
        <f>IFERROR(VLOOKUP(A35,'Centre DW13'!$A$7:$N$160,11,FALSE),0)+
IFERROR(VLOOKUP(A35,'Centre WR13'!$A$7:$N$160,11,FALSE),0)+
IFERROR(VLOOKUP(A35,'Centre WP13'!$A$7:$N$160,11,FALSE),0)</f>
        <v>0.2</v>
      </c>
      <c r="L35" s="28">
        <f>IFERROR(VLOOKUP(A35,'Centre DW13'!$A$7:$N$160,12,FALSE),0)+
IFERROR(VLOOKUP(A35,'Centre WR13'!$A$7:$N$160,12,FALSE),0)+
IFERROR(VLOOKUP(A35,'Centre WP13'!$A$7:$N$160,12,FALSE),0)</f>
        <v>0.2</v>
      </c>
      <c r="M35" s="28">
        <f>IFERROR(VLOOKUP(A35,'Centre DW13'!$A$7:$N$160,13,FALSE),0)+
IFERROR(VLOOKUP(A35,'Centre WR13'!$A$7:$N$160,13,FALSE),0)+
IFERROR(VLOOKUP(A35,'Centre WP13'!$A$7:$N$160,13,FALSE),0)</f>
        <v>0.6</v>
      </c>
      <c r="N35" s="28">
        <f>IFERROR(VLOOKUP(A35,'Centre DW13'!$A$7:$N$160,14,FALSE),0)+
IFERROR(VLOOKUP(A35,'Centre WR13'!$A$7:$N$160,14,FALSE),0)+
IFERROR(VLOOKUP(A35,'Centre WP13'!$A$7:$N$160,14,FALSE),0)</f>
        <v>0</v>
      </c>
    </row>
    <row r="36" spans="1:14" hidden="1" outlineLevel="1" x14ac:dyDescent="0.2">
      <c r="A36" s="9" t="s">
        <v>81</v>
      </c>
      <c r="B36" s="1" t="s">
        <v>82</v>
      </c>
      <c r="C36" s="10">
        <f>IFERROR(VLOOKUP(A36,'Centre DW13'!$A$7:$N$160,3,FALSE),0)+
IFERROR(VLOOKUP(A36,'Centre WR13'!$A$7:$N$160,3,FALSE),0)+
IFERROR(VLOOKUP(A36,'Centre WP13'!$A$7:$N$160,3,FALSE),0)</f>
        <v>1.2000000000000002</v>
      </c>
      <c r="D36" s="10">
        <f>IFERROR(VLOOKUP(A36,'Centre DW13'!$A$7:$N$160,4,FALSE),0)+
IFERROR(VLOOKUP(A36,'Centre WR13'!$A$7:$N$160,4,FALSE),0)+
IFERROR(VLOOKUP(A36,'Centre WP13'!$A$7:$N$160,4,FALSE),0)</f>
        <v>1.2000000000000002</v>
      </c>
      <c r="E36" s="10">
        <f>IFERROR(VLOOKUP(A36,'Centre DW13'!$A$7:$N$160,5,FALSE),0)+
IFERROR(VLOOKUP(A36,'Centre WR13'!$A$7:$N$160,5,FALSE),0)+
IFERROR(VLOOKUP(A36,'Centre WP13'!$A$7:$N$160,5,FALSE),0)</f>
        <v>1.1000000000000001</v>
      </c>
      <c r="F36" s="10">
        <f>IFERROR(VLOOKUP(A36,'Centre DW13'!$A$7:$N$160,6,FALSE),0)+
IFERROR(VLOOKUP(A36,'Centre WR13'!$A$7:$N$160,6,FALSE),0)+
IFERROR(VLOOKUP(A36,'Centre WP13'!$A$7:$N$160,6,FALSE),0)</f>
        <v>2.2000000000000002</v>
      </c>
      <c r="G36" s="10">
        <f>IFERROR(VLOOKUP(A36,'Centre DW13'!$A$7:$N$160,7,FALSE),0)+
IFERROR(VLOOKUP(A36,'Centre WR13'!$A$7:$N$160,7,FALSE),0)+
IFERROR(VLOOKUP(A36,'Centre WP13'!$A$7:$N$160,7,FALSE),0)</f>
        <v>1.1000000000000001</v>
      </c>
      <c r="H36" s="10">
        <f>IFERROR(VLOOKUP(A36,'Centre DW13'!$A$7:$N$160,8,FALSE),0)+
IFERROR(VLOOKUP(A36,'Centre WR13'!$A$7:$N$160,8,FALSE),0)+
IFERROR(VLOOKUP(A36,'Centre WP13'!$A$7:$N$160,8,FALSE),0)</f>
        <v>1.4</v>
      </c>
      <c r="I36" s="10">
        <f>IFERROR(VLOOKUP(A36,'Centre DW13'!$A$7:$N$160,9,FALSE),0)+
IFERROR(VLOOKUP(A36,'Centre WR13'!$A$7:$N$160,9,FALSE),0)+
IFERROR(VLOOKUP(A36,'Centre WP13'!$A$7:$N$160,9,FALSE),0)</f>
        <v>1.1000000000000001</v>
      </c>
      <c r="J36" s="28">
        <f>IFERROR(VLOOKUP(A36,'Centre DW13'!$A$7:$N$160,10,FALSE),0)+
IFERROR(VLOOKUP(A36,'Centre WR13'!$A$7:$N$160,10,FALSE),0)+
IFERROR(VLOOKUP(A36,'Centre WP13'!$A$7:$N$160,10,FALSE),0)</f>
        <v>1.2000000000000002</v>
      </c>
      <c r="K36" s="28">
        <f>IFERROR(VLOOKUP(A36,'Centre DW13'!$A$7:$N$160,11,FALSE),0)+
IFERROR(VLOOKUP(A36,'Centre WR13'!$A$7:$N$160,11,FALSE),0)+
IFERROR(VLOOKUP(A36,'Centre WP13'!$A$7:$N$160,11,FALSE),0)</f>
        <v>1.7000000000000002</v>
      </c>
      <c r="L36" s="28">
        <f>IFERROR(VLOOKUP(A36,'Centre DW13'!$A$7:$N$160,12,FALSE),0)+
IFERROR(VLOOKUP(A36,'Centre WR13'!$A$7:$N$160,12,FALSE),0)+
IFERROR(VLOOKUP(A36,'Centre WP13'!$A$7:$N$160,12,FALSE),0)</f>
        <v>1.2</v>
      </c>
      <c r="M36" s="28">
        <f>IFERROR(VLOOKUP(A36,'Centre DW13'!$A$7:$N$160,13,FALSE),0)+
IFERROR(VLOOKUP(A36,'Centre WR13'!$A$7:$N$160,13,FALSE),0)+
IFERROR(VLOOKUP(A36,'Centre WP13'!$A$7:$N$160,13,FALSE),0)</f>
        <v>2.9</v>
      </c>
      <c r="N36" s="28">
        <f>IFERROR(VLOOKUP(A36,'Centre DW13'!$A$7:$N$160,14,FALSE),0)+
IFERROR(VLOOKUP(A36,'Centre WR13'!$A$7:$N$160,14,FALSE),0)+
IFERROR(VLOOKUP(A36,'Centre WP13'!$A$7:$N$160,14,FALSE),0)</f>
        <v>1</v>
      </c>
    </row>
    <row r="37" spans="1:14" hidden="1" outlineLevel="1" x14ac:dyDescent="0.2">
      <c r="A37" s="9" t="s">
        <v>83</v>
      </c>
      <c r="B37" s="1" t="s">
        <v>84</v>
      </c>
      <c r="C37" s="10">
        <f>IFERROR(VLOOKUP(A37,'Centre DW13'!$A$7:$N$160,3,FALSE),0)+
IFERROR(VLOOKUP(A37,'Centre WR13'!$A$7:$N$160,3,FALSE),0)+
IFERROR(VLOOKUP(A37,'Centre WP13'!$A$7:$N$160,3,FALSE),0)</f>
        <v>0</v>
      </c>
      <c r="D37" s="10">
        <f>IFERROR(VLOOKUP(A37,'Centre DW13'!$A$7:$N$160,4,FALSE),0)+
IFERROR(VLOOKUP(A37,'Centre WR13'!$A$7:$N$160,4,FALSE),0)+
IFERROR(VLOOKUP(A37,'Centre WP13'!$A$7:$N$160,4,FALSE),0)</f>
        <v>0</v>
      </c>
      <c r="E37" s="10">
        <f>IFERROR(VLOOKUP(A37,'Centre DW13'!$A$7:$N$160,5,FALSE),0)+
IFERROR(VLOOKUP(A37,'Centre WR13'!$A$7:$N$160,5,FALSE),0)+
IFERROR(VLOOKUP(A37,'Centre WP13'!$A$7:$N$160,5,FALSE),0)</f>
        <v>0</v>
      </c>
      <c r="F37" s="10">
        <f>IFERROR(VLOOKUP(A37,'Centre DW13'!$A$7:$N$160,6,FALSE),0)+
IFERROR(VLOOKUP(A37,'Centre WR13'!$A$7:$N$160,6,FALSE),0)+
IFERROR(VLOOKUP(A37,'Centre WP13'!$A$7:$N$160,6,FALSE),0)</f>
        <v>0</v>
      </c>
      <c r="G37" s="10">
        <f>IFERROR(VLOOKUP(A37,'Centre DW13'!$A$7:$N$160,7,FALSE),0)+
IFERROR(VLOOKUP(A37,'Centre WR13'!$A$7:$N$160,7,FALSE),0)+
IFERROR(VLOOKUP(A37,'Centre WP13'!$A$7:$N$160,7,FALSE),0)</f>
        <v>0</v>
      </c>
      <c r="H37" s="10">
        <f>IFERROR(VLOOKUP(A37,'Centre DW13'!$A$7:$N$160,8,FALSE),0)+
IFERROR(VLOOKUP(A37,'Centre WR13'!$A$7:$N$160,8,FALSE),0)+
IFERROR(VLOOKUP(A37,'Centre WP13'!$A$7:$N$160,8,FALSE),0)</f>
        <v>0</v>
      </c>
      <c r="I37" s="10">
        <f>IFERROR(VLOOKUP(A37,'Centre DW13'!$A$7:$N$160,9,FALSE),0)+
IFERROR(VLOOKUP(A37,'Centre WR13'!$A$7:$N$160,9,FALSE),0)+
IFERROR(VLOOKUP(A37,'Centre WP13'!$A$7:$N$160,9,FALSE),0)</f>
        <v>0</v>
      </c>
      <c r="J37" s="28">
        <f>IFERROR(VLOOKUP(A37,'Centre DW13'!$A$7:$N$160,10,FALSE),0)+
IFERROR(VLOOKUP(A37,'Centre WR13'!$A$7:$N$160,10,FALSE),0)+
IFERROR(VLOOKUP(A37,'Centre WP13'!$A$7:$N$160,10,FALSE),0)</f>
        <v>0</v>
      </c>
      <c r="K37" s="28">
        <f>IFERROR(VLOOKUP(A37,'Centre DW13'!$A$7:$N$160,11,FALSE),0)+
IFERROR(VLOOKUP(A37,'Centre WR13'!$A$7:$N$160,11,FALSE),0)+
IFERROR(VLOOKUP(A37,'Centre WP13'!$A$7:$N$160,11,FALSE),0)</f>
        <v>0</v>
      </c>
      <c r="L37" s="28">
        <f>IFERROR(VLOOKUP(A37,'Centre DW13'!$A$7:$N$160,12,FALSE),0)+
IFERROR(VLOOKUP(A37,'Centre WR13'!$A$7:$N$160,12,FALSE),0)+
IFERROR(VLOOKUP(A37,'Centre WP13'!$A$7:$N$160,12,FALSE),0)</f>
        <v>0</v>
      </c>
      <c r="M37" s="28">
        <f>IFERROR(VLOOKUP(A37,'Centre DW13'!$A$7:$N$160,13,FALSE),0)+
IFERROR(VLOOKUP(A37,'Centre WR13'!$A$7:$N$160,13,FALSE),0)+
IFERROR(VLOOKUP(A37,'Centre WP13'!$A$7:$N$160,13,FALSE),0)</f>
        <v>0</v>
      </c>
      <c r="N37" s="28">
        <f>IFERROR(VLOOKUP(A37,'Centre DW13'!$A$7:$N$160,14,FALSE),0)+
IFERROR(VLOOKUP(A37,'Centre WR13'!$A$7:$N$160,14,FALSE),0)+
IFERROR(VLOOKUP(A37,'Centre WP13'!$A$7:$N$160,14,FALSE),0)</f>
        <v>0</v>
      </c>
    </row>
    <row r="38" spans="1:14" hidden="1" outlineLevel="1" x14ac:dyDescent="0.2">
      <c r="A38" s="9" t="s">
        <v>85</v>
      </c>
      <c r="B38" s="1" t="s">
        <v>86</v>
      </c>
      <c r="C38" s="10">
        <f>IFERROR(VLOOKUP(A38,'Centre DW13'!$A$7:$N$160,3,FALSE),0)+
IFERROR(VLOOKUP(A38,'Centre WR13'!$A$7:$N$160,3,FALSE),0)+
IFERROR(VLOOKUP(A38,'Centre WP13'!$A$7:$N$160,3,FALSE),0)</f>
        <v>0</v>
      </c>
      <c r="D38" s="10">
        <f>IFERROR(VLOOKUP(A38,'Centre DW13'!$A$7:$N$160,4,FALSE),0)+
IFERROR(VLOOKUP(A38,'Centre WR13'!$A$7:$N$160,4,FALSE),0)+
IFERROR(VLOOKUP(A38,'Centre WP13'!$A$7:$N$160,4,FALSE),0)</f>
        <v>0</v>
      </c>
      <c r="E38" s="10">
        <f>IFERROR(VLOOKUP(A38,'Centre DW13'!$A$7:$N$160,5,FALSE),0)+
IFERROR(VLOOKUP(A38,'Centre WR13'!$A$7:$N$160,5,FALSE),0)+
IFERROR(VLOOKUP(A38,'Centre WP13'!$A$7:$N$160,5,FALSE),0)</f>
        <v>0.1</v>
      </c>
      <c r="F38" s="10">
        <f>IFERROR(VLOOKUP(A38,'Centre DW13'!$A$7:$N$160,6,FALSE),0)+
IFERROR(VLOOKUP(A38,'Centre WR13'!$A$7:$N$160,6,FALSE),0)+
IFERROR(VLOOKUP(A38,'Centre WP13'!$A$7:$N$160,6,FALSE),0)</f>
        <v>0</v>
      </c>
      <c r="G38" s="10">
        <f>IFERROR(VLOOKUP(A38,'Centre DW13'!$A$7:$N$160,7,FALSE),0)+
IFERROR(VLOOKUP(A38,'Centre WR13'!$A$7:$N$160,7,FALSE),0)+
IFERROR(VLOOKUP(A38,'Centre WP13'!$A$7:$N$160,7,FALSE),0)</f>
        <v>0.2</v>
      </c>
      <c r="H38" s="10">
        <f>IFERROR(VLOOKUP(A38,'Centre DW13'!$A$7:$N$160,8,FALSE),0)+
IFERROR(VLOOKUP(A38,'Centre WR13'!$A$7:$N$160,8,FALSE),0)+
IFERROR(VLOOKUP(A38,'Centre WP13'!$A$7:$N$160,8,FALSE),0)</f>
        <v>0.1</v>
      </c>
      <c r="I38" s="10">
        <f>IFERROR(VLOOKUP(A38,'Centre DW13'!$A$7:$N$160,9,FALSE),0)+
IFERROR(VLOOKUP(A38,'Centre WR13'!$A$7:$N$160,9,FALSE),0)+
IFERROR(VLOOKUP(A38,'Centre WP13'!$A$7:$N$160,9,FALSE),0)</f>
        <v>0.1</v>
      </c>
      <c r="J38" s="28">
        <f>IFERROR(VLOOKUP(A38,'Centre DW13'!$A$7:$N$160,10,FALSE),0)+
IFERROR(VLOOKUP(A38,'Centre WR13'!$A$7:$N$160,10,FALSE),0)+
IFERROR(VLOOKUP(A38,'Centre WP13'!$A$7:$N$160,10,FALSE),0)</f>
        <v>0.1</v>
      </c>
      <c r="K38" s="28">
        <f>IFERROR(VLOOKUP(A38,'Centre DW13'!$A$7:$N$160,11,FALSE),0)+
IFERROR(VLOOKUP(A38,'Centre WR13'!$A$7:$N$160,11,FALSE),0)+
IFERROR(VLOOKUP(A38,'Centre WP13'!$A$7:$N$160,11,FALSE),0)</f>
        <v>0</v>
      </c>
      <c r="L38" s="28">
        <f>IFERROR(VLOOKUP(A38,'Centre DW13'!$A$7:$N$160,12,FALSE),0)+
IFERROR(VLOOKUP(A38,'Centre WR13'!$A$7:$N$160,12,FALSE),0)+
IFERROR(VLOOKUP(A38,'Centre WP13'!$A$7:$N$160,12,FALSE),0)</f>
        <v>0.2</v>
      </c>
      <c r="M38" s="28">
        <f>IFERROR(VLOOKUP(A38,'Centre DW13'!$A$7:$N$160,13,FALSE),0)+
IFERROR(VLOOKUP(A38,'Centre WR13'!$A$7:$N$160,13,FALSE),0)+
IFERROR(VLOOKUP(A38,'Centre WP13'!$A$7:$N$160,13,FALSE),0)</f>
        <v>0.1</v>
      </c>
      <c r="N38" s="28">
        <f>IFERROR(VLOOKUP(A38,'Centre DW13'!$A$7:$N$160,14,FALSE),0)+
IFERROR(VLOOKUP(A38,'Centre WR13'!$A$7:$N$160,14,FALSE),0)+
IFERROR(VLOOKUP(A38,'Centre WP13'!$A$7:$N$160,14,FALSE),0)</f>
        <v>0</v>
      </c>
    </row>
    <row r="39" spans="1:14" hidden="1" outlineLevel="1" x14ac:dyDescent="0.2">
      <c r="A39" s="9" t="s">
        <v>87</v>
      </c>
      <c r="B39" s="1" t="s">
        <v>88</v>
      </c>
      <c r="C39" s="10">
        <f>IFERROR(VLOOKUP(A39,'Centre DW13'!$A$7:$N$160,3,FALSE),0)+
IFERROR(VLOOKUP(A39,'Centre WR13'!$A$7:$N$160,3,FALSE),0)+
IFERROR(VLOOKUP(A39,'Centre WP13'!$A$7:$N$160,3,FALSE),0)</f>
        <v>0.60000000000000009</v>
      </c>
      <c r="D39" s="10">
        <f>IFERROR(VLOOKUP(A39,'Centre DW13'!$A$7:$N$160,4,FALSE),0)+
IFERROR(VLOOKUP(A39,'Centre WR13'!$A$7:$N$160,4,FALSE),0)+
IFERROR(VLOOKUP(A39,'Centre WP13'!$A$7:$N$160,4,FALSE),0)</f>
        <v>0.60000000000000009</v>
      </c>
      <c r="E39" s="10">
        <f>IFERROR(VLOOKUP(A39,'Centre DW13'!$A$7:$N$160,5,FALSE),0)+
IFERROR(VLOOKUP(A39,'Centre WR13'!$A$7:$N$160,5,FALSE),0)+
IFERROR(VLOOKUP(A39,'Centre WP13'!$A$7:$N$160,5,FALSE),0)</f>
        <v>0.5</v>
      </c>
      <c r="F39" s="10">
        <f>IFERROR(VLOOKUP(A39,'Centre DW13'!$A$7:$N$160,6,FALSE),0)+
IFERROR(VLOOKUP(A39,'Centre WR13'!$A$7:$N$160,6,FALSE),0)+
IFERROR(VLOOKUP(A39,'Centre WP13'!$A$7:$N$160,6,FALSE),0)</f>
        <v>0.6</v>
      </c>
      <c r="G39" s="10">
        <f>IFERROR(VLOOKUP(A39,'Centre DW13'!$A$7:$N$160,7,FALSE),0)+
IFERROR(VLOOKUP(A39,'Centre WR13'!$A$7:$N$160,7,FALSE),0)+
IFERROR(VLOOKUP(A39,'Centre WP13'!$A$7:$N$160,7,FALSE),0)</f>
        <v>0.5</v>
      </c>
      <c r="H39" s="10">
        <f>IFERROR(VLOOKUP(A39,'Centre DW13'!$A$7:$N$160,8,FALSE),0)+
IFERROR(VLOOKUP(A39,'Centre WR13'!$A$7:$N$160,8,FALSE),0)+
IFERROR(VLOOKUP(A39,'Centre WP13'!$A$7:$N$160,8,FALSE),0)</f>
        <v>0.9</v>
      </c>
      <c r="I39" s="10">
        <f>IFERROR(VLOOKUP(A39,'Centre DW13'!$A$7:$N$160,9,FALSE),0)+
IFERROR(VLOOKUP(A39,'Centre WR13'!$A$7:$N$160,9,FALSE),0)+
IFERROR(VLOOKUP(A39,'Centre WP13'!$A$7:$N$160,9,FALSE),0)</f>
        <v>0.5</v>
      </c>
      <c r="J39" s="28">
        <f>IFERROR(VLOOKUP(A39,'Centre DW13'!$A$7:$N$160,10,FALSE),0)+
IFERROR(VLOOKUP(A39,'Centre WR13'!$A$7:$N$160,10,FALSE),0)+
IFERROR(VLOOKUP(A39,'Centre WP13'!$A$7:$N$160,10,FALSE),0)</f>
        <v>0.60000000000000009</v>
      </c>
      <c r="K39" s="28">
        <f>IFERROR(VLOOKUP(A39,'Centre DW13'!$A$7:$N$160,11,FALSE),0)+
IFERROR(VLOOKUP(A39,'Centre WR13'!$A$7:$N$160,11,FALSE),0)+
IFERROR(VLOOKUP(A39,'Centre WP13'!$A$7:$N$160,11,FALSE),0)</f>
        <v>0.7</v>
      </c>
      <c r="L39" s="28">
        <f>IFERROR(VLOOKUP(A39,'Centre DW13'!$A$7:$N$160,12,FALSE),0)+
IFERROR(VLOOKUP(A39,'Centre WR13'!$A$7:$N$160,12,FALSE),0)+
IFERROR(VLOOKUP(A39,'Centre WP13'!$A$7:$N$160,12,FALSE),0)</f>
        <v>0.5</v>
      </c>
      <c r="M39" s="28">
        <f>IFERROR(VLOOKUP(A39,'Centre DW13'!$A$7:$N$160,13,FALSE),0)+
IFERROR(VLOOKUP(A39,'Centre WR13'!$A$7:$N$160,13,FALSE),0)+
IFERROR(VLOOKUP(A39,'Centre WP13'!$A$7:$N$160,13,FALSE),0)</f>
        <v>0.9</v>
      </c>
      <c r="N39" s="28">
        <f>IFERROR(VLOOKUP(A39,'Centre DW13'!$A$7:$N$160,14,FALSE),0)+
IFERROR(VLOOKUP(A39,'Centre WR13'!$A$7:$N$160,14,FALSE),0)+
IFERROR(VLOOKUP(A39,'Centre WP13'!$A$7:$N$160,14,FALSE),0)</f>
        <v>0.5</v>
      </c>
    </row>
    <row r="40" spans="1:14" hidden="1" outlineLevel="1" x14ac:dyDescent="0.2">
      <c r="A40" s="9" t="s">
        <v>89</v>
      </c>
      <c r="B40" s="1" t="s">
        <v>90</v>
      </c>
      <c r="C40" s="10">
        <f>IFERROR(VLOOKUP(A40,'Centre DW13'!$A$7:$N$160,3,FALSE),0)+
IFERROR(VLOOKUP(A40,'Centre WR13'!$A$7:$N$160,3,FALSE),0)+
IFERROR(VLOOKUP(A40,'Centre WP13'!$A$7:$N$160,3,FALSE),0)</f>
        <v>0.7</v>
      </c>
      <c r="D40" s="10">
        <f>IFERROR(VLOOKUP(A40,'Centre DW13'!$A$7:$N$160,4,FALSE),0)+
IFERROR(VLOOKUP(A40,'Centre WR13'!$A$7:$N$160,4,FALSE),0)+
IFERROR(VLOOKUP(A40,'Centre WP13'!$A$7:$N$160,4,FALSE),0)</f>
        <v>0.60000000000000009</v>
      </c>
      <c r="E40" s="10">
        <f>IFERROR(VLOOKUP(A40,'Centre DW13'!$A$7:$N$160,5,FALSE),0)+
IFERROR(VLOOKUP(A40,'Centre WR13'!$A$7:$N$160,5,FALSE),0)+
IFERROR(VLOOKUP(A40,'Centre WP13'!$A$7:$N$160,5,FALSE),0)</f>
        <v>0.5</v>
      </c>
      <c r="F40" s="10">
        <f>IFERROR(VLOOKUP(A40,'Centre DW13'!$A$7:$N$160,6,FALSE),0)+
IFERROR(VLOOKUP(A40,'Centre WR13'!$A$7:$N$160,6,FALSE),0)+
IFERROR(VLOOKUP(A40,'Centre WP13'!$A$7:$N$160,6,FALSE),0)</f>
        <v>0.8</v>
      </c>
      <c r="G40" s="10">
        <f>IFERROR(VLOOKUP(A40,'Centre DW13'!$A$7:$N$160,7,FALSE),0)+
IFERROR(VLOOKUP(A40,'Centre WR13'!$A$7:$N$160,7,FALSE),0)+
IFERROR(VLOOKUP(A40,'Centre WP13'!$A$7:$N$160,7,FALSE),0)</f>
        <v>0.6</v>
      </c>
      <c r="H40" s="10">
        <f>IFERROR(VLOOKUP(A40,'Centre DW13'!$A$7:$N$160,8,FALSE),0)+
IFERROR(VLOOKUP(A40,'Centre WR13'!$A$7:$N$160,8,FALSE),0)+
IFERROR(VLOOKUP(A40,'Centre WP13'!$A$7:$N$160,8,FALSE),0)</f>
        <v>1</v>
      </c>
      <c r="I40" s="10">
        <f>IFERROR(VLOOKUP(A40,'Centre DW13'!$A$7:$N$160,9,FALSE),0)+
IFERROR(VLOOKUP(A40,'Centre WR13'!$A$7:$N$160,9,FALSE),0)+
IFERROR(VLOOKUP(A40,'Centre WP13'!$A$7:$N$160,9,FALSE),0)</f>
        <v>0.6</v>
      </c>
      <c r="J40" s="28">
        <f>IFERROR(VLOOKUP(A40,'Centre DW13'!$A$7:$N$160,10,FALSE),0)+
IFERROR(VLOOKUP(A40,'Centre WR13'!$A$7:$N$160,10,FALSE),0)+
IFERROR(VLOOKUP(A40,'Centre WP13'!$A$7:$N$160,10,FALSE),0)</f>
        <v>0.60000000000000009</v>
      </c>
      <c r="K40" s="28">
        <f>IFERROR(VLOOKUP(A40,'Centre DW13'!$A$7:$N$160,11,FALSE),0)+
IFERROR(VLOOKUP(A40,'Centre WR13'!$A$7:$N$160,11,FALSE),0)+
IFERROR(VLOOKUP(A40,'Centre WP13'!$A$7:$N$160,11,FALSE),0)</f>
        <v>0.7</v>
      </c>
      <c r="L40" s="28">
        <f>IFERROR(VLOOKUP(A40,'Centre DW13'!$A$7:$N$160,12,FALSE),0)+
IFERROR(VLOOKUP(A40,'Centre WR13'!$A$7:$N$160,12,FALSE),0)+
IFERROR(VLOOKUP(A40,'Centre WP13'!$A$7:$N$160,12,FALSE),0)</f>
        <v>0.6</v>
      </c>
      <c r="M40" s="28">
        <f>IFERROR(VLOOKUP(A40,'Centre DW13'!$A$7:$N$160,13,FALSE),0)+
IFERROR(VLOOKUP(A40,'Centre WR13'!$A$7:$N$160,13,FALSE),0)+
IFERROR(VLOOKUP(A40,'Centre WP13'!$A$7:$N$160,13,FALSE),0)</f>
        <v>1.2</v>
      </c>
      <c r="N40" s="28">
        <f>IFERROR(VLOOKUP(A40,'Centre DW13'!$A$7:$N$160,14,FALSE),0)+
IFERROR(VLOOKUP(A40,'Centre WR13'!$A$7:$N$160,14,FALSE),0)+
IFERROR(VLOOKUP(A40,'Centre WP13'!$A$7:$N$160,14,FALSE),0)</f>
        <v>0.5</v>
      </c>
    </row>
    <row r="41" spans="1:14" hidden="1" outlineLevel="1" x14ac:dyDescent="0.2">
      <c r="A41" s="9" t="s">
        <v>91</v>
      </c>
      <c r="B41" s="1" t="s">
        <v>92</v>
      </c>
      <c r="C41" s="10">
        <f>IFERROR(VLOOKUP(A41,'Centre DW13'!$A$7:$N$160,3,FALSE),0)+
IFERROR(VLOOKUP(A41,'Centre WR13'!$A$7:$N$160,3,FALSE),0)+
IFERROR(VLOOKUP(A41,'Centre WP13'!$A$7:$N$160,3,FALSE),0)</f>
        <v>0</v>
      </c>
      <c r="D41" s="10">
        <f>IFERROR(VLOOKUP(A41,'Centre DW13'!$A$7:$N$160,4,FALSE),0)+
IFERROR(VLOOKUP(A41,'Centre WR13'!$A$7:$N$160,4,FALSE),0)+
IFERROR(VLOOKUP(A41,'Centre WP13'!$A$7:$N$160,4,FALSE),0)</f>
        <v>0</v>
      </c>
      <c r="E41" s="10">
        <f>IFERROR(VLOOKUP(A41,'Centre DW13'!$A$7:$N$160,5,FALSE),0)+
IFERROR(VLOOKUP(A41,'Centre WR13'!$A$7:$N$160,5,FALSE),0)+
IFERROR(VLOOKUP(A41,'Centre WP13'!$A$7:$N$160,5,FALSE),0)</f>
        <v>0</v>
      </c>
      <c r="F41" s="10">
        <f>IFERROR(VLOOKUP(A41,'Centre DW13'!$A$7:$N$160,6,FALSE),0)+
IFERROR(VLOOKUP(A41,'Centre WR13'!$A$7:$N$160,6,FALSE),0)+
IFERROR(VLOOKUP(A41,'Centre WP13'!$A$7:$N$160,6,FALSE),0)</f>
        <v>5.9</v>
      </c>
      <c r="G41" s="10">
        <f>IFERROR(VLOOKUP(A41,'Centre DW13'!$A$7:$N$160,7,FALSE),0)+
IFERROR(VLOOKUP(A41,'Centre WR13'!$A$7:$N$160,7,FALSE),0)+
IFERROR(VLOOKUP(A41,'Centre WP13'!$A$7:$N$160,7,FALSE),0)</f>
        <v>0</v>
      </c>
      <c r="H41" s="10">
        <f>IFERROR(VLOOKUP(A41,'Centre DW13'!$A$7:$N$160,8,FALSE),0)+
IFERROR(VLOOKUP(A41,'Centre WR13'!$A$7:$N$160,8,FALSE),0)+
IFERROR(VLOOKUP(A41,'Centre WP13'!$A$7:$N$160,8,FALSE),0)</f>
        <v>0</v>
      </c>
      <c r="I41" s="10">
        <f>IFERROR(VLOOKUP(A41,'Centre DW13'!$A$7:$N$160,9,FALSE),0)+
IFERROR(VLOOKUP(A41,'Centre WR13'!$A$7:$N$160,9,FALSE),0)+
IFERROR(VLOOKUP(A41,'Centre WP13'!$A$7:$N$160,9,FALSE),0)</f>
        <v>0</v>
      </c>
      <c r="J41" s="28">
        <f>IFERROR(VLOOKUP(A41,'Centre DW13'!$A$7:$N$160,10,FALSE),0)+
IFERROR(VLOOKUP(A41,'Centre WR13'!$A$7:$N$160,10,FALSE),0)+
IFERROR(VLOOKUP(A41,'Centre WP13'!$A$7:$N$160,10,FALSE),0)</f>
        <v>0</v>
      </c>
      <c r="K41" s="28">
        <f>IFERROR(VLOOKUP(A41,'Centre DW13'!$A$7:$N$160,11,FALSE),0)+
IFERROR(VLOOKUP(A41,'Centre WR13'!$A$7:$N$160,11,FALSE),0)+
IFERROR(VLOOKUP(A41,'Centre WP13'!$A$7:$N$160,11,FALSE),0)</f>
        <v>0</v>
      </c>
      <c r="L41" s="28">
        <f>IFERROR(VLOOKUP(A41,'Centre DW13'!$A$7:$N$160,12,FALSE),0)+
IFERROR(VLOOKUP(A41,'Centre WR13'!$A$7:$N$160,12,FALSE),0)+
IFERROR(VLOOKUP(A41,'Centre WP13'!$A$7:$N$160,12,FALSE),0)</f>
        <v>0</v>
      </c>
      <c r="M41" s="28">
        <f>IFERROR(VLOOKUP(A41,'Centre DW13'!$A$7:$N$160,13,FALSE),0)+
IFERROR(VLOOKUP(A41,'Centre WR13'!$A$7:$N$160,13,FALSE),0)+
IFERROR(VLOOKUP(A41,'Centre WP13'!$A$7:$N$160,13,FALSE),0)</f>
        <v>5.9</v>
      </c>
      <c r="N41" s="28">
        <f>IFERROR(VLOOKUP(A41,'Centre DW13'!$A$7:$N$160,14,FALSE),0)+
IFERROR(VLOOKUP(A41,'Centre WR13'!$A$7:$N$160,14,FALSE),0)+
IFERROR(VLOOKUP(A41,'Centre WP13'!$A$7:$N$160,14,FALSE),0)</f>
        <v>0</v>
      </c>
    </row>
    <row r="42" spans="1:14" hidden="1" outlineLevel="1" x14ac:dyDescent="0.2">
      <c r="A42" s="9" t="s">
        <v>93</v>
      </c>
      <c r="B42" s="1" t="s">
        <v>94</v>
      </c>
      <c r="C42" s="10">
        <f>IFERROR(VLOOKUP(A42,'Centre DW13'!$A$7:$N$160,3,FALSE),0)+
IFERROR(VLOOKUP(A42,'Centre WR13'!$A$7:$N$160,3,FALSE),0)+
IFERROR(VLOOKUP(A42,'Centre WP13'!$A$7:$N$160,3,FALSE),0)</f>
        <v>0.8</v>
      </c>
      <c r="D42" s="10">
        <f>IFERROR(VLOOKUP(A42,'Centre DW13'!$A$7:$N$160,4,FALSE),0)+
IFERROR(VLOOKUP(A42,'Centre WR13'!$A$7:$N$160,4,FALSE),0)+
IFERROR(VLOOKUP(A42,'Centre WP13'!$A$7:$N$160,4,FALSE),0)</f>
        <v>0.7</v>
      </c>
      <c r="E42" s="10">
        <f>IFERROR(VLOOKUP(A42,'Centre DW13'!$A$7:$N$160,5,FALSE),0)+
IFERROR(VLOOKUP(A42,'Centre WR13'!$A$7:$N$160,5,FALSE),0)+
IFERROR(VLOOKUP(A42,'Centre WP13'!$A$7:$N$160,5,FALSE),0)</f>
        <v>0.7</v>
      </c>
      <c r="F42" s="10">
        <f>IFERROR(VLOOKUP(A42,'Centre DW13'!$A$7:$N$160,6,FALSE),0)+
IFERROR(VLOOKUP(A42,'Centre WR13'!$A$7:$N$160,6,FALSE),0)+
IFERROR(VLOOKUP(A42,'Centre WP13'!$A$7:$N$160,6,FALSE),0)</f>
        <v>1.7</v>
      </c>
      <c r="G42" s="10">
        <f>IFERROR(VLOOKUP(A42,'Centre DW13'!$A$7:$N$160,7,FALSE),0)+
IFERROR(VLOOKUP(A42,'Centre WR13'!$A$7:$N$160,7,FALSE),0)+
IFERROR(VLOOKUP(A42,'Centre WP13'!$A$7:$N$160,7,FALSE),0)</f>
        <v>0.5</v>
      </c>
      <c r="H42" s="10">
        <f>IFERROR(VLOOKUP(A42,'Centre DW13'!$A$7:$N$160,8,FALSE),0)+
IFERROR(VLOOKUP(A42,'Centre WR13'!$A$7:$N$160,8,FALSE),0)+
IFERROR(VLOOKUP(A42,'Centre WP13'!$A$7:$N$160,8,FALSE),0)</f>
        <v>1</v>
      </c>
      <c r="I42" s="10">
        <f>IFERROR(VLOOKUP(A42,'Centre DW13'!$A$7:$N$160,9,FALSE),0)+
IFERROR(VLOOKUP(A42,'Centre WR13'!$A$7:$N$160,9,FALSE),0)+
IFERROR(VLOOKUP(A42,'Centre WP13'!$A$7:$N$160,9,FALSE),0)</f>
        <v>0.7</v>
      </c>
      <c r="J42" s="28">
        <f>IFERROR(VLOOKUP(A42,'Centre DW13'!$A$7:$N$160,10,FALSE),0)+
IFERROR(VLOOKUP(A42,'Centre WR13'!$A$7:$N$160,10,FALSE),0)+
IFERROR(VLOOKUP(A42,'Centre WP13'!$A$7:$N$160,10,FALSE),0)</f>
        <v>0.7</v>
      </c>
      <c r="K42" s="28">
        <f>IFERROR(VLOOKUP(A42,'Centre DW13'!$A$7:$N$160,11,FALSE),0)+
IFERROR(VLOOKUP(A42,'Centre WR13'!$A$7:$N$160,11,FALSE),0)+
IFERROR(VLOOKUP(A42,'Centre WP13'!$A$7:$N$160,11,FALSE),0)</f>
        <v>0.89999999999999991</v>
      </c>
      <c r="L42" s="28">
        <f>IFERROR(VLOOKUP(A42,'Centre DW13'!$A$7:$N$160,12,FALSE),0)+
IFERROR(VLOOKUP(A42,'Centre WR13'!$A$7:$N$160,12,FALSE),0)+
IFERROR(VLOOKUP(A42,'Centre WP13'!$A$7:$N$160,12,FALSE),0)</f>
        <v>0.60000000000000009</v>
      </c>
      <c r="M42" s="28">
        <f>IFERROR(VLOOKUP(A42,'Centre DW13'!$A$7:$N$160,13,FALSE),0)+
IFERROR(VLOOKUP(A42,'Centre WR13'!$A$7:$N$160,13,FALSE),0)+
IFERROR(VLOOKUP(A42,'Centre WP13'!$A$7:$N$160,13,FALSE),0)</f>
        <v>1.9</v>
      </c>
      <c r="N42" s="28">
        <f>IFERROR(VLOOKUP(A42,'Centre DW13'!$A$7:$N$160,14,FALSE),0)+
IFERROR(VLOOKUP(A42,'Centre WR13'!$A$7:$N$160,14,FALSE),0)+
IFERROR(VLOOKUP(A42,'Centre WP13'!$A$7:$N$160,14,FALSE),0)</f>
        <v>0.6</v>
      </c>
    </row>
    <row r="43" spans="1:14" hidden="1" outlineLevel="1" x14ac:dyDescent="0.2">
      <c r="A43" s="9" t="s">
        <v>95</v>
      </c>
      <c r="B43" s="1" t="s">
        <v>96</v>
      </c>
      <c r="C43" s="10">
        <f>IFERROR(VLOOKUP(A43,'Centre DW13'!$A$7:$N$160,3,FALSE),0)+
IFERROR(VLOOKUP(A43,'Centre WR13'!$A$7:$N$160,3,FALSE),0)+
IFERROR(VLOOKUP(A43,'Centre WP13'!$A$7:$N$160,3,FALSE),0)</f>
        <v>0.1</v>
      </c>
      <c r="D43" s="10">
        <f>IFERROR(VLOOKUP(A43,'Centre DW13'!$A$7:$N$160,4,FALSE),0)+
IFERROR(VLOOKUP(A43,'Centre WR13'!$A$7:$N$160,4,FALSE),0)+
IFERROR(VLOOKUP(A43,'Centre WP13'!$A$7:$N$160,4,FALSE),0)</f>
        <v>0.1</v>
      </c>
      <c r="E43" s="10">
        <f>IFERROR(VLOOKUP(A43,'Centre DW13'!$A$7:$N$160,5,FALSE),0)+
IFERROR(VLOOKUP(A43,'Centre WR13'!$A$7:$N$160,5,FALSE),0)+
IFERROR(VLOOKUP(A43,'Centre WP13'!$A$7:$N$160,5,FALSE),0)</f>
        <v>0.1</v>
      </c>
      <c r="F43" s="10">
        <f>IFERROR(VLOOKUP(A43,'Centre DW13'!$A$7:$N$160,6,FALSE),0)+
IFERROR(VLOOKUP(A43,'Centre WR13'!$A$7:$N$160,6,FALSE),0)+
IFERROR(VLOOKUP(A43,'Centre WP13'!$A$7:$N$160,6,FALSE),0)</f>
        <v>0.1</v>
      </c>
      <c r="G43" s="10">
        <f>IFERROR(VLOOKUP(A43,'Centre DW13'!$A$7:$N$160,7,FALSE),0)+
IFERROR(VLOOKUP(A43,'Centre WR13'!$A$7:$N$160,7,FALSE),0)+
IFERROR(VLOOKUP(A43,'Centre WP13'!$A$7:$N$160,7,FALSE),0)</f>
        <v>0</v>
      </c>
      <c r="H43" s="10">
        <f>IFERROR(VLOOKUP(A43,'Centre DW13'!$A$7:$N$160,8,FALSE),0)+
IFERROR(VLOOKUP(A43,'Centre WR13'!$A$7:$N$160,8,FALSE),0)+
IFERROR(VLOOKUP(A43,'Centre WP13'!$A$7:$N$160,8,FALSE),0)</f>
        <v>0.3</v>
      </c>
      <c r="I43" s="10">
        <f>IFERROR(VLOOKUP(A43,'Centre DW13'!$A$7:$N$160,9,FALSE),0)+
IFERROR(VLOOKUP(A43,'Centre WR13'!$A$7:$N$160,9,FALSE),0)+
IFERROR(VLOOKUP(A43,'Centre WP13'!$A$7:$N$160,9,FALSE),0)</f>
        <v>0</v>
      </c>
      <c r="J43" s="28">
        <f>IFERROR(VLOOKUP(A43,'Centre DW13'!$A$7:$N$160,10,FALSE),0)+
IFERROR(VLOOKUP(A43,'Centre WR13'!$A$7:$N$160,10,FALSE),0)+
IFERROR(VLOOKUP(A43,'Centre WP13'!$A$7:$N$160,10,FALSE),0)</f>
        <v>0.1</v>
      </c>
      <c r="K43" s="28">
        <f>IFERROR(VLOOKUP(A43,'Centre DW13'!$A$7:$N$160,11,FALSE),0)+
IFERROR(VLOOKUP(A43,'Centre WR13'!$A$7:$N$160,11,FALSE),0)+
IFERROR(VLOOKUP(A43,'Centre WP13'!$A$7:$N$160,11,FALSE),0)</f>
        <v>0.1</v>
      </c>
      <c r="L43" s="28">
        <f>IFERROR(VLOOKUP(A43,'Centre DW13'!$A$7:$N$160,12,FALSE),0)+
IFERROR(VLOOKUP(A43,'Centre WR13'!$A$7:$N$160,12,FALSE),0)+
IFERROR(VLOOKUP(A43,'Centre WP13'!$A$7:$N$160,12,FALSE),0)</f>
        <v>0.1</v>
      </c>
      <c r="M43" s="28">
        <f>IFERROR(VLOOKUP(A43,'Centre DW13'!$A$7:$N$160,13,FALSE),0)+
IFERROR(VLOOKUP(A43,'Centre WR13'!$A$7:$N$160,13,FALSE),0)+
IFERROR(VLOOKUP(A43,'Centre WP13'!$A$7:$N$160,13,FALSE),0)</f>
        <v>0.4</v>
      </c>
      <c r="N43" s="28">
        <f>IFERROR(VLOOKUP(A43,'Centre DW13'!$A$7:$N$160,14,FALSE),0)+
IFERROR(VLOOKUP(A43,'Centre WR13'!$A$7:$N$160,14,FALSE),0)+
IFERROR(VLOOKUP(A43,'Centre WP13'!$A$7:$N$160,14,FALSE),0)</f>
        <v>0</v>
      </c>
    </row>
    <row r="44" spans="1:14" hidden="1" outlineLevel="1" x14ac:dyDescent="0.2">
      <c r="A44" s="9" t="s">
        <v>97</v>
      </c>
      <c r="B44" s="1" t="s">
        <v>98</v>
      </c>
      <c r="C44" s="10">
        <f>IFERROR(VLOOKUP(A44,'Centre DW13'!$A$7:$N$160,3,FALSE),0)+
IFERROR(VLOOKUP(A44,'Centre WR13'!$A$7:$N$160,3,FALSE),0)+
IFERROR(VLOOKUP(A44,'Centre WP13'!$A$7:$N$160,3,FALSE),0)</f>
        <v>0.4</v>
      </c>
      <c r="D44" s="10">
        <f>IFERROR(VLOOKUP(A44,'Centre DW13'!$A$7:$N$160,4,FALSE),0)+
IFERROR(VLOOKUP(A44,'Centre WR13'!$A$7:$N$160,4,FALSE),0)+
IFERROR(VLOOKUP(A44,'Centre WP13'!$A$7:$N$160,4,FALSE),0)</f>
        <v>0.3</v>
      </c>
      <c r="E44" s="10">
        <f>IFERROR(VLOOKUP(A44,'Centre DW13'!$A$7:$N$160,5,FALSE),0)+
IFERROR(VLOOKUP(A44,'Centre WR13'!$A$7:$N$160,5,FALSE),0)+
IFERROR(VLOOKUP(A44,'Centre WP13'!$A$7:$N$160,5,FALSE),0)</f>
        <v>0.9</v>
      </c>
      <c r="F44" s="10">
        <f>IFERROR(VLOOKUP(A44,'Centre DW13'!$A$7:$N$160,6,FALSE),0)+
IFERROR(VLOOKUP(A44,'Centre WR13'!$A$7:$N$160,6,FALSE),0)+
IFERROR(VLOOKUP(A44,'Centre WP13'!$A$7:$N$160,6,FALSE),0)</f>
        <v>0.7</v>
      </c>
      <c r="G44" s="10">
        <f>IFERROR(VLOOKUP(A44,'Centre DW13'!$A$7:$N$160,7,FALSE),0)+
IFERROR(VLOOKUP(A44,'Centre WR13'!$A$7:$N$160,7,FALSE),0)+
IFERROR(VLOOKUP(A44,'Centre WP13'!$A$7:$N$160,7,FALSE),0)</f>
        <v>0.4</v>
      </c>
      <c r="H44" s="10">
        <f>IFERROR(VLOOKUP(A44,'Centre DW13'!$A$7:$N$160,8,FALSE),0)+
IFERROR(VLOOKUP(A44,'Centre WR13'!$A$7:$N$160,8,FALSE),0)+
IFERROR(VLOOKUP(A44,'Centre WP13'!$A$7:$N$160,8,FALSE),0)</f>
        <v>1.8</v>
      </c>
      <c r="I44" s="10">
        <f>IFERROR(VLOOKUP(A44,'Centre DW13'!$A$7:$N$160,9,FALSE),0)+
IFERROR(VLOOKUP(A44,'Centre WR13'!$A$7:$N$160,9,FALSE),0)+
IFERROR(VLOOKUP(A44,'Centre WP13'!$A$7:$N$160,9,FALSE),0)</f>
        <v>1.6</v>
      </c>
      <c r="J44" s="28">
        <f>IFERROR(VLOOKUP(A44,'Centre DW13'!$A$7:$N$160,10,FALSE),0)+
IFERROR(VLOOKUP(A44,'Centre WR13'!$A$7:$N$160,10,FALSE),0)+
IFERROR(VLOOKUP(A44,'Centre WP13'!$A$7:$N$160,10,FALSE),0)</f>
        <v>0.9</v>
      </c>
      <c r="K44" s="28">
        <f>IFERROR(VLOOKUP(A44,'Centre DW13'!$A$7:$N$160,11,FALSE),0)+
IFERROR(VLOOKUP(A44,'Centre WR13'!$A$7:$N$160,11,FALSE),0)+
IFERROR(VLOOKUP(A44,'Centre WP13'!$A$7:$N$160,11,FALSE),0)</f>
        <v>0.7</v>
      </c>
      <c r="L44" s="28">
        <f>IFERROR(VLOOKUP(A44,'Centre DW13'!$A$7:$N$160,12,FALSE),0)+
IFERROR(VLOOKUP(A44,'Centre WR13'!$A$7:$N$160,12,FALSE),0)+
IFERROR(VLOOKUP(A44,'Centre WP13'!$A$7:$N$160,12,FALSE),0)</f>
        <v>0.4</v>
      </c>
      <c r="M44" s="28">
        <f>IFERROR(VLOOKUP(A44,'Centre DW13'!$A$7:$N$160,13,FALSE),0)+
IFERROR(VLOOKUP(A44,'Centre WR13'!$A$7:$N$160,13,FALSE),0)+
IFERROR(VLOOKUP(A44,'Centre WP13'!$A$7:$N$160,13,FALSE),0)</f>
        <v>1.8</v>
      </c>
      <c r="N44" s="28">
        <f>IFERROR(VLOOKUP(A44,'Centre DW13'!$A$7:$N$160,14,FALSE),0)+
IFERROR(VLOOKUP(A44,'Centre WR13'!$A$7:$N$160,14,FALSE),0)+
IFERROR(VLOOKUP(A44,'Centre WP13'!$A$7:$N$160,14,FALSE),0)</f>
        <v>0.3</v>
      </c>
    </row>
    <row r="45" spans="1:14" hidden="1" outlineLevel="1" x14ac:dyDescent="0.2">
      <c r="A45" s="9" t="s">
        <v>303</v>
      </c>
      <c r="B45" s="1" t="s">
        <v>304</v>
      </c>
      <c r="C45" s="10">
        <f>IFERROR(VLOOKUP(A45,'Centre DW13'!$A$7:$N$160,3,FALSE),0)+
IFERROR(VLOOKUP(A45,'Centre WR13'!$A$7:$N$160,3,FALSE),0)+
IFERROR(VLOOKUP(A45,'Centre WP13'!$A$7:$N$160,3,FALSE),0)</f>
        <v>0</v>
      </c>
      <c r="D45" s="10">
        <f>IFERROR(VLOOKUP(A45,'Centre DW13'!$A$7:$N$160,4,FALSE),0)+
IFERROR(VLOOKUP(A45,'Centre WR13'!$A$7:$N$160,4,FALSE),0)+
IFERROR(VLOOKUP(A45,'Centre WP13'!$A$7:$N$160,4,FALSE),0)</f>
        <v>0</v>
      </c>
      <c r="E45" s="10">
        <f>IFERROR(VLOOKUP(A45,'Centre DW13'!$A$7:$N$160,5,FALSE),0)+
IFERROR(VLOOKUP(A45,'Centre WR13'!$A$7:$N$160,5,FALSE),0)+
IFERROR(VLOOKUP(A45,'Centre WP13'!$A$7:$N$160,5,FALSE),0)</f>
        <v>0</v>
      </c>
      <c r="F45" s="10">
        <f>IFERROR(VLOOKUP(A45,'Centre DW13'!$A$7:$N$160,6,FALSE),0)+
IFERROR(VLOOKUP(A45,'Centre WR13'!$A$7:$N$160,6,FALSE),0)+
IFERROR(VLOOKUP(A45,'Centre WP13'!$A$7:$N$160,6,FALSE),0)</f>
        <v>0</v>
      </c>
      <c r="G45" s="10">
        <f>IFERROR(VLOOKUP(A45,'Centre DW13'!$A$7:$N$160,7,FALSE),0)+
IFERROR(VLOOKUP(A45,'Centre WR13'!$A$7:$N$160,7,FALSE),0)+
IFERROR(VLOOKUP(A45,'Centre WP13'!$A$7:$N$160,7,FALSE),0)</f>
        <v>0</v>
      </c>
      <c r="H45" s="10">
        <f>IFERROR(VLOOKUP(A45,'Centre DW13'!$A$7:$N$160,8,FALSE),0)+
IFERROR(VLOOKUP(A45,'Centre WR13'!$A$7:$N$160,8,FALSE),0)+
IFERROR(VLOOKUP(A45,'Centre WP13'!$A$7:$N$160,8,FALSE),0)</f>
        <v>0</v>
      </c>
      <c r="I45" s="10">
        <f>IFERROR(VLOOKUP(A45,'Centre DW13'!$A$7:$N$160,9,FALSE),0)+
IFERROR(VLOOKUP(A45,'Centre WR13'!$A$7:$N$160,9,FALSE),0)+
IFERROR(VLOOKUP(A45,'Centre WP13'!$A$7:$N$160,9,FALSE),0)</f>
        <v>0.1</v>
      </c>
      <c r="J45" s="28">
        <f>IFERROR(VLOOKUP(A45,'Centre DW13'!$A$7:$N$160,10,FALSE),0)+
IFERROR(VLOOKUP(A45,'Centre WR13'!$A$7:$N$160,10,FALSE),0)+
IFERROR(VLOOKUP(A45,'Centre WP13'!$A$7:$N$160,10,FALSE),0)</f>
        <v>0</v>
      </c>
      <c r="K45" s="28">
        <f>IFERROR(VLOOKUP(A45,'Centre DW13'!$A$7:$N$160,11,FALSE),0)+
IFERROR(VLOOKUP(A45,'Centre WR13'!$A$7:$N$160,11,FALSE),0)+
IFERROR(VLOOKUP(A45,'Centre WP13'!$A$7:$N$160,11,FALSE),0)</f>
        <v>0</v>
      </c>
      <c r="L45" s="28">
        <f>IFERROR(VLOOKUP(A45,'Centre DW13'!$A$7:$N$160,12,FALSE),0)+
IFERROR(VLOOKUP(A45,'Centre WR13'!$A$7:$N$160,12,FALSE),0)+
IFERROR(VLOOKUP(A45,'Centre WP13'!$A$7:$N$160,12,FALSE),0)</f>
        <v>0</v>
      </c>
      <c r="M45" s="28">
        <f>IFERROR(VLOOKUP(A45,'Centre DW13'!$A$7:$N$160,13,FALSE),0)+
IFERROR(VLOOKUP(A45,'Centre WR13'!$A$7:$N$160,13,FALSE),0)+
IFERROR(VLOOKUP(A45,'Centre WP13'!$A$7:$N$160,13,FALSE),0)</f>
        <v>0</v>
      </c>
      <c r="N45" s="28">
        <f>IFERROR(VLOOKUP(A45,'Centre DW13'!$A$7:$N$160,14,FALSE),0)+
IFERROR(VLOOKUP(A45,'Centre WR13'!$A$7:$N$160,14,FALSE),0)+
IFERROR(VLOOKUP(A45,'Centre WP13'!$A$7:$N$160,14,FALSE),0)</f>
        <v>0</v>
      </c>
    </row>
    <row r="46" spans="1:14" hidden="1" outlineLevel="1" x14ac:dyDescent="0.2">
      <c r="A46" s="9" t="s">
        <v>99</v>
      </c>
      <c r="B46" s="1" t="s">
        <v>100</v>
      </c>
      <c r="C46" s="10">
        <f>IFERROR(VLOOKUP(A46,'Centre DW13'!$A$7:$N$160,3,FALSE),0)+
IFERROR(VLOOKUP(A46,'Centre WR13'!$A$7:$N$160,3,FALSE),0)+
IFERROR(VLOOKUP(A46,'Centre WP13'!$A$7:$N$160,3,FALSE),0)</f>
        <v>0</v>
      </c>
      <c r="D46" s="10">
        <f>IFERROR(VLOOKUP(A46,'Centre DW13'!$A$7:$N$160,4,FALSE),0)+
IFERROR(VLOOKUP(A46,'Centre WR13'!$A$7:$N$160,4,FALSE),0)+
IFERROR(VLOOKUP(A46,'Centre WP13'!$A$7:$N$160,4,FALSE),0)</f>
        <v>0</v>
      </c>
      <c r="E46" s="10">
        <f>IFERROR(VLOOKUP(A46,'Centre DW13'!$A$7:$N$160,5,FALSE),0)+
IFERROR(VLOOKUP(A46,'Centre WR13'!$A$7:$N$160,5,FALSE),0)+
IFERROR(VLOOKUP(A46,'Centre WP13'!$A$7:$N$160,5,FALSE),0)</f>
        <v>0</v>
      </c>
      <c r="F46" s="10">
        <f>IFERROR(VLOOKUP(A46,'Centre DW13'!$A$7:$N$160,6,FALSE),0)+
IFERROR(VLOOKUP(A46,'Centre WR13'!$A$7:$N$160,6,FALSE),0)+
IFERROR(VLOOKUP(A46,'Centre WP13'!$A$7:$N$160,6,FALSE),0)</f>
        <v>0</v>
      </c>
      <c r="G46" s="10">
        <f>IFERROR(VLOOKUP(A46,'Centre DW13'!$A$7:$N$160,7,FALSE),0)+
IFERROR(VLOOKUP(A46,'Centre WR13'!$A$7:$N$160,7,FALSE),0)+
IFERROR(VLOOKUP(A46,'Centre WP13'!$A$7:$N$160,7,FALSE),0)</f>
        <v>0</v>
      </c>
      <c r="H46" s="10">
        <f>IFERROR(VLOOKUP(A46,'Centre DW13'!$A$7:$N$160,8,FALSE),0)+
IFERROR(VLOOKUP(A46,'Centre WR13'!$A$7:$N$160,8,FALSE),0)+
IFERROR(VLOOKUP(A46,'Centre WP13'!$A$7:$N$160,8,FALSE),0)</f>
        <v>0</v>
      </c>
      <c r="I46" s="10">
        <f>IFERROR(VLOOKUP(A46,'Centre DW13'!$A$7:$N$160,9,FALSE),0)+
IFERROR(VLOOKUP(A46,'Centre WR13'!$A$7:$N$160,9,FALSE),0)+
IFERROR(VLOOKUP(A46,'Centre WP13'!$A$7:$N$160,9,FALSE),0)</f>
        <v>0</v>
      </c>
      <c r="J46" s="28">
        <f>IFERROR(VLOOKUP(A46,'Centre DW13'!$A$7:$N$160,10,FALSE),0)+
IFERROR(VLOOKUP(A46,'Centre WR13'!$A$7:$N$160,10,FALSE),0)+
IFERROR(VLOOKUP(A46,'Centre WP13'!$A$7:$N$160,10,FALSE),0)</f>
        <v>0</v>
      </c>
      <c r="K46" s="28">
        <f>IFERROR(VLOOKUP(A46,'Centre DW13'!$A$7:$N$160,11,FALSE),0)+
IFERROR(VLOOKUP(A46,'Centre WR13'!$A$7:$N$160,11,FALSE),0)+
IFERROR(VLOOKUP(A46,'Centre WP13'!$A$7:$N$160,11,FALSE),0)</f>
        <v>0</v>
      </c>
      <c r="L46" s="28">
        <f>IFERROR(VLOOKUP(A46,'Centre DW13'!$A$7:$N$160,12,FALSE),0)+
IFERROR(VLOOKUP(A46,'Centre WR13'!$A$7:$N$160,12,FALSE),0)+
IFERROR(VLOOKUP(A46,'Centre WP13'!$A$7:$N$160,12,FALSE),0)</f>
        <v>0</v>
      </c>
      <c r="M46" s="28">
        <f>IFERROR(VLOOKUP(A46,'Centre DW13'!$A$7:$N$160,13,FALSE),0)+
IFERROR(VLOOKUP(A46,'Centre WR13'!$A$7:$N$160,13,FALSE),0)+
IFERROR(VLOOKUP(A46,'Centre WP13'!$A$7:$N$160,13,FALSE),0)</f>
        <v>0</v>
      </c>
      <c r="N46" s="28">
        <f>IFERROR(VLOOKUP(A46,'Centre DW13'!$A$7:$N$160,14,FALSE),0)+
IFERROR(VLOOKUP(A46,'Centre WR13'!$A$7:$N$160,14,FALSE),0)+
IFERROR(VLOOKUP(A46,'Centre WP13'!$A$7:$N$160,14,FALSE),0)</f>
        <v>0</v>
      </c>
    </row>
    <row r="47" spans="1:14" hidden="1" outlineLevel="1" x14ac:dyDescent="0.2">
      <c r="A47" s="9" t="s">
        <v>101</v>
      </c>
      <c r="B47" s="1" t="s">
        <v>102</v>
      </c>
      <c r="C47" s="10">
        <f>IFERROR(VLOOKUP(A47,'Centre DW13'!$A$7:$N$160,3,FALSE),0)+
IFERROR(VLOOKUP(A47,'Centre WR13'!$A$7:$N$160,3,FALSE),0)+
IFERROR(VLOOKUP(A47,'Centre WP13'!$A$7:$N$160,3,FALSE),0)</f>
        <v>0</v>
      </c>
      <c r="D47" s="10">
        <f>IFERROR(VLOOKUP(A47,'Centre DW13'!$A$7:$N$160,4,FALSE),0)+
IFERROR(VLOOKUP(A47,'Centre WR13'!$A$7:$N$160,4,FALSE),0)+
IFERROR(VLOOKUP(A47,'Centre WP13'!$A$7:$N$160,4,FALSE),0)</f>
        <v>0.1</v>
      </c>
      <c r="E47" s="10">
        <f>IFERROR(VLOOKUP(A47,'Centre DW13'!$A$7:$N$160,5,FALSE),0)+
IFERROR(VLOOKUP(A47,'Centre WR13'!$A$7:$N$160,5,FALSE),0)+
IFERROR(VLOOKUP(A47,'Centre WP13'!$A$7:$N$160,5,FALSE),0)</f>
        <v>0</v>
      </c>
      <c r="F47" s="10">
        <f>IFERROR(VLOOKUP(A47,'Centre DW13'!$A$7:$N$160,6,FALSE),0)+
IFERROR(VLOOKUP(A47,'Centre WR13'!$A$7:$N$160,6,FALSE),0)+
IFERROR(VLOOKUP(A47,'Centre WP13'!$A$7:$N$160,6,FALSE),0)</f>
        <v>0</v>
      </c>
      <c r="G47" s="10">
        <f>IFERROR(VLOOKUP(A47,'Centre DW13'!$A$7:$N$160,7,FALSE),0)+
IFERROR(VLOOKUP(A47,'Centre WR13'!$A$7:$N$160,7,FALSE),0)+
IFERROR(VLOOKUP(A47,'Centre WP13'!$A$7:$N$160,7,FALSE),0)</f>
        <v>0.1</v>
      </c>
      <c r="H47" s="10">
        <f>IFERROR(VLOOKUP(A47,'Centre DW13'!$A$7:$N$160,8,FALSE),0)+
IFERROR(VLOOKUP(A47,'Centre WR13'!$A$7:$N$160,8,FALSE),0)+
IFERROR(VLOOKUP(A47,'Centre WP13'!$A$7:$N$160,8,FALSE),0)</f>
        <v>0</v>
      </c>
      <c r="I47" s="10">
        <f>IFERROR(VLOOKUP(A47,'Centre DW13'!$A$7:$N$160,9,FALSE),0)+
IFERROR(VLOOKUP(A47,'Centre WR13'!$A$7:$N$160,9,FALSE),0)+
IFERROR(VLOOKUP(A47,'Centre WP13'!$A$7:$N$160,9,FALSE),0)</f>
        <v>0</v>
      </c>
      <c r="J47" s="28">
        <f>IFERROR(VLOOKUP(A47,'Centre DW13'!$A$7:$N$160,10,FALSE),0)+
IFERROR(VLOOKUP(A47,'Centre WR13'!$A$7:$N$160,10,FALSE),0)+
IFERROR(VLOOKUP(A47,'Centre WP13'!$A$7:$N$160,10,FALSE),0)</f>
        <v>0</v>
      </c>
      <c r="K47" s="28">
        <f>IFERROR(VLOOKUP(A47,'Centre DW13'!$A$7:$N$160,11,FALSE),0)+
IFERROR(VLOOKUP(A47,'Centre WR13'!$A$7:$N$160,11,FALSE),0)+
IFERROR(VLOOKUP(A47,'Centre WP13'!$A$7:$N$160,11,FALSE),0)</f>
        <v>0</v>
      </c>
      <c r="L47" s="28">
        <f>IFERROR(VLOOKUP(A47,'Centre DW13'!$A$7:$N$160,12,FALSE),0)+
IFERROR(VLOOKUP(A47,'Centre WR13'!$A$7:$N$160,12,FALSE),0)+
IFERROR(VLOOKUP(A47,'Centre WP13'!$A$7:$N$160,12,FALSE),0)</f>
        <v>0.1</v>
      </c>
      <c r="M47" s="28">
        <f>IFERROR(VLOOKUP(A47,'Centre DW13'!$A$7:$N$160,13,FALSE),0)+
IFERROR(VLOOKUP(A47,'Centre WR13'!$A$7:$N$160,13,FALSE),0)+
IFERROR(VLOOKUP(A47,'Centre WP13'!$A$7:$N$160,13,FALSE),0)</f>
        <v>0</v>
      </c>
      <c r="N47" s="28">
        <f>IFERROR(VLOOKUP(A47,'Centre DW13'!$A$7:$N$160,14,FALSE),0)+
IFERROR(VLOOKUP(A47,'Centre WR13'!$A$7:$N$160,14,FALSE),0)+
IFERROR(VLOOKUP(A47,'Centre WP13'!$A$7:$N$160,14,FALSE),0)</f>
        <v>0.1</v>
      </c>
    </row>
    <row r="48" spans="1:14" hidden="1" outlineLevel="1" x14ac:dyDescent="0.2">
      <c r="A48" s="9" t="s">
        <v>103</v>
      </c>
      <c r="B48" s="1" t="s">
        <v>104</v>
      </c>
      <c r="C48" s="10">
        <f>IFERROR(VLOOKUP(A48,'Centre DW13'!$A$7:$N$160,3,FALSE),0)+
IFERROR(VLOOKUP(A48,'Centre WR13'!$A$7:$N$160,3,FALSE),0)+
IFERROR(VLOOKUP(A48,'Centre WP13'!$A$7:$N$160,3,FALSE),0)</f>
        <v>0.4</v>
      </c>
      <c r="D48" s="10">
        <f>IFERROR(VLOOKUP(A48,'Centre DW13'!$A$7:$N$160,4,FALSE),0)+
IFERROR(VLOOKUP(A48,'Centre WR13'!$A$7:$N$160,4,FALSE),0)+
IFERROR(VLOOKUP(A48,'Centre WP13'!$A$7:$N$160,4,FALSE),0)</f>
        <v>0.4</v>
      </c>
      <c r="E48" s="10">
        <f>IFERROR(VLOOKUP(A48,'Centre DW13'!$A$7:$N$160,5,FALSE),0)+
IFERROR(VLOOKUP(A48,'Centre WR13'!$A$7:$N$160,5,FALSE),0)+
IFERROR(VLOOKUP(A48,'Centre WP13'!$A$7:$N$160,5,FALSE),0)</f>
        <v>0.4</v>
      </c>
      <c r="F48" s="10">
        <f>IFERROR(VLOOKUP(A48,'Centre DW13'!$A$7:$N$160,6,FALSE),0)+
IFERROR(VLOOKUP(A48,'Centre WR13'!$A$7:$N$160,6,FALSE),0)+
IFERROR(VLOOKUP(A48,'Centre WP13'!$A$7:$N$160,6,FALSE),0)</f>
        <v>0.5</v>
      </c>
      <c r="G48" s="10">
        <f>IFERROR(VLOOKUP(A48,'Centre DW13'!$A$7:$N$160,7,FALSE),0)+
IFERROR(VLOOKUP(A48,'Centre WR13'!$A$7:$N$160,7,FALSE),0)+
IFERROR(VLOOKUP(A48,'Centre WP13'!$A$7:$N$160,7,FALSE),0)</f>
        <v>0.5</v>
      </c>
      <c r="H48" s="10">
        <f>IFERROR(VLOOKUP(A48,'Centre DW13'!$A$7:$N$160,8,FALSE),0)+
IFERROR(VLOOKUP(A48,'Centre WR13'!$A$7:$N$160,8,FALSE),0)+
IFERROR(VLOOKUP(A48,'Centre WP13'!$A$7:$N$160,8,FALSE),0)</f>
        <v>0.4</v>
      </c>
      <c r="I48" s="10">
        <f>IFERROR(VLOOKUP(A48,'Centre DW13'!$A$7:$N$160,9,FALSE),0)+
IFERROR(VLOOKUP(A48,'Centre WR13'!$A$7:$N$160,9,FALSE),0)+
IFERROR(VLOOKUP(A48,'Centre WP13'!$A$7:$N$160,9,FALSE),0)</f>
        <v>0.5</v>
      </c>
      <c r="J48" s="28">
        <f>IFERROR(VLOOKUP(A48,'Centre DW13'!$A$7:$N$160,10,FALSE),0)+
IFERROR(VLOOKUP(A48,'Centre WR13'!$A$7:$N$160,10,FALSE),0)+
IFERROR(VLOOKUP(A48,'Centre WP13'!$A$7:$N$160,10,FALSE),0)</f>
        <v>0.4</v>
      </c>
      <c r="K48" s="28">
        <f>IFERROR(VLOOKUP(A48,'Centre DW13'!$A$7:$N$160,11,FALSE),0)+
IFERROR(VLOOKUP(A48,'Centre WR13'!$A$7:$N$160,11,FALSE),0)+
IFERROR(VLOOKUP(A48,'Centre WP13'!$A$7:$N$160,11,FALSE),0)</f>
        <v>0.5</v>
      </c>
      <c r="L48" s="28">
        <f>IFERROR(VLOOKUP(A48,'Centre DW13'!$A$7:$N$160,12,FALSE),0)+
IFERROR(VLOOKUP(A48,'Centre WR13'!$A$7:$N$160,12,FALSE),0)+
IFERROR(VLOOKUP(A48,'Centre WP13'!$A$7:$N$160,12,FALSE),0)</f>
        <v>0.5</v>
      </c>
      <c r="M48" s="28">
        <f>IFERROR(VLOOKUP(A48,'Centre DW13'!$A$7:$N$160,13,FALSE),0)+
IFERROR(VLOOKUP(A48,'Centre WR13'!$A$7:$N$160,13,FALSE),0)+
IFERROR(VLOOKUP(A48,'Centre WP13'!$A$7:$N$160,13,FALSE),0)</f>
        <v>0.4</v>
      </c>
      <c r="N48" s="28">
        <f>IFERROR(VLOOKUP(A48,'Centre DW13'!$A$7:$N$160,14,FALSE),0)+
IFERROR(VLOOKUP(A48,'Centre WR13'!$A$7:$N$160,14,FALSE),0)+
IFERROR(VLOOKUP(A48,'Centre WP13'!$A$7:$N$160,14,FALSE),0)</f>
        <v>0.4</v>
      </c>
    </row>
    <row r="49" spans="1:14" hidden="1" outlineLevel="1" x14ac:dyDescent="0.2">
      <c r="A49" s="9" t="s">
        <v>305</v>
      </c>
      <c r="B49" s="1" t="s">
        <v>306</v>
      </c>
      <c r="C49" s="10">
        <f>IFERROR(VLOOKUP(A49,'Centre DW13'!$A$7:$N$160,3,FALSE),0)+
IFERROR(VLOOKUP(A49,'Centre WR13'!$A$7:$N$160,3,FALSE),0)+
IFERROR(VLOOKUP(A49,'Centre WP13'!$A$7:$N$160,3,FALSE),0)</f>
        <v>0</v>
      </c>
      <c r="D49" s="10">
        <f>IFERROR(VLOOKUP(A49,'Centre DW13'!$A$7:$N$160,4,FALSE),0)+
IFERROR(VLOOKUP(A49,'Centre WR13'!$A$7:$N$160,4,FALSE),0)+
IFERROR(VLOOKUP(A49,'Centre WP13'!$A$7:$N$160,4,FALSE),0)</f>
        <v>0</v>
      </c>
      <c r="E49" s="10">
        <f>IFERROR(VLOOKUP(A49,'Centre DW13'!$A$7:$N$160,5,FALSE),0)+
IFERROR(VLOOKUP(A49,'Centre WR13'!$A$7:$N$160,5,FALSE),0)+
IFERROR(VLOOKUP(A49,'Centre WP13'!$A$7:$N$160,5,FALSE),0)</f>
        <v>0</v>
      </c>
      <c r="F49" s="10">
        <f>IFERROR(VLOOKUP(A49,'Centre DW13'!$A$7:$N$160,6,FALSE),0)+
IFERROR(VLOOKUP(A49,'Centre WR13'!$A$7:$N$160,6,FALSE),0)+
IFERROR(VLOOKUP(A49,'Centre WP13'!$A$7:$N$160,6,FALSE),0)</f>
        <v>0</v>
      </c>
      <c r="G49" s="10">
        <f>IFERROR(VLOOKUP(A49,'Centre DW13'!$A$7:$N$160,7,FALSE),0)+
IFERROR(VLOOKUP(A49,'Centre WR13'!$A$7:$N$160,7,FALSE),0)+
IFERROR(VLOOKUP(A49,'Centre WP13'!$A$7:$N$160,7,FALSE),0)</f>
        <v>0</v>
      </c>
      <c r="H49" s="10">
        <f>IFERROR(VLOOKUP(A49,'Centre DW13'!$A$7:$N$160,8,FALSE),0)+
IFERROR(VLOOKUP(A49,'Centre WR13'!$A$7:$N$160,8,FALSE),0)+
IFERROR(VLOOKUP(A49,'Centre WP13'!$A$7:$N$160,8,FALSE),0)</f>
        <v>0</v>
      </c>
      <c r="I49" s="10">
        <f>IFERROR(VLOOKUP(A49,'Centre DW13'!$A$7:$N$160,9,FALSE),0)+
IFERROR(VLOOKUP(A49,'Centre WR13'!$A$7:$N$160,9,FALSE),0)+
IFERROR(VLOOKUP(A49,'Centre WP13'!$A$7:$N$160,9,FALSE),0)</f>
        <v>0</v>
      </c>
      <c r="J49" s="28">
        <f>IFERROR(VLOOKUP(A49,'Centre DW13'!$A$7:$N$160,10,FALSE),0)+
IFERROR(VLOOKUP(A49,'Centre WR13'!$A$7:$N$160,10,FALSE),0)+
IFERROR(VLOOKUP(A49,'Centre WP13'!$A$7:$N$160,10,FALSE),0)</f>
        <v>0</v>
      </c>
      <c r="K49" s="28">
        <f>IFERROR(VLOOKUP(A49,'Centre DW13'!$A$7:$N$160,11,FALSE),0)+
IFERROR(VLOOKUP(A49,'Centre WR13'!$A$7:$N$160,11,FALSE),0)+
IFERROR(VLOOKUP(A49,'Centre WP13'!$A$7:$N$160,11,FALSE),0)</f>
        <v>0</v>
      </c>
      <c r="L49" s="28">
        <f>IFERROR(VLOOKUP(A49,'Centre DW13'!$A$7:$N$160,12,FALSE),0)+
IFERROR(VLOOKUP(A49,'Centre WR13'!$A$7:$N$160,12,FALSE),0)+
IFERROR(VLOOKUP(A49,'Centre WP13'!$A$7:$N$160,12,FALSE),0)</f>
        <v>0</v>
      </c>
      <c r="M49" s="28">
        <f>IFERROR(VLOOKUP(A49,'Centre DW13'!$A$7:$N$160,13,FALSE),0)+
IFERROR(VLOOKUP(A49,'Centre WR13'!$A$7:$N$160,13,FALSE),0)+
IFERROR(VLOOKUP(A49,'Centre WP13'!$A$7:$N$160,13,FALSE),0)</f>
        <v>0</v>
      </c>
      <c r="N49" s="28">
        <f>IFERROR(VLOOKUP(A49,'Centre DW13'!$A$7:$N$160,14,FALSE),0)+
IFERROR(VLOOKUP(A49,'Centre WR13'!$A$7:$N$160,14,FALSE),0)+
IFERROR(VLOOKUP(A49,'Centre WP13'!$A$7:$N$160,14,FALSE),0)</f>
        <v>0</v>
      </c>
    </row>
    <row r="50" spans="1:14" hidden="1" outlineLevel="1" x14ac:dyDescent="0.2">
      <c r="A50" s="9" t="s">
        <v>105</v>
      </c>
      <c r="B50" s="1" t="s">
        <v>106</v>
      </c>
      <c r="C50" s="10">
        <f>IFERROR(VLOOKUP(A50,'Centre DW13'!$A$7:$N$160,3,FALSE),0)+
IFERROR(VLOOKUP(A50,'Centre WR13'!$A$7:$N$160,3,FALSE),0)+
IFERROR(VLOOKUP(A50,'Centre WP13'!$A$7:$N$160,3,FALSE),0)</f>
        <v>3.9</v>
      </c>
      <c r="D50" s="10">
        <f>IFERROR(VLOOKUP(A50,'Centre DW13'!$A$7:$N$160,4,FALSE),0)+
IFERROR(VLOOKUP(A50,'Centre WR13'!$A$7:$N$160,4,FALSE),0)+
IFERROR(VLOOKUP(A50,'Centre WP13'!$A$7:$N$160,4,FALSE),0)</f>
        <v>11.6</v>
      </c>
      <c r="E50" s="10">
        <f>IFERROR(VLOOKUP(A50,'Centre DW13'!$A$7:$N$160,5,FALSE),0)+
IFERROR(VLOOKUP(A50,'Centre WR13'!$A$7:$N$160,5,FALSE),0)+
IFERROR(VLOOKUP(A50,'Centre WP13'!$A$7:$N$160,5,FALSE),0)</f>
        <v>7.9</v>
      </c>
      <c r="F50" s="10">
        <f>IFERROR(VLOOKUP(A50,'Centre DW13'!$A$7:$N$160,6,FALSE),0)+
IFERROR(VLOOKUP(A50,'Centre WR13'!$A$7:$N$160,6,FALSE),0)+
IFERROR(VLOOKUP(A50,'Centre WP13'!$A$7:$N$160,6,FALSE),0)</f>
        <v>9.6</v>
      </c>
      <c r="G50" s="10">
        <f>IFERROR(VLOOKUP(A50,'Centre DW13'!$A$7:$N$160,7,FALSE),0)+
IFERROR(VLOOKUP(A50,'Centre WR13'!$A$7:$N$160,7,FALSE),0)+
IFERROR(VLOOKUP(A50,'Centre WP13'!$A$7:$N$160,7,FALSE),0)</f>
        <v>5.7</v>
      </c>
      <c r="H50" s="10">
        <f>IFERROR(VLOOKUP(A50,'Centre DW13'!$A$7:$N$160,8,FALSE),0)+
IFERROR(VLOOKUP(A50,'Centre WR13'!$A$7:$N$160,8,FALSE),0)+
IFERROR(VLOOKUP(A50,'Centre WP13'!$A$7:$N$160,8,FALSE),0)</f>
        <v>6.5</v>
      </c>
      <c r="I50" s="10">
        <f>IFERROR(VLOOKUP(A50,'Centre DW13'!$A$7:$N$160,9,FALSE),0)+
IFERROR(VLOOKUP(A50,'Centre WR13'!$A$7:$N$160,9,FALSE),0)+
IFERROR(VLOOKUP(A50,'Centre WP13'!$A$7:$N$160,9,FALSE),0)</f>
        <v>8.3000000000000007</v>
      </c>
      <c r="J50" s="28">
        <f>IFERROR(VLOOKUP(A50,'Centre DW13'!$A$7:$N$160,10,FALSE),0)+
IFERROR(VLOOKUP(A50,'Centre WR13'!$A$7:$N$160,10,FALSE),0)+
IFERROR(VLOOKUP(A50,'Centre WP13'!$A$7:$N$160,10,FALSE),0)</f>
        <v>7.9</v>
      </c>
      <c r="K50" s="28">
        <f>IFERROR(VLOOKUP(A50,'Centre DW13'!$A$7:$N$160,11,FALSE),0)+
IFERROR(VLOOKUP(A50,'Centre WR13'!$A$7:$N$160,11,FALSE),0)+
IFERROR(VLOOKUP(A50,'Centre WP13'!$A$7:$N$160,11,FALSE),0)</f>
        <v>9.6</v>
      </c>
      <c r="L50" s="28">
        <f>IFERROR(VLOOKUP(A50,'Centre DW13'!$A$7:$N$160,12,FALSE),0)+
IFERROR(VLOOKUP(A50,'Centre WR13'!$A$7:$N$160,12,FALSE),0)+
IFERROR(VLOOKUP(A50,'Centre WP13'!$A$7:$N$160,12,FALSE),0)</f>
        <v>5.7</v>
      </c>
      <c r="M50" s="28">
        <f>IFERROR(VLOOKUP(A50,'Centre DW13'!$A$7:$N$160,13,FALSE),0)+
IFERROR(VLOOKUP(A50,'Centre WR13'!$A$7:$N$160,13,FALSE),0)+
IFERROR(VLOOKUP(A50,'Centre WP13'!$A$7:$N$160,13,FALSE),0)</f>
        <v>6.5</v>
      </c>
      <c r="N50" s="28">
        <f>IFERROR(VLOOKUP(A50,'Centre DW13'!$A$7:$N$160,14,FALSE),0)+
IFERROR(VLOOKUP(A50,'Centre WR13'!$A$7:$N$160,14,FALSE),0)+
IFERROR(VLOOKUP(A50,'Centre WP13'!$A$7:$N$160,14,FALSE),0)</f>
        <v>11.6</v>
      </c>
    </row>
    <row r="51" spans="1:14" hidden="1" outlineLevel="1" x14ac:dyDescent="0.2">
      <c r="A51" s="9" t="s">
        <v>107</v>
      </c>
      <c r="B51" s="1" t="s">
        <v>108</v>
      </c>
      <c r="C51" s="10">
        <f>IFERROR(VLOOKUP(A51,'Centre DW13'!$A$7:$N$160,3,FALSE),0)+
IFERROR(VLOOKUP(A51,'Centre WR13'!$A$7:$N$160,3,FALSE),0)+
IFERROR(VLOOKUP(A51,'Centre WP13'!$A$7:$N$160,3,FALSE),0)</f>
        <v>0.1</v>
      </c>
      <c r="D51" s="10">
        <f>IFERROR(VLOOKUP(A51,'Centre DW13'!$A$7:$N$160,4,FALSE),0)+
IFERROR(VLOOKUP(A51,'Centre WR13'!$A$7:$N$160,4,FALSE),0)+
IFERROR(VLOOKUP(A51,'Centre WP13'!$A$7:$N$160,4,FALSE),0)</f>
        <v>0</v>
      </c>
      <c r="E51" s="10">
        <f>IFERROR(VLOOKUP(A51,'Centre DW13'!$A$7:$N$160,5,FALSE),0)+
IFERROR(VLOOKUP(A51,'Centre WR13'!$A$7:$N$160,5,FALSE),0)+
IFERROR(VLOOKUP(A51,'Centre WP13'!$A$7:$N$160,5,FALSE),0)</f>
        <v>0</v>
      </c>
      <c r="F51" s="10">
        <f>IFERROR(VLOOKUP(A51,'Centre DW13'!$A$7:$N$160,6,FALSE),0)+
IFERROR(VLOOKUP(A51,'Centre WR13'!$A$7:$N$160,6,FALSE),0)+
IFERROR(VLOOKUP(A51,'Centre WP13'!$A$7:$N$160,6,FALSE),0)</f>
        <v>0</v>
      </c>
      <c r="G51" s="10">
        <f>IFERROR(VLOOKUP(A51,'Centre DW13'!$A$7:$N$160,7,FALSE),0)+
IFERROR(VLOOKUP(A51,'Centre WR13'!$A$7:$N$160,7,FALSE),0)+
IFERROR(VLOOKUP(A51,'Centre WP13'!$A$7:$N$160,7,FALSE),0)</f>
        <v>0</v>
      </c>
      <c r="H51" s="10">
        <f>IFERROR(VLOOKUP(A51,'Centre DW13'!$A$7:$N$160,8,FALSE),0)+
IFERROR(VLOOKUP(A51,'Centre WR13'!$A$7:$N$160,8,FALSE),0)+
IFERROR(VLOOKUP(A51,'Centre WP13'!$A$7:$N$160,8,FALSE),0)</f>
        <v>0.1</v>
      </c>
      <c r="I51" s="10">
        <f>IFERROR(VLOOKUP(A51,'Centre DW13'!$A$7:$N$160,9,FALSE),0)+
IFERROR(VLOOKUP(A51,'Centre WR13'!$A$7:$N$160,9,FALSE),0)+
IFERROR(VLOOKUP(A51,'Centre WP13'!$A$7:$N$160,9,FALSE),0)</f>
        <v>0.2</v>
      </c>
      <c r="J51" s="28">
        <f>IFERROR(VLOOKUP(A51,'Centre DW13'!$A$7:$N$160,10,FALSE),0)+
IFERROR(VLOOKUP(A51,'Centre WR13'!$A$7:$N$160,10,FALSE),0)+
IFERROR(VLOOKUP(A51,'Centre WP13'!$A$7:$N$160,10,FALSE),0)</f>
        <v>0</v>
      </c>
      <c r="K51" s="28">
        <f>IFERROR(VLOOKUP(A51,'Centre DW13'!$A$7:$N$160,11,FALSE),0)+
IFERROR(VLOOKUP(A51,'Centre WR13'!$A$7:$N$160,11,FALSE),0)+
IFERROR(VLOOKUP(A51,'Centre WP13'!$A$7:$N$160,11,FALSE),0)</f>
        <v>0</v>
      </c>
      <c r="L51" s="28">
        <f>IFERROR(VLOOKUP(A51,'Centre DW13'!$A$7:$N$160,12,FALSE),0)+
IFERROR(VLOOKUP(A51,'Centre WR13'!$A$7:$N$160,12,FALSE),0)+
IFERROR(VLOOKUP(A51,'Centre WP13'!$A$7:$N$160,12,FALSE),0)</f>
        <v>0</v>
      </c>
      <c r="M51" s="28">
        <f>IFERROR(VLOOKUP(A51,'Centre DW13'!$A$7:$N$160,13,FALSE),0)+
IFERROR(VLOOKUP(A51,'Centre WR13'!$A$7:$N$160,13,FALSE),0)+
IFERROR(VLOOKUP(A51,'Centre WP13'!$A$7:$N$160,13,FALSE),0)</f>
        <v>0.1</v>
      </c>
      <c r="N51" s="28">
        <f>IFERROR(VLOOKUP(A51,'Centre DW13'!$A$7:$N$160,14,FALSE),0)+
IFERROR(VLOOKUP(A51,'Centre WR13'!$A$7:$N$160,14,FALSE),0)+
IFERROR(VLOOKUP(A51,'Centre WP13'!$A$7:$N$160,14,FALSE),0)</f>
        <v>0</v>
      </c>
    </row>
    <row r="52" spans="1:14" hidden="1" outlineLevel="1" x14ac:dyDescent="0.2">
      <c r="A52" s="9" t="s">
        <v>109</v>
      </c>
      <c r="B52" s="1" t="s">
        <v>110</v>
      </c>
      <c r="C52" s="10">
        <f>IFERROR(VLOOKUP(A52,'Centre DW13'!$A$7:$N$160,3,FALSE),0)+
IFERROR(VLOOKUP(A52,'Centre WR13'!$A$7:$N$160,3,FALSE),0)+
IFERROR(VLOOKUP(A52,'Centre WP13'!$A$7:$N$160,3,FALSE),0)</f>
        <v>0</v>
      </c>
      <c r="D52" s="10">
        <f>IFERROR(VLOOKUP(A52,'Centre DW13'!$A$7:$N$160,4,FALSE),0)+
IFERROR(VLOOKUP(A52,'Centre WR13'!$A$7:$N$160,4,FALSE),0)+
IFERROR(VLOOKUP(A52,'Centre WP13'!$A$7:$N$160,4,FALSE),0)</f>
        <v>0</v>
      </c>
      <c r="E52" s="10">
        <f>IFERROR(VLOOKUP(A52,'Centre DW13'!$A$7:$N$160,5,FALSE),0)+
IFERROR(VLOOKUP(A52,'Centre WR13'!$A$7:$N$160,5,FALSE),0)+
IFERROR(VLOOKUP(A52,'Centre WP13'!$A$7:$N$160,5,FALSE),0)</f>
        <v>0</v>
      </c>
      <c r="F52" s="10">
        <f>IFERROR(VLOOKUP(A52,'Centre DW13'!$A$7:$N$160,6,FALSE),0)+
IFERROR(VLOOKUP(A52,'Centre WR13'!$A$7:$N$160,6,FALSE),0)+
IFERROR(VLOOKUP(A52,'Centre WP13'!$A$7:$N$160,6,FALSE),0)</f>
        <v>0</v>
      </c>
      <c r="G52" s="10">
        <f>IFERROR(VLOOKUP(A52,'Centre DW13'!$A$7:$N$160,7,FALSE),0)+
IFERROR(VLOOKUP(A52,'Centre WR13'!$A$7:$N$160,7,FALSE),0)+
IFERROR(VLOOKUP(A52,'Centre WP13'!$A$7:$N$160,7,FALSE),0)</f>
        <v>0.2</v>
      </c>
      <c r="H52" s="10">
        <f>IFERROR(VLOOKUP(A52,'Centre DW13'!$A$7:$N$160,8,FALSE),0)+
IFERROR(VLOOKUP(A52,'Centre WR13'!$A$7:$N$160,8,FALSE),0)+
IFERROR(VLOOKUP(A52,'Centre WP13'!$A$7:$N$160,8,FALSE),0)</f>
        <v>0</v>
      </c>
      <c r="I52" s="10">
        <f>IFERROR(VLOOKUP(A52,'Centre DW13'!$A$7:$N$160,9,FALSE),0)+
IFERROR(VLOOKUP(A52,'Centre WR13'!$A$7:$N$160,9,FALSE),0)+
IFERROR(VLOOKUP(A52,'Centre WP13'!$A$7:$N$160,9,FALSE),0)</f>
        <v>0.7</v>
      </c>
      <c r="J52" s="28">
        <f>IFERROR(VLOOKUP(A52,'Centre DW13'!$A$7:$N$160,10,FALSE),0)+
IFERROR(VLOOKUP(A52,'Centre WR13'!$A$7:$N$160,10,FALSE),0)+
IFERROR(VLOOKUP(A52,'Centre WP13'!$A$7:$N$160,10,FALSE),0)</f>
        <v>0</v>
      </c>
      <c r="K52" s="28">
        <f>IFERROR(VLOOKUP(A52,'Centre DW13'!$A$7:$N$160,11,FALSE),0)+
IFERROR(VLOOKUP(A52,'Centre WR13'!$A$7:$N$160,11,FALSE),0)+
IFERROR(VLOOKUP(A52,'Centre WP13'!$A$7:$N$160,11,FALSE),0)</f>
        <v>0</v>
      </c>
      <c r="L52" s="28">
        <f>IFERROR(VLOOKUP(A52,'Centre DW13'!$A$7:$N$160,12,FALSE),0)+
IFERROR(VLOOKUP(A52,'Centre WR13'!$A$7:$N$160,12,FALSE),0)+
IFERROR(VLOOKUP(A52,'Centre WP13'!$A$7:$N$160,12,FALSE),0)</f>
        <v>0.2</v>
      </c>
      <c r="M52" s="28">
        <f>IFERROR(VLOOKUP(A52,'Centre DW13'!$A$7:$N$160,13,FALSE),0)+
IFERROR(VLOOKUP(A52,'Centre WR13'!$A$7:$N$160,13,FALSE),0)+
IFERROR(VLOOKUP(A52,'Centre WP13'!$A$7:$N$160,13,FALSE),0)</f>
        <v>0</v>
      </c>
      <c r="N52" s="28">
        <f>IFERROR(VLOOKUP(A52,'Centre DW13'!$A$7:$N$160,14,FALSE),0)+
IFERROR(VLOOKUP(A52,'Centre WR13'!$A$7:$N$160,14,FALSE),0)+
IFERROR(VLOOKUP(A52,'Centre WP13'!$A$7:$N$160,14,FALSE),0)</f>
        <v>0</v>
      </c>
    </row>
    <row r="53" spans="1:14" hidden="1" outlineLevel="1" x14ac:dyDescent="0.2">
      <c r="A53" s="9" t="s">
        <v>307</v>
      </c>
      <c r="B53" s="1" t="s">
        <v>308</v>
      </c>
      <c r="C53" s="10">
        <f>IFERROR(VLOOKUP(A53,'Centre DW13'!$A$7:$N$160,3,FALSE),0)+
IFERROR(VLOOKUP(A53,'Centre WR13'!$A$7:$N$160,3,FALSE),0)+
IFERROR(VLOOKUP(A53,'Centre WP13'!$A$7:$N$160,3,FALSE),0)</f>
        <v>-0.2</v>
      </c>
      <c r="D53" s="10">
        <f>IFERROR(VLOOKUP(A53,'Centre DW13'!$A$7:$N$160,4,FALSE),0)+
IFERROR(VLOOKUP(A53,'Centre WR13'!$A$7:$N$160,4,FALSE),0)+
IFERROR(VLOOKUP(A53,'Centre WP13'!$A$7:$N$160,4,FALSE),0)</f>
        <v>0</v>
      </c>
      <c r="E53" s="10">
        <f>IFERROR(VLOOKUP(A53,'Centre DW13'!$A$7:$N$160,5,FALSE),0)+
IFERROR(VLOOKUP(A53,'Centre WR13'!$A$7:$N$160,5,FALSE),0)+
IFERROR(VLOOKUP(A53,'Centre WP13'!$A$7:$N$160,5,FALSE),0)</f>
        <v>-0.3</v>
      </c>
      <c r="F53" s="10">
        <f>IFERROR(VLOOKUP(A53,'Centre DW13'!$A$7:$N$160,6,FALSE),0)+
IFERROR(VLOOKUP(A53,'Centre WR13'!$A$7:$N$160,6,FALSE),0)+
IFERROR(VLOOKUP(A53,'Centre WP13'!$A$7:$N$160,6,FALSE),0)</f>
        <v>-0.7</v>
      </c>
      <c r="G53" s="10">
        <f>IFERROR(VLOOKUP(A53,'Centre DW13'!$A$7:$N$160,7,FALSE),0)+
IFERROR(VLOOKUP(A53,'Centre WR13'!$A$7:$N$160,7,FALSE),0)+
IFERROR(VLOOKUP(A53,'Centre WP13'!$A$7:$N$160,7,FALSE),0)</f>
        <v>0.3</v>
      </c>
      <c r="H53" s="10">
        <f>IFERROR(VLOOKUP(A53,'Centre DW13'!$A$7:$N$160,8,FALSE),0)+
IFERROR(VLOOKUP(A53,'Centre WR13'!$A$7:$N$160,8,FALSE),0)+
IFERROR(VLOOKUP(A53,'Centre WP13'!$A$7:$N$160,8,FALSE),0)</f>
        <v>0</v>
      </c>
      <c r="I53" s="10">
        <f>IFERROR(VLOOKUP(A53,'Centre DW13'!$A$7:$N$160,9,FALSE),0)+
IFERROR(VLOOKUP(A53,'Centre WR13'!$A$7:$N$160,9,FALSE),0)+
IFERROR(VLOOKUP(A53,'Centre WP13'!$A$7:$N$160,9,FALSE),0)</f>
        <v>0</v>
      </c>
      <c r="J53" s="28">
        <f>IFERROR(VLOOKUP(A53,'Centre DW13'!$A$7:$N$160,10,FALSE),0)+
IFERROR(VLOOKUP(A53,'Centre WR13'!$A$7:$N$160,10,FALSE),0)+
IFERROR(VLOOKUP(A53,'Centre WP13'!$A$7:$N$160,10,FALSE),0)</f>
        <v>-0.3</v>
      </c>
      <c r="K53" s="28">
        <f>IFERROR(VLOOKUP(A53,'Centre DW13'!$A$7:$N$160,11,FALSE),0)+
IFERROR(VLOOKUP(A53,'Centre WR13'!$A$7:$N$160,11,FALSE),0)+
IFERROR(VLOOKUP(A53,'Centre WP13'!$A$7:$N$160,11,FALSE),0)</f>
        <v>-0.7</v>
      </c>
      <c r="L53" s="28">
        <f>IFERROR(VLOOKUP(A53,'Centre DW13'!$A$7:$N$160,12,FALSE),0)+
IFERROR(VLOOKUP(A53,'Centre WR13'!$A$7:$N$160,12,FALSE),0)+
IFERROR(VLOOKUP(A53,'Centre WP13'!$A$7:$N$160,12,FALSE),0)</f>
        <v>0.3</v>
      </c>
      <c r="M53" s="28">
        <f>IFERROR(VLOOKUP(A53,'Centre DW13'!$A$7:$N$160,13,FALSE),0)+
IFERROR(VLOOKUP(A53,'Centre WR13'!$A$7:$N$160,13,FALSE),0)+
IFERROR(VLOOKUP(A53,'Centre WP13'!$A$7:$N$160,13,FALSE),0)</f>
        <v>0</v>
      </c>
      <c r="N53" s="28">
        <f>IFERROR(VLOOKUP(A53,'Centre DW13'!$A$7:$N$160,14,FALSE),0)+
IFERROR(VLOOKUP(A53,'Centre WR13'!$A$7:$N$160,14,FALSE),0)+
IFERROR(VLOOKUP(A53,'Centre WP13'!$A$7:$N$160,14,FALSE),0)</f>
        <v>0</v>
      </c>
    </row>
    <row r="54" spans="1:14" collapsed="1" x14ac:dyDescent="0.2">
      <c r="A54" s="33" t="s">
        <v>111</v>
      </c>
      <c r="B54" s="34" t="s">
        <v>112</v>
      </c>
      <c r="C54" s="44">
        <f t="shared" ref="C54:N54" si="11">SUM(C55:C58)</f>
        <v>0.5</v>
      </c>
      <c r="D54" s="44">
        <f t="shared" si="11"/>
        <v>0</v>
      </c>
      <c r="E54" s="44">
        <f t="shared" si="11"/>
        <v>0</v>
      </c>
      <c r="F54" s="44">
        <f t="shared" si="11"/>
        <v>0</v>
      </c>
      <c r="G54" s="44">
        <f t="shared" si="11"/>
        <v>0</v>
      </c>
      <c r="H54" s="44">
        <f t="shared" si="11"/>
        <v>0</v>
      </c>
      <c r="I54" s="44">
        <f>SUM(I55:I58)</f>
        <v>0.3</v>
      </c>
      <c r="J54" s="44">
        <f t="shared" si="11"/>
        <v>0</v>
      </c>
      <c r="K54" s="44">
        <f t="shared" si="11"/>
        <v>0</v>
      </c>
      <c r="L54" s="44">
        <f t="shared" si="11"/>
        <v>0</v>
      </c>
      <c r="M54" s="44">
        <f t="shared" si="11"/>
        <v>0.3</v>
      </c>
      <c r="N54" s="44">
        <f t="shared" si="11"/>
        <v>0.3</v>
      </c>
    </row>
    <row r="55" spans="1:14" hidden="1" outlineLevel="1" x14ac:dyDescent="0.2">
      <c r="A55" s="9" t="s">
        <v>113</v>
      </c>
      <c r="B55" s="1" t="s">
        <v>114</v>
      </c>
      <c r="C55" s="10">
        <f>IFERROR(VLOOKUP(A55,'Centre DW13'!$A$7:$N$160,3,FALSE),0)+
IFERROR(VLOOKUP(A55,'Centre WR13'!$A$7:$N$160,3,FALSE),0)+
IFERROR(VLOOKUP(A55,'Centre WP13'!$A$7:$N$160,3,FALSE),0)</f>
        <v>0.5</v>
      </c>
      <c r="D55" s="10">
        <f>IFERROR(VLOOKUP(A55,'Centre DW13'!$A$7:$N$160,4,FALSE),0)+
IFERROR(VLOOKUP(A55,'Centre WR13'!$A$7:$N$160,4,FALSE),0)+
IFERROR(VLOOKUP(A55,'Centre WP13'!$A$7:$N$160,4,FALSE),0)</f>
        <v>0</v>
      </c>
      <c r="E55" s="10">
        <f>IFERROR(VLOOKUP(A55,'Centre DW13'!$A$7:$N$160,5,FALSE),0)+
IFERROR(VLOOKUP(A55,'Centre WR13'!$A$7:$N$160,5,FALSE),0)+
IFERROR(VLOOKUP(A55,'Centre WP13'!$A$7:$N$160,5,FALSE),0)</f>
        <v>0</v>
      </c>
      <c r="F55" s="10">
        <f>IFERROR(VLOOKUP(A55,'Centre DW13'!$A$7:$N$160,6,FALSE),0)+
IFERROR(VLOOKUP(A55,'Centre WR13'!$A$7:$N$160,6,FALSE),0)+
IFERROR(VLOOKUP(A55,'Centre WP13'!$A$7:$N$160,6,FALSE),0)</f>
        <v>0</v>
      </c>
      <c r="G55" s="10">
        <f>IFERROR(VLOOKUP(A55,'Centre DW13'!$A$7:$N$160,7,FALSE),0)+
IFERROR(VLOOKUP(A55,'Centre WR13'!$A$7:$N$160,7,FALSE),0)+
IFERROR(VLOOKUP(A55,'Centre WP13'!$A$7:$N$160,7,FALSE),0)</f>
        <v>0</v>
      </c>
      <c r="H55" s="10">
        <f>IFERROR(VLOOKUP(A55,'Centre DW13'!$A$7:$N$160,8,FALSE),0)+
IFERROR(VLOOKUP(A55,'Centre WR13'!$A$7:$N$160,8,FALSE),0)+
IFERROR(VLOOKUP(A55,'Centre WP13'!$A$7:$N$160,8,FALSE),0)</f>
        <v>0</v>
      </c>
      <c r="I55" s="10">
        <f>IFERROR(VLOOKUP(A55,'Centre DW13'!$A$7:$N$160,9,FALSE),0)+
IFERROR(VLOOKUP(A55,'Centre WR13'!$A$7:$N$160,9,FALSE),0)+
IFERROR(VLOOKUP(A55,'Centre WP13'!$A$7:$N$160,9,FALSE),0)</f>
        <v>0</v>
      </c>
      <c r="J55" s="28">
        <f>IFERROR(VLOOKUP(A55,'Centre DW13'!$A$7:$N$160,10,FALSE),0)+
IFERROR(VLOOKUP(A55,'Centre WR13'!$A$7:$N$160,10,FALSE),0)+
IFERROR(VLOOKUP(A55,'Centre WP13'!$A$7:$N$160,10,FALSE),0)</f>
        <v>0</v>
      </c>
      <c r="K55" s="28">
        <f>IFERROR(VLOOKUP(A55,'Centre DW13'!$A$7:$N$160,11,FALSE),0)+
IFERROR(VLOOKUP(A55,'Centre WR13'!$A$7:$N$160,11,FALSE),0)+
IFERROR(VLOOKUP(A55,'Centre WP13'!$A$7:$N$160,11,FALSE),0)</f>
        <v>0</v>
      </c>
      <c r="L55" s="28">
        <f>IFERROR(VLOOKUP(A55,'Centre DW13'!$A$7:$N$160,12,FALSE),0)+
IFERROR(VLOOKUP(A55,'Centre WR13'!$A$7:$N$160,12,FALSE),0)+
IFERROR(VLOOKUP(A55,'Centre WP13'!$A$7:$N$160,12,FALSE),0)</f>
        <v>0</v>
      </c>
      <c r="M55" s="28">
        <f>IFERROR(VLOOKUP(A55,'Centre DW13'!$A$7:$N$160,13,FALSE),0)+
IFERROR(VLOOKUP(A55,'Centre WR13'!$A$7:$N$160,13,FALSE),0)+
IFERROR(VLOOKUP(A55,'Centre WP13'!$A$7:$N$160,13,FALSE),0)</f>
        <v>0</v>
      </c>
      <c r="N55" s="28">
        <f>IFERROR(VLOOKUP(A55,'Centre DW13'!$A$7:$N$160,14,FALSE),0)+
IFERROR(VLOOKUP(A55,'Centre WR13'!$A$7:$N$160,14,FALSE),0)+
IFERROR(VLOOKUP(A55,'Centre WP13'!$A$7:$N$160,14,FALSE),0)</f>
        <v>0</v>
      </c>
    </row>
    <row r="56" spans="1:14" hidden="1" outlineLevel="1" x14ac:dyDescent="0.2">
      <c r="A56" s="9" t="s">
        <v>388</v>
      </c>
      <c r="B56" s="1" t="s">
        <v>389</v>
      </c>
      <c r="C56" s="10">
        <f>IFERROR(VLOOKUP(A56,'Centre DW13'!$A$7:$N$160,3,FALSE),0)+
IFERROR(VLOOKUP(A56,'Centre WR13'!$A$7:$N$160,3,FALSE),0)+
IFERROR(VLOOKUP(A56,'Centre WP13'!$A$7:$N$160,3,FALSE),0)</f>
        <v>0</v>
      </c>
      <c r="D56" s="10">
        <f>IFERROR(VLOOKUP(A56,'Centre DW13'!$A$7:$N$160,4,FALSE),0)+
IFERROR(VLOOKUP(A56,'Centre WR13'!$A$7:$N$160,4,FALSE),0)+
IFERROR(VLOOKUP(A56,'Centre WP13'!$A$7:$N$160,4,FALSE),0)</f>
        <v>0</v>
      </c>
      <c r="E56" s="10">
        <f>IFERROR(VLOOKUP(A56,'Centre DW13'!$A$7:$N$160,5,FALSE),0)+
IFERROR(VLOOKUP(A56,'Centre WR13'!$A$7:$N$160,5,FALSE),0)+
IFERROR(VLOOKUP(A56,'Centre WP13'!$A$7:$N$160,5,FALSE),0)</f>
        <v>0</v>
      </c>
      <c r="F56" s="10">
        <f>IFERROR(VLOOKUP(A56,'Centre DW13'!$A$7:$N$160,6,FALSE),0)+
IFERROR(VLOOKUP(A56,'Centre WR13'!$A$7:$N$160,6,FALSE),0)+
IFERROR(VLOOKUP(A56,'Centre WP13'!$A$7:$N$160,6,FALSE),0)</f>
        <v>0</v>
      </c>
      <c r="G56" s="10">
        <f>IFERROR(VLOOKUP(A56,'Centre DW13'!$A$7:$N$160,7,FALSE),0)+
IFERROR(VLOOKUP(A56,'Centre WR13'!$A$7:$N$160,7,FALSE),0)+
IFERROR(VLOOKUP(A56,'Centre WP13'!$A$7:$N$160,7,FALSE),0)</f>
        <v>0</v>
      </c>
      <c r="H56" s="10">
        <f>IFERROR(VLOOKUP(A56,'Centre DW13'!$A$7:$N$160,8,FALSE),0)+
IFERROR(VLOOKUP(A56,'Centre WR13'!$A$7:$N$160,8,FALSE),0)+
IFERROR(VLOOKUP(A56,'Centre WP13'!$A$7:$N$160,8,FALSE),0)</f>
        <v>0</v>
      </c>
      <c r="I56" s="10">
        <f>IFERROR(VLOOKUP(A56,'Centre DW13'!$A$7:$N$160,9,FALSE),0)+
IFERROR(VLOOKUP(A56,'Centre WR13'!$A$7:$N$160,9,FALSE),0)+
IFERROR(VLOOKUP(A56,'Centre WP13'!$A$7:$N$160,9,FALSE),0)</f>
        <v>0</v>
      </c>
      <c r="J56" s="28">
        <f>IFERROR(VLOOKUP(A56,'Centre DW13'!$A$7:$N$160,10,FALSE),0)+
IFERROR(VLOOKUP(A56,'Centre WR13'!$A$7:$N$160,10,FALSE),0)+
IFERROR(VLOOKUP(A56,'Centre WP13'!$A$7:$N$160,10,FALSE),0)</f>
        <v>0</v>
      </c>
      <c r="K56" s="28">
        <f>IFERROR(VLOOKUP(A56,'Centre DW13'!$A$7:$N$160,11,FALSE),0)+
IFERROR(VLOOKUP(A56,'Centre WR13'!$A$7:$N$160,11,FALSE),0)+
IFERROR(VLOOKUP(A56,'Centre WP13'!$A$7:$N$160,11,FALSE),0)</f>
        <v>0</v>
      </c>
      <c r="L56" s="28">
        <f>IFERROR(VLOOKUP(A56,'Centre DW13'!$A$7:$N$160,12,FALSE),0)+
IFERROR(VLOOKUP(A56,'Centre WR13'!$A$7:$N$160,12,FALSE),0)+
IFERROR(VLOOKUP(A56,'Centre WP13'!$A$7:$N$160,12,FALSE),0)</f>
        <v>0</v>
      </c>
      <c r="M56" s="28">
        <f>IFERROR(VLOOKUP(A56,'Centre DW13'!$A$7:$N$160,13,FALSE),0)+
IFERROR(VLOOKUP(A56,'Centre WR13'!$A$7:$N$160,13,FALSE),0)+
IFERROR(VLOOKUP(A56,'Centre WP13'!$A$7:$N$160,13,FALSE),0)</f>
        <v>0</v>
      </c>
      <c r="N56" s="28">
        <f>IFERROR(VLOOKUP(A56,'Centre DW13'!$A$7:$N$160,14,FALSE),0)+
IFERROR(VLOOKUP(A56,'Centre WR13'!$A$7:$N$160,14,FALSE),0)+
IFERROR(VLOOKUP(A56,'Centre WP13'!$A$7:$N$160,14,FALSE),0)</f>
        <v>0</v>
      </c>
    </row>
    <row r="57" spans="1:14" hidden="1" outlineLevel="1" x14ac:dyDescent="0.2">
      <c r="A57" s="9" t="s">
        <v>311</v>
      </c>
      <c r="B57" s="1" t="s">
        <v>312</v>
      </c>
      <c r="C57" s="10">
        <f>IFERROR(VLOOKUP(A57,'Centre DW13'!$A$7:$N$160,3,FALSE),0)+
IFERROR(VLOOKUP(A57,'Centre WR13'!$A$7:$N$160,3,FALSE),0)+
IFERROR(VLOOKUP(A57,'Centre WP13'!$A$7:$N$160,3,FALSE),0)</f>
        <v>0</v>
      </c>
      <c r="D57" s="10">
        <f>IFERROR(VLOOKUP(A57,'Centre DW13'!$A$7:$N$160,4,FALSE),0)+
IFERROR(VLOOKUP(A57,'Centre WR13'!$A$7:$N$160,4,FALSE),0)+
IFERROR(VLOOKUP(A57,'Centre WP13'!$A$7:$N$160,4,FALSE),0)</f>
        <v>0</v>
      </c>
      <c r="E57" s="10">
        <f>IFERROR(VLOOKUP(A57,'Centre DW13'!$A$7:$N$160,5,FALSE),0)+
IFERROR(VLOOKUP(A57,'Centre WR13'!$A$7:$N$160,5,FALSE),0)+
IFERROR(VLOOKUP(A57,'Centre WP13'!$A$7:$N$160,5,FALSE),0)</f>
        <v>0</v>
      </c>
      <c r="F57" s="10">
        <f>IFERROR(VLOOKUP(A57,'Centre DW13'!$A$7:$N$160,6,FALSE),0)+
IFERROR(VLOOKUP(A57,'Centre WR13'!$A$7:$N$160,6,FALSE),0)+
IFERROR(VLOOKUP(A57,'Centre WP13'!$A$7:$N$160,6,FALSE),0)</f>
        <v>0</v>
      </c>
      <c r="G57" s="10">
        <f>IFERROR(VLOOKUP(A57,'Centre DW13'!$A$7:$N$160,7,FALSE),0)+
IFERROR(VLOOKUP(A57,'Centre WR13'!$A$7:$N$160,7,FALSE),0)+
IFERROR(VLOOKUP(A57,'Centre WP13'!$A$7:$N$160,7,FALSE),0)</f>
        <v>0</v>
      </c>
      <c r="H57" s="10">
        <f>IFERROR(VLOOKUP(A57,'Centre DW13'!$A$7:$N$160,8,FALSE),0)+
IFERROR(VLOOKUP(A57,'Centre WR13'!$A$7:$N$160,8,FALSE),0)+
IFERROR(VLOOKUP(A57,'Centre WP13'!$A$7:$N$160,8,FALSE),0)</f>
        <v>0</v>
      </c>
      <c r="I57" s="10">
        <f>IFERROR(VLOOKUP(A57,'Centre DW13'!$A$7:$N$160,9,FALSE),0)+
IFERROR(VLOOKUP(A57,'Centre WR13'!$A$7:$N$160,9,FALSE),0)+
IFERROR(VLOOKUP(A57,'Centre WP13'!$A$7:$N$160,9,FALSE),0)</f>
        <v>0.3</v>
      </c>
      <c r="J57" s="28">
        <f>IFERROR(VLOOKUP(A57,'Centre DW13'!$A$7:$N$160,10,FALSE),0)+
IFERROR(VLOOKUP(A57,'Centre WR13'!$A$7:$N$160,10,FALSE),0)+
IFERROR(VLOOKUP(A57,'Centre WP13'!$A$7:$N$160,10,FALSE),0)</f>
        <v>0</v>
      </c>
      <c r="K57" s="28">
        <f>IFERROR(VLOOKUP(A57,'Centre DW13'!$A$7:$N$160,11,FALSE),0)+
IFERROR(VLOOKUP(A57,'Centre WR13'!$A$7:$N$160,11,FALSE),0)+
IFERROR(VLOOKUP(A57,'Centre WP13'!$A$7:$N$160,11,FALSE),0)</f>
        <v>0</v>
      </c>
      <c r="L57" s="28">
        <f>IFERROR(VLOOKUP(A57,'Centre DW13'!$A$7:$N$160,12,FALSE),0)+
IFERROR(VLOOKUP(A57,'Centre WR13'!$A$7:$N$160,12,FALSE),0)+
IFERROR(VLOOKUP(A57,'Centre WP13'!$A$7:$N$160,12,FALSE),0)</f>
        <v>0</v>
      </c>
      <c r="M57" s="28">
        <f>IFERROR(VLOOKUP(A57,'Centre DW13'!$A$7:$N$160,13,FALSE),0)+
IFERROR(VLOOKUP(A57,'Centre WR13'!$A$7:$N$160,13,FALSE),0)+
IFERROR(VLOOKUP(A57,'Centre WP13'!$A$7:$N$160,13,FALSE),0)</f>
        <v>0.3</v>
      </c>
      <c r="N57" s="28">
        <f>IFERROR(VLOOKUP(A57,'Centre DW13'!$A$7:$N$160,14,FALSE),0)+
IFERROR(VLOOKUP(A57,'Centre WR13'!$A$7:$N$160,14,FALSE),0)+
IFERROR(VLOOKUP(A57,'Centre WP13'!$A$7:$N$160,14,FALSE),0)</f>
        <v>0.3</v>
      </c>
    </row>
    <row r="58" spans="1:14" hidden="1" outlineLevel="1" x14ac:dyDescent="0.2">
      <c r="A58" s="9" t="s">
        <v>117</v>
      </c>
      <c r="B58" s="1" t="s">
        <v>118</v>
      </c>
      <c r="C58" s="10">
        <f>IFERROR(VLOOKUP(A58,'Centre DW13'!$A$7:$N$160,3,FALSE),0)+
IFERROR(VLOOKUP(A58,'Centre WR13'!$A$7:$N$160,3,FALSE),0)+
IFERROR(VLOOKUP(A58,'Centre WP13'!$A$7:$N$160,3,FALSE),0)</f>
        <v>0</v>
      </c>
      <c r="D58" s="10">
        <f>IFERROR(VLOOKUP(A58,'Centre DW13'!$A$7:$N$160,4,FALSE),0)+
IFERROR(VLOOKUP(A58,'Centre WR13'!$A$7:$N$160,4,FALSE),0)+
IFERROR(VLOOKUP(A58,'Centre WP13'!$A$7:$N$160,4,FALSE),0)</f>
        <v>0</v>
      </c>
      <c r="E58" s="10">
        <f>IFERROR(VLOOKUP(A58,'Centre DW13'!$A$7:$N$160,5,FALSE),0)+
IFERROR(VLOOKUP(A58,'Centre WR13'!$A$7:$N$160,5,FALSE),0)+
IFERROR(VLOOKUP(A58,'Centre WP13'!$A$7:$N$160,5,FALSE),0)</f>
        <v>0</v>
      </c>
      <c r="F58" s="10">
        <f>IFERROR(VLOOKUP(A58,'Centre DW13'!$A$7:$N$160,6,FALSE),0)+
IFERROR(VLOOKUP(A58,'Centre WR13'!$A$7:$N$160,6,FALSE),0)+
IFERROR(VLOOKUP(A58,'Centre WP13'!$A$7:$N$160,6,FALSE),0)</f>
        <v>0</v>
      </c>
      <c r="G58" s="10">
        <f>IFERROR(VLOOKUP(A58,'Centre DW13'!$A$7:$N$160,7,FALSE),0)+
IFERROR(VLOOKUP(A58,'Centre WR13'!$A$7:$N$160,7,FALSE),0)+
IFERROR(VLOOKUP(A58,'Centre WP13'!$A$7:$N$160,7,FALSE),0)</f>
        <v>0</v>
      </c>
      <c r="H58" s="10">
        <f>IFERROR(VLOOKUP(A58,'Centre DW13'!$A$7:$N$160,8,FALSE),0)+
IFERROR(VLOOKUP(A58,'Centre WR13'!$A$7:$N$160,8,FALSE),0)+
IFERROR(VLOOKUP(A58,'Centre WP13'!$A$7:$N$160,8,FALSE),0)</f>
        <v>0</v>
      </c>
      <c r="I58" s="10">
        <f>IFERROR(VLOOKUP(A58,'Centre DW13'!$A$7:$N$160,9,FALSE),0)+
IFERROR(VLOOKUP(A58,'Centre WR13'!$A$7:$N$160,9,FALSE),0)+
IFERROR(VLOOKUP(A58,'Centre WP13'!$A$7:$N$160,9,FALSE),0)</f>
        <v>0</v>
      </c>
      <c r="J58" s="28">
        <f>IFERROR(VLOOKUP(A58,'Centre DW13'!$A$7:$N$160,10,FALSE),0)+
IFERROR(VLOOKUP(A58,'Centre WR13'!$A$7:$N$160,10,FALSE),0)+
IFERROR(VLOOKUP(A58,'Centre WP13'!$A$7:$N$160,10,FALSE),0)</f>
        <v>0</v>
      </c>
      <c r="K58" s="28">
        <f>IFERROR(VLOOKUP(A58,'Centre DW13'!$A$7:$N$160,11,FALSE),0)+
IFERROR(VLOOKUP(A58,'Centre WR13'!$A$7:$N$160,11,FALSE),0)+
IFERROR(VLOOKUP(A58,'Centre WP13'!$A$7:$N$160,11,FALSE),0)</f>
        <v>0</v>
      </c>
      <c r="L58" s="28">
        <f>IFERROR(VLOOKUP(A58,'Centre DW13'!$A$7:$N$160,12,FALSE),0)+
IFERROR(VLOOKUP(A58,'Centre WR13'!$A$7:$N$160,12,FALSE),0)+
IFERROR(VLOOKUP(A58,'Centre WP13'!$A$7:$N$160,12,FALSE),0)</f>
        <v>0</v>
      </c>
      <c r="M58" s="28">
        <f>IFERROR(VLOOKUP(A58,'Centre DW13'!$A$7:$N$160,13,FALSE),0)+
IFERROR(VLOOKUP(A58,'Centre WR13'!$A$7:$N$160,13,FALSE),0)+
IFERROR(VLOOKUP(A58,'Centre WP13'!$A$7:$N$160,13,FALSE),0)</f>
        <v>0</v>
      </c>
      <c r="N58" s="28">
        <f>IFERROR(VLOOKUP(A58,'Centre DW13'!$A$7:$N$160,14,FALSE),0)+
IFERROR(VLOOKUP(A58,'Centre WR13'!$A$7:$N$160,14,FALSE),0)+
IFERROR(VLOOKUP(A58,'Centre WP13'!$A$7:$N$160,14,FALSE),0)</f>
        <v>0</v>
      </c>
    </row>
    <row r="59" spans="1:14" collapsed="1" x14ac:dyDescent="0.2">
      <c r="A59" s="33" t="s">
        <v>119</v>
      </c>
      <c r="B59" s="34" t="s">
        <v>120</v>
      </c>
      <c r="C59" s="44">
        <f t="shared" ref="C59:N59" si="12">SUM(C60:C61)</f>
        <v>0.1</v>
      </c>
      <c r="D59" s="44">
        <f t="shared" si="12"/>
        <v>0.1</v>
      </c>
      <c r="E59" s="44">
        <f t="shared" si="12"/>
        <v>0.1</v>
      </c>
      <c r="F59" s="44">
        <f t="shared" si="12"/>
        <v>0.1</v>
      </c>
      <c r="G59" s="44">
        <f t="shared" si="12"/>
        <v>0.1</v>
      </c>
      <c r="H59" s="44">
        <f t="shared" si="12"/>
        <v>0.1</v>
      </c>
      <c r="I59" s="44">
        <f t="shared" si="12"/>
        <v>0.1</v>
      </c>
      <c r="J59" s="44">
        <f t="shared" si="12"/>
        <v>0.1</v>
      </c>
      <c r="K59" s="44">
        <f t="shared" si="12"/>
        <v>0.1</v>
      </c>
      <c r="L59" s="44">
        <f t="shared" si="12"/>
        <v>0.1</v>
      </c>
      <c r="M59" s="44">
        <f t="shared" si="12"/>
        <v>0.1</v>
      </c>
      <c r="N59" s="44">
        <f t="shared" si="12"/>
        <v>0.1</v>
      </c>
    </row>
    <row r="60" spans="1:14" hidden="1" outlineLevel="1" x14ac:dyDescent="0.2">
      <c r="A60" s="9" t="s">
        <v>123</v>
      </c>
      <c r="B60" s="1" t="s">
        <v>124</v>
      </c>
      <c r="C60" s="10">
        <f>IFERROR(VLOOKUP(A60,'Centre DW13'!$A$7:$N$160,3,FALSE),0)+
IFERROR(VLOOKUP(A60,'Centre WR13'!$A$7:$N$160,3,FALSE),0)+
IFERROR(VLOOKUP(A60,'Centre WP13'!$A$7:$N$160,3,FALSE),0)</f>
        <v>0.1</v>
      </c>
      <c r="D60" s="10">
        <f>IFERROR(VLOOKUP(A60,'Centre DW13'!$A$7:$N$160,4,FALSE),0)+
IFERROR(VLOOKUP(A60,'Centre WR13'!$A$7:$N$160,4,FALSE),0)+
IFERROR(VLOOKUP(A60,'Centre WP13'!$A$7:$N$160,4,FALSE),0)</f>
        <v>0.1</v>
      </c>
      <c r="E60" s="10">
        <f>IFERROR(VLOOKUP(A60,'Centre DW13'!$A$7:$N$160,5,FALSE),0)+
IFERROR(VLOOKUP(A60,'Centre WR13'!$A$7:$N$160,5,FALSE),0)+
IFERROR(VLOOKUP(A60,'Centre WP13'!$A$7:$N$160,5,FALSE),0)</f>
        <v>0.1</v>
      </c>
      <c r="F60" s="10">
        <f>IFERROR(VLOOKUP(A60,'Centre DW13'!$A$7:$N$160,6,FALSE),0)+
IFERROR(VLOOKUP(A60,'Centre WR13'!$A$7:$N$160,6,FALSE),0)+
IFERROR(VLOOKUP(A60,'Centre WP13'!$A$7:$N$160,6,FALSE),0)</f>
        <v>0.1</v>
      </c>
      <c r="G60" s="10">
        <f>IFERROR(VLOOKUP(A60,'Centre DW13'!$A$7:$N$160,7,FALSE),0)+
IFERROR(VLOOKUP(A60,'Centre WR13'!$A$7:$N$160,7,FALSE),0)+
IFERROR(VLOOKUP(A60,'Centre WP13'!$A$7:$N$160,7,FALSE),0)</f>
        <v>0.1</v>
      </c>
      <c r="H60" s="10">
        <f>IFERROR(VLOOKUP(A60,'Centre DW13'!$A$7:$N$160,8,FALSE),0)+
IFERROR(VLOOKUP(A60,'Centre WR13'!$A$7:$N$160,8,FALSE),0)+
IFERROR(VLOOKUP(A60,'Centre WP13'!$A$7:$N$160,8,FALSE),0)</f>
        <v>0.1</v>
      </c>
      <c r="I60" s="10">
        <f>IFERROR(VLOOKUP(A60,'Centre DW13'!$A$7:$N$160,9,FALSE),0)+
IFERROR(VLOOKUP(A60,'Centre WR13'!$A$7:$N$160,9,FALSE),0)+
IFERROR(VLOOKUP(A60,'Centre WP13'!$A$7:$N$160,9,FALSE),0)</f>
        <v>0.1</v>
      </c>
      <c r="J60" s="28">
        <f>IFERROR(VLOOKUP(A60,'Centre DW13'!$A$7:$N$160,10,FALSE),0)+
IFERROR(VLOOKUP(A60,'Centre WR13'!$A$7:$N$160,10,FALSE),0)+
IFERROR(VLOOKUP(A60,'Centre WP13'!$A$7:$N$160,10,FALSE),0)</f>
        <v>0.1</v>
      </c>
      <c r="K60" s="28">
        <f>IFERROR(VLOOKUP(A60,'Centre DW13'!$A$7:$N$160,11,FALSE),0)+
IFERROR(VLOOKUP(A60,'Centre WR13'!$A$7:$N$160,11,FALSE),0)+
IFERROR(VLOOKUP(A60,'Centre WP13'!$A$7:$N$160,11,FALSE),0)</f>
        <v>0.1</v>
      </c>
      <c r="L60" s="28">
        <f>IFERROR(VLOOKUP(A60,'Centre DW13'!$A$7:$N$160,12,FALSE),0)+
IFERROR(VLOOKUP(A60,'Centre WR13'!$A$7:$N$160,12,FALSE),0)+
IFERROR(VLOOKUP(A60,'Centre WP13'!$A$7:$N$160,12,FALSE),0)</f>
        <v>0.1</v>
      </c>
      <c r="M60" s="28">
        <f>IFERROR(VLOOKUP(A60,'Centre DW13'!$A$7:$N$160,13,FALSE),0)+
IFERROR(VLOOKUP(A60,'Centre WR13'!$A$7:$N$160,13,FALSE),0)+
IFERROR(VLOOKUP(A60,'Centre WP13'!$A$7:$N$160,13,FALSE),0)</f>
        <v>0.1</v>
      </c>
      <c r="N60" s="28">
        <f>IFERROR(VLOOKUP(A60,'Centre DW13'!$A$7:$N$160,14,FALSE),0)+
IFERROR(VLOOKUP(A60,'Centre WR13'!$A$7:$N$160,14,FALSE),0)+
IFERROR(VLOOKUP(A60,'Centre WP13'!$A$7:$N$160,14,FALSE),0)</f>
        <v>0.1</v>
      </c>
    </row>
    <row r="61" spans="1:14" hidden="1" outlineLevel="1" x14ac:dyDescent="0.2">
      <c r="A61" s="9" t="s">
        <v>125</v>
      </c>
      <c r="B61" s="1" t="s">
        <v>126</v>
      </c>
      <c r="C61" s="10">
        <f>IFERROR(VLOOKUP(A61,'Centre DW13'!$A$7:$N$160,3,FALSE),0)+
IFERROR(VLOOKUP(A61,'Centre WR13'!$A$7:$N$160,3,FALSE),0)+
IFERROR(VLOOKUP(A61,'Centre WP13'!$A$7:$N$160,3,FALSE),0)</f>
        <v>0</v>
      </c>
      <c r="D61" s="10">
        <f>IFERROR(VLOOKUP(A61,'Centre DW13'!$A$7:$N$160,4,FALSE),0)+
IFERROR(VLOOKUP(A61,'Centre WR13'!$A$7:$N$160,4,FALSE),0)+
IFERROR(VLOOKUP(A61,'Centre WP13'!$A$7:$N$160,4,FALSE),0)</f>
        <v>0</v>
      </c>
      <c r="E61" s="10">
        <f>IFERROR(VLOOKUP(A61,'Centre DW13'!$A$7:$N$160,5,FALSE),0)+
IFERROR(VLOOKUP(A61,'Centre WR13'!$A$7:$N$160,5,FALSE),0)+
IFERROR(VLOOKUP(A61,'Centre WP13'!$A$7:$N$160,5,FALSE),0)</f>
        <v>0</v>
      </c>
      <c r="F61" s="10">
        <f>IFERROR(VLOOKUP(A61,'Centre DW13'!$A$7:$N$160,6,FALSE),0)+
IFERROR(VLOOKUP(A61,'Centre WR13'!$A$7:$N$160,6,FALSE),0)+
IFERROR(VLOOKUP(A61,'Centre WP13'!$A$7:$N$160,6,FALSE),0)</f>
        <v>0</v>
      </c>
      <c r="G61" s="10">
        <f>IFERROR(VLOOKUP(A61,'Centre DW13'!$A$7:$N$160,7,FALSE),0)+
IFERROR(VLOOKUP(A61,'Centre WR13'!$A$7:$N$160,7,FALSE),0)+
IFERROR(VLOOKUP(A61,'Centre WP13'!$A$7:$N$160,7,FALSE),0)</f>
        <v>0</v>
      </c>
      <c r="H61" s="10">
        <f>IFERROR(VLOOKUP(A61,'Centre DW13'!$A$7:$N$160,8,FALSE),0)+
IFERROR(VLOOKUP(A61,'Centre WR13'!$A$7:$N$160,8,FALSE),0)+
IFERROR(VLOOKUP(A61,'Centre WP13'!$A$7:$N$160,8,FALSE),0)</f>
        <v>0</v>
      </c>
      <c r="I61" s="10">
        <f>IFERROR(VLOOKUP(A61,'Centre DW13'!$A$7:$N$160,9,FALSE),0)+
IFERROR(VLOOKUP(A61,'Centre WR13'!$A$7:$N$160,9,FALSE),0)+
IFERROR(VLOOKUP(A61,'Centre WP13'!$A$7:$N$160,9,FALSE),0)</f>
        <v>0</v>
      </c>
      <c r="J61" s="28">
        <f>IFERROR(VLOOKUP(A61,'Centre DW13'!$A$7:$N$160,10,FALSE),0)+
IFERROR(VLOOKUP(A61,'Centre WR13'!$A$7:$N$160,10,FALSE),0)+
IFERROR(VLOOKUP(A61,'Centre WP13'!$A$7:$N$160,10,FALSE),0)</f>
        <v>0</v>
      </c>
      <c r="K61" s="28">
        <f>IFERROR(VLOOKUP(A61,'Centre DW13'!$A$7:$N$160,11,FALSE),0)+
IFERROR(VLOOKUP(A61,'Centre WR13'!$A$7:$N$160,11,FALSE),0)+
IFERROR(VLOOKUP(A61,'Centre WP13'!$A$7:$N$160,11,FALSE),0)</f>
        <v>0</v>
      </c>
      <c r="L61" s="28">
        <f>IFERROR(VLOOKUP(A61,'Centre DW13'!$A$7:$N$160,12,FALSE),0)+
IFERROR(VLOOKUP(A61,'Centre WR13'!$A$7:$N$160,12,FALSE),0)+
IFERROR(VLOOKUP(A61,'Centre WP13'!$A$7:$N$160,12,FALSE),0)</f>
        <v>0</v>
      </c>
      <c r="M61" s="28">
        <f>IFERROR(VLOOKUP(A61,'Centre DW13'!$A$7:$N$160,13,FALSE),0)+
IFERROR(VLOOKUP(A61,'Centre WR13'!$A$7:$N$160,13,FALSE),0)+
IFERROR(VLOOKUP(A61,'Centre WP13'!$A$7:$N$160,13,FALSE),0)</f>
        <v>0</v>
      </c>
      <c r="N61" s="28">
        <f>IFERROR(VLOOKUP(A61,'Centre DW13'!$A$7:$N$160,14,FALSE),0)+
IFERROR(VLOOKUP(A61,'Centre WR13'!$A$7:$N$160,14,FALSE),0)+
IFERROR(VLOOKUP(A61,'Centre WP13'!$A$7:$N$160,14,FALSE),0)</f>
        <v>0</v>
      </c>
    </row>
    <row r="62" spans="1:14" collapsed="1" x14ac:dyDescent="0.2">
      <c r="A62" s="33" t="s">
        <v>127</v>
      </c>
      <c r="B62" s="34" t="s">
        <v>128</v>
      </c>
      <c r="C62" s="44">
        <f t="shared" ref="C62:N62" si="13">SUM(C63:C64)</f>
        <v>0.7</v>
      </c>
      <c r="D62" s="44">
        <f t="shared" si="13"/>
        <v>0.3</v>
      </c>
      <c r="E62" s="44">
        <f t="shared" si="13"/>
        <v>0.2</v>
      </c>
      <c r="F62" s="44">
        <f t="shared" si="13"/>
        <v>-0.2</v>
      </c>
      <c r="G62" s="44">
        <f t="shared" si="13"/>
        <v>0.5</v>
      </c>
      <c r="H62" s="44">
        <f t="shared" si="13"/>
        <v>0.8</v>
      </c>
      <c r="I62" s="44">
        <f t="shared" si="13"/>
        <v>0.5</v>
      </c>
      <c r="J62" s="44">
        <f t="shared" si="13"/>
        <v>0.5</v>
      </c>
      <c r="K62" s="44">
        <f t="shared" si="13"/>
        <v>0.8</v>
      </c>
      <c r="L62" s="44">
        <f t="shared" si="13"/>
        <v>0.5</v>
      </c>
      <c r="M62" s="44">
        <f t="shared" si="13"/>
        <v>0.8</v>
      </c>
      <c r="N62" s="44">
        <f t="shared" si="13"/>
        <v>0.5</v>
      </c>
    </row>
    <row r="63" spans="1:14" hidden="1" outlineLevel="1" x14ac:dyDescent="0.2">
      <c r="A63" s="9" t="s">
        <v>129</v>
      </c>
      <c r="B63" s="1" t="s">
        <v>130</v>
      </c>
      <c r="C63" s="10">
        <f>IFERROR(VLOOKUP(A63,'Centre DW13'!$A$7:$N$160,3,FALSE),0)+
IFERROR(VLOOKUP(A63,'Centre WR13'!$A$7:$N$160,3,FALSE),0)+
IFERROR(VLOOKUP(A63,'Centre WP13'!$A$7:$N$160,3,FALSE),0)</f>
        <v>0.7</v>
      </c>
      <c r="D63" s="10">
        <f>IFERROR(VLOOKUP(A63,'Centre DW13'!$A$7:$N$160,4,FALSE),0)+
IFERROR(VLOOKUP(A63,'Centre WR13'!$A$7:$N$160,4,FALSE),0)+
IFERROR(VLOOKUP(A63,'Centre WP13'!$A$7:$N$160,4,FALSE),0)</f>
        <v>0.3</v>
      </c>
      <c r="E63" s="10">
        <f>IFERROR(VLOOKUP(A63,'Centre DW13'!$A$7:$N$160,5,FALSE),0)+
IFERROR(VLOOKUP(A63,'Centre WR13'!$A$7:$N$160,5,FALSE),0)+
IFERROR(VLOOKUP(A63,'Centre WP13'!$A$7:$N$160,5,FALSE),0)</f>
        <v>0.2</v>
      </c>
      <c r="F63" s="10">
        <f>IFERROR(VLOOKUP(A63,'Centre DW13'!$A$7:$N$160,6,FALSE),0)+
IFERROR(VLOOKUP(A63,'Centre WR13'!$A$7:$N$160,6,FALSE),0)+
IFERROR(VLOOKUP(A63,'Centre WP13'!$A$7:$N$160,6,FALSE),0)</f>
        <v>-0.2</v>
      </c>
      <c r="G63" s="10">
        <f>IFERROR(VLOOKUP(A63,'Centre DW13'!$A$7:$N$160,7,FALSE),0)+
IFERROR(VLOOKUP(A63,'Centre WR13'!$A$7:$N$160,7,FALSE),0)+
IFERROR(VLOOKUP(A63,'Centre WP13'!$A$7:$N$160,7,FALSE),0)</f>
        <v>0.5</v>
      </c>
      <c r="H63" s="10">
        <f>IFERROR(VLOOKUP(A63,'Centre DW13'!$A$7:$N$160,8,FALSE),0)+
IFERROR(VLOOKUP(A63,'Centre WR13'!$A$7:$N$160,8,FALSE),0)+
IFERROR(VLOOKUP(A63,'Centre WP13'!$A$7:$N$160,8,FALSE),0)</f>
        <v>0.8</v>
      </c>
      <c r="I63" s="10">
        <f>IFERROR(VLOOKUP(A63,'Centre DW13'!$A$7:$N$160,9,FALSE),0)+
IFERROR(VLOOKUP(A63,'Centre WR13'!$A$7:$N$160,9,FALSE),0)+
IFERROR(VLOOKUP(A63,'Centre WP13'!$A$7:$N$160,9,FALSE),0)</f>
        <v>0.5</v>
      </c>
      <c r="J63" s="28">
        <f>IFERROR(VLOOKUP(A63,'Centre DW13'!$A$7:$N$160,10,FALSE),0)+
IFERROR(VLOOKUP(A63,'Centre WR13'!$A$7:$N$160,10,FALSE),0)+
IFERROR(VLOOKUP(A63,'Centre WP13'!$A$7:$N$160,10,FALSE),0)</f>
        <v>0.5</v>
      </c>
      <c r="K63" s="28">
        <f>IFERROR(VLOOKUP(A63,'Centre DW13'!$A$7:$N$160,11,FALSE),0)+
IFERROR(VLOOKUP(A63,'Centre WR13'!$A$7:$N$160,11,FALSE),0)+
IFERROR(VLOOKUP(A63,'Centre WP13'!$A$7:$N$160,11,FALSE),0)</f>
        <v>0.8</v>
      </c>
      <c r="L63" s="28">
        <f>IFERROR(VLOOKUP(A63,'Centre DW13'!$A$7:$N$160,12,FALSE),0)+
IFERROR(VLOOKUP(A63,'Centre WR13'!$A$7:$N$160,12,FALSE),0)+
IFERROR(VLOOKUP(A63,'Centre WP13'!$A$7:$N$160,12,FALSE),0)</f>
        <v>0.5</v>
      </c>
      <c r="M63" s="28">
        <f>IFERROR(VLOOKUP(A63,'Centre DW13'!$A$7:$N$160,13,FALSE),0)+
IFERROR(VLOOKUP(A63,'Centre WR13'!$A$7:$N$160,13,FALSE),0)+
IFERROR(VLOOKUP(A63,'Centre WP13'!$A$7:$N$160,13,FALSE),0)</f>
        <v>0.8</v>
      </c>
      <c r="N63" s="28">
        <f>IFERROR(VLOOKUP(A63,'Centre DW13'!$A$7:$N$160,14,FALSE),0)+
IFERROR(VLOOKUP(A63,'Centre WR13'!$A$7:$N$160,14,FALSE),0)+
IFERROR(VLOOKUP(A63,'Centre WP13'!$A$7:$N$160,14,FALSE),0)</f>
        <v>0.5</v>
      </c>
    </row>
    <row r="64" spans="1:14" hidden="1" outlineLevel="1" x14ac:dyDescent="0.2">
      <c r="A64" s="9" t="s">
        <v>131</v>
      </c>
      <c r="B64" s="1" t="s">
        <v>132</v>
      </c>
      <c r="C64" s="10">
        <f>IFERROR(VLOOKUP(A64,'Centre DW13'!$A$7:$N$160,3,FALSE),0)+
IFERROR(VLOOKUP(A64,'Centre WR13'!$A$7:$N$160,3,FALSE),0)+
IFERROR(VLOOKUP(A64,'Centre WP13'!$A$7:$N$160,3,FALSE),0)</f>
        <v>0</v>
      </c>
      <c r="D64" s="10">
        <f>IFERROR(VLOOKUP(A64,'Centre DW13'!$A$7:$N$160,4,FALSE),0)+
IFERROR(VLOOKUP(A64,'Centre WR13'!$A$7:$N$160,4,FALSE),0)+
IFERROR(VLOOKUP(A64,'Centre WP13'!$A$7:$N$160,4,FALSE),0)</f>
        <v>0</v>
      </c>
      <c r="E64" s="10">
        <f>IFERROR(VLOOKUP(A64,'Centre DW13'!$A$7:$N$160,5,FALSE),0)+
IFERROR(VLOOKUP(A64,'Centre WR13'!$A$7:$N$160,5,FALSE),0)+
IFERROR(VLOOKUP(A64,'Centre WP13'!$A$7:$N$160,5,FALSE),0)</f>
        <v>0</v>
      </c>
      <c r="F64" s="10">
        <f>IFERROR(VLOOKUP(A64,'Centre DW13'!$A$7:$N$160,6,FALSE),0)+
IFERROR(VLOOKUP(A64,'Centre WR13'!$A$7:$N$160,6,FALSE),0)+
IFERROR(VLOOKUP(A64,'Centre WP13'!$A$7:$N$160,6,FALSE),0)</f>
        <v>0</v>
      </c>
      <c r="G64" s="10">
        <f>IFERROR(VLOOKUP(A64,'Centre DW13'!$A$7:$N$160,7,FALSE),0)+
IFERROR(VLOOKUP(A64,'Centre WR13'!$A$7:$N$160,7,FALSE),0)+
IFERROR(VLOOKUP(A64,'Centre WP13'!$A$7:$N$160,7,FALSE),0)</f>
        <v>0</v>
      </c>
      <c r="H64" s="10">
        <f>IFERROR(VLOOKUP(A64,'Centre DW13'!$A$7:$N$160,8,FALSE),0)+
IFERROR(VLOOKUP(A64,'Centre WR13'!$A$7:$N$160,8,FALSE),0)+
IFERROR(VLOOKUP(A64,'Centre WP13'!$A$7:$N$160,8,FALSE),0)</f>
        <v>0</v>
      </c>
      <c r="I64" s="10">
        <f>IFERROR(VLOOKUP(A64,'Centre DW13'!$A$7:$N$160,9,FALSE),0)+
IFERROR(VLOOKUP(A64,'Centre WR13'!$A$7:$N$160,9,FALSE),0)+
IFERROR(VLOOKUP(A64,'Centre WP13'!$A$7:$N$160,9,FALSE),0)</f>
        <v>0</v>
      </c>
      <c r="J64" s="28">
        <f>IFERROR(VLOOKUP(A64,'Centre DW13'!$A$7:$N$160,10,FALSE),0)+
IFERROR(VLOOKUP(A64,'Centre WR13'!$A$7:$N$160,10,FALSE),0)+
IFERROR(VLOOKUP(A64,'Centre WP13'!$A$7:$N$160,10,FALSE),0)</f>
        <v>0</v>
      </c>
      <c r="K64" s="28">
        <f>IFERROR(VLOOKUP(A64,'Centre DW13'!$A$7:$N$160,11,FALSE),0)+
IFERROR(VLOOKUP(A64,'Centre WR13'!$A$7:$N$160,11,FALSE),0)+
IFERROR(VLOOKUP(A64,'Centre WP13'!$A$7:$N$160,11,FALSE),0)</f>
        <v>0</v>
      </c>
      <c r="L64" s="28">
        <f>IFERROR(VLOOKUP(A64,'Centre DW13'!$A$7:$N$160,12,FALSE),0)+
IFERROR(VLOOKUP(A64,'Centre WR13'!$A$7:$N$160,12,FALSE),0)+
IFERROR(VLOOKUP(A64,'Centre WP13'!$A$7:$N$160,12,FALSE),0)</f>
        <v>0</v>
      </c>
      <c r="M64" s="28">
        <f>IFERROR(VLOOKUP(A64,'Centre DW13'!$A$7:$N$160,13,FALSE),0)+
IFERROR(VLOOKUP(A64,'Centre WR13'!$A$7:$N$160,13,FALSE),0)+
IFERROR(VLOOKUP(A64,'Centre WP13'!$A$7:$N$160,13,FALSE),0)</f>
        <v>0</v>
      </c>
      <c r="N64" s="28">
        <f>IFERROR(VLOOKUP(A64,'Centre DW13'!$A$7:$N$160,14,FALSE),0)+
IFERROR(VLOOKUP(A64,'Centre WR13'!$A$7:$N$160,14,FALSE),0)+
IFERROR(VLOOKUP(A64,'Centre WP13'!$A$7:$N$160,14,FALSE),0)</f>
        <v>0</v>
      </c>
    </row>
    <row r="65" spans="1:14" collapsed="1" x14ac:dyDescent="0.2">
      <c r="A65" s="33" t="s">
        <v>133</v>
      </c>
      <c r="B65" s="34" t="s">
        <v>134</v>
      </c>
      <c r="C65" s="44">
        <f t="shared" ref="C65:N65" si="14">SUM(C66:C68)</f>
        <v>0.1</v>
      </c>
      <c r="D65" s="44">
        <f t="shared" si="14"/>
        <v>-3.1</v>
      </c>
      <c r="E65" s="44">
        <f t="shared" si="14"/>
        <v>0.5</v>
      </c>
      <c r="F65" s="44">
        <f t="shared" si="14"/>
        <v>5.9</v>
      </c>
      <c r="G65" s="44">
        <f t="shared" si="14"/>
        <v>-0.5</v>
      </c>
      <c r="H65" s="44">
        <f t="shared" si="14"/>
        <v>8.1</v>
      </c>
      <c r="I65" s="44">
        <f t="shared" si="14"/>
        <v>0</v>
      </c>
      <c r="J65" s="44">
        <f t="shared" si="14"/>
        <v>5.9</v>
      </c>
      <c r="K65" s="44">
        <f t="shared" si="14"/>
        <v>-0.5</v>
      </c>
      <c r="L65" s="44">
        <f t="shared" si="14"/>
        <v>8.1</v>
      </c>
      <c r="M65" s="44">
        <f t="shared" si="14"/>
        <v>7</v>
      </c>
      <c r="N65" s="44">
        <f t="shared" si="14"/>
        <v>-0.3</v>
      </c>
    </row>
    <row r="66" spans="1:14" hidden="1" outlineLevel="1" x14ac:dyDescent="0.2">
      <c r="A66" s="9" t="s">
        <v>329</v>
      </c>
      <c r="B66" s="1" t="s">
        <v>330</v>
      </c>
      <c r="C66" s="10">
        <f>IFERROR(VLOOKUP(A66,'Centre DW13'!$A$7:$N$160,3,FALSE),0)+
IFERROR(VLOOKUP(A66,'Centre WR13'!$A$7:$N$160,3,FALSE),0)+
IFERROR(VLOOKUP(A66,'Centre WP13'!$A$7:$N$160,3,FALSE),0)</f>
        <v>0</v>
      </c>
      <c r="D66" s="10">
        <f>IFERROR(VLOOKUP(A66,'Centre DW13'!$A$7:$N$160,4,FALSE),0)+
IFERROR(VLOOKUP(A66,'Centre WR13'!$A$7:$N$160,4,FALSE),0)+
IFERROR(VLOOKUP(A66,'Centre WP13'!$A$7:$N$160,4,FALSE),0)</f>
        <v>0</v>
      </c>
      <c r="E66" s="10">
        <f>IFERROR(VLOOKUP(A66,'Centre DW13'!$A$7:$N$160,5,FALSE),0)+
IFERROR(VLOOKUP(A66,'Centre WR13'!$A$7:$N$160,5,FALSE),0)+
IFERROR(VLOOKUP(A66,'Centre WP13'!$A$7:$N$160,5,FALSE),0)</f>
        <v>0.2</v>
      </c>
      <c r="F66" s="10">
        <f>IFERROR(VLOOKUP(A66,'Centre DW13'!$A$7:$N$160,6,FALSE),0)+
IFERROR(VLOOKUP(A66,'Centre WR13'!$A$7:$N$160,6,FALSE),0)+
IFERROR(VLOOKUP(A66,'Centre WP13'!$A$7:$N$160,6,FALSE),0)</f>
        <v>0</v>
      </c>
      <c r="G66" s="10">
        <f>IFERROR(VLOOKUP(A66,'Centre DW13'!$A$7:$N$160,7,FALSE),0)+
IFERROR(VLOOKUP(A66,'Centre WR13'!$A$7:$N$160,7,FALSE),0)+
IFERROR(VLOOKUP(A66,'Centre WP13'!$A$7:$N$160,7,FALSE),0)</f>
        <v>0</v>
      </c>
      <c r="H66" s="10">
        <f>IFERROR(VLOOKUP(A66,'Centre DW13'!$A$7:$N$160,8,FALSE),0)+
IFERROR(VLOOKUP(A66,'Centre WR13'!$A$7:$N$160,8,FALSE),0)+
IFERROR(VLOOKUP(A66,'Centre WP13'!$A$7:$N$160,8,FALSE),0)</f>
        <v>0</v>
      </c>
      <c r="I66" s="10">
        <f>IFERROR(VLOOKUP(A66,'Centre DW13'!$A$7:$N$160,9,FALSE),0)+
IFERROR(VLOOKUP(A66,'Centre WR13'!$A$7:$N$160,9,FALSE),0)+
IFERROR(VLOOKUP(A66,'Centre WP13'!$A$7:$N$160,9,FALSE),0)</f>
        <v>0</v>
      </c>
      <c r="J66" s="28">
        <f>IFERROR(VLOOKUP(A66,'Centre DW13'!$A$7:$N$160,10,FALSE),0)+
IFERROR(VLOOKUP(A66,'Centre WR13'!$A$7:$N$160,10,FALSE),0)+
IFERROR(VLOOKUP(A66,'Centre WP13'!$A$7:$N$160,10,FALSE),0)</f>
        <v>0</v>
      </c>
      <c r="K66" s="28">
        <f>IFERROR(VLOOKUP(A66,'Centre DW13'!$A$7:$N$160,11,FALSE),0)+
IFERROR(VLOOKUP(A66,'Centre WR13'!$A$7:$N$160,11,FALSE),0)+
IFERROR(VLOOKUP(A66,'Centre WP13'!$A$7:$N$160,11,FALSE),0)</f>
        <v>0</v>
      </c>
      <c r="L66" s="28">
        <f>IFERROR(VLOOKUP(A66,'Centre DW13'!$A$7:$N$160,12,FALSE),0)+
IFERROR(VLOOKUP(A66,'Centre WR13'!$A$7:$N$160,12,FALSE),0)+
IFERROR(VLOOKUP(A66,'Centre WP13'!$A$7:$N$160,12,FALSE),0)</f>
        <v>0</v>
      </c>
      <c r="M66" s="28">
        <f>IFERROR(VLOOKUP(A66,'Centre DW13'!$A$7:$N$160,13,FALSE),0)+
IFERROR(VLOOKUP(A66,'Centre WR13'!$A$7:$N$160,13,FALSE),0)+
IFERROR(VLOOKUP(A66,'Centre WP13'!$A$7:$N$160,13,FALSE),0)</f>
        <v>0</v>
      </c>
      <c r="N66" s="28">
        <f>IFERROR(VLOOKUP(A66,'Centre DW13'!$A$7:$N$160,14,FALSE),0)+
IFERROR(VLOOKUP(A66,'Centre WR13'!$A$7:$N$160,14,FALSE),0)+
IFERROR(VLOOKUP(A66,'Centre WP13'!$A$7:$N$160,14,FALSE),0)</f>
        <v>0</v>
      </c>
    </row>
    <row r="67" spans="1:14" hidden="1" outlineLevel="1" x14ac:dyDescent="0.2">
      <c r="A67" s="9" t="s">
        <v>135</v>
      </c>
      <c r="B67" s="1" t="s">
        <v>136</v>
      </c>
      <c r="C67" s="10">
        <f>IFERROR(VLOOKUP(A67,'Centre DW13'!$A$7:$N$160,3,FALSE),0)+
IFERROR(VLOOKUP(A67,'Centre WR13'!$A$7:$N$160,3,FALSE),0)+
IFERROR(VLOOKUP(A67,'Centre WP13'!$A$7:$N$160,3,FALSE),0)</f>
        <v>0</v>
      </c>
      <c r="D67" s="10">
        <f>IFERROR(VLOOKUP(A67,'Centre DW13'!$A$7:$N$160,4,FALSE),0)+
IFERROR(VLOOKUP(A67,'Centre WR13'!$A$7:$N$160,4,FALSE),0)+
IFERROR(VLOOKUP(A67,'Centre WP13'!$A$7:$N$160,4,FALSE),0)</f>
        <v>0</v>
      </c>
      <c r="E67" s="10">
        <f>IFERROR(VLOOKUP(A67,'Centre DW13'!$A$7:$N$160,5,FALSE),0)+
IFERROR(VLOOKUP(A67,'Centre WR13'!$A$7:$N$160,5,FALSE),0)+
IFERROR(VLOOKUP(A67,'Centre WP13'!$A$7:$N$160,5,FALSE),0)</f>
        <v>0</v>
      </c>
      <c r="F67" s="10">
        <f>IFERROR(VLOOKUP(A67,'Centre DW13'!$A$7:$N$160,6,FALSE),0)+
IFERROR(VLOOKUP(A67,'Centre WR13'!$A$7:$N$160,6,FALSE),0)+
IFERROR(VLOOKUP(A67,'Centre WP13'!$A$7:$N$160,6,FALSE),0)</f>
        <v>0</v>
      </c>
      <c r="G67" s="10">
        <f>IFERROR(VLOOKUP(A67,'Centre DW13'!$A$7:$N$160,7,FALSE),0)+
IFERROR(VLOOKUP(A67,'Centre WR13'!$A$7:$N$160,7,FALSE),0)+
IFERROR(VLOOKUP(A67,'Centre WP13'!$A$7:$N$160,7,FALSE),0)</f>
        <v>0</v>
      </c>
      <c r="H67" s="10">
        <f>IFERROR(VLOOKUP(A67,'Centre DW13'!$A$7:$N$160,8,FALSE),0)+
IFERROR(VLOOKUP(A67,'Centre WR13'!$A$7:$N$160,8,FALSE),0)+
IFERROR(VLOOKUP(A67,'Centre WP13'!$A$7:$N$160,8,FALSE),0)</f>
        <v>0</v>
      </c>
      <c r="I67" s="10">
        <f>IFERROR(VLOOKUP(A67,'Centre DW13'!$A$7:$N$160,9,FALSE),0)+
IFERROR(VLOOKUP(A67,'Centre WR13'!$A$7:$N$160,9,FALSE),0)+
IFERROR(VLOOKUP(A67,'Centre WP13'!$A$7:$N$160,9,FALSE),0)</f>
        <v>0</v>
      </c>
      <c r="J67" s="28">
        <f>IFERROR(VLOOKUP(A67,'Centre DW13'!$A$7:$N$160,10,FALSE),0)+
IFERROR(VLOOKUP(A67,'Centre WR13'!$A$7:$N$160,10,FALSE),0)+
IFERROR(VLOOKUP(A67,'Centre WP13'!$A$7:$N$160,10,FALSE),0)</f>
        <v>0</v>
      </c>
      <c r="K67" s="28">
        <f>IFERROR(VLOOKUP(A67,'Centre DW13'!$A$7:$N$160,11,FALSE),0)+
IFERROR(VLOOKUP(A67,'Centre WR13'!$A$7:$N$160,11,FALSE),0)+
IFERROR(VLOOKUP(A67,'Centre WP13'!$A$7:$N$160,11,FALSE),0)</f>
        <v>0</v>
      </c>
      <c r="L67" s="28">
        <f>IFERROR(VLOOKUP(A67,'Centre DW13'!$A$7:$N$160,12,FALSE),0)+
IFERROR(VLOOKUP(A67,'Centre WR13'!$A$7:$N$160,12,FALSE),0)+
IFERROR(VLOOKUP(A67,'Centre WP13'!$A$7:$N$160,12,FALSE),0)</f>
        <v>0</v>
      </c>
      <c r="M67" s="28">
        <f>IFERROR(VLOOKUP(A67,'Centre DW13'!$A$7:$N$160,13,FALSE),0)+
IFERROR(VLOOKUP(A67,'Centre WR13'!$A$7:$N$160,13,FALSE),0)+
IFERROR(VLOOKUP(A67,'Centre WP13'!$A$7:$N$160,13,FALSE),0)</f>
        <v>0</v>
      </c>
      <c r="N67" s="28">
        <f>IFERROR(VLOOKUP(A67,'Centre DW13'!$A$7:$N$160,14,FALSE),0)+
IFERROR(VLOOKUP(A67,'Centre WR13'!$A$7:$N$160,14,FALSE),0)+
IFERROR(VLOOKUP(A67,'Centre WP13'!$A$7:$N$160,14,FALSE),0)</f>
        <v>0</v>
      </c>
    </row>
    <row r="68" spans="1:14" hidden="1" outlineLevel="1" x14ac:dyDescent="0.2">
      <c r="A68" s="9" t="s">
        <v>335</v>
      </c>
      <c r="B68" s="1" t="s">
        <v>336</v>
      </c>
      <c r="C68" s="10">
        <f>IFERROR(VLOOKUP(A68,'Centre DW13'!$A$7:$N$160,3,FALSE),0)+
IFERROR(VLOOKUP(A68,'Centre WR13'!$A$7:$N$160,3,FALSE),0)+
IFERROR(VLOOKUP(A68,'Centre WP13'!$A$7:$N$160,3,FALSE),0)</f>
        <v>0.1</v>
      </c>
      <c r="D68" s="10">
        <f>IFERROR(VLOOKUP(A68,'Centre DW13'!$A$7:$N$160,4,FALSE),0)+
IFERROR(VLOOKUP(A68,'Centre WR13'!$A$7:$N$160,4,FALSE),0)+
IFERROR(VLOOKUP(A68,'Centre WP13'!$A$7:$N$160,4,FALSE),0)</f>
        <v>-3.1</v>
      </c>
      <c r="E68" s="10">
        <f>IFERROR(VLOOKUP(A68,'Centre DW13'!$A$7:$N$160,5,FALSE),0)+
IFERROR(VLOOKUP(A68,'Centre WR13'!$A$7:$N$160,5,FALSE),0)+
IFERROR(VLOOKUP(A68,'Centre WP13'!$A$7:$N$160,5,FALSE),0)</f>
        <v>0.3</v>
      </c>
      <c r="F68" s="10">
        <f>IFERROR(VLOOKUP(A68,'Centre DW13'!$A$7:$N$160,6,FALSE),0)+
IFERROR(VLOOKUP(A68,'Centre WR13'!$A$7:$N$160,6,FALSE),0)+
IFERROR(VLOOKUP(A68,'Centre WP13'!$A$7:$N$160,6,FALSE),0)</f>
        <v>5.9</v>
      </c>
      <c r="G68" s="10">
        <f>IFERROR(VLOOKUP(A68,'Centre DW13'!$A$7:$N$160,7,FALSE),0)+
IFERROR(VLOOKUP(A68,'Centre WR13'!$A$7:$N$160,7,FALSE),0)+
IFERROR(VLOOKUP(A68,'Centre WP13'!$A$7:$N$160,7,FALSE),0)</f>
        <v>-0.5</v>
      </c>
      <c r="H68" s="10">
        <f>IFERROR(VLOOKUP(A68,'Centre DW13'!$A$7:$N$160,8,FALSE),0)+
IFERROR(VLOOKUP(A68,'Centre WR13'!$A$7:$N$160,8,FALSE),0)+
IFERROR(VLOOKUP(A68,'Centre WP13'!$A$7:$N$160,8,FALSE),0)</f>
        <v>8.1</v>
      </c>
      <c r="I68" s="10">
        <f>IFERROR(VLOOKUP(A68,'Centre DW13'!$A$7:$N$160,9,FALSE),0)+
IFERROR(VLOOKUP(A68,'Centre WR13'!$A$7:$N$160,9,FALSE),0)+
IFERROR(VLOOKUP(A68,'Centre WP13'!$A$7:$N$160,9,FALSE),0)</f>
        <v>0</v>
      </c>
      <c r="J68" s="28">
        <f>IFERROR(VLOOKUP(A68,'Centre DW13'!$A$7:$N$160,10,FALSE),0)+
IFERROR(VLOOKUP(A68,'Centre WR13'!$A$7:$N$160,10,FALSE),0)+
IFERROR(VLOOKUP(A68,'Centre WP13'!$A$7:$N$160,10,FALSE),0)</f>
        <v>5.9</v>
      </c>
      <c r="K68" s="28">
        <f>IFERROR(VLOOKUP(A68,'Centre DW13'!$A$7:$N$160,11,FALSE),0)+
IFERROR(VLOOKUP(A68,'Centre WR13'!$A$7:$N$160,11,FALSE),0)+
IFERROR(VLOOKUP(A68,'Centre WP13'!$A$7:$N$160,11,FALSE),0)</f>
        <v>-0.5</v>
      </c>
      <c r="L68" s="28">
        <f>IFERROR(VLOOKUP(A68,'Centre DW13'!$A$7:$N$160,12,FALSE),0)+
IFERROR(VLOOKUP(A68,'Centre WR13'!$A$7:$N$160,12,FALSE),0)+
IFERROR(VLOOKUP(A68,'Centre WP13'!$A$7:$N$160,12,FALSE),0)</f>
        <v>8.1</v>
      </c>
      <c r="M68" s="28">
        <f>IFERROR(VLOOKUP(A68,'Centre DW13'!$A$7:$N$160,13,FALSE),0)+
IFERROR(VLOOKUP(A68,'Centre WR13'!$A$7:$N$160,13,FALSE),0)+
IFERROR(VLOOKUP(A68,'Centre WP13'!$A$7:$N$160,13,FALSE),0)</f>
        <v>7</v>
      </c>
      <c r="N68" s="28">
        <f>IFERROR(VLOOKUP(A68,'Centre DW13'!$A$7:$N$160,14,FALSE),0)+
IFERROR(VLOOKUP(A68,'Centre WR13'!$A$7:$N$160,14,FALSE),0)+
IFERROR(VLOOKUP(A68,'Centre WP13'!$A$7:$N$160,14,FALSE),0)</f>
        <v>-0.3</v>
      </c>
    </row>
    <row r="69" spans="1:14" collapsed="1" x14ac:dyDescent="0.2">
      <c r="A69" s="33" t="s">
        <v>137</v>
      </c>
      <c r="B69" s="34" t="s">
        <v>138</v>
      </c>
      <c r="C69" s="44">
        <f t="shared" ref="C69:N69" si="15">+C70</f>
        <v>0</v>
      </c>
      <c r="D69" s="44">
        <f t="shared" si="15"/>
        <v>0</v>
      </c>
      <c r="E69" s="44">
        <f t="shared" si="15"/>
        <v>0</v>
      </c>
      <c r="F69" s="44">
        <f t="shared" si="15"/>
        <v>0</v>
      </c>
      <c r="G69" s="44">
        <f t="shared" si="15"/>
        <v>0</v>
      </c>
      <c r="H69" s="44">
        <f t="shared" si="15"/>
        <v>0</v>
      </c>
      <c r="I69" s="44">
        <f t="shared" si="15"/>
        <v>0</v>
      </c>
      <c r="J69" s="44">
        <f t="shared" si="15"/>
        <v>0</v>
      </c>
      <c r="K69" s="44">
        <f t="shared" si="15"/>
        <v>0</v>
      </c>
      <c r="L69" s="44">
        <f t="shared" si="15"/>
        <v>0</v>
      </c>
      <c r="M69" s="44">
        <f t="shared" si="15"/>
        <v>0</v>
      </c>
      <c r="N69" s="44">
        <f t="shared" si="15"/>
        <v>0</v>
      </c>
    </row>
    <row r="70" spans="1:14" hidden="1" outlineLevel="1" x14ac:dyDescent="0.2">
      <c r="A70" s="9" t="s">
        <v>351</v>
      </c>
      <c r="B70" s="1" t="s">
        <v>352</v>
      </c>
      <c r="C70" s="10">
        <f>IFERROR(VLOOKUP(A70,'Centre DW13'!$A$7:$N$160,3,FALSE),0)+
IFERROR(VLOOKUP(A70,'Centre WR13'!$A$7:$N$160,3,FALSE),0)+
IFERROR(VLOOKUP(A70,'Centre WP13'!$A$7:$N$160,3,FALSE),0)</f>
        <v>0</v>
      </c>
      <c r="D70" s="10">
        <f>IFERROR(VLOOKUP(A70,'Centre DW13'!$A$7:$N$160,4,FALSE),0)+
IFERROR(VLOOKUP(A70,'Centre WR13'!$A$7:$N$160,4,FALSE),0)+
IFERROR(VLOOKUP(A70,'Centre WP13'!$A$7:$N$160,4,FALSE),0)</f>
        <v>0</v>
      </c>
      <c r="E70" s="10">
        <f>IFERROR(VLOOKUP(A70,'Centre DW13'!$A$7:$N$160,5,FALSE),0)+
IFERROR(VLOOKUP(A70,'Centre WR13'!$A$7:$N$160,5,FALSE),0)+
IFERROR(VLOOKUP(A70,'Centre WP13'!$A$7:$N$160,5,FALSE),0)</f>
        <v>0</v>
      </c>
      <c r="F70" s="10">
        <f>IFERROR(VLOOKUP(A70,'Centre DW13'!$A$7:$N$160,6,FALSE),0)+
IFERROR(VLOOKUP(A70,'Centre WR13'!$A$7:$N$160,6,FALSE),0)+
IFERROR(VLOOKUP(A70,'Centre WP13'!$A$7:$N$160,6,FALSE),0)</f>
        <v>0</v>
      </c>
      <c r="G70" s="10">
        <f>IFERROR(VLOOKUP(A70,'Centre DW13'!$A$7:$N$160,7,FALSE),0)+
IFERROR(VLOOKUP(A70,'Centre WR13'!$A$7:$N$160,7,FALSE),0)+
IFERROR(VLOOKUP(A70,'Centre WP13'!$A$7:$N$160,7,FALSE),0)</f>
        <v>0</v>
      </c>
      <c r="H70" s="10">
        <f>IFERROR(VLOOKUP(A70,'Centre DW13'!$A$7:$N$160,8,FALSE),0)+
IFERROR(VLOOKUP(A70,'Centre WR13'!$A$7:$N$160,8,FALSE),0)+
IFERROR(VLOOKUP(A70,'Centre WP13'!$A$7:$N$160,8,FALSE),0)</f>
        <v>0</v>
      </c>
      <c r="I70" s="10">
        <f>IFERROR(VLOOKUP(A70,'Centre DW13'!$A$7:$N$160,9,FALSE),0)+
IFERROR(VLOOKUP(A70,'Centre WR13'!$A$7:$N$160,9,FALSE),0)+
IFERROR(VLOOKUP(A70,'Centre WP13'!$A$7:$N$160,9,FALSE),0)</f>
        <v>0</v>
      </c>
      <c r="J70" s="28">
        <f>IFERROR(VLOOKUP(A70,'Centre DW13'!$A$7:$N$160,10,FALSE),0)+
IFERROR(VLOOKUP(A70,'Centre WR13'!$A$7:$N$160,10,FALSE),0)+
IFERROR(VLOOKUP(A70,'Centre WP13'!$A$7:$N$160,10,FALSE),0)</f>
        <v>0</v>
      </c>
      <c r="K70" s="28">
        <f>IFERROR(VLOOKUP(A70,'Centre DW13'!$A$7:$N$160,11,FALSE),0)+
IFERROR(VLOOKUP(A70,'Centre WR13'!$A$7:$N$160,11,FALSE),0)+
IFERROR(VLOOKUP(A70,'Centre WP13'!$A$7:$N$160,11,FALSE),0)</f>
        <v>0</v>
      </c>
      <c r="L70" s="28">
        <f>IFERROR(VLOOKUP(A70,'Centre DW13'!$A$7:$N$160,12,FALSE),0)+
IFERROR(VLOOKUP(A70,'Centre WR13'!$A$7:$N$160,12,FALSE),0)+
IFERROR(VLOOKUP(A70,'Centre WP13'!$A$7:$N$160,12,FALSE),0)</f>
        <v>0</v>
      </c>
      <c r="M70" s="28">
        <f>IFERROR(VLOOKUP(A70,'Centre DW13'!$A$7:$N$160,13,FALSE),0)+
IFERROR(VLOOKUP(A70,'Centre WR13'!$A$7:$N$160,13,FALSE),0)+
IFERROR(VLOOKUP(A70,'Centre WP13'!$A$7:$N$160,13,FALSE),0)</f>
        <v>0</v>
      </c>
      <c r="N70" s="28">
        <f>IFERROR(VLOOKUP(A70,'Centre DW13'!$A$7:$N$160,14,FALSE),0)+
IFERROR(VLOOKUP(A70,'Centre WR13'!$A$7:$N$160,14,FALSE),0)+
IFERROR(VLOOKUP(A70,'Centre WP13'!$A$7:$N$160,14,FALSE),0)</f>
        <v>0</v>
      </c>
    </row>
    <row r="71" spans="1:14" collapsed="1" x14ac:dyDescent="0.2">
      <c r="A71" s="33" t="s">
        <v>139</v>
      </c>
      <c r="B71" s="34" t="s">
        <v>140</v>
      </c>
      <c r="C71" s="44">
        <f t="shared" ref="C71:N71" si="16">+C72</f>
        <v>0</v>
      </c>
      <c r="D71" s="44">
        <f t="shared" si="16"/>
        <v>0</v>
      </c>
      <c r="E71" s="44">
        <f t="shared" si="16"/>
        <v>0</v>
      </c>
      <c r="F71" s="44">
        <f t="shared" si="16"/>
        <v>0</v>
      </c>
      <c r="G71" s="44">
        <f t="shared" si="16"/>
        <v>0</v>
      </c>
      <c r="H71" s="44">
        <f t="shared" si="16"/>
        <v>0</v>
      </c>
      <c r="I71" s="44">
        <f t="shared" si="16"/>
        <v>0</v>
      </c>
      <c r="J71" s="44">
        <f t="shared" si="16"/>
        <v>0</v>
      </c>
      <c r="K71" s="44">
        <f t="shared" si="16"/>
        <v>0</v>
      </c>
      <c r="L71" s="44">
        <f t="shared" si="16"/>
        <v>0</v>
      </c>
      <c r="M71" s="44">
        <f t="shared" si="16"/>
        <v>0</v>
      </c>
      <c r="N71" s="44">
        <f t="shared" si="16"/>
        <v>0</v>
      </c>
    </row>
    <row r="72" spans="1:14" hidden="1" outlineLevel="1" x14ac:dyDescent="0.2">
      <c r="A72" s="9" t="s">
        <v>353</v>
      </c>
      <c r="B72" s="1" t="s">
        <v>354</v>
      </c>
      <c r="C72" s="10">
        <f>IFERROR(VLOOKUP(A72,'Centre DW13'!$A$7:$N$160,3,FALSE),0)+
IFERROR(VLOOKUP(A72,'Centre WR13'!$A$7:$N$160,3,FALSE),0)+
IFERROR(VLOOKUP(A72,'Centre WP13'!$A$7:$N$160,3,FALSE),0)</f>
        <v>0</v>
      </c>
      <c r="D72" s="10">
        <f>IFERROR(VLOOKUP(A72,'Centre DW13'!$A$7:$N$160,4,FALSE),0)+
IFERROR(VLOOKUP(A72,'Centre WR13'!$A$7:$N$160,4,FALSE),0)+
IFERROR(VLOOKUP(A72,'Centre WP13'!$A$7:$N$160,4,FALSE),0)</f>
        <v>0</v>
      </c>
      <c r="E72" s="10">
        <f>IFERROR(VLOOKUP(A72,'Centre DW13'!$A$7:$N$160,5,FALSE),0)+
IFERROR(VLOOKUP(A72,'Centre WR13'!$A$7:$N$160,5,FALSE),0)+
IFERROR(VLOOKUP(A72,'Centre WP13'!$A$7:$N$160,5,FALSE),0)</f>
        <v>0</v>
      </c>
      <c r="F72" s="10">
        <f>IFERROR(VLOOKUP(A72,'Centre DW13'!$A$7:$N$160,6,FALSE),0)+
IFERROR(VLOOKUP(A72,'Centre WR13'!$A$7:$N$160,6,FALSE),0)+
IFERROR(VLOOKUP(A72,'Centre WP13'!$A$7:$N$160,6,FALSE),0)</f>
        <v>0</v>
      </c>
      <c r="G72" s="10">
        <f>IFERROR(VLOOKUP(A72,'Centre DW13'!$A$7:$N$160,7,FALSE),0)+
IFERROR(VLOOKUP(A72,'Centre WR13'!$A$7:$N$160,7,FALSE),0)+
IFERROR(VLOOKUP(A72,'Centre WP13'!$A$7:$N$160,7,FALSE),0)</f>
        <v>0</v>
      </c>
      <c r="H72" s="10">
        <f>IFERROR(VLOOKUP(A72,'Centre DW13'!$A$7:$N$160,8,FALSE),0)+
IFERROR(VLOOKUP(A72,'Centre WR13'!$A$7:$N$160,8,FALSE),0)+
IFERROR(VLOOKUP(A72,'Centre WP13'!$A$7:$N$160,8,FALSE),0)</f>
        <v>0</v>
      </c>
      <c r="I72" s="10">
        <f>IFERROR(VLOOKUP(A72,'Centre DW13'!$A$7:$N$160,9,FALSE),0)+
IFERROR(VLOOKUP(A72,'Centre WR13'!$A$7:$N$160,9,FALSE),0)+
IFERROR(VLOOKUP(A72,'Centre WP13'!$A$7:$N$160,9,FALSE),0)</f>
        <v>0</v>
      </c>
      <c r="J72" s="28">
        <f>IFERROR(VLOOKUP(A72,'Centre DW13'!$A$7:$N$160,10,FALSE),0)+
IFERROR(VLOOKUP(A72,'Centre WR13'!$A$7:$N$160,10,FALSE),0)+
IFERROR(VLOOKUP(A72,'Centre WP13'!$A$7:$N$160,10,FALSE),0)</f>
        <v>0</v>
      </c>
      <c r="K72" s="28">
        <f>IFERROR(VLOOKUP(A72,'Centre DW13'!$A$7:$N$160,11,FALSE),0)+
IFERROR(VLOOKUP(A72,'Centre WR13'!$A$7:$N$160,11,FALSE),0)+
IFERROR(VLOOKUP(A72,'Centre WP13'!$A$7:$N$160,11,FALSE),0)</f>
        <v>0</v>
      </c>
      <c r="L72" s="28">
        <f>IFERROR(VLOOKUP(A72,'Centre DW13'!$A$7:$N$160,12,FALSE),0)+
IFERROR(VLOOKUP(A72,'Centre WR13'!$A$7:$N$160,12,FALSE),0)+
IFERROR(VLOOKUP(A72,'Centre WP13'!$A$7:$N$160,12,FALSE),0)</f>
        <v>0</v>
      </c>
      <c r="M72" s="28">
        <f>IFERROR(VLOOKUP(A72,'Centre DW13'!$A$7:$N$160,13,FALSE),0)+
IFERROR(VLOOKUP(A72,'Centre WR13'!$A$7:$N$160,13,FALSE),0)+
IFERROR(VLOOKUP(A72,'Centre WP13'!$A$7:$N$160,13,FALSE),0)</f>
        <v>0</v>
      </c>
      <c r="N72" s="28">
        <f>IFERROR(VLOOKUP(A72,'Centre DW13'!$A$7:$N$160,14,FALSE),0)+
IFERROR(VLOOKUP(A72,'Centre WR13'!$A$7:$N$160,14,FALSE),0)+
IFERROR(VLOOKUP(A72,'Centre WP13'!$A$7:$N$160,14,FALSE),0)</f>
        <v>0</v>
      </c>
    </row>
    <row r="73" spans="1:14" collapsed="1" x14ac:dyDescent="0.2">
      <c r="A73" s="33" t="s">
        <v>141</v>
      </c>
      <c r="B73" s="34" t="s">
        <v>142</v>
      </c>
      <c r="C73" s="44">
        <f>IFERROR(VLOOKUP(A73,'Centre DW13'!$A$7:$N$160,3,FALSE),0)+
IFERROR(VLOOKUP(A73,'Centre WR13'!$A$7:$N$160,3,FALSE),0)+
IFERROR(VLOOKUP(A73,'Centre WP13'!$A$7:$N$160,3,FALSE),0)</f>
        <v>0</v>
      </c>
      <c r="D73" s="44">
        <f>IFERROR(VLOOKUP(A73,'Centre DW13'!$A$7:$N$160,4,FALSE),0)+
IFERROR(VLOOKUP(A73,'Centre WR13'!$A$7:$N$160,4,FALSE),0)+
IFERROR(VLOOKUP(A73,'Centre WP13'!$A$7:$N$160,4,FALSE),0)</f>
        <v>0</v>
      </c>
      <c r="E73" s="44">
        <f>IFERROR(VLOOKUP(A73,'Centre DW13'!$A$7:$N$160,5,FALSE),0)+
IFERROR(VLOOKUP(A73,'Centre WR13'!$A$7:$N$160,5,FALSE),0)+
IFERROR(VLOOKUP(A73,'Centre WP13'!$A$7:$N$160,5,FALSE),0)</f>
        <v>0</v>
      </c>
      <c r="F73" s="44">
        <f>IFERROR(VLOOKUP(A73,'Centre DW13'!$A$7:$N$160,6,FALSE),0)+
IFERROR(VLOOKUP(A73,'Centre WR13'!$A$7:$N$160,6,FALSE),0)+
IFERROR(VLOOKUP(A73,'Centre WP13'!$A$7:$N$160,6,FALSE),0)</f>
        <v>0</v>
      </c>
      <c r="G73" s="44">
        <f>IFERROR(VLOOKUP(A73,'Centre DW13'!$A$7:$N$160,7,FALSE),0)+
IFERROR(VLOOKUP(A73,'Centre WR13'!$A$7:$N$160,7,FALSE),0)+
IFERROR(VLOOKUP(A73,'Centre WP13'!$A$7:$N$160,7,FALSE),0)</f>
        <v>0</v>
      </c>
      <c r="H73" s="44">
        <f>IFERROR(VLOOKUP(A73,'Centre DW13'!$A$7:$N$160,8,FALSE),0)+
IFERROR(VLOOKUP(A73,'Centre WR13'!$A$7:$N$160,8,FALSE),0)+
IFERROR(VLOOKUP(A73,'Centre WP13'!$A$7:$N$160,8,FALSE),0)</f>
        <v>0</v>
      </c>
      <c r="I73" s="44">
        <f>IFERROR(VLOOKUP(A73,'Centre DW13'!$A$7:$N$160,9,FALSE),0)+
IFERROR(VLOOKUP(A73,'Centre WR13'!$A$7:$N$160,9,FALSE),0)+
IFERROR(VLOOKUP(A73,'Centre WP13'!$A$7:$N$160,9,FALSE),0)</f>
        <v>0</v>
      </c>
      <c r="J73" s="44">
        <f>IFERROR(VLOOKUP(A73,'Centre DW13'!$A$7:$N$160,10,FALSE),0)+
IFERROR(VLOOKUP(A73,'Centre WR13'!$A$7:$N$160,10,FALSE),0)+
IFERROR(VLOOKUP(A73,'Centre WP13'!$A$7:$N$160,10,FALSE),0)</f>
        <v>0</v>
      </c>
      <c r="K73" s="44">
        <f>IFERROR(VLOOKUP(A73,'Centre DW13'!$A$7:$N$160,11,FALSE),0)+
IFERROR(VLOOKUP(A73,'Centre WR13'!$A$7:$N$160,11,FALSE),0)+
IFERROR(VLOOKUP(A73,'Centre WP13'!$A$7:$N$160,11,FALSE),0)</f>
        <v>0</v>
      </c>
      <c r="L73" s="44">
        <f>IFERROR(VLOOKUP(A73,'Centre DW13'!$A$7:$N$160,12,FALSE),0)+
IFERROR(VLOOKUP(A73,'Centre WR13'!$A$7:$N$160,12,FALSE),0)+
IFERROR(VLOOKUP(A73,'Centre WP13'!$A$7:$N$160,12,FALSE),0)</f>
        <v>0</v>
      </c>
      <c r="M73" s="44">
        <f>IFERROR(VLOOKUP(A73,'Centre DW13'!$A$7:$N$160,13,FALSE),0)+
IFERROR(VLOOKUP(A73,'Centre WR13'!$A$7:$N$160,13,FALSE),0)+
IFERROR(VLOOKUP(A73,'Centre WP13'!$A$7:$N$160,13,FALSE),0)</f>
        <v>0</v>
      </c>
      <c r="N73" s="44">
        <f>IFERROR(VLOOKUP(A73,'Centre DW13'!$A$7:$N$160,14,FALSE),0)+
IFERROR(VLOOKUP(A73,'Centre WR13'!$A$7:$N$160,14,FALSE),0)+
IFERROR(VLOOKUP(A73,'Centre WP13'!$A$7:$N$160,14,FALSE),0)</f>
        <v>0</v>
      </c>
    </row>
    <row r="74" spans="1:14" x14ac:dyDescent="0.2">
      <c r="A74" s="33" t="s">
        <v>143</v>
      </c>
      <c r="B74" s="34" t="s">
        <v>144</v>
      </c>
      <c r="C74" s="44">
        <f t="shared" ref="C74:N74" si="17">SUM(C75:C80)</f>
        <v>10.7</v>
      </c>
      <c r="D74" s="44">
        <f t="shared" si="17"/>
        <v>8.5</v>
      </c>
      <c r="E74" s="44">
        <f t="shared" si="17"/>
        <v>9.1</v>
      </c>
      <c r="F74" s="44">
        <f t="shared" si="17"/>
        <v>8.6</v>
      </c>
      <c r="G74" s="44">
        <f t="shared" si="17"/>
        <v>18.299999999999997</v>
      </c>
      <c r="H74" s="44">
        <f t="shared" si="17"/>
        <v>10.4</v>
      </c>
      <c r="I74" s="44">
        <f t="shared" si="17"/>
        <v>14.6</v>
      </c>
      <c r="J74" s="44">
        <f t="shared" si="17"/>
        <v>9.2999999999999989</v>
      </c>
      <c r="K74" s="44">
        <f t="shared" si="17"/>
        <v>8.6</v>
      </c>
      <c r="L74" s="44">
        <f t="shared" si="17"/>
        <v>18.999999999999996</v>
      </c>
      <c r="M74" s="44">
        <f t="shared" si="17"/>
        <v>11.100000000000001</v>
      </c>
      <c r="N74" s="44">
        <f t="shared" si="17"/>
        <v>13.9</v>
      </c>
    </row>
    <row r="75" spans="1:14" hidden="1" outlineLevel="1" x14ac:dyDescent="0.2">
      <c r="A75" s="9" t="s">
        <v>145</v>
      </c>
      <c r="B75" s="1" t="s">
        <v>146</v>
      </c>
      <c r="C75" s="10">
        <f>IFERROR(VLOOKUP(A75,'Centre DW13'!$A$7:$N$160,3,FALSE),0)+
IFERROR(VLOOKUP(A75,'Centre WR13'!$A$7:$N$160,3,FALSE),0)+
IFERROR(VLOOKUP(A75,'Centre WP13'!$A$7:$N$160,3,FALSE),0)</f>
        <v>10</v>
      </c>
      <c r="D75" s="10">
        <f>IFERROR(VLOOKUP(A75,'Centre DW13'!$A$7:$N$160,4,FALSE),0)+
IFERROR(VLOOKUP(A75,'Centre WR13'!$A$7:$N$160,4,FALSE),0)+
IFERROR(VLOOKUP(A75,'Centre WP13'!$A$7:$N$160,4,FALSE),0)</f>
        <v>8.5</v>
      </c>
      <c r="E75" s="10">
        <f>IFERROR(VLOOKUP(A75,'Centre DW13'!$A$7:$N$160,5,FALSE),0)+
IFERROR(VLOOKUP(A75,'Centre WR13'!$A$7:$N$160,5,FALSE),0)+
IFERROR(VLOOKUP(A75,'Centre WP13'!$A$7:$N$160,5,FALSE),0)</f>
        <v>9.1</v>
      </c>
      <c r="F75" s="10">
        <f>IFERROR(VLOOKUP(A75,'Centre DW13'!$A$7:$N$160,6,FALSE),0)+
IFERROR(VLOOKUP(A75,'Centre WR13'!$A$7:$N$160,6,FALSE),0)+
IFERROR(VLOOKUP(A75,'Centre WP13'!$A$7:$N$160,6,FALSE),0)</f>
        <v>8.6</v>
      </c>
      <c r="G75" s="10">
        <f>IFERROR(VLOOKUP(A75,'Centre DW13'!$A$7:$N$160,7,FALSE),0)+
IFERROR(VLOOKUP(A75,'Centre WR13'!$A$7:$N$160,7,FALSE),0)+
IFERROR(VLOOKUP(A75,'Centre WP13'!$A$7:$N$160,7,FALSE),0)</f>
        <v>17.5</v>
      </c>
      <c r="H75" s="10">
        <f>IFERROR(VLOOKUP(A75,'Centre DW13'!$A$7:$N$160,8,FALSE),0)+
IFERROR(VLOOKUP(A75,'Centre WR13'!$A$7:$N$160,8,FALSE),0)+
IFERROR(VLOOKUP(A75,'Centre WP13'!$A$7:$N$160,8,FALSE),0)</f>
        <v>7.1</v>
      </c>
      <c r="I75" s="10">
        <f>IFERROR(VLOOKUP(A75,'Centre DW13'!$A$7:$N$160,9,FALSE),0)+
IFERROR(VLOOKUP(A75,'Centre WR13'!$A$7:$N$160,9,FALSE),0)+
IFERROR(VLOOKUP(A75,'Centre WP13'!$A$7:$N$160,9,FALSE),0)</f>
        <v>11.2</v>
      </c>
      <c r="J75" s="28">
        <f>IFERROR(VLOOKUP(A75,'Centre DW13'!$A$7:$N$160,10,FALSE),0)+
IFERROR(VLOOKUP(A75,'Centre WR13'!$A$7:$N$160,10,FALSE),0)+
IFERROR(VLOOKUP(A75,'Centre WP13'!$A$7:$N$160,10,FALSE),0)</f>
        <v>9.2999999999999989</v>
      </c>
      <c r="K75" s="28">
        <f>IFERROR(VLOOKUP(A75,'Centre DW13'!$A$7:$N$160,11,FALSE),0)+
IFERROR(VLOOKUP(A75,'Centre WR13'!$A$7:$N$160,11,FALSE),0)+
IFERROR(VLOOKUP(A75,'Centre WP13'!$A$7:$N$160,11,FALSE),0)</f>
        <v>8.6</v>
      </c>
      <c r="L75" s="28">
        <f>IFERROR(VLOOKUP(A75,'Centre DW13'!$A$7:$N$160,12,FALSE),0)+
IFERROR(VLOOKUP(A75,'Centre WR13'!$A$7:$N$160,12,FALSE),0)+
IFERROR(VLOOKUP(A75,'Centre WP13'!$A$7:$N$160,12,FALSE),0)</f>
        <v>18.2</v>
      </c>
      <c r="M75" s="28">
        <f>IFERROR(VLOOKUP(A75,'Centre DW13'!$A$7:$N$160,13,FALSE),0)+
IFERROR(VLOOKUP(A75,'Centre WR13'!$A$7:$N$160,13,FALSE),0)+
IFERROR(VLOOKUP(A75,'Centre WP13'!$A$7:$N$160,13,FALSE),0)</f>
        <v>7.8</v>
      </c>
      <c r="N75" s="28">
        <f>IFERROR(VLOOKUP(A75,'Centre DW13'!$A$7:$N$160,14,FALSE),0)+
IFERROR(VLOOKUP(A75,'Centre WR13'!$A$7:$N$160,14,FALSE),0)+
IFERROR(VLOOKUP(A75,'Centre WP13'!$A$7:$N$160,14,FALSE),0)</f>
        <v>10.5</v>
      </c>
    </row>
    <row r="76" spans="1:14" hidden="1" outlineLevel="1" x14ac:dyDescent="0.2">
      <c r="A76" s="9" t="s">
        <v>147</v>
      </c>
      <c r="B76" s="1" t="s">
        <v>148</v>
      </c>
      <c r="C76" s="10">
        <f>IFERROR(VLOOKUP(A76,'Centre DW13'!$A$7:$N$160,3,FALSE),0)+
IFERROR(VLOOKUP(A76,'Centre WR13'!$A$7:$N$160,3,FALSE),0)+
IFERROR(VLOOKUP(A76,'Centre WP13'!$A$7:$N$160,3,FALSE),0)</f>
        <v>0</v>
      </c>
      <c r="D76" s="10">
        <f>IFERROR(VLOOKUP(A76,'Centre DW13'!$A$7:$N$160,4,FALSE),0)+
IFERROR(VLOOKUP(A76,'Centre WR13'!$A$7:$N$160,4,FALSE),0)+
IFERROR(VLOOKUP(A76,'Centre WP13'!$A$7:$N$160,4,FALSE),0)</f>
        <v>0</v>
      </c>
      <c r="E76" s="10">
        <f>IFERROR(VLOOKUP(A76,'Centre DW13'!$A$7:$N$160,5,FALSE),0)+
IFERROR(VLOOKUP(A76,'Centre WR13'!$A$7:$N$160,5,FALSE),0)+
IFERROR(VLOOKUP(A76,'Centre WP13'!$A$7:$N$160,5,FALSE),0)</f>
        <v>0</v>
      </c>
      <c r="F76" s="10">
        <f>IFERROR(VLOOKUP(A76,'Centre DW13'!$A$7:$N$160,6,FALSE),0)+
IFERROR(VLOOKUP(A76,'Centre WR13'!$A$7:$N$160,6,FALSE),0)+
IFERROR(VLOOKUP(A76,'Centre WP13'!$A$7:$N$160,6,FALSE),0)</f>
        <v>0</v>
      </c>
      <c r="G76" s="10">
        <f>IFERROR(VLOOKUP(A76,'Centre DW13'!$A$7:$N$160,7,FALSE),0)+
IFERROR(VLOOKUP(A76,'Centre WR13'!$A$7:$N$160,7,FALSE),0)+
IFERROR(VLOOKUP(A76,'Centre WP13'!$A$7:$N$160,7,FALSE),0)</f>
        <v>0</v>
      </c>
      <c r="H76" s="10">
        <f>IFERROR(VLOOKUP(A76,'Centre DW13'!$A$7:$N$160,8,FALSE),0)+
IFERROR(VLOOKUP(A76,'Centre WR13'!$A$7:$N$160,8,FALSE),0)+
IFERROR(VLOOKUP(A76,'Centre WP13'!$A$7:$N$160,8,FALSE),0)</f>
        <v>0.2</v>
      </c>
      <c r="I76" s="10">
        <f>IFERROR(VLOOKUP(A76,'Centre DW13'!$A$7:$N$160,9,FALSE),0)+
IFERROR(VLOOKUP(A76,'Centre WR13'!$A$7:$N$160,9,FALSE),0)+
IFERROR(VLOOKUP(A76,'Centre WP13'!$A$7:$N$160,9,FALSE),0)</f>
        <v>0</v>
      </c>
      <c r="J76" s="28">
        <f>IFERROR(VLOOKUP(A76,'Centre DW13'!$A$7:$N$160,10,FALSE),0)+
IFERROR(VLOOKUP(A76,'Centre WR13'!$A$7:$N$160,10,FALSE),0)+
IFERROR(VLOOKUP(A76,'Centre WP13'!$A$7:$N$160,10,FALSE),0)</f>
        <v>0</v>
      </c>
      <c r="K76" s="28">
        <f>IFERROR(VLOOKUP(A76,'Centre DW13'!$A$7:$N$160,11,FALSE),0)+
IFERROR(VLOOKUP(A76,'Centre WR13'!$A$7:$N$160,11,FALSE),0)+
IFERROR(VLOOKUP(A76,'Centre WP13'!$A$7:$N$160,11,FALSE),0)</f>
        <v>0</v>
      </c>
      <c r="L76" s="28">
        <f>IFERROR(VLOOKUP(A76,'Centre DW13'!$A$7:$N$160,12,FALSE),0)+
IFERROR(VLOOKUP(A76,'Centre WR13'!$A$7:$N$160,12,FALSE),0)+
IFERROR(VLOOKUP(A76,'Centre WP13'!$A$7:$N$160,12,FALSE),0)</f>
        <v>0</v>
      </c>
      <c r="M76" s="28">
        <f>IFERROR(VLOOKUP(A76,'Centre DW13'!$A$7:$N$160,13,FALSE),0)+
IFERROR(VLOOKUP(A76,'Centre WR13'!$A$7:$N$160,13,FALSE),0)+
IFERROR(VLOOKUP(A76,'Centre WP13'!$A$7:$N$160,13,FALSE),0)</f>
        <v>0.2</v>
      </c>
      <c r="N76" s="28">
        <f>IFERROR(VLOOKUP(A76,'Centre DW13'!$A$7:$N$160,14,FALSE),0)+
IFERROR(VLOOKUP(A76,'Centre WR13'!$A$7:$N$160,14,FALSE),0)+
IFERROR(VLOOKUP(A76,'Centre WP13'!$A$7:$N$160,14,FALSE),0)</f>
        <v>0</v>
      </c>
    </row>
    <row r="77" spans="1:14" hidden="1" outlineLevel="1" x14ac:dyDescent="0.2">
      <c r="A77" s="9" t="s">
        <v>149</v>
      </c>
      <c r="B77" s="1" t="s">
        <v>150</v>
      </c>
      <c r="C77" s="10">
        <f>IFERROR(VLOOKUP(A77,'Centre DW13'!$A$7:$N$160,3,FALSE),0)+
IFERROR(VLOOKUP(A77,'Centre WR13'!$A$7:$N$160,3,FALSE),0)+
IFERROR(VLOOKUP(A77,'Centre WP13'!$A$7:$N$160,3,FALSE),0)</f>
        <v>0</v>
      </c>
      <c r="D77" s="10">
        <f>IFERROR(VLOOKUP(A77,'Centre DW13'!$A$7:$N$160,4,FALSE),0)+
IFERROR(VLOOKUP(A77,'Centre WR13'!$A$7:$N$160,4,FALSE),0)+
IFERROR(VLOOKUP(A77,'Centre WP13'!$A$7:$N$160,4,FALSE),0)</f>
        <v>0</v>
      </c>
      <c r="E77" s="10">
        <f>IFERROR(VLOOKUP(A77,'Centre DW13'!$A$7:$N$160,5,FALSE),0)+
IFERROR(VLOOKUP(A77,'Centre WR13'!$A$7:$N$160,5,FALSE),0)+
IFERROR(VLOOKUP(A77,'Centre WP13'!$A$7:$N$160,5,FALSE),0)</f>
        <v>0</v>
      </c>
      <c r="F77" s="10">
        <f>IFERROR(VLOOKUP(A77,'Centre DW13'!$A$7:$N$160,6,FALSE),0)+
IFERROR(VLOOKUP(A77,'Centre WR13'!$A$7:$N$160,6,FALSE),0)+
IFERROR(VLOOKUP(A77,'Centre WP13'!$A$7:$N$160,6,FALSE),0)</f>
        <v>0</v>
      </c>
      <c r="G77" s="10">
        <f>IFERROR(VLOOKUP(A77,'Centre DW13'!$A$7:$N$160,7,FALSE),0)+
IFERROR(VLOOKUP(A77,'Centre WR13'!$A$7:$N$160,7,FALSE),0)+
IFERROR(VLOOKUP(A77,'Centre WP13'!$A$7:$N$160,7,FALSE),0)</f>
        <v>0</v>
      </c>
      <c r="H77" s="10">
        <f>IFERROR(VLOOKUP(A77,'Centre DW13'!$A$7:$N$160,8,FALSE),0)+
IFERROR(VLOOKUP(A77,'Centre WR13'!$A$7:$N$160,8,FALSE),0)+
IFERROR(VLOOKUP(A77,'Centre WP13'!$A$7:$N$160,8,FALSE),0)</f>
        <v>0</v>
      </c>
      <c r="I77" s="10">
        <f>IFERROR(VLOOKUP(A77,'Centre DW13'!$A$7:$N$160,9,FALSE),0)+
IFERROR(VLOOKUP(A77,'Centre WR13'!$A$7:$N$160,9,FALSE),0)+
IFERROR(VLOOKUP(A77,'Centre WP13'!$A$7:$N$160,9,FALSE),0)</f>
        <v>0</v>
      </c>
      <c r="J77" s="28">
        <f>IFERROR(VLOOKUP(A77,'Centre DW13'!$A$7:$N$160,10,FALSE),0)+
IFERROR(VLOOKUP(A77,'Centre WR13'!$A$7:$N$160,10,FALSE),0)+
IFERROR(VLOOKUP(A77,'Centre WP13'!$A$7:$N$160,10,FALSE),0)</f>
        <v>0</v>
      </c>
      <c r="K77" s="28">
        <f>IFERROR(VLOOKUP(A77,'Centre DW13'!$A$7:$N$160,11,FALSE),0)+
IFERROR(VLOOKUP(A77,'Centre WR13'!$A$7:$N$160,11,FALSE),0)+
IFERROR(VLOOKUP(A77,'Centre WP13'!$A$7:$N$160,11,FALSE),0)</f>
        <v>0</v>
      </c>
      <c r="L77" s="28">
        <f>IFERROR(VLOOKUP(A77,'Centre DW13'!$A$7:$N$160,12,FALSE),0)+
IFERROR(VLOOKUP(A77,'Centre WR13'!$A$7:$N$160,12,FALSE),0)+
IFERROR(VLOOKUP(A77,'Centre WP13'!$A$7:$N$160,12,FALSE),0)</f>
        <v>0</v>
      </c>
      <c r="M77" s="28">
        <f>IFERROR(VLOOKUP(A77,'Centre DW13'!$A$7:$N$160,13,FALSE),0)+
IFERROR(VLOOKUP(A77,'Centre WR13'!$A$7:$N$160,13,FALSE),0)+
IFERROR(VLOOKUP(A77,'Centre WP13'!$A$7:$N$160,13,FALSE),0)</f>
        <v>0</v>
      </c>
      <c r="N77" s="28">
        <f>IFERROR(VLOOKUP(A77,'Centre DW13'!$A$7:$N$160,14,FALSE),0)+
IFERROR(VLOOKUP(A77,'Centre WR13'!$A$7:$N$160,14,FALSE),0)+
IFERROR(VLOOKUP(A77,'Centre WP13'!$A$7:$N$160,14,FALSE),0)</f>
        <v>0</v>
      </c>
    </row>
    <row r="78" spans="1:14" hidden="1" outlineLevel="1" x14ac:dyDescent="0.2">
      <c r="A78" s="9" t="s">
        <v>151</v>
      </c>
      <c r="B78" s="1" t="s">
        <v>152</v>
      </c>
      <c r="C78" s="10">
        <f>IFERROR(VLOOKUP(A78,'Centre DW13'!$A$7:$N$160,3,FALSE),0)+
IFERROR(VLOOKUP(A78,'Centre WR13'!$A$7:$N$160,3,FALSE),0)+
IFERROR(VLOOKUP(A78,'Centre WP13'!$A$7:$N$160,3,FALSE),0)</f>
        <v>0</v>
      </c>
      <c r="D78" s="10">
        <f>IFERROR(VLOOKUP(A78,'Centre DW13'!$A$7:$N$160,4,FALSE),0)+
IFERROR(VLOOKUP(A78,'Centre WR13'!$A$7:$N$160,4,FALSE),0)+
IFERROR(VLOOKUP(A78,'Centre WP13'!$A$7:$N$160,4,FALSE),0)</f>
        <v>0</v>
      </c>
      <c r="E78" s="10">
        <f>IFERROR(VLOOKUP(A78,'Centre DW13'!$A$7:$N$160,5,FALSE),0)+
IFERROR(VLOOKUP(A78,'Centre WR13'!$A$7:$N$160,5,FALSE),0)+
IFERROR(VLOOKUP(A78,'Centre WP13'!$A$7:$N$160,5,FALSE),0)</f>
        <v>0</v>
      </c>
      <c r="F78" s="10">
        <f>IFERROR(VLOOKUP(A78,'Centre DW13'!$A$7:$N$160,6,FALSE),0)+
IFERROR(VLOOKUP(A78,'Centre WR13'!$A$7:$N$160,6,FALSE),0)+
IFERROR(VLOOKUP(A78,'Centre WP13'!$A$7:$N$160,6,FALSE),0)</f>
        <v>0</v>
      </c>
      <c r="G78" s="10">
        <f>IFERROR(VLOOKUP(A78,'Centre DW13'!$A$7:$N$160,7,FALSE),0)+
IFERROR(VLOOKUP(A78,'Centre WR13'!$A$7:$N$160,7,FALSE),0)+
IFERROR(VLOOKUP(A78,'Centre WP13'!$A$7:$N$160,7,FALSE),0)</f>
        <v>0</v>
      </c>
      <c r="H78" s="10">
        <f>IFERROR(VLOOKUP(A78,'Centre DW13'!$A$7:$N$160,8,FALSE),0)+
IFERROR(VLOOKUP(A78,'Centre WR13'!$A$7:$N$160,8,FALSE),0)+
IFERROR(VLOOKUP(A78,'Centre WP13'!$A$7:$N$160,8,FALSE),0)</f>
        <v>0</v>
      </c>
      <c r="I78" s="10">
        <f>IFERROR(VLOOKUP(A78,'Centre DW13'!$A$7:$N$160,9,FALSE),0)+
IFERROR(VLOOKUP(A78,'Centre WR13'!$A$7:$N$160,9,FALSE),0)+
IFERROR(VLOOKUP(A78,'Centre WP13'!$A$7:$N$160,9,FALSE),0)</f>
        <v>0</v>
      </c>
      <c r="J78" s="28">
        <f>IFERROR(VLOOKUP(A78,'Centre DW13'!$A$7:$N$160,10,FALSE),0)+
IFERROR(VLOOKUP(A78,'Centre WR13'!$A$7:$N$160,10,FALSE),0)+
IFERROR(VLOOKUP(A78,'Centre WP13'!$A$7:$N$160,10,FALSE),0)</f>
        <v>0</v>
      </c>
      <c r="K78" s="28">
        <f>IFERROR(VLOOKUP(A78,'Centre DW13'!$A$7:$N$160,11,FALSE),0)+
IFERROR(VLOOKUP(A78,'Centre WR13'!$A$7:$N$160,11,FALSE),0)+
IFERROR(VLOOKUP(A78,'Centre WP13'!$A$7:$N$160,11,FALSE),0)</f>
        <v>0</v>
      </c>
      <c r="L78" s="28">
        <f>IFERROR(VLOOKUP(A78,'Centre DW13'!$A$7:$N$160,12,FALSE),0)+
IFERROR(VLOOKUP(A78,'Centre WR13'!$A$7:$N$160,12,FALSE),0)+
IFERROR(VLOOKUP(A78,'Centre WP13'!$A$7:$N$160,12,FALSE),0)</f>
        <v>0</v>
      </c>
      <c r="M78" s="28">
        <f>IFERROR(VLOOKUP(A78,'Centre DW13'!$A$7:$N$160,13,FALSE),0)+
IFERROR(VLOOKUP(A78,'Centre WR13'!$A$7:$N$160,13,FALSE),0)+
IFERROR(VLOOKUP(A78,'Centre WP13'!$A$7:$N$160,13,FALSE),0)</f>
        <v>0</v>
      </c>
      <c r="N78" s="28">
        <f>IFERROR(VLOOKUP(A78,'Centre DW13'!$A$7:$N$160,14,FALSE),0)+
IFERROR(VLOOKUP(A78,'Centre WR13'!$A$7:$N$160,14,FALSE),0)+
IFERROR(VLOOKUP(A78,'Centre WP13'!$A$7:$N$160,14,FALSE),0)</f>
        <v>0</v>
      </c>
    </row>
    <row r="79" spans="1:14" hidden="1" outlineLevel="1" x14ac:dyDescent="0.2">
      <c r="A79" s="9" t="s">
        <v>153</v>
      </c>
      <c r="B79" s="1" t="s">
        <v>154</v>
      </c>
      <c r="C79" s="10">
        <f>IFERROR(VLOOKUP(A79,'Centre DW13'!$A$7:$N$160,3,FALSE),0)+
IFERROR(VLOOKUP(A79,'Centre WR13'!$A$7:$N$160,3,FALSE),0)+
IFERROR(VLOOKUP(A79,'Centre WP13'!$A$7:$N$160,3,FALSE),0)</f>
        <v>0</v>
      </c>
      <c r="D79" s="10">
        <f>IFERROR(VLOOKUP(A79,'Centre DW13'!$A$7:$N$160,4,FALSE),0)+
IFERROR(VLOOKUP(A79,'Centre WR13'!$A$7:$N$160,4,FALSE),0)+
IFERROR(VLOOKUP(A79,'Centre WP13'!$A$7:$N$160,4,FALSE),0)</f>
        <v>0</v>
      </c>
      <c r="E79" s="10">
        <f>IFERROR(VLOOKUP(A79,'Centre DW13'!$A$7:$N$160,5,FALSE),0)+
IFERROR(VLOOKUP(A79,'Centre WR13'!$A$7:$N$160,5,FALSE),0)+
IFERROR(VLOOKUP(A79,'Centre WP13'!$A$7:$N$160,5,FALSE),0)</f>
        <v>0</v>
      </c>
      <c r="F79" s="10">
        <f>IFERROR(VLOOKUP(A79,'Centre DW13'!$A$7:$N$160,6,FALSE),0)+
IFERROR(VLOOKUP(A79,'Centre WR13'!$A$7:$N$160,6,FALSE),0)+
IFERROR(VLOOKUP(A79,'Centre WP13'!$A$7:$N$160,6,FALSE),0)</f>
        <v>0</v>
      </c>
      <c r="G79" s="10">
        <f>IFERROR(VLOOKUP(A79,'Centre DW13'!$A$7:$N$160,7,FALSE),0)+
IFERROR(VLOOKUP(A79,'Centre WR13'!$A$7:$N$160,7,FALSE),0)+
IFERROR(VLOOKUP(A79,'Centre WP13'!$A$7:$N$160,7,FALSE),0)</f>
        <v>0.4</v>
      </c>
      <c r="H79" s="10">
        <f>IFERROR(VLOOKUP(A79,'Centre DW13'!$A$7:$N$160,8,FALSE),0)+
IFERROR(VLOOKUP(A79,'Centre WR13'!$A$7:$N$160,8,FALSE),0)+
IFERROR(VLOOKUP(A79,'Centre WP13'!$A$7:$N$160,8,FALSE),0)</f>
        <v>2.8</v>
      </c>
      <c r="I79" s="10">
        <f>IFERROR(VLOOKUP(A79,'Centre DW13'!$A$7:$N$160,9,FALSE),0)+
IFERROR(VLOOKUP(A79,'Centre WR13'!$A$7:$N$160,9,FALSE),0)+
IFERROR(VLOOKUP(A79,'Centre WP13'!$A$7:$N$160,9,FALSE),0)</f>
        <v>3</v>
      </c>
      <c r="J79" s="28">
        <f>IFERROR(VLOOKUP(A79,'Centre DW13'!$A$7:$N$160,10,FALSE),0)+
IFERROR(VLOOKUP(A79,'Centre WR13'!$A$7:$N$160,10,FALSE),0)+
IFERROR(VLOOKUP(A79,'Centre WP13'!$A$7:$N$160,10,FALSE),0)</f>
        <v>0</v>
      </c>
      <c r="K79" s="28">
        <f>IFERROR(VLOOKUP(A79,'Centre DW13'!$A$7:$N$160,11,FALSE),0)+
IFERROR(VLOOKUP(A79,'Centre WR13'!$A$7:$N$160,11,FALSE),0)+
IFERROR(VLOOKUP(A79,'Centre WP13'!$A$7:$N$160,11,FALSE),0)</f>
        <v>0</v>
      </c>
      <c r="L79" s="28">
        <f>IFERROR(VLOOKUP(A79,'Centre DW13'!$A$7:$N$160,12,FALSE),0)+
IFERROR(VLOOKUP(A79,'Centre WR13'!$A$7:$N$160,12,FALSE),0)+
IFERROR(VLOOKUP(A79,'Centre WP13'!$A$7:$N$160,12,FALSE),0)</f>
        <v>0.4</v>
      </c>
      <c r="M79" s="28">
        <f>IFERROR(VLOOKUP(A79,'Centre DW13'!$A$7:$N$160,13,FALSE),0)+
IFERROR(VLOOKUP(A79,'Centre WR13'!$A$7:$N$160,13,FALSE),0)+
IFERROR(VLOOKUP(A79,'Centre WP13'!$A$7:$N$160,13,FALSE),0)</f>
        <v>2.8</v>
      </c>
      <c r="N79" s="28">
        <f>IFERROR(VLOOKUP(A79,'Centre DW13'!$A$7:$N$160,14,FALSE),0)+
IFERROR(VLOOKUP(A79,'Centre WR13'!$A$7:$N$160,14,FALSE),0)+
IFERROR(VLOOKUP(A79,'Centre WP13'!$A$7:$N$160,14,FALSE),0)</f>
        <v>3</v>
      </c>
    </row>
    <row r="80" spans="1:14" hidden="1" outlineLevel="1" x14ac:dyDescent="0.2">
      <c r="A80" s="9" t="s">
        <v>155</v>
      </c>
      <c r="B80" s="1" t="s">
        <v>156</v>
      </c>
      <c r="C80" s="10">
        <f>IFERROR(VLOOKUP(A80,'Centre DW13'!$A$7:$N$160,3,FALSE),0)+
IFERROR(VLOOKUP(A80,'Centre WR13'!$A$7:$N$160,3,FALSE),0)+
IFERROR(VLOOKUP(A80,'Centre WP13'!$A$7:$N$160,3,FALSE),0)</f>
        <v>0.7</v>
      </c>
      <c r="D80" s="10">
        <f>IFERROR(VLOOKUP(A80,'Centre DW13'!$A$7:$N$160,4,FALSE),0)+
IFERROR(VLOOKUP(A80,'Centre WR13'!$A$7:$N$160,4,FALSE),0)+
IFERROR(VLOOKUP(A80,'Centre WP13'!$A$7:$N$160,4,FALSE),0)</f>
        <v>0</v>
      </c>
      <c r="E80" s="10">
        <f>IFERROR(VLOOKUP(A80,'Centre DW13'!$A$7:$N$160,5,FALSE),0)+
IFERROR(VLOOKUP(A80,'Centre WR13'!$A$7:$N$160,5,FALSE),0)+
IFERROR(VLOOKUP(A80,'Centre WP13'!$A$7:$N$160,5,FALSE),0)</f>
        <v>0</v>
      </c>
      <c r="F80" s="10">
        <f>IFERROR(VLOOKUP(A80,'Centre DW13'!$A$7:$N$160,6,FALSE),0)+
IFERROR(VLOOKUP(A80,'Centre WR13'!$A$7:$N$160,6,FALSE),0)+
IFERROR(VLOOKUP(A80,'Centre WP13'!$A$7:$N$160,6,FALSE),0)</f>
        <v>0</v>
      </c>
      <c r="G80" s="10">
        <f>IFERROR(VLOOKUP(A80,'Centre DW13'!$A$7:$N$160,7,FALSE),0)+
IFERROR(VLOOKUP(A80,'Centre WR13'!$A$7:$N$160,7,FALSE),0)+
IFERROR(VLOOKUP(A80,'Centre WP13'!$A$7:$N$160,7,FALSE),0)</f>
        <v>0.4</v>
      </c>
      <c r="H80" s="10">
        <f>IFERROR(VLOOKUP(A80,'Centre DW13'!$A$7:$N$160,8,FALSE),0)+
IFERROR(VLOOKUP(A80,'Centre WR13'!$A$7:$N$160,8,FALSE),0)+
IFERROR(VLOOKUP(A80,'Centre WP13'!$A$7:$N$160,8,FALSE),0)</f>
        <v>0.3</v>
      </c>
      <c r="I80" s="10">
        <f>IFERROR(VLOOKUP(A80,'Centre DW13'!$A$7:$N$160,9,FALSE),0)+
IFERROR(VLOOKUP(A80,'Centre WR13'!$A$7:$N$160,9,FALSE),0)+
IFERROR(VLOOKUP(A80,'Centre WP13'!$A$7:$N$160,9,FALSE),0)</f>
        <v>0.4</v>
      </c>
      <c r="J80" s="28">
        <f>IFERROR(VLOOKUP(A80,'Centre DW13'!$A$7:$N$160,10,FALSE),0)+
IFERROR(VLOOKUP(A80,'Centre WR13'!$A$7:$N$160,10,FALSE),0)+
IFERROR(VLOOKUP(A80,'Centre WP13'!$A$7:$N$160,10,FALSE),0)</f>
        <v>0</v>
      </c>
      <c r="K80" s="28">
        <f>IFERROR(VLOOKUP(A80,'Centre DW13'!$A$7:$N$160,11,FALSE),0)+
IFERROR(VLOOKUP(A80,'Centre WR13'!$A$7:$N$160,11,FALSE),0)+
IFERROR(VLOOKUP(A80,'Centre WP13'!$A$7:$N$160,11,FALSE),0)</f>
        <v>0</v>
      </c>
      <c r="L80" s="28">
        <f>IFERROR(VLOOKUP(A80,'Centre DW13'!$A$7:$N$160,12,FALSE),0)+
IFERROR(VLOOKUP(A80,'Centre WR13'!$A$7:$N$160,12,FALSE),0)+
IFERROR(VLOOKUP(A80,'Centre WP13'!$A$7:$N$160,12,FALSE),0)</f>
        <v>0.4</v>
      </c>
      <c r="M80" s="28">
        <f>IFERROR(VLOOKUP(A80,'Centre DW13'!$A$7:$N$160,13,FALSE),0)+
IFERROR(VLOOKUP(A80,'Centre WR13'!$A$7:$N$160,13,FALSE),0)+
IFERROR(VLOOKUP(A80,'Centre WP13'!$A$7:$N$160,13,FALSE),0)</f>
        <v>0.3</v>
      </c>
      <c r="N80" s="28">
        <f>IFERROR(VLOOKUP(A80,'Centre DW13'!$A$7:$N$160,14,FALSE),0)+
IFERROR(VLOOKUP(A80,'Centre WR13'!$A$7:$N$160,14,FALSE),0)+
IFERROR(VLOOKUP(A80,'Centre WP13'!$A$7:$N$160,14,FALSE),0)</f>
        <v>0.4</v>
      </c>
    </row>
    <row r="81" spans="1:14" collapsed="1" x14ac:dyDescent="0.2">
      <c r="A81" s="33" t="s">
        <v>157</v>
      </c>
      <c r="B81" s="34" t="s">
        <v>158</v>
      </c>
      <c r="C81" s="44">
        <f t="shared" ref="C81:N81" si="18">+C82</f>
        <v>-18.7</v>
      </c>
      <c r="D81" s="44">
        <f t="shared" si="18"/>
        <v>-7.3999999999999995</v>
      </c>
      <c r="E81" s="44">
        <f t="shared" si="18"/>
        <v>0.10000000000000009</v>
      </c>
      <c r="F81" s="44">
        <f t="shared" si="18"/>
        <v>2.5000000000000004</v>
      </c>
      <c r="G81" s="44">
        <f t="shared" si="18"/>
        <v>1.7000000000000002</v>
      </c>
      <c r="H81" s="44">
        <f t="shared" si="18"/>
        <v>-0.3</v>
      </c>
      <c r="I81" s="44">
        <f t="shared" si="18"/>
        <v>-1.1999999999999997</v>
      </c>
      <c r="J81" s="44">
        <f t="shared" si="18"/>
        <v>2.5000000000000004</v>
      </c>
      <c r="K81" s="44">
        <f t="shared" si="18"/>
        <v>1.1000000000000001</v>
      </c>
      <c r="L81" s="44">
        <f t="shared" si="18"/>
        <v>-0.3</v>
      </c>
      <c r="M81" s="44">
        <f t="shared" si="18"/>
        <v>0</v>
      </c>
      <c r="N81" s="44">
        <f t="shared" si="18"/>
        <v>2.9</v>
      </c>
    </row>
    <row r="82" spans="1:14" hidden="1" outlineLevel="1" x14ac:dyDescent="0.2">
      <c r="A82" s="9" t="s">
        <v>159</v>
      </c>
      <c r="B82" s="1" t="s">
        <v>160</v>
      </c>
      <c r="C82" s="10">
        <f>IFERROR(VLOOKUP(A82,'Centre DW13'!$A$7:$N$160,3,FALSE),0)+
IFERROR(VLOOKUP(A82,'Centre WR13'!$A$7:$N$160,3,FALSE),0)+
IFERROR(VLOOKUP(A82,'Centre WP13'!$A$7:$N$160,3,FALSE),0)</f>
        <v>-18.7</v>
      </c>
      <c r="D82" s="10">
        <f>IFERROR(VLOOKUP(A82,'Centre DW13'!$A$7:$N$160,4,FALSE),0)+
IFERROR(VLOOKUP(A82,'Centre WR13'!$A$7:$N$160,4,FALSE),0)+
IFERROR(VLOOKUP(A82,'Centre WP13'!$A$7:$N$160,4,FALSE),0)</f>
        <v>-7.3999999999999995</v>
      </c>
      <c r="E82" s="10">
        <f>IFERROR(VLOOKUP(A82,'Centre DW13'!$A$7:$N$160,5,FALSE),0)+
IFERROR(VLOOKUP(A82,'Centre WR13'!$A$7:$N$160,5,FALSE),0)+
IFERROR(VLOOKUP(A82,'Centre WP13'!$A$7:$N$160,5,FALSE),0)</f>
        <v>0.10000000000000009</v>
      </c>
      <c r="F82" s="10">
        <f>IFERROR(VLOOKUP(A82,'Centre DW13'!$A$7:$N$160,6,FALSE),0)+
IFERROR(VLOOKUP(A82,'Centre WR13'!$A$7:$N$160,6,FALSE),0)+
IFERROR(VLOOKUP(A82,'Centre WP13'!$A$7:$N$160,6,FALSE),0)</f>
        <v>2.5000000000000004</v>
      </c>
      <c r="G82" s="10">
        <f>IFERROR(VLOOKUP(A82,'Centre DW13'!$A$7:$N$160,7,FALSE),0)+
IFERROR(VLOOKUP(A82,'Centre WR13'!$A$7:$N$160,7,FALSE),0)+
IFERROR(VLOOKUP(A82,'Centre WP13'!$A$7:$N$160,7,FALSE),0)</f>
        <v>1.7000000000000002</v>
      </c>
      <c r="H82" s="10">
        <f>IFERROR(VLOOKUP(A82,'Centre DW13'!$A$7:$N$160,8,FALSE),0)+
IFERROR(VLOOKUP(A82,'Centre WR13'!$A$7:$N$160,8,FALSE),0)+
IFERROR(VLOOKUP(A82,'Centre WP13'!$A$7:$N$160,8,FALSE),0)</f>
        <v>-0.3</v>
      </c>
      <c r="I82" s="10">
        <f>IFERROR(VLOOKUP(A82,'Centre DW13'!$A$7:$N$160,9,FALSE),0)+
IFERROR(VLOOKUP(A82,'Centre WR13'!$A$7:$N$160,9,FALSE),0)+
IFERROR(VLOOKUP(A82,'Centre WP13'!$A$7:$N$160,9,FALSE),0)</f>
        <v>-1.1999999999999997</v>
      </c>
      <c r="J82" s="28">
        <f>IFERROR(VLOOKUP(A82,'Centre DW13'!$A$7:$N$160,10,FALSE),0)+
IFERROR(VLOOKUP(A82,'Centre WR13'!$A$7:$N$160,10,FALSE),0)+
IFERROR(VLOOKUP(A82,'Centre WP13'!$A$7:$N$160,10,FALSE),0)</f>
        <v>2.5000000000000004</v>
      </c>
      <c r="K82" s="28">
        <f>IFERROR(VLOOKUP(A82,'Centre DW13'!$A$7:$N$160,11,FALSE),0)+
IFERROR(VLOOKUP(A82,'Centre WR13'!$A$7:$N$160,11,FALSE),0)+
IFERROR(VLOOKUP(A82,'Centre WP13'!$A$7:$N$160,11,FALSE),0)</f>
        <v>1.1000000000000001</v>
      </c>
      <c r="L82" s="28">
        <f>IFERROR(VLOOKUP(A82,'Centre DW13'!$A$7:$N$160,12,FALSE),0)+
IFERROR(VLOOKUP(A82,'Centre WR13'!$A$7:$N$160,12,FALSE),0)+
IFERROR(VLOOKUP(A82,'Centre WP13'!$A$7:$N$160,12,FALSE),0)</f>
        <v>-0.3</v>
      </c>
      <c r="M82" s="28">
        <f>IFERROR(VLOOKUP(A82,'Centre DW13'!$A$7:$N$160,13,FALSE),0)+
IFERROR(VLOOKUP(A82,'Centre WR13'!$A$7:$N$160,13,FALSE),0)+
IFERROR(VLOOKUP(A82,'Centre WP13'!$A$7:$N$160,13,FALSE),0)</f>
        <v>0</v>
      </c>
      <c r="N82" s="28">
        <f>IFERROR(VLOOKUP(A82,'Centre DW13'!$A$7:$N$160,14,FALSE),0)+
IFERROR(VLOOKUP(A82,'Centre WR13'!$A$7:$N$160,14,FALSE),0)+
IFERROR(VLOOKUP(A82,'Centre WP13'!$A$7:$N$160,14,FALSE),0)</f>
        <v>2.9</v>
      </c>
    </row>
    <row r="83" spans="1:14" collapsed="1" x14ac:dyDescent="0.2">
      <c r="A83" s="36"/>
      <c r="B83" s="36" t="s">
        <v>165</v>
      </c>
      <c r="C83" s="45">
        <f t="shared" ref="C83:H83" si="19">+C33+C54+C59+C62+C65+C69+C71+C73+C74+C81</f>
        <v>5.9000000000000021</v>
      </c>
      <c r="D83" s="45">
        <f t="shared" si="19"/>
        <v>19.900000000000002</v>
      </c>
      <c r="E83" s="45">
        <f t="shared" si="19"/>
        <v>28.200000000000003</v>
      </c>
      <c r="F83" s="45">
        <f t="shared" si="19"/>
        <v>45.1</v>
      </c>
      <c r="G83" s="45">
        <f t="shared" si="19"/>
        <v>36.299999999999997</v>
      </c>
      <c r="H83" s="45">
        <f t="shared" si="19"/>
        <v>43.400000000000006</v>
      </c>
      <c r="I83" s="45">
        <f>+I33+I54+I59+I62+I65+I69+I71+I73+I74+I81</f>
        <v>33.699999999999996</v>
      </c>
      <c r="J83" s="45">
        <f>+J33+J54+J59+J62+J65+J69+J71+J73+J74+J81</f>
        <v>36.6</v>
      </c>
      <c r="K83" s="45">
        <f t="shared" ref="K83:N83" si="20">+K33+K54+K59+K62+K65+K69+K71+K73+K74+K81</f>
        <v>32.900000000000006</v>
      </c>
      <c r="L83" s="45">
        <f t="shared" si="20"/>
        <v>44.599999999999994</v>
      </c>
      <c r="M83" s="45">
        <f t="shared" si="20"/>
        <v>53.199999999999996</v>
      </c>
      <c r="N83" s="45">
        <f t="shared" si="20"/>
        <v>39.4</v>
      </c>
    </row>
    <row r="84" spans="1:14" x14ac:dyDescent="0.2">
      <c r="A84" s="35"/>
      <c r="B84" s="35" t="s">
        <v>166</v>
      </c>
      <c r="C84" s="21">
        <f t="shared" ref="C84:I84" si="21">+C31-C83</f>
        <v>69.900000000000006</v>
      </c>
      <c r="D84" s="21">
        <f t="shared" si="21"/>
        <v>29.899999999999995</v>
      </c>
      <c r="E84" s="21">
        <f t="shared" si="21"/>
        <v>69.3</v>
      </c>
      <c r="F84" s="21">
        <f t="shared" si="21"/>
        <v>101.9</v>
      </c>
      <c r="G84" s="21">
        <f t="shared" si="21"/>
        <v>107.10000000000001</v>
      </c>
      <c r="H84" s="21">
        <f t="shared" si="21"/>
        <v>101.69999999999999</v>
      </c>
      <c r="I84" s="21">
        <f t="shared" si="21"/>
        <v>187.40000000000003</v>
      </c>
      <c r="J84" s="21">
        <f t="shared" ref="J84" si="22">+J31-J83</f>
        <v>123.1</v>
      </c>
      <c r="K84" s="21">
        <f t="shared" ref="K84" si="23">+K31-K83</f>
        <v>204.4</v>
      </c>
      <c r="L84" s="21">
        <f t="shared" ref="L84" si="24">+L31-L83</f>
        <v>158.5</v>
      </c>
      <c r="M84" s="21">
        <f t="shared" ref="M84" si="25">+M31-M83</f>
        <v>141.9</v>
      </c>
      <c r="N84" s="21">
        <f t="shared" ref="N84" si="26">+N31-N83</f>
        <v>214.6</v>
      </c>
    </row>
    <row r="85" spans="1:14" x14ac:dyDescent="0.2">
      <c r="A85" s="33" t="s">
        <v>167</v>
      </c>
      <c r="B85" s="34" t="s">
        <v>168</v>
      </c>
      <c r="C85" s="44">
        <f t="shared" ref="C85:N85" si="27">SUM(C86:C101)</f>
        <v>8.7999999999999972</v>
      </c>
      <c r="D85" s="44">
        <f t="shared" si="27"/>
        <v>6.7999999999999989</v>
      </c>
      <c r="E85" s="44">
        <f t="shared" si="27"/>
        <v>7.1</v>
      </c>
      <c r="F85" s="44">
        <f t="shared" si="27"/>
        <v>11.099999999999998</v>
      </c>
      <c r="G85" s="44">
        <f t="shared" si="27"/>
        <v>3.100000000000001</v>
      </c>
      <c r="H85" s="44">
        <f t="shared" si="27"/>
        <v>14.8</v>
      </c>
      <c r="I85" s="44">
        <f t="shared" si="27"/>
        <v>1.0999999999999999</v>
      </c>
      <c r="J85" s="44">
        <f t="shared" si="27"/>
        <v>16.3</v>
      </c>
      <c r="K85" s="44">
        <f t="shared" si="27"/>
        <v>7.1</v>
      </c>
      <c r="L85" s="44">
        <f t="shared" si="27"/>
        <v>19.899999999999999</v>
      </c>
      <c r="M85" s="44">
        <f t="shared" si="27"/>
        <v>3.100000000000001</v>
      </c>
      <c r="N85" s="44">
        <f t="shared" si="27"/>
        <v>7.2</v>
      </c>
    </row>
    <row r="86" spans="1:14" hidden="1" outlineLevel="1" x14ac:dyDescent="0.2">
      <c r="A86" s="9" t="s">
        <v>169</v>
      </c>
      <c r="B86" s="1" t="s">
        <v>170</v>
      </c>
      <c r="C86" s="10">
        <f>IFERROR(VLOOKUP(A86,'Centre DW13'!$A$7:$N$160,3,FALSE),0)+
IFERROR(VLOOKUP(A86,'Centre WR13'!$A$7:$N$160,3,FALSE),0)+
IFERROR(VLOOKUP(A86,'Centre WP13'!$A$7:$N$160,3,FALSE),0)</f>
        <v>0</v>
      </c>
      <c r="D86" s="10">
        <f>IFERROR(VLOOKUP(A86,'Centre DW13'!$A$7:$N$160,4,FALSE),0)+
IFERROR(VLOOKUP(A86,'Centre WR13'!$A$7:$N$160,4,FALSE),0)+
IFERROR(VLOOKUP(A86,'Centre WP13'!$A$7:$N$160,4,FALSE),0)</f>
        <v>0</v>
      </c>
      <c r="E86" s="10">
        <f>IFERROR(VLOOKUP(A86,'Centre DW13'!$A$7:$N$160,5,FALSE),0)+
IFERROR(VLOOKUP(A86,'Centre WR13'!$A$7:$N$160,5,FALSE),0)+
IFERROR(VLOOKUP(A86,'Centre WP13'!$A$7:$N$160,5,FALSE),0)</f>
        <v>0</v>
      </c>
      <c r="F86" s="10">
        <f>IFERROR(VLOOKUP(A86,'Centre DW13'!$A$7:$N$160,6,FALSE),0)+
IFERROR(VLOOKUP(A86,'Centre WR13'!$A$7:$N$160,6,FALSE),0)+
IFERROR(VLOOKUP(A86,'Centre WP13'!$A$7:$N$160,6,FALSE),0)</f>
        <v>0</v>
      </c>
      <c r="G86" s="10">
        <f>IFERROR(VLOOKUP(A86,'Centre DW13'!$A$7:$N$160,7,FALSE),0)+
IFERROR(VLOOKUP(A86,'Centre WR13'!$A$7:$N$160,7,FALSE),0)+
IFERROR(VLOOKUP(A86,'Centre WP13'!$A$7:$N$160,7,FALSE),0)</f>
        <v>0</v>
      </c>
      <c r="H86" s="10">
        <f>IFERROR(VLOOKUP(A86,'Centre DW13'!$A$7:$N$160,8,FALSE),0)+
IFERROR(VLOOKUP(A86,'Centre WR13'!$A$7:$N$160,8,FALSE),0)+
IFERROR(VLOOKUP(A86,'Centre WP13'!$A$7:$N$160,8,FALSE),0)</f>
        <v>0.5</v>
      </c>
      <c r="I86" s="10">
        <f>IFERROR(VLOOKUP(A86,'Centre DW13'!$A$7:$N$160,9,FALSE),0)+
IFERROR(VLOOKUP(A86,'Centre WR13'!$A$7:$N$160,9,FALSE),0)+
IFERROR(VLOOKUP(A86,'Centre WP13'!$A$7:$N$160,9,FALSE),0)</f>
        <v>0</v>
      </c>
      <c r="J86" s="28">
        <f>IFERROR(VLOOKUP(A86,'Centre DW13'!$A$7:$N$160,10,FALSE),0)+
IFERROR(VLOOKUP(A86,'Centre WR13'!$A$7:$N$160,10,FALSE),0)+
IFERROR(VLOOKUP(A86,'Centre WP13'!$A$7:$N$160,10,FALSE),0)</f>
        <v>0.5</v>
      </c>
      <c r="K86" s="28">
        <f>IFERROR(VLOOKUP(A86,'Centre DW13'!$A$7:$N$160,11,FALSE),0)+
IFERROR(VLOOKUP(A86,'Centre WR13'!$A$7:$N$160,11,FALSE),0)+
IFERROR(VLOOKUP(A86,'Centre WP13'!$A$7:$N$160,11,FALSE),0)</f>
        <v>0</v>
      </c>
      <c r="L86" s="28">
        <f>IFERROR(VLOOKUP(A86,'Centre DW13'!$A$7:$N$160,12,FALSE),0)+
IFERROR(VLOOKUP(A86,'Centre WR13'!$A$7:$N$160,12,FALSE),0)+
IFERROR(VLOOKUP(A86,'Centre WP13'!$A$7:$N$160,12,FALSE),0)</f>
        <v>0.5</v>
      </c>
      <c r="M86" s="28">
        <f>IFERROR(VLOOKUP(A86,'Centre DW13'!$A$7:$N$160,13,FALSE),0)+
IFERROR(VLOOKUP(A86,'Centre WR13'!$A$7:$N$160,13,FALSE),0)+
IFERROR(VLOOKUP(A86,'Centre WP13'!$A$7:$N$160,13,FALSE),0)</f>
        <v>0</v>
      </c>
      <c r="N86" s="28">
        <f>IFERROR(VLOOKUP(A86,'Centre DW13'!$A$7:$N$160,14,FALSE),0)+
IFERROR(VLOOKUP(A86,'Centre WR13'!$A$7:$N$160,14,FALSE),0)+
IFERROR(VLOOKUP(A86,'Centre WP13'!$A$7:$N$160,14,FALSE),0)</f>
        <v>1</v>
      </c>
    </row>
    <row r="87" spans="1:14" hidden="1" outlineLevel="1" x14ac:dyDescent="0.2">
      <c r="A87" s="9" t="s">
        <v>171</v>
      </c>
      <c r="B87" s="1" t="s">
        <v>172</v>
      </c>
      <c r="C87" s="10">
        <f>IFERROR(VLOOKUP(A87,'Centre DW13'!$A$7:$N$160,3,FALSE),0)+
IFERROR(VLOOKUP(A87,'Centre WR13'!$A$7:$N$160,3,FALSE),0)+
IFERROR(VLOOKUP(A87,'Centre WP13'!$A$7:$N$160,3,FALSE),0)</f>
        <v>1.5</v>
      </c>
      <c r="D87" s="10">
        <f>IFERROR(VLOOKUP(A87,'Centre DW13'!$A$7:$N$160,4,FALSE),0)+
IFERROR(VLOOKUP(A87,'Centre WR13'!$A$7:$N$160,4,FALSE),0)+
IFERROR(VLOOKUP(A87,'Centre WP13'!$A$7:$N$160,4,FALSE),0)</f>
        <v>1</v>
      </c>
      <c r="E87" s="10">
        <f>IFERROR(VLOOKUP(A87,'Centre DW13'!$A$7:$N$160,5,FALSE),0)+
IFERROR(VLOOKUP(A87,'Centre WR13'!$A$7:$N$160,5,FALSE),0)+
IFERROR(VLOOKUP(A87,'Centre WP13'!$A$7:$N$160,5,FALSE),0)</f>
        <v>0.8</v>
      </c>
      <c r="F87" s="10">
        <f>IFERROR(VLOOKUP(A87,'Centre DW13'!$A$7:$N$160,6,FALSE),0)+
IFERROR(VLOOKUP(A87,'Centre WR13'!$A$7:$N$160,6,FALSE),0)+
IFERROR(VLOOKUP(A87,'Centre WP13'!$A$7:$N$160,6,FALSE),0)</f>
        <v>2.9</v>
      </c>
      <c r="G87" s="10">
        <f>IFERROR(VLOOKUP(A87,'Centre DW13'!$A$7:$N$160,7,FALSE),0)+
IFERROR(VLOOKUP(A87,'Centre WR13'!$A$7:$N$160,7,FALSE),0)+
IFERROR(VLOOKUP(A87,'Centre WP13'!$A$7:$N$160,7,FALSE),0)</f>
        <v>0</v>
      </c>
      <c r="H87" s="10">
        <f>IFERROR(VLOOKUP(A87,'Centre DW13'!$A$7:$N$160,8,FALSE),0)+
IFERROR(VLOOKUP(A87,'Centre WR13'!$A$7:$N$160,8,FALSE),0)+
IFERROR(VLOOKUP(A87,'Centre WP13'!$A$7:$N$160,8,FALSE),0)</f>
        <v>0.7</v>
      </c>
      <c r="I87" s="10">
        <f>IFERROR(VLOOKUP(A87,'Centre DW13'!$A$7:$N$160,9,FALSE),0)+
IFERROR(VLOOKUP(A87,'Centre WR13'!$A$7:$N$160,9,FALSE),0)+
IFERROR(VLOOKUP(A87,'Centre WP13'!$A$7:$N$160,9,FALSE),0)</f>
        <v>0</v>
      </c>
      <c r="J87" s="28">
        <f>IFERROR(VLOOKUP(A87,'Centre DW13'!$A$7:$N$160,10,FALSE),0)+
IFERROR(VLOOKUP(A87,'Centre WR13'!$A$7:$N$160,10,FALSE),0)+
IFERROR(VLOOKUP(A87,'Centre WP13'!$A$7:$N$160,10,FALSE),0)</f>
        <v>1.7</v>
      </c>
      <c r="K87" s="28">
        <f>IFERROR(VLOOKUP(A87,'Centre DW13'!$A$7:$N$160,11,FALSE),0)+
IFERROR(VLOOKUP(A87,'Centre WR13'!$A$7:$N$160,11,FALSE),0)+
IFERROR(VLOOKUP(A87,'Centre WP13'!$A$7:$N$160,11,FALSE),0)</f>
        <v>0.8</v>
      </c>
      <c r="L87" s="28">
        <f>IFERROR(VLOOKUP(A87,'Centre DW13'!$A$7:$N$160,12,FALSE),0)+
IFERROR(VLOOKUP(A87,'Centre WR13'!$A$7:$N$160,12,FALSE),0)+
IFERROR(VLOOKUP(A87,'Centre WP13'!$A$7:$N$160,12,FALSE),0)</f>
        <v>3.8</v>
      </c>
      <c r="M87" s="28">
        <f>IFERROR(VLOOKUP(A87,'Centre DW13'!$A$7:$N$160,13,FALSE),0)+
IFERROR(VLOOKUP(A87,'Centre WR13'!$A$7:$N$160,13,FALSE),0)+
IFERROR(VLOOKUP(A87,'Centre WP13'!$A$7:$N$160,13,FALSE),0)</f>
        <v>0</v>
      </c>
      <c r="N87" s="28">
        <f>IFERROR(VLOOKUP(A87,'Centre DW13'!$A$7:$N$160,14,FALSE),0)+
IFERROR(VLOOKUP(A87,'Centre WR13'!$A$7:$N$160,14,FALSE),0)+
IFERROR(VLOOKUP(A87,'Centre WP13'!$A$7:$N$160,14,FALSE),0)</f>
        <v>0.6</v>
      </c>
    </row>
    <row r="88" spans="1:14" hidden="1" outlineLevel="1" x14ac:dyDescent="0.2">
      <c r="A88" s="9" t="s">
        <v>173</v>
      </c>
      <c r="B88" s="1" t="s">
        <v>174</v>
      </c>
      <c r="C88" s="10">
        <f>IFERROR(VLOOKUP(A88,'Centre DW13'!$A$7:$N$160,3,FALSE),0)+
IFERROR(VLOOKUP(A88,'Centre WR13'!$A$7:$N$160,3,FALSE),0)+
IFERROR(VLOOKUP(A88,'Centre WP13'!$A$7:$N$160,3,FALSE),0)</f>
        <v>2.9</v>
      </c>
      <c r="D88" s="10">
        <f>IFERROR(VLOOKUP(A88,'Centre DW13'!$A$7:$N$160,4,FALSE),0)+
IFERROR(VLOOKUP(A88,'Centre WR13'!$A$7:$N$160,4,FALSE),0)+
IFERROR(VLOOKUP(A88,'Centre WP13'!$A$7:$N$160,4,FALSE),0)</f>
        <v>0.1</v>
      </c>
      <c r="E88" s="10">
        <f>IFERROR(VLOOKUP(A88,'Centre DW13'!$A$7:$N$160,5,FALSE),0)+
IFERROR(VLOOKUP(A88,'Centre WR13'!$A$7:$N$160,5,FALSE),0)+
IFERROR(VLOOKUP(A88,'Centre WP13'!$A$7:$N$160,5,FALSE),0)</f>
        <v>0.9</v>
      </c>
      <c r="F88" s="10">
        <f>IFERROR(VLOOKUP(A88,'Centre DW13'!$A$7:$N$160,6,FALSE),0)+
IFERROR(VLOOKUP(A88,'Centre WR13'!$A$7:$N$160,6,FALSE),0)+
IFERROR(VLOOKUP(A88,'Centre WP13'!$A$7:$N$160,6,FALSE),0)</f>
        <v>1.7</v>
      </c>
      <c r="G88" s="10">
        <f>IFERROR(VLOOKUP(A88,'Centre DW13'!$A$7:$N$160,7,FALSE),0)+
IFERROR(VLOOKUP(A88,'Centre WR13'!$A$7:$N$160,7,FALSE),0)+
IFERROR(VLOOKUP(A88,'Centre WP13'!$A$7:$N$160,7,FALSE),0)</f>
        <v>0.5</v>
      </c>
      <c r="H88" s="10">
        <f>IFERROR(VLOOKUP(A88,'Centre DW13'!$A$7:$N$160,8,FALSE),0)+
IFERROR(VLOOKUP(A88,'Centre WR13'!$A$7:$N$160,8,FALSE),0)+
IFERROR(VLOOKUP(A88,'Centre WP13'!$A$7:$N$160,8,FALSE),0)</f>
        <v>2.9</v>
      </c>
      <c r="I88" s="10">
        <f>IFERROR(VLOOKUP(A88,'Centre DW13'!$A$7:$N$160,9,FALSE),0)+
IFERROR(VLOOKUP(A88,'Centre WR13'!$A$7:$N$160,9,FALSE),0)+
IFERROR(VLOOKUP(A88,'Centre WP13'!$A$7:$N$160,9,FALSE),0)</f>
        <v>-0.8</v>
      </c>
      <c r="J88" s="28">
        <f>IFERROR(VLOOKUP(A88,'Centre DW13'!$A$7:$N$160,10,FALSE),0)+
IFERROR(VLOOKUP(A88,'Centre WR13'!$A$7:$N$160,10,FALSE),0)+
IFERROR(VLOOKUP(A88,'Centre WP13'!$A$7:$N$160,10,FALSE),0)</f>
        <v>0.1</v>
      </c>
      <c r="K88" s="28">
        <f>IFERROR(VLOOKUP(A88,'Centre DW13'!$A$7:$N$160,11,FALSE),0)+
IFERROR(VLOOKUP(A88,'Centre WR13'!$A$7:$N$160,11,FALSE),0)+
IFERROR(VLOOKUP(A88,'Centre WP13'!$A$7:$N$160,11,FALSE),0)</f>
        <v>0.9</v>
      </c>
      <c r="L88" s="28">
        <f>IFERROR(VLOOKUP(A88,'Centre DW13'!$A$7:$N$160,12,FALSE),0)+
IFERROR(VLOOKUP(A88,'Centre WR13'!$A$7:$N$160,12,FALSE),0)+
IFERROR(VLOOKUP(A88,'Centre WP13'!$A$7:$N$160,12,FALSE),0)</f>
        <v>1.7</v>
      </c>
      <c r="M88" s="28">
        <f>IFERROR(VLOOKUP(A88,'Centre DW13'!$A$7:$N$160,13,FALSE),0)+
IFERROR(VLOOKUP(A88,'Centre WR13'!$A$7:$N$160,13,FALSE),0)+
IFERROR(VLOOKUP(A88,'Centre WP13'!$A$7:$N$160,13,FALSE),0)</f>
        <v>0.5</v>
      </c>
      <c r="N88" s="28">
        <f>IFERROR(VLOOKUP(A88,'Centre DW13'!$A$7:$N$160,14,FALSE),0)+
IFERROR(VLOOKUP(A88,'Centre WR13'!$A$7:$N$160,14,FALSE),0)+
IFERROR(VLOOKUP(A88,'Centre WP13'!$A$7:$N$160,14,FALSE),0)</f>
        <v>2.9</v>
      </c>
    </row>
    <row r="89" spans="1:14" hidden="1" outlineLevel="1" x14ac:dyDescent="0.2">
      <c r="A89" s="9" t="s">
        <v>175</v>
      </c>
      <c r="B89" s="1" t="s">
        <v>176</v>
      </c>
      <c r="C89" s="10">
        <f>IFERROR(VLOOKUP(A89,'Centre DW13'!$A$7:$N$160,3,FALSE),0)+
IFERROR(VLOOKUP(A89,'Centre WR13'!$A$7:$N$160,3,FALSE),0)+
IFERROR(VLOOKUP(A89,'Centre WP13'!$A$7:$N$160,3,FALSE),0)</f>
        <v>2.1</v>
      </c>
      <c r="D89" s="10">
        <f>IFERROR(VLOOKUP(A89,'Centre DW13'!$A$7:$N$160,4,FALSE),0)+
IFERROR(VLOOKUP(A89,'Centre WR13'!$A$7:$N$160,4,FALSE),0)+
IFERROR(VLOOKUP(A89,'Centre WP13'!$A$7:$N$160,4,FALSE),0)</f>
        <v>2.6</v>
      </c>
      <c r="E89" s="10">
        <f>IFERROR(VLOOKUP(A89,'Centre DW13'!$A$7:$N$160,5,FALSE),0)+
IFERROR(VLOOKUP(A89,'Centre WR13'!$A$7:$N$160,5,FALSE),0)+
IFERROR(VLOOKUP(A89,'Centre WP13'!$A$7:$N$160,5,FALSE),0)</f>
        <v>2.8</v>
      </c>
      <c r="F89" s="10">
        <f>IFERROR(VLOOKUP(A89,'Centre DW13'!$A$7:$N$160,6,FALSE),0)+
IFERROR(VLOOKUP(A89,'Centre WR13'!$A$7:$N$160,6,FALSE),0)+
IFERROR(VLOOKUP(A89,'Centre WP13'!$A$7:$N$160,6,FALSE),0)</f>
        <v>3.9</v>
      </c>
      <c r="G89" s="10">
        <f>IFERROR(VLOOKUP(A89,'Centre DW13'!$A$7:$N$160,7,FALSE),0)+
IFERROR(VLOOKUP(A89,'Centre WR13'!$A$7:$N$160,7,FALSE),0)+
IFERROR(VLOOKUP(A89,'Centre WP13'!$A$7:$N$160,7,FALSE),0)</f>
        <v>0</v>
      </c>
      <c r="H89" s="10">
        <f>IFERROR(VLOOKUP(A89,'Centre DW13'!$A$7:$N$160,8,FALSE),0)+
IFERROR(VLOOKUP(A89,'Centre WR13'!$A$7:$N$160,8,FALSE),0)+
IFERROR(VLOOKUP(A89,'Centre WP13'!$A$7:$N$160,8,FALSE),0)</f>
        <v>7.7</v>
      </c>
      <c r="I89" s="10">
        <f>IFERROR(VLOOKUP(A89,'Centre DW13'!$A$7:$N$160,9,FALSE),0)+
IFERROR(VLOOKUP(A89,'Centre WR13'!$A$7:$N$160,9,FALSE),0)+
IFERROR(VLOOKUP(A89,'Centre WP13'!$A$7:$N$160,9,FALSE),0)</f>
        <v>0</v>
      </c>
      <c r="J89" s="28">
        <f>IFERROR(VLOOKUP(A89,'Centre DW13'!$A$7:$N$160,10,FALSE),0)+
IFERROR(VLOOKUP(A89,'Centre WR13'!$A$7:$N$160,10,FALSE),0)+
IFERROR(VLOOKUP(A89,'Centre WP13'!$A$7:$N$160,10,FALSE),0)</f>
        <v>10.3</v>
      </c>
      <c r="K89" s="28">
        <f>IFERROR(VLOOKUP(A89,'Centre DW13'!$A$7:$N$160,11,FALSE),0)+
IFERROR(VLOOKUP(A89,'Centre WR13'!$A$7:$N$160,11,FALSE),0)+
IFERROR(VLOOKUP(A89,'Centre WP13'!$A$7:$N$160,11,FALSE),0)</f>
        <v>2.8</v>
      </c>
      <c r="L89" s="28">
        <f>IFERROR(VLOOKUP(A89,'Centre DW13'!$A$7:$N$160,12,FALSE),0)+
IFERROR(VLOOKUP(A89,'Centre WR13'!$A$7:$N$160,12,FALSE),0)+
IFERROR(VLOOKUP(A89,'Centre WP13'!$A$7:$N$160,12,FALSE),0)</f>
        <v>10.7</v>
      </c>
      <c r="M89" s="28">
        <f>IFERROR(VLOOKUP(A89,'Centre DW13'!$A$7:$N$160,13,FALSE),0)+
IFERROR(VLOOKUP(A89,'Centre WR13'!$A$7:$N$160,13,FALSE),0)+
IFERROR(VLOOKUP(A89,'Centre WP13'!$A$7:$N$160,13,FALSE),0)</f>
        <v>0</v>
      </c>
      <c r="N89" s="28">
        <f>IFERROR(VLOOKUP(A89,'Centre DW13'!$A$7:$N$160,14,FALSE),0)+
IFERROR(VLOOKUP(A89,'Centre WR13'!$A$7:$N$160,14,FALSE),0)+
IFERROR(VLOOKUP(A89,'Centre WP13'!$A$7:$N$160,14,FALSE),0)</f>
        <v>0.3</v>
      </c>
    </row>
    <row r="90" spans="1:14" hidden="1" outlineLevel="1" x14ac:dyDescent="0.2">
      <c r="A90" s="9" t="s">
        <v>177</v>
      </c>
      <c r="B90" s="1" t="s">
        <v>178</v>
      </c>
      <c r="C90" s="10">
        <f>IFERROR(VLOOKUP(A90,'Centre DW13'!$A$7:$N$160,3,FALSE),0)+
IFERROR(VLOOKUP(A90,'Centre WR13'!$A$7:$N$160,3,FALSE),0)+
IFERROR(VLOOKUP(A90,'Centre WP13'!$A$7:$N$160,3,FALSE),0)</f>
        <v>0.2</v>
      </c>
      <c r="D90" s="10">
        <f>IFERROR(VLOOKUP(A90,'Centre DW13'!$A$7:$N$160,4,FALSE),0)+
IFERROR(VLOOKUP(A90,'Centre WR13'!$A$7:$N$160,4,FALSE),0)+
IFERROR(VLOOKUP(A90,'Centre WP13'!$A$7:$N$160,4,FALSE),0)</f>
        <v>0.3</v>
      </c>
      <c r="E90" s="10">
        <f>IFERROR(VLOOKUP(A90,'Centre DW13'!$A$7:$N$160,5,FALSE),0)+
IFERROR(VLOOKUP(A90,'Centre WR13'!$A$7:$N$160,5,FALSE),0)+
IFERROR(VLOOKUP(A90,'Centre WP13'!$A$7:$N$160,5,FALSE),0)</f>
        <v>0.3</v>
      </c>
      <c r="F90" s="10">
        <f>IFERROR(VLOOKUP(A90,'Centre DW13'!$A$7:$N$160,6,FALSE),0)+
IFERROR(VLOOKUP(A90,'Centre WR13'!$A$7:$N$160,6,FALSE),0)+
IFERROR(VLOOKUP(A90,'Centre WP13'!$A$7:$N$160,6,FALSE),0)</f>
        <v>0.3</v>
      </c>
      <c r="G90" s="10">
        <f>IFERROR(VLOOKUP(A90,'Centre DW13'!$A$7:$N$160,7,FALSE),0)+
IFERROR(VLOOKUP(A90,'Centre WR13'!$A$7:$N$160,7,FALSE),0)+
IFERROR(VLOOKUP(A90,'Centre WP13'!$A$7:$N$160,7,FALSE),0)</f>
        <v>0</v>
      </c>
      <c r="H90" s="10">
        <f>IFERROR(VLOOKUP(A90,'Centre DW13'!$A$7:$N$160,8,FALSE),0)+
IFERROR(VLOOKUP(A90,'Centre WR13'!$A$7:$N$160,8,FALSE),0)+
IFERROR(VLOOKUP(A90,'Centre WP13'!$A$7:$N$160,8,FALSE),0)</f>
        <v>0.6</v>
      </c>
      <c r="I90" s="10">
        <f>IFERROR(VLOOKUP(A90,'Centre DW13'!$A$7:$N$160,9,FALSE),0)+
IFERROR(VLOOKUP(A90,'Centre WR13'!$A$7:$N$160,9,FALSE),0)+
IFERROR(VLOOKUP(A90,'Centre WP13'!$A$7:$N$160,9,FALSE),0)</f>
        <v>0</v>
      </c>
      <c r="J90" s="28">
        <f>IFERROR(VLOOKUP(A90,'Centre DW13'!$A$7:$N$160,10,FALSE),0)+
IFERROR(VLOOKUP(A90,'Centre WR13'!$A$7:$N$160,10,FALSE),0)+
IFERROR(VLOOKUP(A90,'Centre WP13'!$A$7:$N$160,10,FALSE),0)</f>
        <v>0.89999999999999991</v>
      </c>
      <c r="K90" s="28">
        <f>IFERROR(VLOOKUP(A90,'Centre DW13'!$A$7:$N$160,11,FALSE),0)+
IFERROR(VLOOKUP(A90,'Centre WR13'!$A$7:$N$160,11,FALSE),0)+
IFERROR(VLOOKUP(A90,'Centre WP13'!$A$7:$N$160,11,FALSE),0)</f>
        <v>0.3</v>
      </c>
      <c r="L90" s="28">
        <f>IFERROR(VLOOKUP(A90,'Centre DW13'!$A$7:$N$160,12,FALSE),0)+
IFERROR(VLOOKUP(A90,'Centre WR13'!$A$7:$N$160,12,FALSE),0)+
IFERROR(VLOOKUP(A90,'Centre WP13'!$A$7:$N$160,12,FALSE),0)</f>
        <v>0.89999999999999991</v>
      </c>
      <c r="M90" s="28">
        <f>IFERROR(VLOOKUP(A90,'Centre DW13'!$A$7:$N$160,13,FALSE),0)+
IFERROR(VLOOKUP(A90,'Centre WR13'!$A$7:$N$160,13,FALSE),0)+
IFERROR(VLOOKUP(A90,'Centre WP13'!$A$7:$N$160,13,FALSE),0)</f>
        <v>0</v>
      </c>
      <c r="N90" s="28">
        <f>IFERROR(VLOOKUP(A90,'Centre DW13'!$A$7:$N$160,14,FALSE),0)+
IFERROR(VLOOKUP(A90,'Centre WR13'!$A$7:$N$160,14,FALSE),0)+
IFERROR(VLOOKUP(A90,'Centre WP13'!$A$7:$N$160,14,FALSE),0)</f>
        <v>0</v>
      </c>
    </row>
    <row r="91" spans="1:14" hidden="1" outlineLevel="1" x14ac:dyDescent="0.2">
      <c r="A91" s="9" t="s">
        <v>179</v>
      </c>
      <c r="B91" s="1" t="s">
        <v>180</v>
      </c>
      <c r="C91" s="10">
        <f>IFERROR(VLOOKUP(A91,'Centre DW13'!$A$7:$N$160,3,FALSE),0)+
IFERROR(VLOOKUP(A91,'Centre WR13'!$A$7:$N$160,3,FALSE),0)+
IFERROR(VLOOKUP(A91,'Centre WP13'!$A$7:$N$160,3,FALSE),0)</f>
        <v>0</v>
      </c>
      <c r="D91" s="10">
        <f>IFERROR(VLOOKUP(A91,'Centre DW13'!$A$7:$N$160,4,FALSE),0)+
IFERROR(VLOOKUP(A91,'Centre WR13'!$A$7:$N$160,4,FALSE),0)+
IFERROR(VLOOKUP(A91,'Centre WP13'!$A$7:$N$160,4,FALSE),0)</f>
        <v>0</v>
      </c>
      <c r="E91" s="10">
        <f>IFERROR(VLOOKUP(A91,'Centre DW13'!$A$7:$N$160,5,FALSE),0)+
IFERROR(VLOOKUP(A91,'Centre WR13'!$A$7:$N$160,5,FALSE),0)+
IFERROR(VLOOKUP(A91,'Centre WP13'!$A$7:$N$160,5,FALSE),0)</f>
        <v>0</v>
      </c>
      <c r="F91" s="10">
        <f>IFERROR(VLOOKUP(A91,'Centre DW13'!$A$7:$N$160,6,FALSE),0)+
IFERROR(VLOOKUP(A91,'Centre WR13'!$A$7:$N$160,6,FALSE),0)+
IFERROR(VLOOKUP(A91,'Centre WP13'!$A$7:$N$160,6,FALSE),0)</f>
        <v>0</v>
      </c>
      <c r="G91" s="10">
        <f>IFERROR(VLOOKUP(A91,'Centre DW13'!$A$7:$N$160,7,FALSE),0)+
IFERROR(VLOOKUP(A91,'Centre WR13'!$A$7:$N$160,7,FALSE),0)+
IFERROR(VLOOKUP(A91,'Centre WP13'!$A$7:$N$160,7,FALSE),0)</f>
        <v>0</v>
      </c>
      <c r="H91" s="10">
        <f>IFERROR(VLOOKUP(A91,'Centre DW13'!$A$7:$N$160,8,FALSE),0)+
IFERROR(VLOOKUP(A91,'Centre WR13'!$A$7:$N$160,8,FALSE),0)+
IFERROR(VLOOKUP(A91,'Centre WP13'!$A$7:$N$160,8,FALSE),0)</f>
        <v>0</v>
      </c>
      <c r="I91" s="10">
        <f>IFERROR(VLOOKUP(A91,'Centre DW13'!$A$7:$N$160,9,FALSE),0)+
IFERROR(VLOOKUP(A91,'Centre WR13'!$A$7:$N$160,9,FALSE),0)+
IFERROR(VLOOKUP(A91,'Centre WP13'!$A$7:$N$160,9,FALSE),0)</f>
        <v>0</v>
      </c>
      <c r="J91" s="28">
        <f>IFERROR(VLOOKUP(A91,'Centre DW13'!$A$7:$N$160,10,FALSE),0)+
IFERROR(VLOOKUP(A91,'Centre WR13'!$A$7:$N$160,10,FALSE),0)+
IFERROR(VLOOKUP(A91,'Centre WP13'!$A$7:$N$160,10,FALSE),0)</f>
        <v>0</v>
      </c>
      <c r="K91" s="28">
        <f>IFERROR(VLOOKUP(A91,'Centre DW13'!$A$7:$N$160,11,FALSE),0)+
IFERROR(VLOOKUP(A91,'Centre WR13'!$A$7:$N$160,11,FALSE),0)+
IFERROR(VLOOKUP(A91,'Centre WP13'!$A$7:$N$160,11,FALSE),0)</f>
        <v>0</v>
      </c>
      <c r="L91" s="28">
        <f>IFERROR(VLOOKUP(A91,'Centre DW13'!$A$7:$N$160,12,FALSE),0)+
IFERROR(VLOOKUP(A91,'Centre WR13'!$A$7:$N$160,12,FALSE),0)+
IFERROR(VLOOKUP(A91,'Centre WP13'!$A$7:$N$160,12,FALSE),0)</f>
        <v>0</v>
      </c>
      <c r="M91" s="28">
        <f>IFERROR(VLOOKUP(A91,'Centre DW13'!$A$7:$N$160,13,FALSE),0)+
IFERROR(VLOOKUP(A91,'Centre WR13'!$A$7:$N$160,13,FALSE),0)+
IFERROR(VLOOKUP(A91,'Centre WP13'!$A$7:$N$160,13,FALSE),0)</f>
        <v>0</v>
      </c>
      <c r="N91" s="28">
        <f>IFERROR(VLOOKUP(A91,'Centre DW13'!$A$7:$N$160,14,FALSE),0)+
IFERROR(VLOOKUP(A91,'Centre WR13'!$A$7:$N$160,14,FALSE),0)+
IFERROR(VLOOKUP(A91,'Centre WP13'!$A$7:$N$160,14,FALSE),0)</f>
        <v>0</v>
      </c>
    </row>
    <row r="92" spans="1:14" hidden="1" outlineLevel="1" x14ac:dyDescent="0.2">
      <c r="A92" s="9" t="s">
        <v>181</v>
      </c>
      <c r="B92" s="1" t="s">
        <v>182</v>
      </c>
      <c r="C92" s="10">
        <f>IFERROR(VLOOKUP(A92,'Centre DW13'!$A$7:$N$160,3,FALSE),0)+
IFERROR(VLOOKUP(A92,'Centre WR13'!$A$7:$N$160,3,FALSE),0)+
IFERROR(VLOOKUP(A92,'Centre WP13'!$A$7:$N$160,3,FALSE),0)</f>
        <v>1.3</v>
      </c>
      <c r="D92" s="10">
        <f>IFERROR(VLOOKUP(A92,'Centre DW13'!$A$7:$N$160,4,FALSE),0)+
IFERROR(VLOOKUP(A92,'Centre WR13'!$A$7:$N$160,4,FALSE),0)+
IFERROR(VLOOKUP(A92,'Centre WP13'!$A$7:$N$160,4,FALSE),0)</f>
        <v>1.6</v>
      </c>
      <c r="E92" s="10">
        <f>IFERROR(VLOOKUP(A92,'Centre DW13'!$A$7:$N$160,5,FALSE),0)+
IFERROR(VLOOKUP(A92,'Centre WR13'!$A$7:$N$160,5,FALSE),0)+
IFERROR(VLOOKUP(A92,'Centre WP13'!$A$7:$N$160,5,FALSE),0)</f>
        <v>1</v>
      </c>
      <c r="F92" s="10">
        <f>IFERROR(VLOOKUP(A92,'Centre DW13'!$A$7:$N$160,6,FALSE),0)+
IFERROR(VLOOKUP(A92,'Centre WR13'!$A$7:$N$160,6,FALSE),0)+
IFERROR(VLOOKUP(A92,'Centre WP13'!$A$7:$N$160,6,FALSE),0)</f>
        <v>0.7</v>
      </c>
      <c r="G92" s="10">
        <f>IFERROR(VLOOKUP(A92,'Centre DW13'!$A$7:$N$160,7,FALSE),0)+
IFERROR(VLOOKUP(A92,'Centre WR13'!$A$7:$N$160,7,FALSE),0)+
IFERROR(VLOOKUP(A92,'Centre WP13'!$A$7:$N$160,7,FALSE),0)</f>
        <v>0.9</v>
      </c>
      <c r="H92" s="10">
        <f>IFERROR(VLOOKUP(A92,'Centre DW13'!$A$7:$N$160,8,FALSE),0)+
IFERROR(VLOOKUP(A92,'Centre WR13'!$A$7:$N$160,8,FALSE),0)+
IFERROR(VLOOKUP(A92,'Centre WP13'!$A$7:$N$160,8,FALSE),0)</f>
        <v>0.9</v>
      </c>
      <c r="I92" s="10">
        <f>IFERROR(VLOOKUP(A92,'Centre DW13'!$A$7:$N$160,9,FALSE),0)+
IFERROR(VLOOKUP(A92,'Centre WR13'!$A$7:$N$160,9,FALSE),0)+
IFERROR(VLOOKUP(A92,'Centre WP13'!$A$7:$N$160,9,FALSE),0)</f>
        <v>0.7</v>
      </c>
      <c r="J92" s="28">
        <f>IFERROR(VLOOKUP(A92,'Centre DW13'!$A$7:$N$160,10,FALSE),0)+
IFERROR(VLOOKUP(A92,'Centre WR13'!$A$7:$N$160,10,FALSE),0)+
IFERROR(VLOOKUP(A92,'Centre WP13'!$A$7:$N$160,10,FALSE),0)</f>
        <v>1.6</v>
      </c>
      <c r="K92" s="28">
        <f>IFERROR(VLOOKUP(A92,'Centre DW13'!$A$7:$N$160,11,FALSE),0)+
IFERROR(VLOOKUP(A92,'Centre WR13'!$A$7:$N$160,11,FALSE),0)+
IFERROR(VLOOKUP(A92,'Centre WP13'!$A$7:$N$160,11,FALSE),0)</f>
        <v>1</v>
      </c>
      <c r="L92" s="28">
        <f>IFERROR(VLOOKUP(A92,'Centre DW13'!$A$7:$N$160,12,FALSE),0)+
IFERROR(VLOOKUP(A92,'Centre WR13'!$A$7:$N$160,12,FALSE),0)+
IFERROR(VLOOKUP(A92,'Centre WP13'!$A$7:$N$160,12,FALSE),0)</f>
        <v>0.7</v>
      </c>
      <c r="M92" s="28">
        <f>IFERROR(VLOOKUP(A92,'Centre DW13'!$A$7:$N$160,13,FALSE),0)+
IFERROR(VLOOKUP(A92,'Centre WR13'!$A$7:$N$160,13,FALSE),0)+
IFERROR(VLOOKUP(A92,'Centre WP13'!$A$7:$N$160,13,FALSE),0)</f>
        <v>0.9</v>
      </c>
      <c r="N92" s="28">
        <f>IFERROR(VLOOKUP(A92,'Centre DW13'!$A$7:$N$160,14,FALSE),0)+
IFERROR(VLOOKUP(A92,'Centre WR13'!$A$7:$N$160,14,FALSE),0)+
IFERROR(VLOOKUP(A92,'Centre WP13'!$A$7:$N$160,14,FALSE),0)</f>
        <v>0.9</v>
      </c>
    </row>
    <row r="93" spans="1:14" hidden="1" outlineLevel="1" x14ac:dyDescent="0.2">
      <c r="A93" s="9" t="s">
        <v>183</v>
      </c>
      <c r="B93" s="1" t="s">
        <v>184</v>
      </c>
      <c r="C93" s="10">
        <f>IFERROR(VLOOKUP(A93,'Centre DW13'!$A$7:$N$160,3,FALSE),0)+
IFERROR(VLOOKUP(A93,'Centre WR13'!$A$7:$N$160,3,FALSE),0)+
IFERROR(VLOOKUP(A93,'Centre WP13'!$A$7:$N$160,3,FALSE),0)</f>
        <v>0</v>
      </c>
      <c r="D93" s="10">
        <f>IFERROR(VLOOKUP(A93,'Centre DW13'!$A$7:$N$160,4,FALSE),0)+
IFERROR(VLOOKUP(A93,'Centre WR13'!$A$7:$N$160,4,FALSE),0)+
IFERROR(VLOOKUP(A93,'Centre WP13'!$A$7:$N$160,4,FALSE),0)</f>
        <v>0.1</v>
      </c>
      <c r="E93" s="10">
        <f>IFERROR(VLOOKUP(A93,'Centre DW13'!$A$7:$N$160,5,FALSE),0)+
IFERROR(VLOOKUP(A93,'Centre WR13'!$A$7:$N$160,5,FALSE),0)+
IFERROR(VLOOKUP(A93,'Centre WP13'!$A$7:$N$160,5,FALSE),0)</f>
        <v>0.3</v>
      </c>
      <c r="F93" s="10">
        <f>IFERROR(VLOOKUP(A93,'Centre DW13'!$A$7:$N$160,6,FALSE),0)+
IFERROR(VLOOKUP(A93,'Centre WR13'!$A$7:$N$160,6,FALSE),0)+
IFERROR(VLOOKUP(A93,'Centre WP13'!$A$7:$N$160,6,FALSE),0)</f>
        <v>0.6</v>
      </c>
      <c r="G93" s="10">
        <f>IFERROR(VLOOKUP(A93,'Centre DW13'!$A$7:$N$160,7,FALSE),0)+
IFERROR(VLOOKUP(A93,'Centre WR13'!$A$7:$N$160,7,FALSE),0)+
IFERROR(VLOOKUP(A93,'Centre WP13'!$A$7:$N$160,7,FALSE),0)</f>
        <v>0.8</v>
      </c>
      <c r="H93" s="10">
        <f>IFERROR(VLOOKUP(A93,'Centre DW13'!$A$7:$N$160,8,FALSE),0)+
IFERROR(VLOOKUP(A93,'Centre WR13'!$A$7:$N$160,8,FALSE),0)+
IFERROR(VLOOKUP(A93,'Centre WP13'!$A$7:$N$160,8,FALSE),0)</f>
        <v>0.4</v>
      </c>
      <c r="I93" s="10">
        <f>IFERROR(VLOOKUP(A93,'Centre DW13'!$A$7:$N$160,9,FALSE),0)+
IFERROR(VLOOKUP(A93,'Centre WR13'!$A$7:$N$160,9,FALSE),0)+
IFERROR(VLOOKUP(A93,'Centre WP13'!$A$7:$N$160,9,FALSE),0)</f>
        <v>0.2</v>
      </c>
      <c r="J93" s="28">
        <f>IFERROR(VLOOKUP(A93,'Centre DW13'!$A$7:$N$160,10,FALSE),0)+
IFERROR(VLOOKUP(A93,'Centre WR13'!$A$7:$N$160,10,FALSE),0)+
IFERROR(VLOOKUP(A93,'Centre WP13'!$A$7:$N$160,10,FALSE),0)</f>
        <v>0.1</v>
      </c>
      <c r="K93" s="28">
        <f>IFERROR(VLOOKUP(A93,'Centre DW13'!$A$7:$N$160,11,FALSE),0)+
IFERROR(VLOOKUP(A93,'Centre WR13'!$A$7:$N$160,11,FALSE),0)+
IFERROR(VLOOKUP(A93,'Centre WP13'!$A$7:$N$160,11,FALSE),0)</f>
        <v>0.3</v>
      </c>
      <c r="L93" s="28">
        <f>IFERROR(VLOOKUP(A93,'Centre DW13'!$A$7:$N$160,12,FALSE),0)+
IFERROR(VLOOKUP(A93,'Centre WR13'!$A$7:$N$160,12,FALSE),0)+
IFERROR(VLOOKUP(A93,'Centre WP13'!$A$7:$N$160,12,FALSE),0)</f>
        <v>0.6</v>
      </c>
      <c r="M93" s="28">
        <f>IFERROR(VLOOKUP(A93,'Centre DW13'!$A$7:$N$160,13,FALSE),0)+
IFERROR(VLOOKUP(A93,'Centre WR13'!$A$7:$N$160,13,FALSE),0)+
IFERROR(VLOOKUP(A93,'Centre WP13'!$A$7:$N$160,13,FALSE),0)</f>
        <v>0.8</v>
      </c>
      <c r="N93" s="28">
        <f>IFERROR(VLOOKUP(A93,'Centre DW13'!$A$7:$N$160,14,FALSE),0)+
IFERROR(VLOOKUP(A93,'Centre WR13'!$A$7:$N$160,14,FALSE),0)+
IFERROR(VLOOKUP(A93,'Centre WP13'!$A$7:$N$160,14,FALSE),0)</f>
        <v>0.4</v>
      </c>
    </row>
    <row r="94" spans="1:14" hidden="1" outlineLevel="1" x14ac:dyDescent="0.2">
      <c r="A94" s="9" t="s">
        <v>185</v>
      </c>
      <c r="B94" s="1" t="s">
        <v>186</v>
      </c>
      <c r="C94" s="10">
        <f>IFERROR(VLOOKUP(A94,'Centre DW13'!$A$7:$N$160,3,FALSE),0)+
IFERROR(VLOOKUP(A94,'Centre WR13'!$A$7:$N$160,3,FALSE),0)+
IFERROR(VLOOKUP(A94,'Centre WP13'!$A$7:$N$160,3,FALSE),0)</f>
        <v>0.2</v>
      </c>
      <c r="D94" s="10">
        <f>IFERROR(VLOOKUP(A94,'Centre DW13'!$A$7:$N$160,4,FALSE),0)+
IFERROR(VLOOKUP(A94,'Centre WR13'!$A$7:$N$160,4,FALSE),0)+
IFERROR(VLOOKUP(A94,'Centre WP13'!$A$7:$N$160,4,FALSE),0)</f>
        <v>0.1</v>
      </c>
      <c r="E94" s="10">
        <f>IFERROR(VLOOKUP(A94,'Centre DW13'!$A$7:$N$160,5,FALSE),0)+
IFERROR(VLOOKUP(A94,'Centre WR13'!$A$7:$N$160,5,FALSE),0)+
IFERROR(VLOOKUP(A94,'Centre WP13'!$A$7:$N$160,5,FALSE),0)</f>
        <v>0.2</v>
      </c>
      <c r="F94" s="10">
        <f>IFERROR(VLOOKUP(A94,'Centre DW13'!$A$7:$N$160,6,FALSE),0)+
IFERROR(VLOOKUP(A94,'Centre WR13'!$A$7:$N$160,6,FALSE),0)+
IFERROR(VLOOKUP(A94,'Centre WP13'!$A$7:$N$160,6,FALSE),0)</f>
        <v>0.2</v>
      </c>
      <c r="G94" s="10">
        <f>IFERROR(VLOOKUP(A94,'Centre DW13'!$A$7:$N$160,7,FALSE),0)+
IFERROR(VLOOKUP(A94,'Centre WR13'!$A$7:$N$160,7,FALSE),0)+
IFERROR(VLOOKUP(A94,'Centre WP13'!$A$7:$N$160,7,FALSE),0)</f>
        <v>0.2</v>
      </c>
      <c r="H94" s="10">
        <f>IFERROR(VLOOKUP(A94,'Centre DW13'!$A$7:$N$160,8,FALSE),0)+
IFERROR(VLOOKUP(A94,'Centre WR13'!$A$7:$N$160,8,FALSE),0)+
IFERROR(VLOOKUP(A94,'Centre WP13'!$A$7:$N$160,8,FALSE),0)</f>
        <v>0.2</v>
      </c>
      <c r="I94" s="10">
        <f>IFERROR(VLOOKUP(A94,'Centre DW13'!$A$7:$N$160,9,FALSE),0)+
IFERROR(VLOOKUP(A94,'Centre WR13'!$A$7:$N$160,9,FALSE),0)+
IFERROR(VLOOKUP(A94,'Centre WP13'!$A$7:$N$160,9,FALSE),0)</f>
        <v>0.3</v>
      </c>
      <c r="J94" s="28">
        <f>IFERROR(VLOOKUP(A94,'Centre DW13'!$A$7:$N$160,10,FALSE),0)+
IFERROR(VLOOKUP(A94,'Centre WR13'!$A$7:$N$160,10,FALSE),0)+
IFERROR(VLOOKUP(A94,'Centre WP13'!$A$7:$N$160,10,FALSE),0)</f>
        <v>0.1</v>
      </c>
      <c r="K94" s="28">
        <f>IFERROR(VLOOKUP(A94,'Centre DW13'!$A$7:$N$160,11,FALSE),0)+
IFERROR(VLOOKUP(A94,'Centre WR13'!$A$7:$N$160,11,FALSE),0)+
IFERROR(VLOOKUP(A94,'Centre WP13'!$A$7:$N$160,11,FALSE),0)</f>
        <v>0.2</v>
      </c>
      <c r="L94" s="28">
        <f>IFERROR(VLOOKUP(A94,'Centre DW13'!$A$7:$N$160,12,FALSE),0)+
IFERROR(VLOOKUP(A94,'Centre WR13'!$A$7:$N$160,12,FALSE),0)+
IFERROR(VLOOKUP(A94,'Centre WP13'!$A$7:$N$160,12,FALSE),0)</f>
        <v>0.2</v>
      </c>
      <c r="M94" s="28">
        <f>IFERROR(VLOOKUP(A94,'Centre DW13'!$A$7:$N$160,13,FALSE),0)+
IFERROR(VLOOKUP(A94,'Centre WR13'!$A$7:$N$160,13,FALSE),0)+
IFERROR(VLOOKUP(A94,'Centre WP13'!$A$7:$N$160,13,FALSE),0)</f>
        <v>0.2</v>
      </c>
      <c r="N94" s="28">
        <f>IFERROR(VLOOKUP(A94,'Centre DW13'!$A$7:$N$160,14,FALSE),0)+
IFERROR(VLOOKUP(A94,'Centre WR13'!$A$7:$N$160,14,FALSE),0)+
IFERROR(VLOOKUP(A94,'Centre WP13'!$A$7:$N$160,14,FALSE),0)</f>
        <v>0.2</v>
      </c>
    </row>
    <row r="95" spans="1:14" hidden="1" outlineLevel="1" x14ac:dyDescent="0.2">
      <c r="A95" s="9" t="s">
        <v>187</v>
      </c>
      <c r="B95" s="1" t="s">
        <v>184</v>
      </c>
      <c r="C95" s="10">
        <f>IFERROR(VLOOKUP(A95,'Centre DW13'!$A$7:$N$160,3,FALSE),0)+
IFERROR(VLOOKUP(A95,'Centre WR13'!$A$7:$N$160,3,FALSE),0)+
IFERROR(VLOOKUP(A95,'Centre WP13'!$A$7:$N$160,3,FALSE),0)</f>
        <v>0</v>
      </c>
      <c r="D95" s="10">
        <f>IFERROR(VLOOKUP(A95,'Centre DW13'!$A$7:$N$160,4,FALSE),0)+
IFERROR(VLOOKUP(A95,'Centre WR13'!$A$7:$N$160,4,FALSE),0)+
IFERROR(VLOOKUP(A95,'Centre WP13'!$A$7:$N$160,4,FALSE),0)</f>
        <v>0</v>
      </c>
      <c r="E95" s="10">
        <f>IFERROR(VLOOKUP(A95,'Centre DW13'!$A$7:$N$160,5,FALSE),0)+
IFERROR(VLOOKUP(A95,'Centre WR13'!$A$7:$N$160,5,FALSE),0)+
IFERROR(VLOOKUP(A95,'Centre WP13'!$A$7:$N$160,5,FALSE),0)</f>
        <v>0</v>
      </c>
      <c r="F95" s="10">
        <f>IFERROR(VLOOKUP(A95,'Centre DW13'!$A$7:$N$160,6,FALSE),0)+
IFERROR(VLOOKUP(A95,'Centre WR13'!$A$7:$N$160,6,FALSE),0)+
IFERROR(VLOOKUP(A95,'Centre WP13'!$A$7:$N$160,6,FALSE),0)</f>
        <v>0</v>
      </c>
      <c r="G95" s="10">
        <f>IFERROR(VLOOKUP(A95,'Centre DW13'!$A$7:$N$160,7,FALSE),0)+
IFERROR(VLOOKUP(A95,'Centre WR13'!$A$7:$N$160,7,FALSE),0)+
IFERROR(VLOOKUP(A95,'Centre WP13'!$A$7:$N$160,7,FALSE),0)</f>
        <v>0</v>
      </c>
      <c r="H95" s="10">
        <f>IFERROR(VLOOKUP(A95,'Centre DW13'!$A$7:$N$160,8,FALSE),0)+
IFERROR(VLOOKUP(A95,'Centre WR13'!$A$7:$N$160,8,FALSE),0)+
IFERROR(VLOOKUP(A95,'Centre WP13'!$A$7:$N$160,8,FALSE),0)</f>
        <v>0</v>
      </c>
      <c r="I95" s="10">
        <f>IFERROR(VLOOKUP(A95,'Centre DW13'!$A$7:$N$160,9,FALSE),0)+
IFERROR(VLOOKUP(A95,'Centre WR13'!$A$7:$N$160,9,FALSE),0)+
IFERROR(VLOOKUP(A95,'Centre WP13'!$A$7:$N$160,9,FALSE),0)</f>
        <v>0</v>
      </c>
      <c r="J95" s="28">
        <f>IFERROR(VLOOKUP(A95,'Centre DW13'!$A$7:$N$160,10,FALSE),0)+
IFERROR(VLOOKUP(A95,'Centre WR13'!$A$7:$N$160,10,FALSE),0)+
IFERROR(VLOOKUP(A95,'Centre WP13'!$A$7:$N$160,10,FALSE),0)</f>
        <v>0</v>
      </c>
      <c r="K95" s="28">
        <f>IFERROR(VLOOKUP(A95,'Centre DW13'!$A$7:$N$160,11,FALSE),0)+
IFERROR(VLOOKUP(A95,'Centre WR13'!$A$7:$N$160,11,FALSE),0)+
IFERROR(VLOOKUP(A95,'Centre WP13'!$A$7:$N$160,11,FALSE),0)</f>
        <v>0</v>
      </c>
      <c r="L95" s="28">
        <f>IFERROR(VLOOKUP(A95,'Centre DW13'!$A$7:$N$160,12,FALSE),0)+
IFERROR(VLOOKUP(A95,'Centre WR13'!$A$7:$N$160,12,FALSE),0)+
IFERROR(VLOOKUP(A95,'Centre WP13'!$A$7:$N$160,12,FALSE),0)</f>
        <v>0</v>
      </c>
      <c r="M95" s="28">
        <f>IFERROR(VLOOKUP(A95,'Centre DW13'!$A$7:$N$160,13,FALSE),0)+
IFERROR(VLOOKUP(A95,'Centre WR13'!$A$7:$N$160,13,FALSE),0)+
IFERROR(VLOOKUP(A95,'Centre WP13'!$A$7:$N$160,13,FALSE),0)</f>
        <v>0</v>
      </c>
      <c r="N95" s="28">
        <f>IFERROR(VLOOKUP(A95,'Centre DW13'!$A$7:$N$160,14,FALSE),0)+
IFERROR(VLOOKUP(A95,'Centre WR13'!$A$7:$N$160,14,FALSE),0)+
IFERROR(VLOOKUP(A95,'Centre WP13'!$A$7:$N$160,14,FALSE),0)</f>
        <v>0</v>
      </c>
    </row>
    <row r="96" spans="1:14" hidden="1" outlineLevel="1" x14ac:dyDescent="0.2">
      <c r="A96" s="9" t="s">
        <v>188</v>
      </c>
      <c r="B96" s="1" t="s">
        <v>189</v>
      </c>
      <c r="C96" s="10">
        <f>IFERROR(VLOOKUP(A96,'Centre DW13'!$A$7:$N$160,3,FALSE),0)+
IFERROR(VLOOKUP(A96,'Centre WR13'!$A$7:$N$160,3,FALSE),0)+
IFERROR(VLOOKUP(A96,'Centre WP13'!$A$7:$N$160,3,FALSE),0)</f>
        <v>0.2</v>
      </c>
      <c r="D96" s="10">
        <f>IFERROR(VLOOKUP(A96,'Centre DW13'!$A$7:$N$160,4,FALSE),0)+
IFERROR(VLOOKUP(A96,'Centre WR13'!$A$7:$N$160,4,FALSE),0)+
IFERROR(VLOOKUP(A96,'Centre WP13'!$A$7:$N$160,4,FALSE),0)</f>
        <v>0.2</v>
      </c>
      <c r="E96" s="10">
        <f>IFERROR(VLOOKUP(A96,'Centre DW13'!$A$7:$N$160,5,FALSE),0)+
IFERROR(VLOOKUP(A96,'Centre WR13'!$A$7:$N$160,5,FALSE),0)+
IFERROR(VLOOKUP(A96,'Centre WP13'!$A$7:$N$160,5,FALSE),0)</f>
        <v>0.3</v>
      </c>
      <c r="F96" s="10">
        <f>IFERROR(VLOOKUP(A96,'Centre DW13'!$A$7:$N$160,6,FALSE),0)+
IFERROR(VLOOKUP(A96,'Centre WR13'!$A$7:$N$160,6,FALSE),0)+
IFERROR(VLOOKUP(A96,'Centre WP13'!$A$7:$N$160,6,FALSE),0)</f>
        <v>0.3</v>
      </c>
      <c r="G96" s="10">
        <f>IFERROR(VLOOKUP(A96,'Centre DW13'!$A$7:$N$160,7,FALSE),0)+
IFERROR(VLOOKUP(A96,'Centre WR13'!$A$7:$N$160,7,FALSE),0)+
IFERROR(VLOOKUP(A96,'Centre WP13'!$A$7:$N$160,7,FALSE),0)</f>
        <v>0.2</v>
      </c>
      <c r="H96" s="10">
        <f>IFERROR(VLOOKUP(A96,'Centre DW13'!$A$7:$N$160,8,FALSE),0)+
IFERROR(VLOOKUP(A96,'Centre WR13'!$A$7:$N$160,8,FALSE),0)+
IFERROR(VLOOKUP(A96,'Centre WP13'!$A$7:$N$160,8,FALSE),0)</f>
        <v>0.3</v>
      </c>
      <c r="I96" s="10">
        <f>IFERROR(VLOOKUP(A96,'Centre DW13'!$A$7:$N$160,9,FALSE),0)+
IFERROR(VLOOKUP(A96,'Centre WR13'!$A$7:$N$160,9,FALSE),0)+
IFERROR(VLOOKUP(A96,'Centre WP13'!$A$7:$N$160,9,FALSE),0)</f>
        <v>0.2</v>
      </c>
      <c r="J96" s="28">
        <f>IFERROR(VLOOKUP(A96,'Centre DW13'!$A$7:$N$160,10,FALSE),0)+
IFERROR(VLOOKUP(A96,'Centre WR13'!$A$7:$N$160,10,FALSE),0)+
IFERROR(VLOOKUP(A96,'Centre WP13'!$A$7:$N$160,10,FALSE),0)</f>
        <v>0.2</v>
      </c>
      <c r="K96" s="28">
        <f>IFERROR(VLOOKUP(A96,'Centre DW13'!$A$7:$N$160,11,FALSE),0)+
IFERROR(VLOOKUP(A96,'Centre WR13'!$A$7:$N$160,11,FALSE),0)+
IFERROR(VLOOKUP(A96,'Centre WP13'!$A$7:$N$160,11,FALSE),0)</f>
        <v>0.3</v>
      </c>
      <c r="L96" s="28">
        <f>IFERROR(VLOOKUP(A96,'Centre DW13'!$A$7:$N$160,12,FALSE),0)+
IFERROR(VLOOKUP(A96,'Centre WR13'!$A$7:$N$160,12,FALSE),0)+
IFERROR(VLOOKUP(A96,'Centre WP13'!$A$7:$N$160,12,FALSE),0)</f>
        <v>0.3</v>
      </c>
      <c r="M96" s="28">
        <f>IFERROR(VLOOKUP(A96,'Centre DW13'!$A$7:$N$160,13,FALSE),0)+
IFERROR(VLOOKUP(A96,'Centre WR13'!$A$7:$N$160,13,FALSE),0)+
IFERROR(VLOOKUP(A96,'Centre WP13'!$A$7:$N$160,13,FALSE),0)</f>
        <v>0.2</v>
      </c>
      <c r="N96" s="28">
        <f>IFERROR(VLOOKUP(A96,'Centre DW13'!$A$7:$N$160,14,FALSE),0)+
IFERROR(VLOOKUP(A96,'Centre WR13'!$A$7:$N$160,14,FALSE),0)+
IFERROR(VLOOKUP(A96,'Centre WP13'!$A$7:$N$160,14,FALSE),0)</f>
        <v>0.3</v>
      </c>
    </row>
    <row r="97" spans="1:14" hidden="1" outlineLevel="1" x14ac:dyDescent="0.2">
      <c r="A97" s="9" t="s">
        <v>190</v>
      </c>
      <c r="B97" s="1" t="s">
        <v>191</v>
      </c>
      <c r="C97" s="10">
        <f>IFERROR(VLOOKUP(A97,'Centre DW13'!$A$7:$N$160,3,FALSE),0)+
IFERROR(VLOOKUP(A97,'Centre WR13'!$A$7:$N$160,3,FALSE),0)+
IFERROR(VLOOKUP(A97,'Centre WP13'!$A$7:$N$160,3,FALSE),0)</f>
        <v>0.1</v>
      </c>
      <c r="D97" s="10">
        <f>IFERROR(VLOOKUP(A97,'Centre DW13'!$A$7:$N$160,4,FALSE),0)+
IFERROR(VLOOKUP(A97,'Centre WR13'!$A$7:$N$160,4,FALSE),0)+
IFERROR(VLOOKUP(A97,'Centre WP13'!$A$7:$N$160,4,FALSE),0)</f>
        <v>0.1</v>
      </c>
      <c r="E97" s="10">
        <f>IFERROR(VLOOKUP(A97,'Centre DW13'!$A$7:$N$160,5,FALSE),0)+
IFERROR(VLOOKUP(A97,'Centre WR13'!$A$7:$N$160,5,FALSE),0)+
IFERROR(VLOOKUP(A97,'Centre WP13'!$A$7:$N$160,5,FALSE),0)</f>
        <v>0.1</v>
      </c>
      <c r="F97" s="10">
        <f>IFERROR(VLOOKUP(A97,'Centre DW13'!$A$7:$N$160,6,FALSE),0)+
IFERROR(VLOOKUP(A97,'Centre WR13'!$A$7:$N$160,6,FALSE),0)+
IFERROR(VLOOKUP(A97,'Centre WP13'!$A$7:$N$160,6,FALSE),0)</f>
        <v>0.1</v>
      </c>
      <c r="G97" s="10">
        <f>IFERROR(VLOOKUP(A97,'Centre DW13'!$A$7:$N$160,7,FALSE),0)+
IFERROR(VLOOKUP(A97,'Centre WR13'!$A$7:$N$160,7,FALSE),0)+
IFERROR(VLOOKUP(A97,'Centre WP13'!$A$7:$N$160,7,FALSE),0)</f>
        <v>0.1</v>
      </c>
      <c r="H97" s="10">
        <f>IFERROR(VLOOKUP(A97,'Centre DW13'!$A$7:$N$160,8,FALSE),0)+
IFERROR(VLOOKUP(A97,'Centre WR13'!$A$7:$N$160,8,FALSE),0)+
IFERROR(VLOOKUP(A97,'Centre WP13'!$A$7:$N$160,8,FALSE),0)</f>
        <v>0.2</v>
      </c>
      <c r="I97" s="10">
        <f>IFERROR(VLOOKUP(A97,'Centre DW13'!$A$7:$N$160,9,FALSE),0)+
IFERROR(VLOOKUP(A97,'Centre WR13'!$A$7:$N$160,9,FALSE),0)+
IFERROR(VLOOKUP(A97,'Centre WP13'!$A$7:$N$160,9,FALSE),0)</f>
        <v>0.1</v>
      </c>
      <c r="J97" s="28">
        <f>IFERROR(VLOOKUP(A97,'Centre DW13'!$A$7:$N$160,10,FALSE),0)+
IFERROR(VLOOKUP(A97,'Centre WR13'!$A$7:$N$160,10,FALSE),0)+
IFERROR(VLOOKUP(A97,'Centre WP13'!$A$7:$N$160,10,FALSE),0)</f>
        <v>0.1</v>
      </c>
      <c r="K97" s="28">
        <f>IFERROR(VLOOKUP(A97,'Centre DW13'!$A$7:$N$160,11,FALSE),0)+
IFERROR(VLOOKUP(A97,'Centre WR13'!$A$7:$N$160,11,FALSE),0)+
IFERROR(VLOOKUP(A97,'Centre WP13'!$A$7:$N$160,11,FALSE),0)</f>
        <v>0.1</v>
      </c>
      <c r="L97" s="28">
        <f>IFERROR(VLOOKUP(A97,'Centre DW13'!$A$7:$N$160,12,FALSE),0)+
IFERROR(VLOOKUP(A97,'Centre WR13'!$A$7:$N$160,12,FALSE),0)+
IFERROR(VLOOKUP(A97,'Centre WP13'!$A$7:$N$160,12,FALSE),0)</f>
        <v>0.1</v>
      </c>
      <c r="M97" s="28">
        <f>IFERROR(VLOOKUP(A97,'Centre DW13'!$A$7:$N$160,13,FALSE),0)+
IFERROR(VLOOKUP(A97,'Centre WR13'!$A$7:$N$160,13,FALSE),0)+
IFERROR(VLOOKUP(A97,'Centre WP13'!$A$7:$N$160,13,FALSE),0)</f>
        <v>0.1</v>
      </c>
      <c r="N97" s="28">
        <f>IFERROR(VLOOKUP(A97,'Centre DW13'!$A$7:$N$160,14,FALSE),0)+
IFERROR(VLOOKUP(A97,'Centre WR13'!$A$7:$N$160,14,FALSE),0)+
IFERROR(VLOOKUP(A97,'Centre WP13'!$A$7:$N$160,14,FALSE),0)</f>
        <v>0.2</v>
      </c>
    </row>
    <row r="98" spans="1:14" hidden="1" outlineLevel="1" x14ac:dyDescent="0.2">
      <c r="A98" s="9" t="s">
        <v>192</v>
      </c>
      <c r="B98" s="1" t="s">
        <v>193</v>
      </c>
      <c r="C98" s="10">
        <f>IFERROR(VLOOKUP(A98,'Centre DW13'!$A$7:$N$160,3,FALSE),0)+
IFERROR(VLOOKUP(A98,'Centre WR13'!$A$7:$N$160,3,FALSE),0)+
IFERROR(VLOOKUP(A98,'Centre WP13'!$A$7:$N$160,3,FALSE),0)</f>
        <v>0</v>
      </c>
      <c r="D98" s="10">
        <f>IFERROR(VLOOKUP(A98,'Centre DW13'!$A$7:$N$160,4,FALSE),0)+
IFERROR(VLOOKUP(A98,'Centre WR13'!$A$7:$N$160,4,FALSE),0)+
IFERROR(VLOOKUP(A98,'Centre WP13'!$A$7:$N$160,4,FALSE),0)</f>
        <v>0</v>
      </c>
      <c r="E98" s="10">
        <f>IFERROR(VLOOKUP(A98,'Centre DW13'!$A$7:$N$160,5,FALSE),0)+
IFERROR(VLOOKUP(A98,'Centre WR13'!$A$7:$N$160,5,FALSE),0)+
IFERROR(VLOOKUP(A98,'Centre WP13'!$A$7:$N$160,5,FALSE),0)</f>
        <v>0</v>
      </c>
      <c r="F98" s="10">
        <f>IFERROR(VLOOKUP(A98,'Centre DW13'!$A$7:$N$160,6,FALSE),0)+
IFERROR(VLOOKUP(A98,'Centre WR13'!$A$7:$N$160,6,FALSE),0)+
IFERROR(VLOOKUP(A98,'Centre WP13'!$A$7:$N$160,6,FALSE),0)</f>
        <v>0</v>
      </c>
      <c r="G98" s="10">
        <f>IFERROR(VLOOKUP(A98,'Centre DW13'!$A$7:$N$160,7,FALSE),0)+
IFERROR(VLOOKUP(A98,'Centre WR13'!$A$7:$N$160,7,FALSE),0)+
IFERROR(VLOOKUP(A98,'Centre WP13'!$A$7:$N$160,7,FALSE),0)</f>
        <v>0</v>
      </c>
      <c r="H98" s="10">
        <f>IFERROR(VLOOKUP(A98,'Centre DW13'!$A$7:$N$160,8,FALSE),0)+
IFERROR(VLOOKUP(A98,'Centre WR13'!$A$7:$N$160,8,FALSE),0)+
IFERROR(VLOOKUP(A98,'Centre WP13'!$A$7:$N$160,8,FALSE),0)</f>
        <v>0</v>
      </c>
      <c r="I98" s="10">
        <f>IFERROR(VLOOKUP(A98,'Centre DW13'!$A$7:$N$160,9,FALSE),0)+
IFERROR(VLOOKUP(A98,'Centre WR13'!$A$7:$N$160,9,FALSE),0)+
IFERROR(VLOOKUP(A98,'Centre WP13'!$A$7:$N$160,9,FALSE),0)</f>
        <v>0</v>
      </c>
      <c r="J98" s="28">
        <f>IFERROR(VLOOKUP(A98,'Centre DW13'!$A$7:$N$160,10,FALSE),0)+
IFERROR(VLOOKUP(A98,'Centre WR13'!$A$7:$N$160,10,FALSE),0)+
IFERROR(VLOOKUP(A98,'Centre WP13'!$A$7:$N$160,10,FALSE),0)</f>
        <v>0</v>
      </c>
      <c r="K98" s="28">
        <f>IFERROR(VLOOKUP(A98,'Centre DW13'!$A$7:$N$160,11,FALSE),0)+
IFERROR(VLOOKUP(A98,'Centre WR13'!$A$7:$N$160,11,FALSE),0)+
IFERROR(VLOOKUP(A98,'Centre WP13'!$A$7:$N$160,11,FALSE),0)</f>
        <v>0</v>
      </c>
      <c r="L98" s="28">
        <f>IFERROR(VLOOKUP(A98,'Centre DW13'!$A$7:$N$160,12,FALSE),0)+
IFERROR(VLOOKUP(A98,'Centre WR13'!$A$7:$N$160,12,FALSE),0)+
IFERROR(VLOOKUP(A98,'Centre WP13'!$A$7:$N$160,12,FALSE),0)</f>
        <v>0</v>
      </c>
      <c r="M98" s="28">
        <f>IFERROR(VLOOKUP(A98,'Centre DW13'!$A$7:$N$160,13,FALSE),0)+
IFERROR(VLOOKUP(A98,'Centre WR13'!$A$7:$N$160,13,FALSE),0)+
IFERROR(VLOOKUP(A98,'Centre WP13'!$A$7:$N$160,13,FALSE),0)</f>
        <v>0</v>
      </c>
      <c r="N98" s="28">
        <f>IFERROR(VLOOKUP(A98,'Centre DW13'!$A$7:$N$160,14,FALSE),0)+
IFERROR(VLOOKUP(A98,'Centre WR13'!$A$7:$N$160,14,FALSE),0)+
IFERROR(VLOOKUP(A98,'Centre WP13'!$A$7:$N$160,14,FALSE),0)</f>
        <v>0</v>
      </c>
    </row>
    <row r="99" spans="1:14" hidden="1" outlineLevel="1" x14ac:dyDescent="0.2">
      <c r="A99" s="9" t="s">
        <v>194</v>
      </c>
      <c r="B99" s="1" t="s">
        <v>195</v>
      </c>
      <c r="C99" s="10">
        <f>IFERROR(VLOOKUP(A99,'Centre DW13'!$A$7:$N$160,3,FALSE),0)+
IFERROR(VLOOKUP(A99,'Centre WR13'!$A$7:$N$160,3,FALSE),0)+
IFERROR(VLOOKUP(A99,'Centre WP13'!$A$7:$N$160,3,FALSE),0)</f>
        <v>0.2</v>
      </c>
      <c r="D99" s="10">
        <f>IFERROR(VLOOKUP(A99,'Centre DW13'!$A$7:$N$160,4,FALSE),0)+
IFERROR(VLOOKUP(A99,'Centre WR13'!$A$7:$N$160,4,FALSE),0)+
IFERROR(VLOOKUP(A99,'Centre WP13'!$A$7:$N$160,4,FALSE),0)</f>
        <v>0.5</v>
      </c>
      <c r="E99" s="10">
        <f>IFERROR(VLOOKUP(A99,'Centre DW13'!$A$7:$N$160,5,FALSE),0)+
IFERROR(VLOOKUP(A99,'Centre WR13'!$A$7:$N$160,5,FALSE),0)+
IFERROR(VLOOKUP(A99,'Centre WP13'!$A$7:$N$160,5,FALSE),0)</f>
        <v>0.2</v>
      </c>
      <c r="F99" s="10">
        <f>IFERROR(VLOOKUP(A99,'Centre DW13'!$A$7:$N$160,6,FALSE),0)+
IFERROR(VLOOKUP(A99,'Centre WR13'!$A$7:$N$160,6,FALSE),0)+
IFERROR(VLOOKUP(A99,'Centre WP13'!$A$7:$N$160,6,FALSE),0)</f>
        <v>0.2</v>
      </c>
      <c r="G99" s="10">
        <f>IFERROR(VLOOKUP(A99,'Centre DW13'!$A$7:$N$160,7,FALSE),0)+
IFERROR(VLOOKUP(A99,'Centre WR13'!$A$7:$N$160,7,FALSE),0)+
IFERROR(VLOOKUP(A99,'Centre WP13'!$A$7:$N$160,7,FALSE),0)</f>
        <v>0.2</v>
      </c>
      <c r="H99" s="10">
        <f>IFERROR(VLOOKUP(A99,'Centre DW13'!$A$7:$N$160,8,FALSE),0)+
IFERROR(VLOOKUP(A99,'Centre WR13'!$A$7:$N$160,8,FALSE),0)+
IFERROR(VLOOKUP(A99,'Centre WP13'!$A$7:$N$160,8,FALSE),0)</f>
        <v>0.3</v>
      </c>
      <c r="I99" s="10">
        <f>IFERROR(VLOOKUP(A99,'Centre DW13'!$A$7:$N$160,9,FALSE),0)+
IFERROR(VLOOKUP(A99,'Centre WR13'!$A$7:$N$160,9,FALSE),0)+
IFERROR(VLOOKUP(A99,'Centre WP13'!$A$7:$N$160,9,FALSE),0)</f>
        <v>0.2</v>
      </c>
      <c r="J99" s="28">
        <f>IFERROR(VLOOKUP(A99,'Centre DW13'!$A$7:$N$160,10,FALSE),0)+
IFERROR(VLOOKUP(A99,'Centre WR13'!$A$7:$N$160,10,FALSE),0)+
IFERROR(VLOOKUP(A99,'Centre WP13'!$A$7:$N$160,10,FALSE),0)</f>
        <v>0.5</v>
      </c>
      <c r="K99" s="28">
        <f>IFERROR(VLOOKUP(A99,'Centre DW13'!$A$7:$N$160,11,FALSE),0)+
IFERROR(VLOOKUP(A99,'Centre WR13'!$A$7:$N$160,11,FALSE),0)+
IFERROR(VLOOKUP(A99,'Centre WP13'!$A$7:$N$160,11,FALSE),0)</f>
        <v>0.2</v>
      </c>
      <c r="L99" s="28">
        <f>IFERROR(VLOOKUP(A99,'Centre DW13'!$A$7:$N$160,12,FALSE),0)+
IFERROR(VLOOKUP(A99,'Centre WR13'!$A$7:$N$160,12,FALSE),0)+
IFERROR(VLOOKUP(A99,'Centre WP13'!$A$7:$N$160,12,FALSE),0)</f>
        <v>0.2</v>
      </c>
      <c r="M99" s="28">
        <f>IFERROR(VLOOKUP(A99,'Centre DW13'!$A$7:$N$160,13,FALSE),0)+
IFERROR(VLOOKUP(A99,'Centre WR13'!$A$7:$N$160,13,FALSE),0)+
IFERROR(VLOOKUP(A99,'Centre WP13'!$A$7:$N$160,13,FALSE),0)</f>
        <v>0.2</v>
      </c>
      <c r="N99" s="28">
        <f>IFERROR(VLOOKUP(A99,'Centre DW13'!$A$7:$N$160,14,FALSE),0)+
IFERROR(VLOOKUP(A99,'Centre WR13'!$A$7:$N$160,14,FALSE),0)+
IFERROR(VLOOKUP(A99,'Centre WP13'!$A$7:$N$160,14,FALSE),0)</f>
        <v>0.3</v>
      </c>
    </row>
    <row r="100" spans="1:14" hidden="1" outlineLevel="1" x14ac:dyDescent="0.2">
      <c r="A100" s="9" t="s">
        <v>196</v>
      </c>
      <c r="B100" s="1" t="s">
        <v>197</v>
      </c>
      <c r="C100" s="10">
        <f>IFERROR(VLOOKUP(A100,'Centre DW13'!$A$7:$N$160,3,FALSE),0)+
IFERROR(VLOOKUP(A100,'Centre WR13'!$A$7:$N$160,3,FALSE),0)+
IFERROR(VLOOKUP(A100,'Centre WP13'!$A$7:$N$160,3,FALSE),0)</f>
        <v>0</v>
      </c>
      <c r="D100" s="10">
        <f>IFERROR(VLOOKUP(A100,'Centre DW13'!$A$7:$N$160,4,FALSE),0)+
IFERROR(VLOOKUP(A100,'Centre WR13'!$A$7:$N$160,4,FALSE),0)+
IFERROR(VLOOKUP(A100,'Centre WP13'!$A$7:$N$160,4,FALSE),0)</f>
        <v>0</v>
      </c>
      <c r="E100" s="10">
        <f>IFERROR(VLOOKUP(A100,'Centre DW13'!$A$7:$N$160,5,FALSE),0)+
IFERROR(VLOOKUP(A100,'Centre WR13'!$A$7:$N$160,5,FALSE),0)+
IFERROR(VLOOKUP(A100,'Centre WP13'!$A$7:$N$160,5,FALSE),0)</f>
        <v>0</v>
      </c>
      <c r="F100" s="10">
        <f>IFERROR(VLOOKUP(A100,'Centre DW13'!$A$7:$N$160,6,FALSE),0)+
IFERROR(VLOOKUP(A100,'Centre WR13'!$A$7:$N$160,6,FALSE),0)+
IFERROR(VLOOKUP(A100,'Centre WP13'!$A$7:$N$160,6,FALSE),0)</f>
        <v>0</v>
      </c>
      <c r="G100" s="10">
        <f>IFERROR(VLOOKUP(A100,'Centre DW13'!$A$7:$N$160,7,FALSE),0)+
IFERROR(VLOOKUP(A100,'Centre WR13'!$A$7:$N$160,7,FALSE),0)+
IFERROR(VLOOKUP(A100,'Centre WP13'!$A$7:$N$160,7,FALSE),0)</f>
        <v>0</v>
      </c>
      <c r="H100" s="10">
        <f>IFERROR(VLOOKUP(A100,'Centre DW13'!$A$7:$N$160,8,FALSE),0)+
IFERROR(VLOOKUP(A100,'Centre WR13'!$A$7:$N$160,8,FALSE),0)+
IFERROR(VLOOKUP(A100,'Centre WP13'!$A$7:$N$160,8,FALSE),0)</f>
        <v>0</v>
      </c>
      <c r="I100" s="10">
        <f>IFERROR(VLOOKUP(A100,'Centre DW13'!$A$7:$N$160,9,FALSE),0)+
IFERROR(VLOOKUP(A100,'Centre WR13'!$A$7:$N$160,9,FALSE),0)+
IFERROR(VLOOKUP(A100,'Centre WP13'!$A$7:$N$160,9,FALSE),0)</f>
        <v>0</v>
      </c>
      <c r="J100" s="28">
        <f>IFERROR(VLOOKUP(A100,'Centre DW13'!$A$7:$N$160,10,FALSE),0)+
IFERROR(VLOOKUP(A100,'Centre WR13'!$A$7:$N$160,10,FALSE),0)+
IFERROR(VLOOKUP(A100,'Centre WP13'!$A$7:$N$160,10,FALSE),0)</f>
        <v>0</v>
      </c>
      <c r="K100" s="28">
        <f>IFERROR(VLOOKUP(A100,'Centre DW13'!$A$7:$N$160,11,FALSE),0)+
IFERROR(VLOOKUP(A100,'Centre WR13'!$A$7:$N$160,11,FALSE),0)+
IFERROR(VLOOKUP(A100,'Centre WP13'!$A$7:$N$160,11,FALSE),0)</f>
        <v>0</v>
      </c>
      <c r="L100" s="28">
        <f>IFERROR(VLOOKUP(A100,'Centre DW13'!$A$7:$N$160,12,FALSE),0)+
IFERROR(VLOOKUP(A100,'Centre WR13'!$A$7:$N$160,12,FALSE),0)+
IFERROR(VLOOKUP(A100,'Centre WP13'!$A$7:$N$160,12,FALSE),0)</f>
        <v>0</v>
      </c>
      <c r="M100" s="28">
        <f>IFERROR(VLOOKUP(A100,'Centre DW13'!$A$7:$N$160,13,FALSE),0)+
IFERROR(VLOOKUP(A100,'Centre WR13'!$A$7:$N$160,13,FALSE),0)+
IFERROR(VLOOKUP(A100,'Centre WP13'!$A$7:$N$160,13,FALSE),0)</f>
        <v>0</v>
      </c>
      <c r="N100" s="28">
        <f>IFERROR(VLOOKUP(A100,'Centre DW13'!$A$7:$N$160,14,FALSE),0)+
IFERROR(VLOOKUP(A100,'Centre WR13'!$A$7:$N$160,14,FALSE),0)+
IFERROR(VLOOKUP(A100,'Centre WP13'!$A$7:$N$160,14,FALSE),0)</f>
        <v>0</v>
      </c>
    </row>
    <row r="101" spans="1:14" hidden="1" outlineLevel="1" x14ac:dyDescent="0.2">
      <c r="A101" s="9" t="s">
        <v>198</v>
      </c>
      <c r="B101" s="1" t="s">
        <v>199</v>
      </c>
      <c r="C101" s="10">
        <f>IFERROR(VLOOKUP(A101,'Centre DW13'!$A$7:$N$160,3,FALSE),0)+
IFERROR(VLOOKUP(A101,'Centre WR13'!$A$7:$N$160,3,FALSE),0)+
IFERROR(VLOOKUP(A101,'Centre WP13'!$A$7:$N$160,3,FALSE),0)</f>
        <v>0.1</v>
      </c>
      <c r="D101" s="10">
        <f>IFERROR(VLOOKUP(A101,'Centre DW13'!$A$7:$N$160,4,FALSE),0)+
IFERROR(VLOOKUP(A101,'Centre WR13'!$A$7:$N$160,4,FALSE),0)+
IFERROR(VLOOKUP(A101,'Centre WP13'!$A$7:$N$160,4,FALSE),0)</f>
        <v>0.2</v>
      </c>
      <c r="E101" s="10">
        <f>IFERROR(VLOOKUP(A101,'Centre DW13'!$A$7:$N$160,5,FALSE),0)+
IFERROR(VLOOKUP(A101,'Centre WR13'!$A$7:$N$160,5,FALSE),0)+
IFERROR(VLOOKUP(A101,'Centre WP13'!$A$7:$N$160,5,FALSE),0)</f>
        <v>0.2</v>
      </c>
      <c r="F101" s="10">
        <f>IFERROR(VLOOKUP(A101,'Centre DW13'!$A$7:$N$160,6,FALSE),0)+
IFERROR(VLOOKUP(A101,'Centre WR13'!$A$7:$N$160,6,FALSE),0)+
IFERROR(VLOOKUP(A101,'Centre WP13'!$A$7:$N$160,6,FALSE),0)</f>
        <v>0.2</v>
      </c>
      <c r="G101" s="10">
        <f>IFERROR(VLOOKUP(A101,'Centre DW13'!$A$7:$N$160,7,FALSE),0)+
IFERROR(VLOOKUP(A101,'Centre WR13'!$A$7:$N$160,7,FALSE),0)+
IFERROR(VLOOKUP(A101,'Centre WP13'!$A$7:$N$160,7,FALSE),0)</f>
        <v>0.2</v>
      </c>
      <c r="H101" s="10">
        <f>IFERROR(VLOOKUP(A101,'Centre DW13'!$A$7:$N$160,8,FALSE),0)+
IFERROR(VLOOKUP(A101,'Centre WR13'!$A$7:$N$160,8,FALSE),0)+
IFERROR(VLOOKUP(A101,'Centre WP13'!$A$7:$N$160,8,FALSE),0)</f>
        <v>0.1</v>
      </c>
      <c r="I101" s="10">
        <f>IFERROR(VLOOKUP(A101,'Centre DW13'!$A$7:$N$160,9,FALSE),0)+
IFERROR(VLOOKUP(A101,'Centre WR13'!$A$7:$N$160,9,FALSE),0)+
IFERROR(VLOOKUP(A101,'Centre WP13'!$A$7:$N$160,9,FALSE),0)</f>
        <v>0.2</v>
      </c>
      <c r="J101" s="28">
        <f>IFERROR(VLOOKUP(A101,'Centre DW13'!$A$7:$N$160,10,FALSE),0)+
IFERROR(VLOOKUP(A101,'Centre WR13'!$A$7:$N$160,10,FALSE),0)+
IFERROR(VLOOKUP(A101,'Centre WP13'!$A$7:$N$160,10,FALSE),0)</f>
        <v>0.2</v>
      </c>
      <c r="K101" s="28">
        <f>IFERROR(VLOOKUP(A101,'Centre DW13'!$A$7:$N$160,11,FALSE),0)+
IFERROR(VLOOKUP(A101,'Centre WR13'!$A$7:$N$160,11,FALSE),0)+
IFERROR(VLOOKUP(A101,'Centre WP13'!$A$7:$N$160,11,FALSE),0)</f>
        <v>0.2</v>
      </c>
      <c r="L101" s="28">
        <f>IFERROR(VLOOKUP(A101,'Centre DW13'!$A$7:$N$160,12,FALSE),0)+
IFERROR(VLOOKUP(A101,'Centre WR13'!$A$7:$N$160,12,FALSE),0)+
IFERROR(VLOOKUP(A101,'Centre WP13'!$A$7:$N$160,12,FALSE),0)</f>
        <v>0.2</v>
      </c>
      <c r="M101" s="28">
        <f>IFERROR(VLOOKUP(A101,'Centre DW13'!$A$7:$N$160,13,FALSE),0)+
IFERROR(VLOOKUP(A101,'Centre WR13'!$A$7:$N$160,13,FALSE),0)+
IFERROR(VLOOKUP(A101,'Centre WP13'!$A$7:$N$160,13,FALSE),0)</f>
        <v>0.2</v>
      </c>
      <c r="N101" s="28">
        <f>IFERROR(VLOOKUP(A101,'Centre DW13'!$A$7:$N$160,14,FALSE),0)+
IFERROR(VLOOKUP(A101,'Centre WR13'!$A$7:$N$160,14,FALSE),0)+
IFERROR(VLOOKUP(A101,'Centre WP13'!$A$7:$N$160,14,FALSE),0)</f>
        <v>0.1</v>
      </c>
    </row>
    <row r="102" spans="1:14" collapsed="1" x14ac:dyDescent="0.2">
      <c r="A102" s="33" t="s">
        <v>200</v>
      </c>
      <c r="B102" s="34" t="s">
        <v>201</v>
      </c>
      <c r="C102" s="44">
        <f t="shared" ref="C102:N102" si="28">SUM(C103:C114)</f>
        <v>0.60000000000000009</v>
      </c>
      <c r="D102" s="44">
        <f t="shared" si="28"/>
        <v>0.60000000000000009</v>
      </c>
      <c r="E102" s="44">
        <f t="shared" si="28"/>
        <v>0.70000000000000007</v>
      </c>
      <c r="F102" s="44">
        <f t="shared" si="28"/>
        <v>0.9</v>
      </c>
      <c r="G102" s="44">
        <f t="shared" si="28"/>
        <v>0.30000000000000004</v>
      </c>
      <c r="H102" s="44">
        <f t="shared" si="28"/>
        <v>1</v>
      </c>
      <c r="I102" s="44">
        <f t="shared" si="28"/>
        <v>0.30000000000000004</v>
      </c>
      <c r="J102" s="44">
        <f t="shared" si="28"/>
        <v>0.70000000000000007</v>
      </c>
      <c r="K102" s="44">
        <f t="shared" si="28"/>
        <v>1.3</v>
      </c>
      <c r="L102" s="44">
        <f t="shared" si="28"/>
        <v>0.9</v>
      </c>
      <c r="M102" s="44">
        <f t="shared" si="28"/>
        <v>1</v>
      </c>
      <c r="N102" s="44">
        <f t="shared" si="28"/>
        <v>0.30000000000000004</v>
      </c>
    </row>
    <row r="103" spans="1:14" hidden="1" outlineLevel="1" x14ac:dyDescent="0.2">
      <c r="A103" s="9" t="s">
        <v>202</v>
      </c>
      <c r="B103" s="1" t="s">
        <v>203</v>
      </c>
      <c r="C103" s="10">
        <f>IFERROR(VLOOKUP(A103,'Centre DW13'!$A$7:$N$160,3,FALSE),0)+
IFERROR(VLOOKUP(A103,'Centre WR13'!$A$7:$N$160,3,FALSE),0)+
IFERROR(VLOOKUP(A103,'Centre WP13'!$A$7:$N$160,3,FALSE),0)</f>
        <v>0</v>
      </c>
      <c r="D103" s="10">
        <f>IFERROR(VLOOKUP(A103,'Centre DW13'!$A$7:$N$160,4,FALSE),0)+
IFERROR(VLOOKUP(A103,'Centre WR13'!$A$7:$N$160,4,FALSE),0)+
IFERROR(VLOOKUP(A103,'Centre WP13'!$A$7:$N$160,4,FALSE),0)</f>
        <v>0</v>
      </c>
      <c r="E103" s="10">
        <f>IFERROR(VLOOKUP(A103,'Centre DW13'!$A$7:$N$160,5,FALSE),0)+
IFERROR(VLOOKUP(A103,'Centre WR13'!$A$7:$N$160,5,FALSE),0)+
IFERROR(VLOOKUP(A103,'Centre WP13'!$A$7:$N$160,5,FALSE),0)</f>
        <v>0</v>
      </c>
      <c r="F103" s="10">
        <f>IFERROR(VLOOKUP(A103,'Centre DW13'!$A$7:$N$160,6,FALSE),0)+
IFERROR(VLOOKUP(A103,'Centre WR13'!$A$7:$N$160,6,FALSE),0)+
IFERROR(VLOOKUP(A103,'Centre WP13'!$A$7:$N$160,6,FALSE),0)</f>
        <v>0</v>
      </c>
      <c r="G103" s="10">
        <f>IFERROR(VLOOKUP(A103,'Centre DW13'!$A$7:$N$160,7,FALSE),0)+
IFERROR(VLOOKUP(A103,'Centre WR13'!$A$7:$N$160,7,FALSE),0)+
IFERROR(VLOOKUP(A103,'Centre WP13'!$A$7:$N$160,7,FALSE),0)</f>
        <v>0</v>
      </c>
      <c r="H103" s="10">
        <f>IFERROR(VLOOKUP(A103,'Centre DW13'!$A$7:$N$160,8,FALSE),0)+
IFERROR(VLOOKUP(A103,'Centre WR13'!$A$7:$N$160,8,FALSE),0)+
IFERROR(VLOOKUP(A103,'Centre WP13'!$A$7:$N$160,8,FALSE),0)</f>
        <v>0</v>
      </c>
      <c r="I103" s="10">
        <f>IFERROR(VLOOKUP(A103,'Centre DW13'!$A$7:$N$160,9,FALSE),0)+
IFERROR(VLOOKUP(A103,'Centre WR13'!$A$7:$N$160,9,FALSE),0)+
IFERROR(VLOOKUP(A103,'Centre WP13'!$A$7:$N$160,9,FALSE),0)</f>
        <v>0</v>
      </c>
      <c r="J103" s="28">
        <f>IFERROR(VLOOKUP(A103,'Centre DW13'!$A$7:$N$160,10,FALSE),0)+
IFERROR(VLOOKUP(A103,'Centre WR13'!$A$7:$N$160,10,FALSE),0)+
IFERROR(VLOOKUP(A103,'Centre WP13'!$A$7:$N$160,10,FALSE),0)</f>
        <v>0</v>
      </c>
      <c r="K103" s="28">
        <f>IFERROR(VLOOKUP(A103,'Centre DW13'!$A$7:$N$160,11,FALSE),0)+
IFERROR(VLOOKUP(A103,'Centre WR13'!$A$7:$N$160,11,FALSE),0)+
IFERROR(VLOOKUP(A103,'Centre WP13'!$A$7:$N$160,11,FALSE),0)</f>
        <v>0</v>
      </c>
      <c r="L103" s="28">
        <f>IFERROR(VLOOKUP(A103,'Centre DW13'!$A$7:$N$160,12,FALSE),0)+
IFERROR(VLOOKUP(A103,'Centre WR13'!$A$7:$N$160,12,FALSE),0)+
IFERROR(VLOOKUP(A103,'Centre WP13'!$A$7:$N$160,12,FALSE),0)</f>
        <v>0</v>
      </c>
      <c r="M103" s="28">
        <f>IFERROR(VLOOKUP(A103,'Centre DW13'!$A$7:$N$160,13,FALSE),0)+
IFERROR(VLOOKUP(A103,'Centre WR13'!$A$7:$N$160,13,FALSE),0)+
IFERROR(VLOOKUP(A103,'Centre WP13'!$A$7:$N$160,13,FALSE),0)</f>
        <v>0</v>
      </c>
      <c r="N103" s="28">
        <f>IFERROR(VLOOKUP(A103,'Centre DW13'!$A$7:$N$160,14,FALSE),0)+
IFERROR(VLOOKUP(A103,'Centre WR13'!$A$7:$N$160,14,FALSE),0)+
IFERROR(VLOOKUP(A103,'Centre WP13'!$A$7:$N$160,14,FALSE),0)</f>
        <v>0</v>
      </c>
    </row>
    <row r="104" spans="1:14" hidden="1" outlineLevel="1" x14ac:dyDescent="0.2">
      <c r="A104" s="9" t="s">
        <v>204</v>
      </c>
      <c r="B104" s="1" t="s">
        <v>205</v>
      </c>
      <c r="C104" s="10">
        <f>IFERROR(VLOOKUP(A104,'Centre DW13'!$A$7:$N$160,3,FALSE),0)+
IFERROR(VLOOKUP(A104,'Centre WR13'!$A$7:$N$160,3,FALSE),0)+
IFERROR(VLOOKUP(A104,'Centre WP13'!$A$7:$N$160,3,FALSE),0)</f>
        <v>0</v>
      </c>
      <c r="D104" s="10">
        <f>IFERROR(VLOOKUP(A104,'Centre DW13'!$A$7:$N$160,4,FALSE),0)+
IFERROR(VLOOKUP(A104,'Centre WR13'!$A$7:$N$160,4,FALSE),0)+
IFERROR(VLOOKUP(A104,'Centre WP13'!$A$7:$N$160,4,FALSE),0)</f>
        <v>0</v>
      </c>
      <c r="E104" s="10">
        <f>IFERROR(VLOOKUP(A104,'Centre DW13'!$A$7:$N$160,5,FALSE),0)+
IFERROR(VLOOKUP(A104,'Centre WR13'!$A$7:$N$160,5,FALSE),0)+
IFERROR(VLOOKUP(A104,'Centre WP13'!$A$7:$N$160,5,FALSE),0)</f>
        <v>0</v>
      </c>
      <c r="F104" s="10">
        <f>IFERROR(VLOOKUP(A104,'Centre DW13'!$A$7:$N$160,6,FALSE),0)+
IFERROR(VLOOKUP(A104,'Centre WR13'!$A$7:$N$160,6,FALSE),0)+
IFERROR(VLOOKUP(A104,'Centre WP13'!$A$7:$N$160,6,FALSE),0)</f>
        <v>0</v>
      </c>
      <c r="G104" s="10">
        <f>IFERROR(VLOOKUP(A104,'Centre DW13'!$A$7:$N$160,7,FALSE),0)+
IFERROR(VLOOKUP(A104,'Centre WR13'!$A$7:$N$160,7,FALSE),0)+
IFERROR(VLOOKUP(A104,'Centre WP13'!$A$7:$N$160,7,FALSE),0)</f>
        <v>0</v>
      </c>
      <c r="H104" s="10">
        <f>IFERROR(VLOOKUP(A104,'Centre DW13'!$A$7:$N$160,8,FALSE),0)+
IFERROR(VLOOKUP(A104,'Centre WR13'!$A$7:$N$160,8,FALSE),0)+
IFERROR(VLOOKUP(A104,'Centre WP13'!$A$7:$N$160,8,FALSE),0)</f>
        <v>0</v>
      </c>
      <c r="I104" s="10">
        <f>IFERROR(VLOOKUP(A104,'Centre DW13'!$A$7:$N$160,9,FALSE),0)+
IFERROR(VLOOKUP(A104,'Centre WR13'!$A$7:$N$160,9,FALSE),0)+
IFERROR(VLOOKUP(A104,'Centre WP13'!$A$7:$N$160,9,FALSE),0)</f>
        <v>0</v>
      </c>
      <c r="J104" s="28">
        <f>IFERROR(VLOOKUP(A104,'Centre DW13'!$A$7:$N$160,10,FALSE),0)+
IFERROR(VLOOKUP(A104,'Centre WR13'!$A$7:$N$160,10,FALSE),0)+
IFERROR(VLOOKUP(A104,'Centre WP13'!$A$7:$N$160,10,FALSE),0)</f>
        <v>0</v>
      </c>
      <c r="K104" s="28">
        <f>IFERROR(VLOOKUP(A104,'Centre DW13'!$A$7:$N$160,11,FALSE),0)+
IFERROR(VLOOKUP(A104,'Centre WR13'!$A$7:$N$160,11,FALSE),0)+
IFERROR(VLOOKUP(A104,'Centre WP13'!$A$7:$N$160,11,FALSE),0)</f>
        <v>0</v>
      </c>
      <c r="L104" s="28">
        <f>IFERROR(VLOOKUP(A104,'Centre DW13'!$A$7:$N$160,12,FALSE),0)+
IFERROR(VLOOKUP(A104,'Centre WR13'!$A$7:$N$160,12,FALSE),0)+
IFERROR(VLOOKUP(A104,'Centre WP13'!$A$7:$N$160,12,FALSE),0)</f>
        <v>0</v>
      </c>
      <c r="M104" s="28">
        <f>IFERROR(VLOOKUP(A104,'Centre DW13'!$A$7:$N$160,13,FALSE),0)+
IFERROR(VLOOKUP(A104,'Centre WR13'!$A$7:$N$160,13,FALSE),0)+
IFERROR(VLOOKUP(A104,'Centre WP13'!$A$7:$N$160,13,FALSE),0)</f>
        <v>0</v>
      </c>
      <c r="N104" s="28">
        <f>IFERROR(VLOOKUP(A104,'Centre DW13'!$A$7:$N$160,14,FALSE),0)+
IFERROR(VLOOKUP(A104,'Centre WR13'!$A$7:$N$160,14,FALSE),0)+
IFERROR(VLOOKUP(A104,'Centre WP13'!$A$7:$N$160,14,FALSE),0)</f>
        <v>0</v>
      </c>
    </row>
    <row r="105" spans="1:14" hidden="1" outlineLevel="1" x14ac:dyDescent="0.2">
      <c r="A105" s="9" t="s">
        <v>206</v>
      </c>
      <c r="B105" s="1" t="s">
        <v>207</v>
      </c>
      <c r="C105" s="10">
        <f>IFERROR(VLOOKUP(A105,'Centre DW13'!$A$7:$N$160,3,FALSE),0)+
IFERROR(VLOOKUP(A105,'Centre WR13'!$A$7:$N$160,3,FALSE),0)+
IFERROR(VLOOKUP(A105,'Centre WP13'!$A$7:$N$160,3,FALSE),0)</f>
        <v>0</v>
      </c>
      <c r="D105" s="10">
        <f>IFERROR(VLOOKUP(A105,'Centre DW13'!$A$7:$N$160,4,FALSE),0)+
IFERROR(VLOOKUP(A105,'Centre WR13'!$A$7:$N$160,4,FALSE),0)+
IFERROR(VLOOKUP(A105,'Centre WP13'!$A$7:$N$160,4,FALSE),0)</f>
        <v>0</v>
      </c>
      <c r="E105" s="10">
        <f>IFERROR(VLOOKUP(A105,'Centre DW13'!$A$7:$N$160,5,FALSE),0)+
IFERROR(VLOOKUP(A105,'Centre WR13'!$A$7:$N$160,5,FALSE),0)+
IFERROR(VLOOKUP(A105,'Centre WP13'!$A$7:$N$160,5,FALSE),0)</f>
        <v>0</v>
      </c>
      <c r="F105" s="10">
        <f>IFERROR(VLOOKUP(A105,'Centre DW13'!$A$7:$N$160,6,FALSE),0)+
IFERROR(VLOOKUP(A105,'Centre WR13'!$A$7:$N$160,6,FALSE),0)+
IFERROR(VLOOKUP(A105,'Centre WP13'!$A$7:$N$160,6,FALSE),0)</f>
        <v>0</v>
      </c>
      <c r="G105" s="10">
        <f>IFERROR(VLOOKUP(A105,'Centre DW13'!$A$7:$N$160,7,FALSE),0)+
IFERROR(VLOOKUP(A105,'Centre WR13'!$A$7:$N$160,7,FALSE),0)+
IFERROR(VLOOKUP(A105,'Centre WP13'!$A$7:$N$160,7,FALSE),0)</f>
        <v>0</v>
      </c>
      <c r="H105" s="10">
        <f>IFERROR(VLOOKUP(A105,'Centre DW13'!$A$7:$N$160,8,FALSE),0)+
IFERROR(VLOOKUP(A105,'Centre WR13'!$A$7:$N$160,8,FALSE),0)+
IFERROR(VLOOKUP(A105,'Centre WP13'!$A$7:$N$160,8,FALSE),0)</f>
        <v>0</v>
      </c>
      <c r="I105" s="10">
        <f>IFERROR(VLOOKUP(A105,'Centre DW13'!$A$7:$N$160,9,FALSE),0)+
IFERROR(VLOOKUP(A105,'Centre WR13'!$A$7:$N$160,9,FALSE),0)+
IFERROR(VLOOKUP(A105,'Centre WP13'!$A$7:$N$160,9,FALSE),0)</f>
        <v>0</v>
      </c>
      <c r="J105" s="28">
        <f>IFERROR(VLOOKUP(A105,'Centre DW13'!$A$7:$N$160,10,FALSE),0)+
IFERROR(VLOOKUP(A105,'Centre WR13'!$A$7:$N$160,10,FALSE),0)+
IFERROR(VLOOKUP(A105,'Centre WP13'!$A$7:$N$160,10,FALSE),0)</f>
        <v>0</v>
      </c>
      <c r="K105" s="28">
        <f>IFERROR(VLOOKUP(A105,'Centre DW13'!$A$7:$N$160,11,FALSE),0)+
IFERROR(VLOOKUP(A105,'Centre WR13'!$A$7:$N$160,11,FALSE),0)+
IFERROR(VLOOKUP(A105,'Centre WP13'!$A$7:$N$160,11,FALSE),0)</f>
        <v>0</v>
      </c>
      <c r="L105" s="28">
        <f>IFERROR(VLOOKUP(A105,'Centre DW13'!$A$7:$N$160,12,FALSE),0)+
IFERROR(VLOOKUP(A105,'Centre WR13'!$A$7:$N$160,12,FALSE),0)+
IFERROR(VLOOKUP(A105,'Centre WP13'!$A$7:$N$160,12,FALSE),0)</f>
        <v>0</v>
      </c>
      <c r="M105" s="28">
        <f>IFERROR(VLOOKUP(A105,'Centre DW13'!$A$7:$N$160,13,FALSE),0)+
IFERROR(VLOOKUP(A105,'Centre WR13'!$A$7:$N$160,13,FALSE),0)+
IFERROR(VLOOKUP(A105,'Centre WP13'!$A$7:$N$160,13,FALSE),0)</f>
        <v>0</v>
      </c>
      <c r="N105" s="28">
        <f>IFERROR(VLOOKUP(A105,'Centre DW13'!$A$7:$N$160,14,FALSE),0)+
IFERROR(VLOOKUP(A105,'Centre WR13'!$A$7:$N$160,14,FALSE),0)+
IFERROR(VLOOKUP(A105,'Centre WP13'!$A$7:$N$160,14,FALSE),0)</f>
        <v>0</v>
      </c>
    </row>
    <row r="106" spans="1:14" hidden="1" outlineLevel="1" x14ac:dyDescent="0.2">
      <c r="A106" s="9" t="s">
        <v>208</v>
      </c>
      <c r="B106" s="1" t="s">
        <v>209</v>
      </c>
      <c r="C106" s="10">
        <f>IFERROR(VLOOKUP(A106,'Centre DW13'!$A$7:$N$160,3,FALSE),0)+
IFERROR(VLOOKUP(A106,'Centre WR13'!$A$7:$N$160,3,FALSE),0)+
IFERROR(VLOOKUP(A106,'Centre WP13'!$A$7:$N$160,3,FALSE),0)</f>
        <v>0</v>
      </c>
      <c r="D106" s="10">
        <f>IFERROR(VLOOKUP(A106,'Centre DW13'!$A$7:$N$160,4,FALSE),0)+
IFERROR(VLOOKUP(A106,'Centre WR13'!$A$7:$N$160,4,FALSE),0)+
IFERROR(VLOOKUP(A106,'Centre WP13'!$A$7:$N$160,4,FALSE),0)</f>
        <v>0</v>
      </c>
      <c r="E106" s="10">
        <f>IFERROR(VLOOKUP(A106,'Centre DW13'!$A$7:$N$160,5,FALSE),0)+
IFERROR(VLOOKUP(A106,'Centre WR13'!$A$7:$N$160,5,FALSE),0)+
IFERROR(VLOOKUP(A106,'Centre WP13'!$A$7:$N$160,5,FALSE),0)</f>
        <v>0</v>
      </c>
      <c r="F106" s="10">
        <f>IFERROR(VLOOKUP(A106,'Centre DW13'!$A$7:$N$160,6,FALSE),0)+
IFERROR(VLOOKUP(A106,'Centre WR13'!$A$7:$N$160,6,FALSE),0)+
IFERROR(VLOOKUP(A106,'Centre WP13'!$A$7:$N$160,6,FALSE),0)</f>
        <v>0</v>
      </c>
      <c r="G106" s="10">
        <f>IFERROR(VLOOKUP(A106,'Centre DW13'!$A$7:$N$160,7,FALSE),0)+
IFERROR(VLOOKUP(A106,'Centre WR13'!$A$7:$N$160,7,FALSE),0)+
IFERROR(VLOOKUP(A106,'Centre WP13'!$A$7:$N$160,7,FALSE),0)</f>
        <v>0</v>
      </c>
      <c r="H106" s="10">
        <f>IFERROR(VLOOKUP(A106,'Centre DW13'!$A$7:$N$160,8,FALSE),0)+
IFERROR(VLOOKUP(A106,'Centre WR13'!$A$7:$N$160,8,FALSE),0)+
IFERROR(VLOOKUP(A106,'Centre WP13'!$A$7:$N$160,8,FALSE),0)</f>
        <v>0</v>
      </c>
      <c r="I106" s="10">
        <f>IFERROR(VLOOKUP(A106,'Centre DW13'!$A$7:$N$160,9,FALSE),0)+
IFERROR(VLOOKUP(A106,'Centre WR13'!$A$7:$N$160,9,FALSE),0)+
IFERROR(VLOOKUP(A106,'Centre WP13'!$A$7:$N$160,9,FALSE),0)</f>
        <v>0</v>
      </c>
      <c r="J106" s="28">
        <f>IFERROR(VLOOKUP(A106,'Centre DW13'!$A$7:$N$160,10,FALSE),0)+
IFERROR(VLOOKUP(A106,'Centre WR13'!$A$7:$N$160,10,FALSE),0)+
IFERROR(VLOOKUP(A106,'Centre WP13'!$A$7:$N$160,10,FALSE),0)</f>
        <v>0</v>
      </c>
      <c r="K106" s="28">
        <f>IFERROR(VLOOKUP(A106,'Centre DW13'!$A$7:$N$160,11,FALSE),0)+
IFERROR(VLOOKUP(A106,'Centre WR13'!$A$7:$N$160,11,FALSE),0)+
IFERROR(VLOOKUP(A106,'Centre WP13'!$A$7:$N$160,11,FALSE),0)</f>
        <v>0</v>
      </c>
      <c r="L106" s="28">
        <f>IFERROR(VLOOKUP(A106,'Centre DW13'!$A$7:$N$160,12,FALSE),0)+
IFERROR(VLOOKUP(A106,'Centre WR13'!$A$7:$N$160,12,FALSE),0)+
IFERROR(VLOOKUP(A106,'Centre WP13'!$A$7:$N$160,12,FALSE),0)</f>
        <v>0</v>
      </c>
      <c r="M106" s="28">
        <f>IFERROR(VLOOKUP(A106,'Centre DW13'!$A$7:$N$160,13,FALSE),0)+
IFERROR(VLOOKUP(A106,'Centre WR13'!$A$7:$N$160,13,FALSE),0)+
IFERROR(VLOOKUP(A106,'Centre WP13'!$A$7:$N$160,13,FALSE),0)</f>
        <v>0</v>
      </c>
      <c r="N106" s="28">
        <f>IFERROR(VLOOKUP(A106,'Centre DW13'!$A$7:$N$160,14,FALSE),0)+
IFERROR(VLOOKUP(A106,'Centre WR13'!$A$7:$N$160,14,FALSE),0)+
IFERROR(VLOOKUP(A106,'Centre WP13'!$A$7:$N$160,14,FALSE),0)</f>
        <v>0</v>
      </c>
    </row>
    <row r="107" spans="1:14" hidden="1" outlineLevel="1" x14ac:dyDescent="0.2">
      <c r="A107" s="9" t="s">
        <v>210</v>
      </c>
      <c r="B107" s="1" t="s">
        <v>211</v>
      </c>
      <c r="C107" s="10">
        <f>IFERROR(VLOOKUP(A107,'Centre DW13'!$A$7:$N$160,3,FALSE),0)+
IFERROR(VLOOKUP(A107,'Centre WR13'!$A$7:$N$160,3,FALSE),0)+
IFERROR(VLOOKUP(A107,'Centre WP13'!$A$7:$N$160,3,FALSE),0)</f>
        <v>0.1</v>
      </c>
      <c r="D107" s="10">
        <f>IFERROR(VLOOKUP(A107,'Centre DW13'!$A$7:$N$160,4,FALSE),0)+
IFERROR(VLOOKUP(A107,'Centre WR13'!$A$7:$N$160,4,FALSE),0)+
IFERROR(VLOOKUP(A107,'Centre WP13'!$A$7:$N$160,4,FALSE),0)</f>
        <v>0.1</v>
      </c>
      <c r="E107" s="10">
        <f>IFERROR(VLOOKUP(A107,'Centre DW13'!$A$7:$N$160,5,FALSE),0)+
IFERROR(VLOOKUP(A107,'Centre WR13'!$A$7:$N$160,5,FALSE),0)+
IFERROR(VLOOKUP(A107,'Centre WP13'!$A$7:$N$160,5,FALSE),0)</f>
        <v>0.1</v>
      </c>
      <c r="F107" s="10">
        <f>IFERROR(VLOOKUP(A107,'Centre DW13'!$A$7:$N$160,6,FALSE),0)+
IFERROR(VLOOKUP(A107,'Centre WR13'!$A$7:$N$160,6,FALSE),0)+
IFERROR(VLOOKUP(A107,'Centre WP13'!$A$7:$N$160,6,FALSE),0)</f>
        <v>0.1</v>
      </c>
      <c r="G107" s="10">
        <f>IFERROR(VLOOKUP(A107,'Centre DW13'!$A$7:$N$160,7,FALSE),0)+
IFERROR(VLOOKUP(A107,'Centre WR13'!$A$7:$N$160,7,FALSE),0)+
IFERROR(VLOOKUP(A107,'Centre WP13'!$A$7:$N$160,7,FALSE),0)</f>
        <v>0.1</v>
      </c>
      <c r="H107" s="10">
        <f>IFERROR(VLOOKUP(A107,'Centre DW13'!$A$7:$N$160,8,FALSE),0)+
IFERROR(VLOOKUP(A107,'Centre WR13'!$A$7:$N$160,8,FALSE),0)+
IFERROR(VLOOKUP(A107,'Centre WP13'!$A$7:$N$160,8,FALSE),0)</f>
        <v>0.1</v>
      </c>
      <c r="I107" s="10">
        <f>IFERROR(VLOOKUP(A107,'Centre DW13'!$A$7:$N$160,9,FALSE),0)+
IFERROR(VLOOKUP(A107,'Centre WR13'!$A$7:$N$160,9,FALSE),0)+
IFERROR(VLOOKUP(A107,'Centre WP13'!$A$7:$N$160,9,FALSE),0)</f>
        <v>0.1</v>
      </c>
      <c r="J107" s="28">
        <f>IFERROR(VLOOKUP(A107,'Centre DW13'!$A$7:$N$160,10,FALSE),0)+
IFERROR(VLOOKUP(A107,'Centre WR13'!$A$7:$N$160,10,FALSE),0)+
IFERROR(VLOOKUP(A107,'Centre WP13'!$A$7:$N$160,10,FALSE),0)</f>
        <v>0.1</v>
      </c>
      <c r="K107" s="28">
        <f>IFERROR(VLOOKUP(A107,'Centre DW13'!$A$7:$N$160,11,FALSE),0)+
IFERROR(VLOOKUP(A107,'Centre WR13'!$A$7:$N$160,11,FALSE),0)+
IFERROR(VLOOKUP(A107,'Centre WP13'!$A$7:$N$160,11,FALSE),0)</f>
        <v>0.1</v>
      </c>
      <c r="L107" s="28">
        <f>IFERROR(VLOOKUP(A107,'Centre DW13'!$A$7:$N$160,12,FALSE),0)+
IFERROR(VLOOKUP(A107,'Centre WR13'!$A$7:$N$160,12,FALSE),0)+
IFERROR(VLOOKUP(A107,'Centre WP13'!$A$7:$N$160,12,FALSE),0)</f>
        <v>0.1</v>
      </c>
      <c r="M107" s="28">
        <f>IFERROR(VLOOKUP(A107,'Centre DW13'!$A$7:$N$160,13,FALSE),0)+
IFERROR(VLOOKUP(A107,'Centre WR13'!$A$7:$N$160,13,FALSE),0)+
IFERROR(VLOOKUP(A107,'Centre WP13'!$A$7:$N$160,13,FALSE),0)</f>
        <v>0.1</v>
      </c>
      <c r="N107" s="28">
        <f>IFERROR(VLOOKUP(A107,'Centre DW13'!$A$7:$N$160,14,FALSE),0)+
IFERROR(VLOOKUP(A107,'Centre WR13'!$A$7:$N$160,14,FALSE),0)+
IFERROR(VLOOKUP(A107,'Centre WP13'!$A$7:$N$160,14,FALSE),0)</f>
        <v>0.1</v>
      </c>
    </row>
    <row r="108" spans="1:14" hidden="1" outlineLevel="1" x14ac:dyDescent="0.2">
      <c r="A108" s="9" t="s">
        <v>212</v>
      </c>
      <c r="B108" s="1" t="s">
        <v>213</v>
      </c>
      <c r="C108" s="10">
        <f>IFERROR(VLOOKUP(A108,'Centre DW13'!$A$7:$N$160,3,FALSE),0)+
IFERROR(VLOOKUP(A108,'Centre WR13'!$A$7:$N$160,3,FALSE),0)+
IFERROR(VLOOKUP(A108,'Centre WP13'!$A$7:$N$160,3,FALSE),0)</f>
        <v>0</v>
      </c>
      <c r="D108" s="10">
        <f>IFERROR(VLOOKUP(A108,'Centre DW13'!$A$7:$N$160,4,FALSE),0)+
IFERROR(VLOOKUP(A108,'Centre WR13'!$A$7:$N$160,4,FALSE),0)+
IFERROR(VLOOKUP(A108,'Centre WP13'!$A$7:$N$160,4,FALSE),0)</f>
        <v>0</v>
      </c>
      <c r="E108" s="10">
        <f>IFERROR(VLOOKUP(A108,'Centre DW13'!$A$7:$N$160,5,FALSE),0)+
IFERROR(VLOOKUP(A108,'Centre WR13'!$A$7:$N$160,5,FALSE),0)+
IFERROR(VLOOKUP(A108,'Centre WP13'!$A$7:$N$160,5,FALSE),0)</f>
        <v>0</v>
      </c>
      <c r="F108" s="10">
        <f>IFERROR(VLOOKUP(A108,'Centre DW13'!$A$7:$N$160,6,FALSE),0)+
IFERROR(VLOOKUP(A108,'Centre WR13'!$A$7:$N$160,6,FALSE),0)+
IFERROR(VLOOKUP(A108,'Centre WP13'!$A$7:$N$160,6,FALSE),0)</f>
        <v>0</v>
      </c>
      <c r="G108" s="10">
        <f>IFERROR(VLOOKUP(A108,'Centre DW13'!$A$7:$N$160,7,FALSE),0)+
IFERROR(VLOOKUP(A108,'Centre WR13'!$A$7:$N$160,7,FALSE),0)+
IFERROR(VLOOKUP(A108,'Centre WP13'!$A$7:$N$160,7,FALSE),0)</f>
        <v>0</v>
      </c>
      <c r="H108" s="10">
        <f>IFERROR(VLOOKUP(A108,'Centre DW13'!$A$7:$N$160,8,FALSE),0)+
IFERROR(VLOOKUP(A108,'Centre WR13'!$A$7:$N$160,8,FALSE),0)+
IFERROR(VLOOKUP(A108,'Centre WP13'!$A$7:$N$160,8,FALSE),0)</f>
        <v>0</v>
      </c>
      <c r="I108" s="10">
        <f>IFERROR(VLOOKUP(A108,'Centre DW13'!$A$7:$N$160,9,FALSE),0)+
IFERROR(VLOOKUP(A108,'Centre WR13'!$A$7:$N$160,9,FALSE),0)+
IFERROR(VLOOKUP(A108,'Centre WP13'!$A$7:$N$160,9,FALSE),0)</f>
        <v>0</v>
      </c>
      <c r="J108" s="28">
        <f>IFERROR(VLOOKUP(A108,'Centre DW13'!$A$7:$N$160,10,FALSE),0)+
IFERROR(VLOOKUP(A108,'Centre WR13'!$A$7:$N$160,10,FALSE),0)+
IFERROR(VLOOKUP(A108,'Centre WP13'!$A$7:$N$160,10,FALSE),0)</f>
        <v>0</v>
      </c>
      <c r="K108" s="28">
        <f>IFERROR(VLOOKUP(A108,'Centre DW13'!$A$7:$N$160,11,FALSE),0)+
IFERROR(VLOOKUP(A108,'Centre WR13'!$A$7:$N$160,11,FALSE),0)+
IFERROR(VLOOKUP(A108,'Centre WP13'!$A$7:$N$160,11,FALSE),0)</f>
        <v>0</v>
      </c>
      <c r="L108" s="28">
        <f>IFERROR(VLOOKUP(A108,'Centre DW13'!$A$7:$N$160,12,FALSE),0)+
IFERROR(VLOOKUP(A108,'Centre WR13'!$A$7:$N$160,12,FALSE),0)+
IFERROR(VLOOKUP(A108,'Centre WP13'!$A$7:$N$160,12,FALSE),0)</f>
        <v>0</v>
      </c>
      <c r="M108" s="28">
        <f>IFERROR(VLOOKUP(A108,'Centre DW13'!$A$7:$N$160,13,FALSE),0)+
IFERROR(VLOOKUP(A108,'Centre WR13'!$A$7:$N$160,13,FALSE),0)+
IFERROR(VLOOKUP(A108,'Centre WP13'!$A$7:$N$160,13,FALSE),0)</f>
        <v>0</v>
      </c>
      <c r="N108" s="28">
        <f>IFERROR(VLOOKUP(A108,'Centre DW13'!$A$7:$N$160,14,FALSE),0)+
IFERROR(VLOOKUP(A108,'Centre WR13'!$A$7:$N$160,14,FALSE),0)+
IFERROR(VLOOKUP(A108,'Centre WP13'!$A$7:$N$160,14,FALSE),0)</f>
        <v>0</v>
      </c>
    </row>
    <row r="109" spans="1:14" hidden="1" outlineLevel="1" x14ac:dyDescent="0.2">
      <c r="A109" s="9" t="s">
        <v>214</v>
      </c>
      <c r="B109" s="1" t="s">
        <v>215</v>
      </c>
      <c r="C109" s="10">
        <f>IFERROR(VLOOKUP(A109,'Centre DW13'!$A$7:$N$160,3,FALSE),0)+
IFERROR(VLOOKUP(A109,'Centre WR13'!$A$7:$N$160,3,FALSE),0)+
IFERROR(VLOOKUP(A109,'Centre WP13'!$A$7:$N$160,3,FALSE),0)</f>
        <v>0</v>
      </c>
      <c r="D109" s="10">
        <f>IFERROR(VLOOKUP(A109,'Centre DW13'!$A$7:$N$160,4,FALSE),0)+
IFERROR(VLOOKUP(A109,'Centre WR13'!$A$7:$N$160,4,FALSE),0)+
IFERROR(VLOOKUP(A109,'Centre WP13'!$A$7:$N$160,4,FALSE),0)</f>
        <v>0</v>
      </c>
      <c r="E109" s="10">
        <f>IFERROR(VLOOKUP(A109,'Centre DW13'!$A$7:$N$160,5,FALSE),0)+
IFERROR(VLOOKUP(A109,'Centre WR13'!$A$7:$N$160,5,FALSE),0)+
IFERROR(VLOOKUP(A109,'Centre WP13'!$A$7:$N$160,5,FALSE),0)</f>
        <v>0</v>
      </c>
      <c r="F109" s="10">
        <f>IFERROR(VLOOKUP(A109,'Centre DW13'!$A$7:$N$160,6,FALSE),0)+
IFERROR(VLOOKUP(A109,'Centre WR13'!$A$7:$N$160,6,FALSE),0)+
IFERROR(VLOOKUP(A109,'Centre WP13'!$A$7:$N$160,6,FALSE),0)</f>
        <v>0</v>
      </c>
      <c r="G109" s="10">
        <f>IFERROR(VLOOKUP(A109,'Centre DW13'!$A$7:$N$160,7,FALSE),0)+
IFERROR(VLOOKUP(A109,'Centre WR13'!$A$7:$N$160,7,FALSE),0)+
IFERROR(VLOOKUP(A109,'Centre WP13'!$A$7:$N$160,7,FALSE),0)</f>
        <v>0</v>
      </c>
      <c r="H109" s="10">
        <f>IFERROR(VLOOKUP(A109,'Centre DW13'!$A$7:$N$160,8,FALSE),0)+
IFERROR(VLOOKUP(A109,'Centre WR13'!$A$7:$N$160,8,FALSE),0)+
IFERROR(VLOOKUP(A109,'Centre WP13'!$A$7:$N$160,8,FALSE),0)</f>
        <v>0</v>
      </c>
      <c r="I109" s="10">
        <f>IFERROR(VLOOKUP(A109,'Centre DW13'!$A$7:$N$160,9,FALSE),0)+
IFERROR(VLOOKUP(A109,'Centre WR13'!$A$7:$N$160,9,FALSE),0)+
IFERROR(VLOOKUP(A109,'Centre WP13'!$A$7:$N$160,9,FALSE),0)</f>
        <v>0</v>
      </c>
      <c r="J109" s="28">
        <f>IFERROR(VLOOKUP(A109,'Centre DW13'!$A$7:$N$160,10,FALSE),0)+
IFERROR(VLOOKUP(A109,'Centre WR13'!$A$7:$N$160,10,FALSE),0)+
IFERROR(VLOOKUP(A109,'Centre WP13'!$A$7:$N$160,10,FALSE),0)</f>
        <v>0</v>
      </c>
      <c r="K109" s="28">
        <f>IFERROR(VLOOKUP(A109,'Centre DW13'!$A$7:$N$160,11,FALSE),0)+
IFERROR(VLOOKUP(A109,'Centre WR13'!$A$7:$N$160,11,FALSE),0)+
IFERROR(VLOOKUP(A109,'Centre WP13'!$A$7:$N$160,11,FALSE),0)</f>
        <v>0</v>
      </c>
      <c r="L109" s="28">
        <f>IFERROR(VLOOKUP(A109,'Centre DW13'!$A$7:$N$160,12,FALSE),0)+
IFERROR(VLOOKUP(A109,'Centre WR13'!$A$7:$N$160,12,FALSE),0)+
IFERROR(VLOOKUP(A109,'Centre WP13'!$A$7:$N$160,12,FALSE),0)</f>
        <v>0</v>
      </c>
      <c r="M109" s="28">
        <f>IFERROR(VLOOKUP(A109,'Centre DW13'!$A$7:$N$160,13,FALSE),0)+
IFERROR(VLOOKUP(A109,'Centre WR13'!$A$7:$N$160,13,FALSE),0)+
IFERROR(VLOOKUP(A109,'Centre WP13'!$A$7:$N$160,13,FALSE),0)</f>
        <v>0</v>
      </c>
      <c r="N109" s="28">
        <f>IFERROR(VLOOKUP(A109,'Centre DW13'!$A$7:$N$160,14,FALSE),0)+
IFERROR(VLOOKUP(A109,'Centre WR13'!$A$7:$N$160,14,FALSE),0)+
IFERROR(VLOOKUP(A109,'Centre WP13'!$A$7:$N$160,14,FALSE),0)</f>
        <v>0</v>
      </c>
    </row>
    <row r="110" spans="1:14" hidden="1" outlineLevel="1" x14ac:dyDescent="0.2">
      <c r="A110" s="9" t="s">
        <v>216</v>
      </c>
      <c r="B110" s="1" t="s">
        <v>217</v>
      </c>
      <c r="C110" s="10">
        <f>IFERROR(VLOOKUP(A110,'Centre DW13'!$A$7:$N$160,3,FALSE),0)+
IFERROR(VLOOKUP(A110,'Centre WR13'!$A$7:$N$160,3,FALSE),0)+
IFERROR(VLOOKUP(A110,'Centre WP13'!$A$7:$N$160,3,FALSE),0)</f>
        <v>0.2</v>
      </c>
      <c r="D110" s="10">
        <f>IFERROR(VLOOKUP(A110,'Centre DW13'!$A$7:$N$160,4,FALSE),0)+
IFERROR(VLOOKUP(A110,'Centre WR13'!$A$7:$N$160,4,FALSE),0)+
IFERROR(VLOOKUP(A110,'Centre WP13'!$A$7:$N$160,4,FALSE),0)</f>
        <v>0.1</v>
      </c>
      <c r="E110" s="10">
        <f>IFERROR(VLOOKUP(A110,'Centre DW13'!$A$7:$N$160,5,FALSE),0)+
IFERROR(VLOOKUP(A110,'Centre WR13'!$A$7:$N$160,5,FALSE),0)+
IFERROR(VLOOKUP(A110,'Centre WP13'!$A$7:$N$160,5,FALSE),0)</f>
        <v>0.2</v>
      </c>
      <c r="F110" s="10">
        <f>IFERROR(VLOOKUP(A110,'Centre DW13'!$A$7:$N$160,6,FALSE),0)+
IFERROR(VLOOKUP(A110,'Centre WR13'!$A$7:$N$160,6,FALSE),0)+
IFERROR(VLOOKUP(A110,'Centre WP13'!$A$7:$N$160,6,FALSE),0)</f>
        <v>0.3</v>
      </c>
      <c r="G110" s="10">
        <f>IFERROR(VLOOKUP(A110,'Centre DW13'!$A$7:$N$160,7,FALSE),0)+
IFERROR(VLOOKUP(A110,'Centre WR13'!$A$7:$N$160,7,FALSE),0)+
IFERROR(VLOOKUP(A110,'Centre WP13'!$A$7:$N$160,7,FALSE),0)</f>
        <v>0.2</v>
      </c>
      <c r="H110" s="10">
        <f>IFERROR(VLOOKUP(A110,'Centre DW13'!$A$7:$N$160,8,FALSE),0)+
IFERROR(VLOOKUP(A110,'Centre WR13'!$A$7:$N$160,8,FALSE),0)+
IFERROR(VLOOKUP(A110,'Centre WP13'!$A$7:$N$160,8,FALSE),0)</f>
        <v>0.2</v>
      </c>
      <c r="I110" s="10">
        <f>IFERROR(VLOOKUP(A110,'Centre DW13'!$A$7:$N$160,9,FALSE),0)+
IFERROR(VLOOKUP(A110,'Centre WR13'!$A$7:$N$160,9,FALSE),0)+
IFERROR(VLOOKUP(A110,'Centre WP13'!$A$7:$N$160,9,FALSE),0)</f>
        <v>0.2</v>
      </c>
      <c r="J110" s="28">
        <f>IFERROR(VLOOKUP(A110,'Centre DW13'!$A$7:$N$160,10,FALSE),0)+
IFERROR(VLOOKUP(A110,'Centre WR13'!$A$7:$N$160,10,FALSE),0)+
IFERROR(VLOOKUP(A110,'Centre WP13'!$A$7:$N$160,10,FALSE),0)</f>
        <v>0.1</v>
      </c>
      <c r="K110" s="28">
        <f>IFERROR(VLOOKUP(A110,'Centre DW13'!$A$7:$N$160,11,FALSE),0)+
IFERROR(VLOOKUP(A110,'Centre WR13'!$A$7:$N$160,11,FALSE),0)+
IFERROR(VLOOKUP(A110,'Centre WP13'!$A$7:$N$160,11,FALSE),0)</f>
        <v>0.2</v>
      </c>
      <c r="L110" s="28">
        <f>IFERROR(VLOOKUP(A110,'Centre DW13'!$A$7:$N$160,12,FALSE),0)+
IFERROR(VLOOKUP(A110,'Centre WR13'!$A$7:$N$160,12,FALSE),0)+
IFERROR(VLOOKUP(A110,'Centre WP13'!$A$7:$N$160,12,FALSE),0)</f>
        <v>0.3</v>
      </c>
      <c r="M110" s="28">
        <f>IFERROR(VLOOKUP(A110,'Centre DW13'!$A$7:$N$160,13,FALSE),0)+
IFERROR(VLOOKUP(A110,'Centre WR13'!$A$7:$N$160,13,FALSE),0)+
IFERROR(VLOOKUP(A110,'Centre WP13'!$A$7:$N$160,13,FALSE),0)</f>
        <v>0.2</v>
      </c>
      <c r="N110" s="28">
        <f>IFERROR(VLOOKUP(A110,'Centre DW13'!$A$7:$N$160,14,FALSE),0)+
IFERROR(VLOOKUP(A110,'Centre WR13'!$A$7:$N$160,14,FALSE),0)+
IFERROR(VLOOKUP(A110,'Centre WP13'!$A$7:$N$160,14,FALSE),0)</f>
        <v>0.2</v>
      </c>
    </row>
    <row r="111" spans="1:14" hidden="1" outlineLevel="1" x14ac:dyDescent="0.2">
      <c r="A111" s="9" t="s">
        <v>218</v>
      </c>
      <c r="B111" s="1" t="s">
        <v>219</v>
      </c>
      <c r="C111" s="10">
        <f>IFERROR(VLOOKUP(A111,'Centre DW13'!$A$7:$N$160,3,FALSE),0)+
IFERROR(VLOOKUP(A111,'Centre WR13'!$A$7:$N$160,3,FALSE),0)+
IFERROR(VLOOKUP(A111,'Centre WP13'!$A$7:$N$160,3,FALSE),0)</f>
        <v>0.3</v>
      </c>
      <c r="D111" s="10">
        <f>IFERROR(VLOOKUP(A111,'Centre DW13'!$A$7:$N$160,4,FALSE),0)+
IFERROR(VLOOKUP(A111,'Centre WR13'!$A$7:$N$160,4,FALSE),0)+
IFERROR(VLOOKUP(A111,'Centre WP13'!$A$7:$N$160,4,FALSE),0)</f>
        <v>0.4</v>
      </c>
      <c r="E111" s="10">
        <f>IFERROR(VLOOKUP(A111,'Centre DW13'!$A$7:$N$160,5,FALSE),0)+
IFERROR(VLOOKUP(A111,'Centre WR13'!$A$7:$N$160,5,FALSE),0)+
IFERROR(VLOOKUP(A111,'Centre WP13'!$A$7:$N$160,5,FALSE),0)</f>
        <v>0.4</v>
      </c>
      <c r="F111" s="10">
        <f>IFERROR(VLOOKUP(A111,'Centre DW13'!$A$7:$N$160,6,FALSE),0)+
IFERROR(VLOOKUP(A111,'Centre WR13'!$A$7:$N$160,6,FALSE),0)+
IFERROR(VLOOKUP(A111,'Centre WP13'!$A$7:$N$160,6,FALSE),0)</f>
        <v>0.4</v>
      </c>
      <c r="G111" s="10">
        <f>IFERROR(VLOOKUP(A111,'Centre DW13'!$A$7:$N$160,7,FALSE),0)+
IFERROR(VLOOKUP(A111,'Centre WR13'!$A$7:$N$160,7,FALSE),0)+
IFERROR(VLOOKUP(A111,'Centre WP13'!$A$7:$N$160,7,FALSE),0)</f>
        <v>0</v>
      </c>
      <c r="H111" s="10">
        <f>IFERROR(VLOOKUP(A111,'Centre DW13'!$A$7:$N$160,8,FALSE),0)+
IFERROR(VLOOKUP(A111,'Centre WR13'!$A$7:$N$160,8,FALSE),0)+
IFERROR(VLOOKUP(A111,'Centre WP13'!$A$7:$N$160,8,FALSE),0)</f>
        <v>0.7</v>
      </c>
      <c r="I111" s="10">
        <f>IFERROR(VLOOKUP(A111,'Centre DW13'!$A$7:$N$160,9,FALSE),0)+
IFERROR(VLOOKUP(A111,'Centre WR13'!$A$7:$N$160,9,FALSE),0)+
IFERROR(VLOOKUP(A111,'Centre WP13'!$A$7:$N$160,9,FALSE),0)</f>
        <v>0</v>
      </c>
      <c r="J111" s="28">
        <f>IFERROR(VLOOKUP(A111,'Centre DW13'!$A$7:$N$160,10,FALSE),0)+
IFERROR(VLOOKUP(A111,'Centre WR13'!$A$7:$N$160,10,FALSE),0)+
IFERROR(VLOOKUP(A111,'Centre WP13'!$A$7:$N$160,10,FALSE),0)</f>
        <v>0.4</v>
      </c>
      <c r="K111" s="28">
        <f>IFERROR(VLOOKUP(A111,'Centre DW13'!$A$7:$N$160,11,FALSE),0)+
IFERROR(VLOOKUP(A111,'Centre WR13'!$A$7:$N$160,11,FALSE),0)+
IFERROR(VLOOKUP(A111,'Centre WP13'!$A$7:$N$160,11,FALSE),0)</f>
        <v>1</v>
      </c>
      <c r="L111" s="28">
        <f>IFERROR(VLOOKUP(A111,'Centre DW13'!$A$7:$N$160,12,FALSE),0)+
IFERROR(VLOOKUP(A111,'Centre WR13'!$A$7:$N$160,12,FALSE),0)+
IFERROR(VLOOKUP(A111,'Centre WP13'!$A$7:$N$160,12,FALSE),0)</f>
        <v>0.4</v>
      </c>
      <c r="M111" s="28">
        <f>IFERROR(VLOOKUP(A111,'Centre DW13'!$A$7:$N$160,13,FALSE),0)+
IFERROR(VLOOKUP(A111,'Centre WR13'!$A$7:$N$160,13,FALSE),0)+
IFERROR(VLOOKUP(A111,'Centre WP13'!$A$7:$N$160,13,FALSE),0)</f>
        <v>0.7</v>
      </c>
      <c r="N111" s="28">
        <f>IFERROR(VLOOKUP(A111,'Centre DW13'!$A$7:$N$160,14,FALSE),0)+
IFERROR(VLOOKUP(A111,'Centre WR13'!$A$7:$N$160,14,FALSE),0)+
IFERROR(VLOOKUP(A111,'Centre WP13'!$A$7:$N$160,14,FALSE),0)</f>
        <v>0</v>
      </c>
    </row>
    <row r="112" spans="1:14" hidden="1" outlineLevel="1" x14ac:dyDescent="0.2">
      <c r="A112" s="9" t="s">
        <v>220</v>
      </c>
      <c r="B112" s="1" t="s">
        <v>221</v>
      </c>
      <c r="C112" s="10">
        <f>IFERROR(VLOOKUP(A112,'Centre DW13'!$A$7:$N$160,3,FALSE),0)+
IFERROR(VLOOKUP(A112,'Centre WR13'!$A$7:$N$160,3,FALSE),0)+
IFERROR(VLOOKUP(A112,'Centre WP13'!$A$7:$N$160,3,FALSE),0)</f>
        <v>0</v>
      </c>
      <c r="D112" s="10">
        <f>IFERROR(VLOOKUP(A112,'Centre DW13'!$A$7:$N$160,4,FALSE),0)+
IFERROR(VLOOKUP(A112,'Centre WR13'!$A$7:$N$160,4,FALSE),0)+
IFERROR(VLOOKUP(A112,'Centre WP13'!$A$7:$N$160,4,FALSE),0)</f>
        <v>0</v>
      </c>
      <c r="E112" s="10">
        <f>IFERROR(VLOOKUP(A112,'Centre DW13'!$A$7:$N$160,5,FALSE),0)+
IFERROR(VLOOKUP(A112,'Centre WR13'!$A$7:$N$160,5,FALSE),0)+
IFERROR(VLOOKUP(A112,'Centre WP13'!$A$7:$N$160,5,FALSE),0)</f>
        <v>0</v>
      </c>
      <c r="F112" s="10">
        <f>IFERROR(VLOOKUP(A112,'Centre DW13'!$A$7:$N$160,6,FALSE),0)+
IFERROR(VLOOKUP(A112,'Centre WR13'!$A$7:$N$160,6,FALSE),0)+
IFERROR(VLOOKUP(A112,'Centre WP13'!$A$7:$N$160,6,FALSE),0)</f>
        <v>0</v>
      </c>
      <c r="G112" s="10">
        <f>IFERROR(VLOOKUP(A112,'Centre DW13'!$A$7:$N$160,7,FALSE),0)+
IFERROR(VLOOKUP(A112,'Centre WR13'!$A$7:$N$160,7,FALSE),0)+
IFERROR(VLOOKUP(A112,'Centre WP13'!$A$7:$N$160,7,FALSE),0)</f>
        <v>0</v>
      </c>
      <c r="H112" s="10">
        <f>IFERROR(VLOOKUP(A112,'Centre DW13'!$A$7:$N$160,8,FALSE),0)+
IFERROR(VLOOKUP(A112,'Centre WR13'!$A$7:$N$160,8,FALSE),0)+
IFERROR(VLOOKUP(A112,'Centre WP13'!$A$7:$N$160,8,FALSE),0)</f>
        <v>0</v>
      </c>
      <c r="I112" s="10">
        <f>IFERROR(VLOOKUP(A112,'Centre DW13'!$A$7:$N$160,9,FALSE),0)+
IFERROR(VLOOKUP(A112,'Centre WR13'!$A$7:$N$160,9,FALSE),0)+
IFERROR(VLOOKUP(A112,'Centre WP13'!$A$7:$N$160,9,FALSE),0)</f>
        <v>0</v>
      </c>
      <c r="J112" s="28">
        <f>IFERROR(VLOOKUP(A112,'Centre DW13'!$A$7:$N$160,10,FALSE),0)+
IFERROR(VLOOKUP(A112,'Centre WR13'!$A$7:$N$160,10,FALSE),0)+
IFERROR(VLOOKUP(A112,'Centre WP13'!$A$7:$N$160,10,FALSE),0)</f>
        <v>0.1</v>
      </c>
      <c r="K112" s="28">
        <f>IFERROR(VLOOKUP(A112,'Centre DW13'!$A$7:$N$160,11,FALSE),0)+
IFERROR(VLOOKUP(A112,'Centre WR13'!$A$7:$N$160,11,FALSE),0)+
IFERROR(VLOOKUP(A112,'Centre WP13'!$A$7:$N$160,11,FALSE),0)</f>
        <v>0</v>
      </c>
      <c r="L112" s="28">
        <f>IFERROR(VLOOKUP(A112,'Centre DW13'!$A$7:$N$160,12,FALSE),0)+
IFERROR(VLOOKUP(A112,'Centre WR13'!$A$7:$N$160,12,FALSE),0)+
IFERROR(VLOOKUP(A112,'Centre WP13'!$A$7:$N$160,12,FALSE),0)</f>
        <v>0</v>
      </c>
      <c r="M112" s="28">
        <f>IFERROR(VLOOKUP(A112,'Centre DW13'!$A$7:$N$160,13,FALSE),0)+
IFERROR(VLOOKUP(A112,'Centre WR13'!$A$7:$N$160,13,FALSE),0)+
IFERROR(VLOOKUP(A112,'Centre WP13'!$A$7:$N$160,13,FALSE),0)</f>
        <v>0</v>
      </c>
      <c r="N112" s="28">
        <f>IFERROR(VLOOKUP(A112,'Centre DW13'!$A$7:$N$160,14,FALSE),0)+
IFERROR(VLOOKUP(A112,'Centre WR13'!$A$7:$N$160,14,FALSE),0)+
IFERROR(VLOOKUP(A112,'Centre WP13'!$A$7:$N$160,14,FALSE),0)</f>
        <v>0</v>
      </c>
    </row>
    <row r="113" spans="1:14" hidden="1" outlineLevel="1" x14ac:dyDescent="0.2">
      <c r="A113" s="9" t="s">
        <v>222</v>
      </c>
      <c r="B113" s="1" t="s">
        <v>223</v>
      </c>
      <c r="C113" s="10">
        <f>IFERROR(VLOOKUP(A113,'Centre DW13'!$A$7:$N$160,3,FALSE),0)+
IFERROR(VLOOKUP(A113,'Centre WR13'!$A$7:$N$160,3,FALSE),0)+
IFERROR(VLOOKUP(A113,'Centre WP13'!$A$7:$N$160,3,FALSE),0)</f>
        <v>0</v>
      </c>
      <c r="D113" s="10">
        <f>IFERROR(VLOOKUP(A113,'Centre DW13'!$A$7:$N$160,4,FALSE),0)+
IFERROR(VLOOKUP(A113,'Centre WR13'!$A$7:$N$160,4,FALSE),0)+
IFERROR(VLOOKUP(A113,'Centre WP13'!$A$7:$N$160,4,FALSE),0)</f>
        <v>0</v>
      </c>
      <c r="E113" s="10">
        <f>IFERROR(VLOOKUP(A113,'Centre DW13'!$A$7:$N$160,5,FALSE),0)+
IFERROR(VLOOKUP(A113,'Centre WR13'!$A$7:$N$160,5,FALSE),0)+
IFERROR(VLOOKUP(A113,'Centre WP13'!$A$7:$N$160,5,FALSE),0)</f>
        <v>0</v>
      </c>
      <c r="F113" s="10">
        <f>IFERROR(VLOOKUP(A113,'Centre DW13'!$A$7:$N$160,6,FALSE),0)+
IFERROR(VLOOKUP(A113,'Centre WR13'!$A$7:$N$160,6,FALSE),0)+
IFERROR(VLOOKUP(A113,'Centre WP13'!$A$7:$N$160,6,FALSE),0)</f>
        <v>0</v>
      </c>
      <c r="G113" s="10">
        <f>IFERROR(VLOOKUP(A113,'Centre DW13'!$A$7:$N$160,7,FALSE),0)+
IFERROR(VLOOKUP(A113,'Centre WR13'!$A$7:$N$160,7,FALSE),0)+
IFERROR(VLOOKUP(A113,'Centre WP13'!$A$7:$N$160,7,FALSE),0)</f>
        <v>0</v>
      </c>
      <c r="H113" s="10">
        <f>IFERROR(VLOOKUP(A113,'Centre DW13'!$A$7:$N$160,8,FALSE),0)+
IFERROR(VLOOKUP(A113,'Centre WR13'!$A$7:$N$160,8,FALSE),0)+
IFERROR(VLOOKUP(A113,'Centre WP13'!$A$7:$N$160,8,FALSE),0)</f>
        <v>0</v>
      </c>
      <c r="I113" s="10">
        <f>IFERROR(VLOOKUP(A113,'Centre DW13'!$A$7:$N$160,9,FALSE),0)+
IFERROR(VLOOKUP(A113,'Centre WR13'!$A$7:$N$160,9,FALSE),0)+
IFERROR(VLOOKUP(A113,'Centre WP13'!$A$7:$N$160,9,FALSE),0)</f>
        <v>0</v>
      </c>
      <c r="J113" s="28">
        <f>IFERROR(VLOOKUP(A113,'Centre DW13'!$A$7:$N$160,10,FALSE),0)+
IFERROR(VLOOKUP(A113,'Centre WR13'!$A$7:$N$160,10,FALSE),0)+
IFERROR(VLOOKUP(A113,'Centre WP13'!$A$7:$N$160,10,FALSE),0)</f>
        <v>0</v>
      </c>
      <c r="K113" s="28">
        <f>IFERROR(VLOOKUP(A113,'Centre DW13'!$A$7:$N$160,11,FALSE),0)+
IFERROR(VLOOKUP(A113,'Centre WR13'!$A$7:$N$160,11,FALSE),0)+
IFERROR(VLOOKUP(A113,'Centre WP13'!$A$7:$N$160,11,FALSE),0)</f>
        <v>0</v>
      </c>
      <c r="L113" s="28">
        <f>IFERROR(VLOOKUP(A113,'Centre DW13'!$A$7:$N$160,12,FALSE),0)+
IFERROR(VLOOKUP(A113,'Centre WR13'!$A$7:$N$160,12,FALSE),0)+
IFERROR(VLOOKUP(A113,'Centre WP13'!$A$7:$N$160,12,FALSE),0)</f>
        <v>0</v>
      </c>
      <c r="M113" s="28">
        <f>IFERROR(VLOOKUP(A113,'Centre DW13'!$A$7:$N$160,13,FALSE),0)+
IFERROR(VLOOKUP(A113,'Centre WR13'!$A$7:$N$160,13,FALSE),0)+
IFERROR(VLOOKUP(A113,'Centre WP13'!$A$7:$N$160,13,FALSE),0)</f>
        <v>0</v>
      </c>
      <c r="N113" s="28">
        <f>IFERROR(VLOOKUP(A113,'Centre DW13'!$A$7:$N$160,14,FALSE),0)+
IFERROR(VLOOKUP(A113,'Centre WR13'!$A$7:$N$160,14,FALSE),0)+
IFERROR(VLOOKUP(A113,'Centre WP13'!$A$7:$N$160,14,FALSE),0)</f>
        <v>0</v>
      </c>
    </row>
    <row r="114" spans="1:14" hidden="1" outlineLevel="1" x14ac:dyDescent="0.2">
      <c r="A114" s="9" t="s">
        <v>224</v>
      </c>
      <c r="B114" s="1" t="s">
        <v>225</v>
      </c>
      <c r="C114" s="10">
        <f>IFERROR(VLOOKUP(A114,'Centre DW13'!$A$7:$N$160,3,FALSE),0)+
IFERROR(VLOOKUP(A114,'Centre WR13'!$A$7:$N$160,3,FALSE),0)+
IFERROR(VLOOKUP(A114,'Centre WP13'!$A$7:$N$160,3,FALSE),0)</f>
        <v>0</v>
      </c>
      <c r="D114" s="10">
        <f>IFERROR(VLOOKUP(A114,'Centre DW13'!$A$7:$N$160,4,FALSE),0)+
IFERROR(VLOOKUP(A114,'Centre WR13'!$A$7:$N$160,4,FALSE),0)+
IFERROR(VLOOKUP(A114,'Centre WP13'!$A$7:$N$160,4,FALSE),0)</f>
        <v>0</v>
      </c>
      <c r="E114" s="10">
        <f>IFERROR(VLOOKUP(A114,'Centre DW13'!$A$7:$N$160,5,FALSE),0)+
IFERROR(VLOOKUP(A114,'Centre WR13'!$A$7:$N$160,5,FALSE),0)+
IFERROR(VLOOKUP(A114,'Centre WP13'!$A$7:$N$160,5,FALSE),0)</f>
        <v>0</v>
      </c>
      <c r="F114" s="10">
        <f>IFERROR(VLOOKUP(A114,'Centre DW13'!$A$7:$N$160,6,FALSE),0)+
IFERROR(VLOOKUP(A114,'Centre WR13'!$A$7:$N$160,6,FALSE),0)+
IFERROR(VLOOKUP(A114,'Centre WP13'!$A$7:$N$160,6,FALSE),0)</f>
        <v>0.1</v>
      </c>
      <c r="G114" s="10">
        <f>IFERROR(VLOOKUP(A114,'Centre DW13'!$A$7:$N$160,7,FALSE),0)+
IFERROR(VLOOKUP(A114,'Centre WR13'!$A$7:$N$160,7,FALSE),0)+
IFERROR(VLOOKUP(A114,'Centre WP13'!$A$7:$N$160,7,FALSE),0)</f>
        <v>0</v>
      </c>
      <c r="H114" s="10">
        <f>IFERROR(VLOOKUP(A114,'Centre DW13'!$A$7:$N$160,8,FALSE),0)+
IFERROR(VLOOKUP(A114,'Centre WR13'!$A$7:$N$160,8,FALSE),0)+
IFERROR(VLOOKUP(A114,'Centre WP13'!$A$7:$N$160,8,FALSE),0)</f>
        <v>0</v>
      </c>
      <c r="I114" s="10">
        <f>IFERROR(VLOOKUP(A114,'Centre DW13'!$A$7:$N$160,9,FALSE),0)+
IFERROR(VLOOKUP(A114,'Centre WR13'!$A$7:$N$160,9,FALSE),0)+
IFERROR(VLOOKUP(A114,'Centre WP13'!$A$7:$N$160,9,FALSE),0)</f>
        <v>0</v>
      </c>
      <c r="J114" s="28">
        <f>IFERROR(VLOOKUP(A114,'Centre DW13'!$A$7:$N$160,10,FALSE),0)+
IFERROR(VLOOKUP(A114,'Centre WR13'!$A$7:$N$160,10,FALSE),0)+
IFERROR(VLOOKUP(A114,'Centre WP13'!$A$7:$N$160,10,FALSE),0)</f>
        <v>0</v>
      </c>
      <c r="K114" s="28">
        <f>IFERROR(VLOOKUP(A114,'Centre DW13'!$A$7:$N$160,11,FALSE),0)+
IFERROR(VLOOKUP(A114,'Centre WR13'!$A$7:$N$160,11,FALSE),0)+
IFERROR(VLOOKUP(A114,'Centre WP13'!$A$7:$N$160,11,FALSE),0)</f>
        <v>0</v>
      </c>
      <c r="L114" s="28">
        <f>IFERROR(VLOOKUP(A114,'Centre DW13'!$A$7:$N$160,12,FALSE),0)+
IFERROR(VLOOKUP(A114,'Centre WR13'!$A$7:$N$160,12,FALSE),0)+
IFERROR(VLOOKUP(A114,'Centre WP13'!$A$7:$N$160,12,FALSE),0)</f>
        <v>0.1</v>
      </c>
      <c r="M114" s="28">
        <f>IFERROR(VLOOKUP(A114,'Centre DW13'!$A$7:$N$160,13,FALSE),0)+
IFERROR(VLOOKUP(A114,'Centre WR13'!$A$7:$N$160,13,FALSE),0)+
IFERROR(VLOOKUP(A114,'Centre WP13'!$A$7:$N$160,13,FALSE),0)</f>
        <v>0</v>
      </c>
      <c r="N114" s="28">
        <f>IFERROR(VLOOKUP(A114,'Centre DW13'!$A$7:$N$160,14,FALSE),0)+
IFERROR(VLOOKUP(A114,'Centre WR13'!$A$7:$N$160,14,FALSE),0)+
IFERROR(VLOOKUP(A114,'Centre WP13'!$A$7:$N$160,14,FALSE),0)</f>
        <v>0</v>
      </c>
    </row>
    <row r="115" spans="1:14" collapsed="1" x14ac:dyDescent="0.2">
      <c r="A115" s="33" t="s">
        <v>226</v>
      </c>
      <c r="B115" s="34" t="s">
        <v>227</v>
      </c>
      <c r="C115" s="44">
        <f>IFERROR(VLOOKUP(A115,'Centre DW13'!$A$7:$N$160,3,FALSE),0)+
IFERROR(VLOOKUP(A115,'Centre WR13'!$A$7:$N$160,3,FALSE),0)+
IFERROR(VLOOKUP(A115,'Centre WP13'!$A$7:$N$160,3,FALSE),0)</f>
        <v>0</v>
      </c>
      <c r="D115" s="44">
        <f>IFERROR(VLOOKUP(A115,'Centre DW13'!$A$7:$N$160,4,FALSE),0)+
IFERROR(VLOOKUP(A115,'Centre WR13'!$A$7:$N$160,4,FALSE),0)+
IFERROR(VLOOKUP(A115,'Centre WP13'!$A$7:$N$160,4,FALSE),0)</f>
        <v>0</v>
      </c>
      <c r="E115" s="44">
        <f>IFERROR(VLOOKUP(A115,'Centre DW13'!$A$7:$N$160,5,FALSE),0)+
IFERROR(VLOOKUP(A115,'Centre WR13'!$A$7:$N$160,5,FALSE),0)+
IFERROR(VLOOKUP(A115,'Centre WP13'!$A$7:$N$160,5,FALSE),0)</f>
        <v>0</v>
      </c>
      <c r="F115" s="44">
        <f>IFERROR(VLOOKUP(A115,'Centre DW13'!$A$7:$N$160,6,FALSE),0)+
IFERROR(VLOOKUP(A115,'Centre WR13'!$A$7:$N$160,6,FALSE),0)+
IFERROR(VLOOKUP(A115,'Centre WP13'!$A$7:$N$160,6,FALSE),0)</f>
        <v>0</v>
      </c>
      <c r="G115" s="44">
        <f>IFERROR(VLOOKUP(A115,'Centre DW13'!$A$7:$N$160,7,FALSE),0)+
IFERROR(VLOOKUP(A115,'Centre WR13'!$A$7:$N$160,7,FALSE),0)+
IFERROR(VLOOKUP(A115,'Centre WP13'!$A$7:$N$160,7,FALSE),0)</f>
        <v>0</v>
      </c>
      <c r="H115" s="44">
        <f>IFERROR(VLOOKUP(A115,'Centre DW13'!$A$7:$N$160,8,FALSE),0)+
IFERROR(VLOOKUP(A115,'Centre WR13'!$A$7:$N$160,8,FALSE),0)+
IFERROR(VLOOKUP(A115,'Centre WP13'!$A$7:$N$160,8,FALSE),0)</f>
        <v>0</v>
      </c>
      <c r="I115" s="44">
        <f>IFERROR(VLOOKUP(A115,'Centre DW13'!$A$7:$N$160,9,FALSE),0)+
IFERROR(VLOOKUP(A115,'Centre WR13'!$A$7:$N$160,9,FALSE),0)+
IFERROR(VLOOKUP(A115,'Centre WP13'!$A$7:$N$160,9,FALSE),0)</f>
        <v>0</v>
      </c>
      <c r="J115" s="44">
        <f>IFERROR(VLOOKUP(A115,'Centre DW13'!$A$7:$N$160,10,FALSE),0)+
IFERROR(VLOOKUP(A115,'Centre WR13'!$A$7:$N$160,10,FALSE),0)+
IFERROR(VLOOKUP(A115,'Centre WP13'!$A$7:$N$160,10,FALSE),0)</f>
        <v>0</v>
      </c>
      <c r="K115" s="44">
        <f>IFERROR(VLOOKUP(A115,'Centre DW13'!$A$7:$N$160,11,FALSE),0)+
IFERROR(VLOOKUP(A115,'Centre WR13'!$A$7:$N$160,11,FALSE),0)+
IFERROR(VLOOKUP(A115,'Centre WP13'!$A$7:$N$160,11,FALSE),0)</f>
        <v>0</v>
      </c>
      <c r="L115" s="44">
        <f>IFERROR(VLOOKUP(A115,'Centre DW13'!$A$7:$N$160,12,FALSE),0)+
IFERROR(VLOOKUP(A115,'Centre WR13'!$A$7:$N$160,12,FALSE),0)+
IFERROR(VLOOKUP(A115,'Centre WP13'!$A$7:$N$160,12,FALSE),0)</f>
        <v>0</v>
      </c>
      <c r="M115" s="44">
        <f>IFERROR(VLOOKUP(A115,'Centre DW13'!$A$7:$N$160,13,FALSE),0)+
IFERROR(VLOOKUP(A115,'Centre WR13'!$A$7:$N$160,13,FALSE),0)+
IFERROR(VLOOKUP(A115,'Centre WP13'!$A$7:$N$160,13,FALSE),0)</f>
        <v>0</v>
      </c>
      <c r="N115" s="44">
        <f>IFERROR(VLOOKUP(A115,'Centre DW13'!$A$7:$N$160,14,FALSE),0)+
IFERROR(VLOOKUP(A115,'Centre WR13'!$A$7:$N$160,14,FALSE),0)+
IFERROR(VLOOKUP(A115,'Centre WP13'!$A$7:$N$160,14,FALSE),0)</f>
        <v>0</v>
      </c>
    </row>
    <row r="116" spans="1:14" x14ac:dyDescent="0.2">
      <c r="A116" s="33" t="s">
        <v>228</v>
      </c>
      <c r="B116" s="34" t="s">
        <v>229</v>
      </c>
      <c r="C116" s="44">
        <f>IFERROR(VLOOKUP(A116,'Centre DW13'!$A$7:$N$160,3,FALSE),0)+
IFERROR(VLOOKUP(A116,'Centre WR13'!$A$7:$N$160,3,FALSE),0)+
IFERROR(VLOOKUP(A116,'Centre WP13'!$A$7:$N$160,3,FALSE),0)</f>
        <v>0</v>
      </c>
      <c r="D116" s="44">
        <f>IFERROR(VLOOKUP(A116,'Centre DW13'!$A$7:$N$160,4,FALSE),0)+
IFERROR(VLOOKUP(A116,'Centre WR13'!$A$7:$N$160,4,FALSE),0)+
IFERROR(VLOOKUP(A116,'Centre WP13'!$A$7:$N$160,4,FALSE),0)</f>
        <v>0</v>
      </c>
      <c r="E116" s="44">
        <f>IFERROR(VLOOKUP(A116,'Centre DW13'!$A$7:$N$160,5,FALSE),0)+
IFERROR(VLOOKUP(A116,'Centre WR13'!$A$7:$N$160,5,FALSE),0)+
IFERROR(VLOOKUP(A116,'Centre WP13'!$A$7:$N$160,5,FALSE),0)</f>
        <v>0</v>
      </c>
      <c r="F116" s="44">
        <f>IFERROR(VLOOKUP(A116,'Centre DW13'!$A$7:$N$160,6,FALSE),0)+
IFERROR(VLOOKUP(A116,'Centre WR13'!$A$7:$N$160,6,FALSE),0)+
IFERROR(VLOOKUP(A116,'Centre WP13'!$A$7:$N$160,6,FALSE),0)</f>
        <v>0</v>
      </c>
      <c r="G116" s="44">
        <f>IFERROR(VLOOKUP(A116,'Centre DW13'!$A$7:$N$160,7,FALSE),0)+
IFERROR(VLOOKUP(A116,'Centre WR13'!$A$7:$N$160,7,FALSE),0)+
IFERROR(VLOOKUP(A116,'Centre WP13'!$A$7:$N$160,7,FALSE),0)</f>
        <v>0</v>
      </c>
      <c r="H116" s="44">
        <f>IFERROR(VLOOKUP(A116,'Centre DW13'!$A$7:$N$160,8,FALSE),0)+
IFERROR(VLOOKUP(A116,'Centre WR13'!$A$7:$N$160,8,FALSE),0)+
IFERROR(VLOOKUP(A116,'Centre WP13'!$A$7:$N$160,8,FALSE),0)</f>
        <v>0</v>
      </c>
      <c r="I116" s="44">
        <f>IFERROR(VLOOKUP(A116,'Centre DW13'!$A$7:$N$160,9,FALSE),0)+
IFERROR(VLOOKUP(A116,'Centre WR13'!$A$7:$N$160,9,FALSE),0)+
IFERROR(VLOOKUP(A116,'Centre WP13'!$A$7:$N$160,9,FALSE),0)</f>
        <v>0</v>
      </c>
      <c r="J116" s="44">
        <f>IFERROR(VLOOKUP(A116,'Centre DW13'!$A$7:$N$160,10,FALSE),0)+
IFERROR(VLOOKUP(A116,'Centre WR13'!$A$7:$N$160,10,FALSE),0)+
IFERROR(VLOOKUP(A116,'Centre WP13'!$A$7:$N$160,10,FALSE),0)</f>
        <v>0</v>
      </c>
      <c r="K116" s="44">
        <f>IFERROR(VLOOKUP(A116,'Centre DW13'!$A$7:$N$160,11,FALSE),0)+
IFERROR(VLOOKUP(A116,'Centre WR13'!$A$7:$N$160,11,FALSE),0)+
IFERROR(VLOOKUP(A116,'Centre WP13'!$A$7:$N$160,11,FALSE),0)</f>
        <v>0</v>
      </c>
      <c r="L116" s="44">
        <f>IFERROR(VLOOKUP(A116,'Centre DW13'!$A$7:$N$160,12,FALSE),0)+
IFERROR(VLOOKUP(A116,'Centre WR13'!$A$7:$N$160,12,FALSE),0)+
IFERROR(VLOOKUP(A116,'Centre WP13'!$A$7:$N$160,12,FALSE),0)</f>
        <v>0</v>
      </c>
      <c r="M116" s="44">
        <f>IFERROR(VLOOKUP(A116,'Centre DW13'!$A$7:$N$160,13,FALSE),0)+
IFERROR(VLOOKUP(A116,'Centre WR13'!$A$7:$N$160,13,FALSE),0)+
IFERROR(VLOOKUP(A116,'Centre WP13'!$A$7:$N$160,13,FALSE),0)</f>
        <v>0</v>
      </c>
      <c r="N116" s="44">
        <f>IFERROR(VLOOKUP(A116,'Centre DW13'!$A$7:$N$160,14,FALSE),0)+
IFERROR(VLOOKUP(A116,'Centre WR13'!$A$7:$N$160,14,FALSE),0)+
IFERROR(VLOOKUP(A116,'Centre WP13'!$A$7:$N$160,14,FALSE),0)</f>
        <v>0</v>
      </c>
    </row>
    <row r="117" spans="1:14" x14ac:dyDescent="0.2">
      <c r="A117" s="33" t="s">
        <v>230</v>
      </c>
      <c r="B117" s="34" t="s">
        <v>231</v>
      </c>
      <c r="C117" s="44">
        <f t="shared" ref="C117:N117" si="29">SUM(C118:C119)</f>
        <v>1.7</v>
      </c>
      <c r="D117" s="44">
        <f t="shared" si="29"/>
        <v>1.7</v>
      </c>
      <c r="E117" s="44">
        <f t="shared" si="29"/>
        <v>0.6</v>
      </c>
      <c r="F117" s="44">
        <f t="shared" si="29"/>
        <v>2</v>
      </c>
      <c r="G117" s="44">
        <f t="shared" si="29"/>
        <v>0</v>
      </c>
      <c r="H117" s="44">
        <f t="shared" si="29"/>
        <v>3.7</v>
      </c>
      <c r="I117" s="44">
        <f t="shared" si="29"/>
        <v>0</v>
      </c>
      <c r="J117" s="44">
        <f t="shared" si="29"/>
        <v>4.3</v>
      </c>
      <c r="K117" s="44">
        <f t="shared" si="29"/>
        <v>2</v>
      </c>
      <c r="L117" s="44">
        <f t="shared" si="29"/>
        <v>4.0999999999999996</v>
      </c>
      <c r="M117" s="44">
        <f t="shared" si="29"/>
        <v>0</v>
      </c>
      <c r="N117" s="44">
        <f t="shared" si="29"/>
        <v>4.9000000000000004</v>
      </c>
    </row>
    <row r="118" spans="1:14" hidden="1" outlineLevel="1" x14ac:dyDescent="0.2">
      <c r="A118" s="9" t="s">
        <v>232</v>
      </c>
      <c r="B118" s="1" t="s">
        <v>233</v>
      </c>
      <c r="C118" s="10">
        <f>IFERROR(VLOOKUP(A118,'Centre DW13'!$A$7:$N$160,3,FALSE),0)+
IFERROR(VLOOKUP(A118,'Centre WR13'!$A$7:$N$160,3,FALSE),0)+
IFERROR(VLOOKUP(A118,'Centre WP13'!$A$7:$N$160,3,FALSE),0)</f>
        <v>1.7</v>
      </c>
      <c r="D118" s="10">
        <f>IFERROR(VLOOKUP(A118,'Centre DW13'!$A$7:$N$160,4,FALSE),0)+
IFERROR(VLOOKUP(A118,'Centre WR13'!$A$7:$N$160,4,FALSE),0)+
IFERROR(VLOOKUP(A118,'Centre WP13'!$A$7:$N$160,4,FALSE),0)</f>
        <v>1.7</v>
      </c>
      <c r="E118" s="10">
        <f>IFERROR(VLOOKUP(A118,'Centre DW13'!$A$7:$N$160,5,FALSE),0)+
IFERROR(VLOOKUP(A118,'Centre WR13'!$A$7:$N$160,5,FALSE),0)+
IFERROR(VLOOKUP(A118,'Centre WP13'!$A$7:$N$160,5,FALSE),0)</f>
        <v>0.6</v>
      </c>
      <c r="F118" s="10">
        <f>IFERROR(VLOOKUP(A118,'Centre DW13'!$A$7:$N$160,6,FALSE),0)+
IFERROR(VLOOKUP(A118,'Centre WR13'!$A$7:$N$160,6,FALSE),0)+
IFERROR(VLOOKUP(A118,'Centre WP13'!$A$7:$N$160,6,FALSE),0)</f>
        <v>2</v>
      </c>
      <c r="G118" s="10">
        <f>IFERROR(VLOOKUP(A118,'Centre DW13'!$A$7:$N$160,7,FALSE),0)+
IFERROR(VLOOKUP(A118,'Centre WR13'!$A$7:$N$160,7,FALSE),0)+
IFERROR(VLOOKUP(A118,'Centre WP13'!$A$7:$N$160,7,FALSE),0)</f>
        <v>0</v>
      </c>
      <c r="H118" s="10">
        <f>IFERROR(VLOOKUP(A118,'Centre DW13'!$A$7:$N$160,8,FALSE),0)+
IFERROR(VLOOKUP(A118,'Centre WR13'!$A$7:$N$160,8,FALSE),0)+
IFERROR(VLOOKUP(A118,'Centre WP13'!$A$7:$N$160,8,FALSE),0)</f>
        <v>3.7</v>
      </c>
      <c r="I118" s="10">
        <f>IFERROR(VLOOKUP(A118,'Centre DW13'!$A$7:$N$160,9,FALSE),0)+
IFERROR(VLOOKUP(A118,'Centre WR13'!$A$7:$N$160,9,FALSE),0)+
IFERROR(VLOOKUP(A118,'Centre WP13'!$A$7:$N$160,9,FALSE),0)</f>
        <v>0</v>
      </c>
      <c r="J118" s="28">
        <f>IFERROR(VLOOKUP(A118,'Centre DW13'!$A$7:$N$160,10,FALSE),0)+
IFERROR(VLOOKUP(A118,'Centre WR13'!$A$7:$N$160,10,FALSE),0)+
IFERROR(VLOOKUP(A118,'Centre WP13'!$A$7:$N$160,10,FALSE),0)</f>
        <v>4.3</v>
      </c>
      <c r="K118" s="28">
        <f>IFERROR(VLOOKUP(A118,'Centre DW13'!$A$7:$N$160,11,FALSE),0)+
IFERROR(VLOOKUP(A118,'Centre WR13'!$A$7:$N$160,11,FALSE),0)+
IFERROR(VLOOKUP(A118,'Centre WP13'!$A$7:$N$160,11,FALSE),0)</f>
        <v>2</v>
      </c>
      <c r="L118" s="28">
        <f>IFERROR(VLOOKUP(A118,'Centre DW13'!$A$7:$N$160,12,FALSE),0)+
IFERROR(VLOOKUP(A118,'Centre WR13'!$A$7:$N$160,12,FALSE),0)+
IFERROR(VLOOKUP(A118,'Centre WP13'!$A$7:$N$160,12,FALSE),0)</f>
        <v>4.0999999999999996</v>
      </c>
      <c r="M118" s="28">
        <f>IFERROR(VLOOKUP(A118,'Centre DW13'!$A$7:$N$160,13,FALSE),0)+
IFERROR(VLOOKUP(A118,'Centre WR13'!$A$7:$N$160,13,FALSE),0)+
IFERROR(VLOOKUP(A118,'Centre WP13'!$A$7:$N$160,13,FALSE),0)</f>
        <v>0</v>
      </c>
      <c r="N118" s="28">
        <f>IFERROR(VLOOKUP(A118,'Centre DW13'!$A$7:$N$160,14,FALSE),0)+
IFERROR(VLOOKUP(A118,'Centre WR13'!$A$7:$N$160,14,FALSE),0)+
IFERROR(VLOOKUP(A118,'Centre WP13'!$A$7:$N$160,14,FALSE),0)</f>
        <v>4.9000000000000004</v>
      </c>
    </row>
    <row r="119" spans="1:14" hidden="1" outlineLevel="1" x14ac:dyDescent="0.2">
      <c r="A119" s="9" t="s">
        <v>234</v>
      </c>
      <c r="B119" s="1" t="s">
        <v>235</v>
      </c>
      <c r="C119" s="10">
        <f>IFERROR(VLOOKUP(A119,'Centre DW13'!$A$7:$N$160,3,FALSE),0)+
IFERROR(VLOOKUP(A119,'Centre WR13'!$A$7:$N$160,3,FALSE),0)+
IFERROR(VLOOKUP(A119,'Centre WP13'!$A$7:$N$160,3,FALSE),0)</f>
        <v>0</v>
      </c>
      <c r="D119" s="10">
        <f>IFERROR(VLOOKUP(A119,'Centre DW13'!$A$7:$N$160,4,FALSE),0)+
IFERROR(VLOOKUP(A119,'Centre WR13'!$A$7:$N$160,4,FALSE),0)+
IFERROR(VLOOKUP(A119,'Centre WP13'!$A$7:$N$160,4,FALSE),0)</f>
        <v>0</v>
      </c>
      <c r="E119" s="10">
        <f>IFERROR(VLOOKUP(A119,'Centre DW13'!$A$7:$N$160,5,FALSE),0)+
IFERROR(VLOOKUP(A119,'Centre WR13'!$A$7:$N$160,5,FALSE),0)+
IFERROR(VLOOKUP(A119,'Centre WP13'!$A$7:$N$160,5,FALSE),0)</f>
        <v>0</v>
      </c>
      <c r="F119" s="10">
        <f>IFERROR(VLOOKUP(A119,'Centre DW13'!$A$7:$N$160,6,FALSE),0)+
IFERROR(VLOOKUP(A119,'Centre WR13'!$A$7:$N$160,6,FALSE),0)+
IFERROR(VLOOKUP(A119,'Centre WP13'!$A$7:$N$160,6,FALSE),0)</f>
        <v>0</v>
      </c>
      <c r="G119" s="10">
        <f>IFERROR(VLOOKUP(A119,'Centre DW13'!$A$7:$N$160,7,FALSE),0)+
IFERROR(VLOOKUP(A119,'Centre WR13'!$A$7:$N$160,7,FALSE),0)+
IFERROR(VLOOKUP(A119,'Centre WP13'!$A$7:$N$160,7,FALSE),0)</f>
        <v>0</v>
      </c>
      <c r="H119" s="10">
        <f>IFERROR(VLOOKUP(A119,'Centre DW13'!$A$7:$N$160,8,FALSE),0)+
IFERROR(VLOOKUP(A119,'Centre WR13'!$A$7:$N$160,8,FALSE),0)+
IFERROR(VLOOKUP(A119,'Centre WP13'!$A$7:$N$160,8,FALSE),0)</f>
        <v>0</v>
      </c>
      <c r="I119" s="10">
        <f>IFERROR(VLOOKUP(A119,'Centre DW13'!$A$7:$N$160,9,FALSE),0)+
IFERROR(VLOOKUP(A119,'Centre WR13'!$A$7:$N$160,9,FALSE),0)+
IFERROR(VLOOKUP(A119,'Centre WP13'!$A$7:$N$160,9,FALSE),0)</f>
        <v>0</v>
      </c>
      <c r="J119" s="28">
        <f>IFERROR(VLOOKUP(A119,'Centre DW13'!$A$7:$N$160,10,FALSE),0)+
IFERROR(VLOOKUP(A119,'Centre WR13'!$A$7:$N$160,10,FALSE),0)+
IFERROR(VLOOKUP(A119,'Centre WP13'!$A$7:$N$160,10,FALSE),0)</f>
        <v>0</v>
      </c>
      <c r="K119" s="28">
        <f>IFERROR(VLOOKUP(A119,'Centre DW13'!$A$7:$N$160,11,FALSE),0)+
IFERROR(VLOOKUP(A119,'Centre WR13'!$A$7:$N$160,11,FALSE),0)+
IFERROR(VLOOKUP(A119,'Centre WP13'!$A$7:$N$160,11,FALSE),0)</f>
        <v>0</v>
      </c>
      <c r="L119" s="28">
        <f>IFERROR(VLOOKUP(A119,'Centre DW13'!$A$7:$N$160,12,FALSE),0)+
IFERROR(VLOOKUP(A119,'Centre WR13'!$A$7:$N$160,12,FALSE),0)+
IFERROR(VLOOKUP(A119,'Centre WP13'!$A$7:$N$160,12,FALSE),0)</f>
        <v>0</v>
      </c>
      <c r="M119" s="28">
        <f>IFERROR(VLOOKUP(A119,'Centre DW13'!$A$7:$N$160,13,FALSE),0)+
IFERROR(VLOOKUP(A119,'Centre WR13'!$A$7:$N$160,13,FALSE),0)+
IFERROR(VLOOKUP(A119,'Centre WP13'!$A$7:$N$160,13,FALSE),0)</f>
        <v>0</v>
      </c>
      <c r="N119" s="28">
        <f>IFERROR(VLOOKUP(A119,'Centre DW13'!$A$7:$N$160,14,FALSE),0)+
IFERROR(VLOOKUP(A119,'Centre WR13'!$A$7:$N$160,14,FALSE),0)+
IFERROR(VLOOKUP(A119,'Centre WP13'!$A$7:$N$160,14,FALSE),0)</f>
        <v>0</v>
      </c>
    </row>
    <row r="120" spans="1:14" collapsed="1" x14ac:dyDescent="0.2">
      <c r="A120" s="36"/>
      <c r="B120" s="36" t="s">
        <v>236</v>
      </c>
      <c r="C120" s="45">
        <f t="shared" ref="C120:I120" si="30">+C85+C102+C115+C116+C117</f>
        <v>11.099999999999996</v>
      </c>
      <c r="D120" s="45">
        <f t="shared" si="30"/>
        <v>9.0999999999999979</v>
      </c>
      <c r="E120" s="45">
        <f t="shared" si="30"/>
        <v>8.4</v>
      </c>
      <c r="F120" s="45">
        <f t="shared" si="30"/>
        <v>13.999999999999998</v>
      </c>
      <c r="G120" s="45">
        <f t="shared" si="30"/>
        <v>3.4000000000000012</v>
      </c>
      <c r="H120" s="45">
        <f t="shared" si="30"/>
        <v>19.5</v>
      </c>
      <c r="I120" s="45">
        <f t="shared" si="30"/>
        <v>1.4</v>
      </c>
      <c r="J120" s="45">
        <f>+J85+J102+J115+J116+J117</f>
        <v>21.3</v>
      </c>
      <c r="K120" s="45">
        <f t="shared" ref="K120:N120" si="31">+K85+K102+K115+K116+K117</f>
        <v>10.4</v>
      </c>
      <c r="L120" s="45">
        <f t="shared" si="31"/>
        <v>24.9</v>
      </c>
      <c r="M120" s="45">
        <f t="shared" si="31"/>
        <v>4.1000000000000014</v>
      </c>
      <c r="N120" s="45">
        <f t="shared" si="31"/>
        <v>12.4</v>
      </c>
    </row>
    <row r="121" spans="1:14" x14ac:dyDescent="0.2">
      <c r="A121" s="35"/>
      <c r="B121" s="35" t="s">
        <v>237</v>
      </c>
      <c r="C121" s="21">
        <f t="shared" ref="C121:I121" si="32">+C84-C120</f>
        <v>58.800000000000011</v>
      </c>
      <c r="D121" s="21">
        <f t="shared" si="32"/>
        <v>20.799999999999997</v>
      </c>
      <c r="E121" s="21">
        <f t="shared" si="32"/>
        <v>60.9</v>
      </c>
      <c r="F121" s="21">
        <f t="shared" si="32"/>
        <v>87.9</v>
      </c>
      <c r="G121" s="21">
        <f t="shared" si="32"/>
        <v>103.7</v>
      </c>
      <c r="H121" s="21">
        <f t="shared" si="32"/>
        <v>82.199999999999989</v>
      </c>
      <c r="I121" s="21">
        <f t="shared" si="32"/>
        <v>186.00000000000003</v>
      </c>
      <c r="J121" s="21">
        <f>+J84-J120</f>
        <v>101.8</v>
      </c>
      <c r="K121" s="21">
        <f t="shared" ref="K121:N121" si="33">+K84-K120</f>
        <v>194</v>
      </c>
      <c r="L121" s="21">
        <f t="shared" si="33"/>
        <v>133.6</v>
      </c>
      <c r="M121" s="21">
        <f t="shared" si="33"/>
        <v>137.80000000000001</v>
      </c>
      <c r="N121" s="21">
        <f t="shared" si="33"/>
        <v>202.2</v>
      </c>
    </row>
    <row r="122" spans="1:14" x14ac:dyDescent="0.2">
      <c r="A122" s="33" t="s">
        <v>238</v>
      </c>
      <c r="B122" s="34" t="s">
        <v>239</v>
      </c>
      <c r="C122" s="44">
        <f t="shared" ref="C122:N122" si="34">SUM(C123:C126)</f>
        <v>2</v>
      </c>
      <c r="D122" s="44">
        <f t="shared" si="34"/>
        <v>0.7</v>
      </c>
      <c r="E122" s="44">
        <f t="shared" si="34"/>
        <v>0.60000000000000009</v>
      </c>
      <c r="F122" s="44">
        <f t="shared" si="34"/>
        <v>1.2000000000000002</v>
      </c>
      <c r="G122" s="44">
        <f t="shared" si="34"/>
        <v>1.2</v>
      </c>
      <c r="H122" s="44">
        <f t="shared" si="34"/>
        <v>1.5</v>
      </c>
      <c r="I122" s="44">
        <f t="shared" si="34"/>
        <v>1.1000000000000001</v>
      </c>
      <c r="J122" s="44">
        <f t="shared" si="34"/>
        <v>1.4</v>
      </c>
      <c r="K122" s="44">
        <f t="shared" si="34"/>
        <v>0.8</v>
      </c>
      <c r="L122" s="44">
        <f t="shared" si="34"/>
        <v>1.2</v>
      </c>
      <c r="M122" s="44">
        <f t="shared" si="34"/>
        <v>1.5</v>
      </c>
      <c r="N122" s="44">
        <f t="shared" si="34"/>
        <v>1.1000000000000001</v>
      </c>
    </row>
    <row r="123" spans="1:14" hidden="1" outlineLevel="1" x14ac:dyDescent="0.2">
      <c r="A123" s="9" t="s">
        <v>240</v>
      </c>
      <c r="B123" s="1" t="s">
        <v>241</v>
      </c>
      <c r="C123" s="10">
        <f>IFERROR(VLOOKUP(A123,'Centre DW13'!$A$7:$N$160,3,FALSE),0)+
IFERROR(VLOOKUP(A123,'Centre WR13'!$A$7:$N$160,3,FALSE),0)+
IFERROR(VLOOKUP(A123,'Centre WP13'!$A$7:$N$160,3,FALSE),0)</f>
        <v>2</v>
      </c>
      <c r="D123" s="10">
        <f>IFERROR(VLOOKUP(A123,'Centre DW13'!$A$7:$N$160,4,FALSE),0)+
IFERROR(VLOOKUP(A123,'Centre WR13'!$A$7:$N$160,4,FALSE),0)+
IFERROR(VLOOKUP(A123,'Centre WP13'!$A$7:$N$160,4,FALSE),0)</f>
        <v>0.7</v>
      </c>
      <c r="E123" s="10">
        <f>IFERROR(VLOOKUP(A123,'Centre DW13'!$A$7:$N$160,5,FALSE),0)+
IFERROR(VLOOKUP(A123,'Centre WR13'!$A$7:$N$160,5,FALSE),0)+
IFERROR(VLOOKUP(A123,'Centre WP13'!$A$7:$N$160,5,FALSE),0)</f>
        <v>0.60000000000000009</v>
      </c>
      <c r="F123" s="10">
        <f>IFERROR(VLOOKUP(A123,'Centre DW13'!$A$7:$N$160,6,FALSE),0)+
IFERROR(VLOOKUP(A123,'Centre WR13'!$A$7:$N$160,6,FALSE),0)+
IFERROR(VLOOKUP(A123,'Centre WP13'!$A$7:$N$160,6,FALSE),0)</f>
        <v>1.2000000000000002</v>
      </c>
      <c r="G123" s="10">
        <f>IFERROR(VLOOKUP(A123,'Centre DW13'!$A$7:$N$160,7,FALSE),0)+
IFERROR(VLOOKUP(A123,'Centre WR13'!$A$7:$N$160,7,FALSE),0)+
IFERROR(VLOOKUP(A123,'Centre WP13'!$A$7:$N$160,7,FALSE),0)</f>
        <v>1.2</v>
      </c>
      <c r="H123" s="10">
        <f>IFERROR(VLOOKUP(A123,'Centre DW13'!$A$7:$N$160,8,FALSE),0)+
IFERROR(VLOOKUP(A123,'Centre WR13'!$A$7:$N$160,8,FALSE),0)+
IFERROR(VLOOKUP(A123,'Centre WP13'!$A$7:$N$160,8,FALSE),0)</f>
        <v>1.5</v>
      </c>
      <c r="I123" s="10">
        <f>IFERROR(VLOOKUP(A123,'Centre DW13'!$A$7:$N$160,9,FALSE),0)+
IFERROR(VLOOKUP(A123,'Centre WR13'!$A$7:$N$160,9,FALSE),0)+
IFERROR(VLOOKUP(A123,'Centre WP13'!$A$7:$N$160,9,FALSE),0)</f>
        <v>1.1000000000000001</v>
      </c>
      <c r="J123" s="28">
        <f>IFERROR(VLOOKUP(A123,'Centre DW13'!$A$7:$N$160,10,FALSE),0)+
IFERROR(VLOOKUP(A123,'Centre WR13'!$A$7:$N$160,10,FALSE),0)+
IFERROR(VLOOKUP(A123,'Centre WP13'!$A$7:$N$160,10,FALSE),0)</f>
        <v>1.4</v>
      </c>
      <c r="K123" s="28">
        <f>IFERROR(VLOOKUP(A123,'Centre DW13'!$A$7:$N$160,11,FALSE),0)+
IFERROR(VLOOKUP(A123,'Centre WR13'!$A$7:$N$160,11,FALSE),0)+
IFERROR(VLOOKUP(A123,'Centre WP13'!$A$7:$N$160,11,FALSE),0)</f>
        <v>0.6</v>
      </c>
      <c r="L123" s="28">
        <f>IFERROR(VLOOKUP(A123,'Centre DW13'!$A$7:$N$160,12,FALSE),0)+
IFERROR(VLOOKUP(A123,'Centre WR13'!$A$7:$N$160,12,FALSE),0)+
IFERROR(VLOOKUP(A123,'Centre WP13'!$A$7:$N$160,12,FALSE),0)</f>
        <v>1.2</v>
      </c>
      <c r="M123" s="28">
        <f>IFERROR(VLOOKUP(A123,'Centre DW13'!$A$7:$N$160,13,FALSE),0)+
IFERROR(VLOOKUP(A123,'Centre WR13'!$A$7:$N$160,13,FALSE),0)+
IFERROR(VLOOKUP(A123,'Centre WP13'!$A$7:$N$160,13,FALSE),0)</f>
        <v>1.5</v>
      </c>
      <c r="N123" s="28">
        <f>IFERROR(VLOOKUP(A123,'Centre DW13'!$A$7:$N$160,14,FALSE),0)+
IFERROR(VLOOKUP(A123,'Centre WR13'!$A$7:$N$160,14,FALSE),0)+
IFERROR(VLOOKUP(A123,'Centre WP13'!$A$7:$N$160,14,FALSE),0)</f>
        <v>1.1000000000000001</v>
      </c>
    </row>
    <row r="124" spans="1:14" hidden="1" outlineLevel="1" x14ac:dyDescent="0.2">
      <c r="A124" s="9" t="s">
        <v>242</v>
      </c>
      <c r="B124" s="1" t="s">
        <v>243</v>
      </c>
      <c r="C124" s="10">
        <f>IFERROR(VLOOKUP(A124,'Centre DW13'!$A$7:$N$160,3,FALSE),0)+
IFERROR(VLOOKUP(A124,'Centre WR13'!$A$7:$N$160,3,FALSE),0)+
IFERROR(VLOOKUP(A124,'Centre WP13'!$A$7:$N$160,3,FALSE),0)</f>
        <v>0</v>
      </c>
      <c r="D124" s="10">
        <f>IFERROR(VLOOKUP(A124,'Centre DW13'!$A$7:$N$160,4,FALSE),0)+
IFERROR(VLOOKUP(A124,'Centre WR13'!$A$7:$N$160,4,FALSE),0)+
IFERROR(VLOOKUP(A124,'Centre WP13'!$A$7:$N$160,4,FALSE),0)</f>
        <v>0</v>
      </c>
      <c r="E124" s="10">
        <f>IFERROR(VLOOKUP(A124,'Centre DW13'!$A$7:$N$160,5,FALSE),0)+
IFERROR(VLOOKUP(A124,'Centre WR13'!$A$7:$N$160,5,FALSE),0)+
IFERROR(VLOOKUP(A124,'Centre WP13'!$A$7:$N$160,5,FALSE),0)</f>
        <v>0</v>
      </c>
      <c r="F124" s="10">
        <f>IFERROR(VLOOKUP(A124,'Centre DW13'!$A$7:$N$160,6,FALSE),0)+
IFERROR(VLOOKUP(A124,'Centre WR13'!$A$7:$N$160,6,FALSE),0)+
IFERROR(VLOOKUP(A124,'Centre WP13'!$A$7:$N$160,6,FALSE),0)</f>
        <v>0</v>
      </c>
      <c r="G124" s="10">
        <f>IFERROR(VLOOKUP(A124,'Centre DW13'!$A$7:$N$160,7,FALSE),0)+
IFERROR(VLOOKUP(A124,'Centre WR13'!$A$7:$N$160,7,FALSE),0)+
IFERROR(VLOOKUP(A124,'Centre WP13'!$A$7:$N$160,7,FALSE),0)</f>
        <v>0</v>
      </c>
      <c r="H124" s="10">
        <f>IFERROR(VLOOKUP(A124,'Centre DW13'!$A$7:$N$160,8,FALSE),0)+
IFERROR(VLOOKUP(A124,'Centre WR13'!$A$7:$N$160,8,FALSE),0)+
IFERROR(VLOOKUP(A124,'Centre WP13'!$A$7:$N$160,8,FALSE),0)</f>
        <v>0</v>
      </c>
      <c r="I124" s="10">
        <f>IFERROR(VLOOKUP(A124,'Centre DW13'!$A$7:$N$160,9,FALSE),0)+
IFERROR(VLOOKUP(A124,'Centre WR13'!$A$7:$N$160,9,FALSE),0)+
IFERROR(VLOOKUP(A124,'Centre WP13'!$A$7:$N$160,9,FALSE),0)</f>
        <v>0</v>
      </c>
      <c r="J124" s="28">
        <f>IFERROR(VLOOKUP(A124,'Centre DW13'!$A$7:$N$160,10,FALSE),0)+
IFERROR(VLOOKUP(A124,'Centre WR13'!$A$7:$N$160,10,FALSE),0)+
IFERROR(VLOOKUP(A124,'Centre WP13'!$A$7:$N$160,10,FALSE),0)</f>
        <v>0</v>
      </c>
      <c r="K124" s="28">
        <f>IFERROR(VLOOKUP(A124,'Centre DW13'!$A$7:$N$160,11,FALSE),0)+
IFERROR(VLOOKUP(A124,'Centre WR13'!$A$7:$N$160,11,FALSE),0)+
IFERROR(VLOOKUP(A124,'Centre WP13'!$A$7:$N$160,11,FALSE),0)</f>
        <v>0.2</v>
      </c>
      <c r="L124" s="28">
        <f>IFERROR(VLOOKUP(A124,'Centre DW13'!$A$7:$N$160,12,FALSE),0)+
IFERROR(VLOOKUP(A124,'Centre WR13'!$A$7:$N$160,12,FALSE),0)+
IFERROR(VLOOKUP(A124,'Centre WP13'!$A$7:$N$160,12,FALSE),0)</f>
        <v>0</v>
      </c>
      <c r="M124" s="28">
        <f>IFERROR(VLOOKUP(A124,'Centre DW13'!$A$7:$N$160,13,FALSE),0)+
IFERROR(VLOOKUP(A124,'Centre WR13'!$A$7:$N$160,13,FALSE),0)+
IFERROR(VLOOKUP(A124,'Centre WP13'!$A$7:$N$160,13,FALSE),0)</f>
        <v>0</v>
      </c>
      <c r="N124" s="28">
        <f>IFERROR(VLOOKUP(A124,'Centre DW13'!$A$7:$N$160,14,FALSE),0)+
IFERROR(VLOOKUP(A124,'Centre WR13'!$A$7:$N$160,14,FALSE),0)+
IFERROR(VLOOKUP(A124,'Centre WP13'!$A$7:$N$160,14,FALSE),0)</f>
        <v>0</v>
      </c>
    </row>
    <row r="125" spans="1:14" hidden="1" outlineLevel="1" x14ac:dyDescent="0.2">
      <c r="A125" s="9" t="s">
        <v>359</v>
      </c>
      <c r="B125" s="1" t="s">
        <v>360</v>
      </c>
      <c r="C125" s="10">
        <f>IFERROR(VLOOKUP(A125,'Centre DW13'!$A$7:$N$160,3,FALSE),0)+
IFERROR(VLOOKUP(A125,'Centre WR13'!$A$7:$N$160,3,FALSE),0)+
IFERROR(VLOOKUP(A125,'Centre WP13'!$A$7:$N$160,3,FALSE),0)</f>
        <v>0</v>
      </c>
      <c r="D125" s="10">
        <f>IFERROR(VLOOKUP(A125,'Centre DW13'!$A$7:$N$160,4,FALSE),0)+
IFERROR(VLOOKUP(A125,'Centre WR13'!$A$7:$N$160,4,FALSE),0)+
IFERROR(VLOOKUP(A125,'Centre WP13'!$A$7:$N$160,4,FALSE),0)</f>
        <v>0</v>
      </c>
      <c r="E125" s="10">
        <f>IFERROR(VLOOKUP(A125,'Centre DW13'!$A$7:$N$160,5,FALSE),0)+
IFERROR(VLOOKUP(A125,'Centre WR13'!$A$7:$N$160,5,FALSE),0)+
IFERROR(VLOOKUP(A125,'Centre WP13'!$A$7:$N$160,5,FALSE),0)</f>
        <v>0</v>
      </c>
      <c r="F125" s="10">
        <f>IFERROR(VLOOKUP(A125,'Centre DW13'!$A$7:$N$160,6,FALSE),0)+
IFERROR(VLOOKUP(A125,'Centre WR13'!$A$7:$N$160,6,FALSE),0)+
IFERROR(VLOOKUP(A125,'Centre WP13'!$A$7:$N$160,6,FALSE),0)</f>
        <v>0</v>
      </c>
      <c r="G125" s="10">
        <f>IFERROR(VLOOKUP(A125,'Centre DW13'!$A$7:$N$160,7,FALSE),0)+
IFERROR(VLOOKUP(A125,'Centre WR13'!$A$7:$N$160,7,FALSE),0)+
IFERROR(VLOOKUP(A125,'Centre WP13'!$A$7:$N$160,7,FALSE),0)</f>
        <v>0</v>
      </c>
      <c r="H125" s="10">
        <f>IFERROR(VLOOKUP(A125,'Centre DW13'!$A$7:$N$160,8,FALSE),0)+
IFERROR(VLOOKUP(A125,'Centre WR13'!$A$7:$N$160,8,FALSE),0)+
IFERROR(VLOOKUP(A125,'Centre WP13'!$A$7:$N$160,8,FALSE),0)</f>
        <v>0</v>
      </c>
      <c r="I125" s="10">
        <f>IFERROR(VLOOKUP(A125,'Centre DW13'!$A$7:$N$160,9,FALSE),0)+
IFERROR(VLOOKUP(A125,'Centre WR13'!$A$7:$N$160,9,FALSE),0)+
IFERROR(VLOOKUP(A125,'Centre WP13'!$A$7:$N$160,9,FALSE),0)</f>
        <v>0</v>
      </c>
      <c r="J125" s="28">
        <f>IFERROR(VLOOKUP(A125,'Centre DW13'!$A$7:$N$160,10,FALSE),0)+
IFERROR(VLOOKUP(A125,'Centre WR13'!$A$7:$N$160,10,FALSE),0)+
IFERROR(VLOOKUP(A125,'Centre WP13'!$A$7:$N$160,10,FALSE),0)</f>
        <v>0</v>
      </c>
      <c r="K125" s="28">
        <f>IFERROR(VLOOKUP(A125,'Centre DW13'!$A$7:$N$160,11,FALSE),0)+
IFERROR(VLOOKUP(A125,'Centre WR13'!$A$7:$N$160,11,FALSE),0)+
IFERROR(VLOOKUP(A125,'Centre WP13'!$A$7:$N$160,11,FALSE),0)</f>
        <v>0</v>
      </c>
      <c r="L125" s="28">
        <f>IFERROR(VLOOKUP(A125,'Centre DW13'!$A$7:$N$160,12,FALSE),0)+
IFERROR(VLOOKUP(A125,'Centre WR13'!$A$7:$N$160,12,FALSE),0)+
IFERROR(VLOOKUP(A125,'Centre WP13'!$A$7:$N$160,12,FALSE),0)</f>
        <v>0</v>
      </c>
      <c r="M125" s="28">
        <f>IFERROR(VLOOKUP(A125,'Centre DW13'!$A$7:$N$160,13,FALSE),0)+
IFERROR(VLOOKUP(A125,'Centre WR13'!$A$7:$N$160,13,FALSE),0)+
IFERROR(VLOOKUP(A125,'Centre WP13'!$A$7:$N$160,13,FALSE),0)</f>
        <v>0</v>
      </c>
      <c r="N125" s="28">
        <f>IFERROR(VLOOKUP(A125,'Centre DW13'!$A$7:$N$160,14,FALSE),0)+
IFERROR(VLOOKUP(A125,'Centre WR13'!$A$7:$N$160,14,FALSE),0)+
IFERROR(VLOOKUP(A125,'Centre WP13'!$A$7:$N$160,14,FALSE),0)</f>
        <v>0</v>
      </c>
    </row>
    <row r="126" spans="1:14" hidden="1" outlineLevel="1" x14ac:dyDescent="0.2">
      <c r="A126" s="9" t="s">
        <v>361</v>
      </c>
      <c r="B126" s="1" t="s">
        <v>362</v>
      </c>
      <c r="C126" s="10">
        <f>IFERROR(VLOOKUP(A126,'Centre DW13'!$A$7:$N$160,3,FALSE),0)+
IFERROR(VLOOKUP(A126,'Centre WR13'!$A$7:$N$160,3,FALSE),0)+
IFERROR(VLOOKUP(A126,'Centre WP13'!$A$7:$N$160,3,FALSE),0)</f>
        <v>0</v>
      </c>
      <c r="D126" s="10">
        <f>IFERROR(VLOOKUP(A126,'Centre DW13'!$A$7:$N$160,4,FALSE),0)+
IFERROR(VLOOKUP(A126,'Centre WR13'!$A$7:$N$160,4,FALSE),0)+
IFERROR(VLOOKUP(A126,'Centre WP13'!$A$7:$N$160,4,FALSE),0)</f>
        <v>0</v>
      </c>
      <c r="E126" s="10">
        <f>IFERROR(VLOOKUP(A126,'Centre DW13'!$A$7:$N$160,5,FALSE),0)+
IFERROR(VLOOKUP(A126,'Centre WR13'!$A$7:$N$160,5,FALSE),0)+
IFERROR(VLOOKUP(A126,'Centre WP13'!$A$7:$N$160,5,FALSE),0)</f>
        <v>0</v>
      </c>
      <c r="F126" s="10">
        <f>IFERROR(VLOOKUP(A126,'Centre DW13'!$A$7:$N$160,6,FALSE),0)+
IFERROR(VLOOKUP(A126,'Centre WR13'!$A$7:$N$160,6,FALSE),0)+
IFERROR(VLOOKUP(A126,'Centre WP13'!$A$7:$N$160,6,FALSE),0)</f>
        <v>0</v>
      </c>
      <c r="G126" s="10">
        <f>IFERROR(VLOOKUP(A126,'Centre DW13'!$A$7:$N$160,7,FALSE),0)+
IFERROR(VLOOKUP(A126,'Centre WR13'!$A$7:$N$160,7,FALSE),0)+
IFERROR(VLOOKUP(A126,'Centre WP13'!$A$7:$N$160,7,FALSE),0)</f>
        <v>0</v>
      </c>
      <c r="H126" s="10">
        <f>IFERROR(VLOOKUP(A126,'Centre DW13'!$A$7:$N$160,8,FALSE),0)+
IFERROR(VLOOKUP(A126,'Centre WR13'!$A$7:$N$160,8,FALSE),0)+
IFERROR(VLOOKUP(A126,'Centre WP13'!$A$7:$N$160,8,FALSE),0)</f>
        <v>0</v>
      </c>
      <c r="I126" s="10">
        <f>IFERROR(VLOOKUP(A126,'Centre DW13'!$A$7:$N$160,9,FALSE),0)+
IFERROR(VLOOKUP(A126,'Centre WR13'!$A$7:$N$160,9,FALSE),0)+
IFERROR(VLOOKUP(A126,'Centre WP13'!$A$7:$N$160,9,FALSE),0)</f>
        <v>0</v>
      </c>
      <c r="J126" s="28">
        <f>IFERROR(VLOOKUP(A126,'Centre DW13'!$A$7:$N$160,10,FALSE),0)+
IFERROR(VLOOKUP(A126,'Centre WR13'!$A$7:$N$160,10,FALSE),0)+
IFERROR(VLOOKUP(A126,'Centre WP13'!$A$7:$N$160,10,FALSE),0)</f>
        <v>0</v>
      </c>
      <c r="K126" s="28">
        <f>IFERROR(VLOOKUP(A126,'Centre DW13'!$A$7:$N$160,11,FALSE),0)+
IFERROR(VLOOKUP(A126,'Centre WR13'!$A$7:$N$160,11,FALSE),0)+
IFERROR(VLOOKUP(A126,'Centre WP13'!$A$7:$N$160,11,FALSE),0)</f>
        <v>0</v>
      </c>
      <c r="L126" s="28">
        <f>IFERROR(VLOOKUP(A126,'Centre DW13'!$A$7:$N$160,12,FALSE),0)+
IFERROR(VLOOKUP(A126,'Centre WR13'!$A$7:$N$160,12,FALSE),0)+
IFERROR(VLOOKUP(A126,'Centre WP13'!$A$7:$N$160,12,FALSE),0)</f>
        <v>0</v>
      </c>
      <c r="M126" s="28">
        <f>IFERROR(VLOOKUP(A126,'Centre DW13'!$A$7:$N$160,13,FALSE),0)+
IFERROR(VLOOKUP(A126,'Centre WR13'!$A$7:$N$160,13,FALSE),0)+
IFERROR(VLOOKUP(A126,'Centre WP13'!$A$7:$N$160,13,FALSE),0)</f>
        <v>0</v>
      </c>
      <c r="N126" s="28">
        <f>IFERROR(VLOOKUP(A126,'Centre DW13'!$A$7:$N$160,14,FALSE),0)+
IFERROR(VLOOKUP(A126,'Centre WR13'!$A$7:$N$160,14,FALSE),0)+
IFERROR(VLOOKUP(A126,'Centre WP13'!$A$7:$N$160,14,FALSE),0)</f>
        <v>0</v>
      </c>
    </row>
    <row r="127" spans="1:14" collapsed="1" x14ac:dyDescent="0.2">
      <c r="A127" s="33" t="s">
        <v>244</v>
      </c>
      <c r="B127" s="34" t="s">
        <v>245</v>
      </c>
      <c r="C127" s="44">
        <f>IFERROR(VLOOKUP(A127,'Centre DW13'!$A$7:$N$160,3,FALSE),0)+
IFERROR(VLOOKUP(A127,'Centre WR13'!$A$7:$N$160,3,FALSE),0)+
IFERROR(VLOOKUP(A127,'Centre WP13'!$A$7:$N$160,3,FALSE),0)</f>
        <v>0</v>
      </c>
      <c r="D127" s="44">
        <f>IFERROR(VLOOKUP(A127,'Centre DW13'!$A$7:$N$160,4,FALSE),0)+
IFERROR(VLOOKUP(A127,'Centre WR13'!$A$7:$N$160,4,FALSE),0)+
IFERROR(VLOOKUP(A127,'Centre WP13'!$A$7:$N$160,4,FALSE),0)</f>
        <v>0</v>
      </c>
      <c r="E127" s="44">
        <f>IFERROR(VLOOKUP(A127,'Centre DW13'!$A$7:$N$160,5,FALSE),0)+
IFERROR(VLOOKUP(A127,'Centre WR13'!$A$7:$N$160,5,FALSE),0)+
IFERROR(VLOOKUP(A127,'Centre WP13'!$A$7:$N$160,5,FALSE),0)</f>
        <v>0</v>
      </c>
      <c r="F127" s="44">
        <f>IFERROR(VLOOKUP(A127,'Centre DW13'!$A$7:$N$160,6,FALSE),0)+
IFERROR(VLOOKUP(A127,'Centre WR13'!$A$7:$N$160,6,FALSE),0)+
IFERROR(VLOOKUP(A127,'Centre WP13'!$A$7:$N$160,6,FALSE),0)</f>
        <v>0</v>
      </c>
      <c r="G127" s="44">
        <f>IFERROR(VLOOKUP(A127,'Centre DW13'!$A$7:$N$160,7,FALSE),0)+
IFERROR(VLOOKUP(A127,'Centre WR13'!$A$7:$N$160,7,FALSE),0)+
IFERROR(VLOOKUP(A127,'Centre WP13'!$A$7:$N$160,7,FALSE),0)</f>
        <v>0</v>
      </c>
      <c r="H127" s="44">
        <f>IFERROR(VLOOKUP(A127,'Centre DW13'!$A$7:$N$160,8,FALSE),0)+
IFERROR(VLOOKUP(A127,'Centre WR13'!$A$7:$N$160,8,FALSE),0)+
IFERROR(VLOOKUP(A127,'Centre WP13'!$A$7:$N$160,8,FALSE),0)</f>
        <v>0</v>
      </c>
      <c r="I127" s="44">
        <f>IFERROR(VLOOKUP(A127,'Centre DW13'!$A$7:$N$160,9,FALSE),0)+
IFERROR(VLOOKUP(A127,'Centre WR13'!$A$7:$N$160,9,FALSE),0)+
IFERROR(VLOOKUP(A127,'Centre WP13'!$A$7:$N$160,9,FALSE),0)</f>
        <v>0</v>
      </c>
      <c r="J127" s="44">
        <f>IFERROR(VLOOKUP(A127,'Centre DW13'!$A$7:$N$160,10,FALSE),0)+
IFERROR(VLOOKUP(A127,'Centre WR13'!$A$7:$N$160,10,FALSE),0)+
IFERROR(VLOOKUP(A127,'Centre WP13'!$A$7:$N$160,10,FALSE),0)</f>
        <v>0</v>
      </c>
      <c r="K127" s="44">
        <f>IFERROR(VLOOKUP(A127,'Centre DW13'!$A$7:$N$160,11,FALSE),0)+
IFERROR(VLOOKUP(A127,'Centre WR13'!$A$7:$N$160,11,FALSE),0)+
IFERROR(VLOOKUP(A127,'Centre WP13'!$A$7:$N$160,11,FALSE),0)</f>
        <v>0</v>
      </c>
      <c r="L127" s="44">
        <f>IFERROR(VLOOKUP(A127,'Centre DW13'!$A$7:$N$160,12,FALSE),0)+
IFERROR(VLOOKUP(A127,'Centre WR13'!$A$7:$N$160,12,FALSE),0)+
IFERROR(VLOOKUP(A127,'Centre WP13'!$A$7:$N$160,12,FALSE),0)</f>
        <v>0</v>
      </c>
      <c r="M127" s="44">
        <f>IFERROR(VLOOKUP(A127,'Centre DW13'!$A$7:$N$160,13,FALSE),0)+
IFERROR(VLOOKUP(A127,'Centre WR13'!$A$7:$N$160,13,FALSE),0)+
IFERROR(VLOOKUP(A127,'Centre WP13'!$A$7:$N$160,13,FALSE),0)</f>
        <v>0</v>
      </c>
      <c r="N127" s="44">
        <f>IFERROR(VLOOKUP(A127,'Centre DW13'!$A$7:$N$160,14,FALSE),0)+
IFERROR(VLOOKUP(A127,'Centre WR13'!$A$7:$N$160,14,FALSE),0)+
IFERROR(VLOOKUP(A127,'Centre WP13'!$A$7:$N$160,14,FALSE),0)</f>
        <v>0</v>
      </c>
    </row>
    <row r="128" spans="1:14" x14ac:dyDescent="0.2">
      <c r="A128" s="35"/>
      <c r="B128" s="35" t="s">
        <v>246</v>
      </c>
      <c r="C128" s="21">
        <f t="shared" ref="C128:J128" si="35">+C121-(C122+C127)</f>
        <v>56.800000000000011</v>
      </c>
      <c r="D128" s="21">
        <f t="shared" si="35"/>
        <v>20.099999999999998</v>
      </c>
      <c r="E128" s="21">
        <f t="shared" si="35"/>
        <v>60.3</v>
      </c>
      <c r="F128" s="21">
        <f t="shared" si="35"/>
        <v>86.7</v>
      </c>
      <c r="G128" s="21">
        <f t="shared" si="35"/>
        <v>102.5</v>
      </c>
      <c r="H128" s="21">
        <f t="shared" si="35"/>
        <v>80.699999999999989</v>
      </c>
      <c r="I128" s="21">
        <f t="shared" si="35"/>
        <v>184.90000000000003</v>
      </c>
      <c r="J128" s="21">
        <f t="shared" si="35"/>
        <v>100.39999999999999</v>
      </c>
      <c r="K128" s="21">
        <f t="shared" ref="K128:N128" si="36">+K121-(K122+K127)</f>
        <v>193.2</v>
      </c>
      <c r="L128" s="21">
        <f t="shared" si="36"/>
        <v>132.4</v>
      </c>
      <c r="M128" s="21">
        <f t="shared" si="36"/>
        <v>136.30000000000001</v>
      </c>
      <c r="N128" s="21">
        <f t="shared" si="36"/>
        <v>201.1</v>
      </c>
    </row>
    <row r="129" spans="1:14" x14ac:dyDescent="0.2">
      <c r="A129" s="9" t="s">
        <v>74</v>
      </c>
      <c r="B129" s="1" t="s">
        <v>74</v>
      </c>
      <c r="C129" s="15" t="s">
        <v>74</v>
      </c>
      <c r="D129" s="15" t="s">
        <v>74</v>
      </c>
      <c r="E129" s="15" t="s">
        <v>74</v>
      </c>
      <c r="F129" s="15" t="s">
        <v>74</v>
      </c>
      <c r="G129" s="15" t="s">
        <v>74</v>
      </c>
      <c r="H129" s="15" t="s">
        <v>74</v>
      </c>
      <c r="I129" s="15" t="s">
        <v>74</v>
      </c>
      <c r="J129" s="15" t="s">
        <v>74</v>
      </c>
      <c r="K129" s="15" t="s">
        <v>74</v>
      </c>
      <c r="L129" s="15" t="s">
        <v>74</v>
      </c>
      <c r="M129" s="15" t="s">
        <v>74</v>
      </c>
      <c r="N129" s="15" t="s">
        <v>74</v>
      </c>
    </row>
    <row r="130" spans="1:14" x14ac:dyDescent="0.2">
      <c r="A130" s="12"/>
      <c r="B130" s="12" t="s">
        <v>247</v>
      </c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</row>
    <row r="131" spans="1:14" x14ac:dyDescent="0.2">
      <c r="A131" s="9" t="s">
        <v>248</v>
      </c>
      <c r="B131" s="1" t="s">
        <v>249</v>
      </c>
      <c r="C131" s="15">
        <v>3</v>
      </c>
      <c r="D131" s="15">
        <v>3</v>
      </c>
      <c r="E131" s="15">
        <v>3</v>
      </c>
      <c r="F131" s="15">
        <v>4</v>
      </c>
      <c r="G131" s="15">
        <v>4</v>
      </c>
      <c r="H131" s="15">
        <v>5</v>
      </c>
      <c r="I131" s="15">
        <v>4</v>
      </c>
      <c r="J131" s="15">
        <v>3</v>
      </c>
      <c r="K131" s="15">
        <v>4</v>
      </c>
      <c r="L131" s="15">
        <v>4</v>
      </c>
      <c r="M131" s="15">
        <v>5</v>
      </c>
      <c r="N131" s="15">
        <v>4</v>
      </c>
    </row>
    <row r="132" spans="1:14" hidden="1" outlineLevel="1" x14ac:dyDescent="0.2">
      <c r="A132" s="9" t="s">
        <v>250</v>
      </c>
      <c r="B132" s="1" t="s">
        <v>251</v>
      </c>
      <c r="C132" s="15">
        <v>3</v>
      </c>
      <c r="D132" s="15">
        <v>3</v>
      </c>
      <c r="E132" s="15">
        <v>3</v>
      </c>
      <c r="F132" s="15">
        <v>4</v>
      </c>
      <c r="G132" s="15">
        <v>4</v>
      </c>
      <c r="H132" s="15">
        <v>5</v>
      </c>
      <c r="I132" s="15">
        <v>4</v>
      </c>
      <c r="J132" s="15">
        <v>3</v>
      </c>
      <c r="K132" s="15">
        <v>4</v>
      </c>
      <c r="L132" s="15">
        <v>4</v>
      </c>
      <c r="M132" s="15">
        <v>5</v>
      </c>
      <c r="N132" s="15">
        <v>4</v>
      </c>
    </row>
    <row r="133" spans="1:14" collapsed="1" x14ac:dyDescent="0.2">
      <c r="A133" s="9" t="s">
        <v>252</v>
      </c>
      <c r="B133" s="1" t="s">
        <v>253</v>
      </c>
      <c r="C133" s="15">
        <v>7.2</v>
      </c>
      <c r="D133" s="15">
        <v>6.4</v>
      </c>
      <c r="E133" s="15">
        <v>6.2</v>
      </c>
      <c r="F133" s="15">
        <v>7.2</v>
      </c>
      <c r="G133" s="15">
        <v>7</v>
      </c>
      <c r="H133" s="15">
        <v>8.3000000000000007</v>
      </c>
      <c r="I133" s="15">
        <v>8</v>
      </c>
      <c r="J133" s="15">
        <v>6.2</v>
      </c>
      <c r="K133" s="15">
        <v>7.2</v>
      </c>
      <c r="L133" s="15">
        <v>7</v>
      </c>
      <c r="M133" s="15">
        <v>8.3000000000000007</v>
      </c>
      <c r="N133" s="15">
        <v>8</v>
      </c>
    </row>
    <row r="134" spans="1:14" hidden="1" outlineLevel="1" x14ac:dyDescent="0.2">
      <c r="A134" s="9" t="s">
        <v>254</v>
      </c>
      <c r="B134" s="1" t="s">
        <v>255</v>
      </c>
      <c r="C134" s="15">
        <v>7.2</v>
      </c>
      <c r="D134" s="15">
        <v>6.4</v>
      </c>
      <c r="E134" s="15">
        <v>6.2</v>
      </c>
      <c r="F134" s="15">
        <v>7.2</v>
      </c>
      <c r="G134" s="15">
        <v>7</v>
      </c>
      <c r="H134" s="15">
        <v>8.3000000000000007</v>
      </c>
      <c r="I134" s="15">
        <v>8</v>
      </c>
      <c r="J134" s="15">
        <v>6.2</v>
      </c>
      <c r="K134" s="15">
        <v>7.2</v>
      </c>
      <c r="L134" s="15">
        <v>7</v>
      </c>
      <c r="M134" s="15">
        <v>8.3000000000000007</v>
      </c>
      <c r="N134" s="15">
        <v>8</v>
      </c>
    </row>
    <row r="135" spans="1:14" collapsed="1" x14ac:dyDescent="0.2">
      <c r="A135" s="9" t="s">
        <v>256</v>
      </c>
      <c r="B135" s="1" t="s">
        <v>257</v>
      </c>
      <c r="C135" s="15">
        <v>0.2</v>
      </c>
      <c r="D135" s="15">
        <v>0.2</v>
      </c>
      <c r="E135" s="15">
        <v>0.2</v>
      </c>
      <c r="F135" s="15">
        <v>0.2</v>
      </c>
      <c r="G135" s="15">
        <v>0</v>
      </c>
      <c r="H135" s="15">
        <v>0.3</v>
      </c>
      <c r="I135" s="15">
        <v>0</v>
      </c>
      <c r="J135" s="15">
        <v>0.2</v>
      </c>
      <c r="K135" s="15">
        <v>0.2</v>
      </c>
      <c r="L135" s="15">
        <v>0</v>
      </c>
      <c r="M135" s="15">
        <v>0.3</v>
      </c>
      <c r="N135" s="15">
        <v>0</v>
      </c>
    </row>
    <row r="136" spans="1:14" hidden="1" outlineLevel="1" x14ac:dyDescent="0.2">
      <c r="A136" s="9" t="s">
        <v>258</v>
      </c>
      <c r="B136" s="1" t="s">
        <v>259</v>
      </c>
      <c r="C136" s="15">
        <v>0.2</v>
      </c>
      <c r="D136" s="15">
        <v>0.2</v>
      </c>
      <c r="E136" s="15">
        <v>0.2</v>
      </c>
      <c r="F136" s="15">
        <v>0.2</v>
      </c>
      <c r="G136" s="15">
        <v>0</v>
      </c>
      <c r="H136" s="15">
        <v>0.3</v>
      </c>
      <c r="I136" s="15">
        <v>0</v>
      </c>
      <c r="J136" s="15">
        <v>0.2</v>
      </c>
      <c r="K136" s="15">
        <v>0.2</v>
      </c>
      <c r="L136" s="15">
        <v>0</v>
      </c>
      <c r="M136" s="15">
        <v>0.3</v>
      </c>
      <c r="N136" s="15">
        <v>0</v>
      </c>
    </row>
    <row r="137" spans="1:14" collapsed="1" x14ac:dyDescent="0.2">
      <c r="A137" s="9" t="s">
        <v>260</v>
      </c>
      <c r="B137" s="1" t="s">
        <v>261</v>
      </c>
      <c r="C137" s="15">
        <v>3.2</v>
      </c>
      <c r="D137" s="15">
        <v>3.2</v>
      </c>
      <c r="E137" s="15">
        <v>3</v>
      </c>
      <c r="F137" s="15">
        <v>4</v>
      </c>
      <c r="G137" s="15">
        <v>4</v>
      </c>
      <c r="H137" s="15">
        <v>4</v>
      </c>
      <c r="I137" s="15">
        <v>4</v>
      </c>
      <c r="J137" s="15">
        <v>3</v>
      </c>
      <c r="K137" s="15">
        <v>4</v>
      </c>
      <c r="L137" s="15">
        <v>4</v>
      </c>
      <c r="M137" s="15">
        <v>4</v>
      </c>
      <c r="N137" s="15">
        <v>4</v>
      </c>
    </row>
    <row r="138" spans="1:14" hidden="1" outlineLevel="1" x14ac:dyDescent="0.2">
      <c r="A138" s="9" t="s">
        <v>262</v>
      </c>
      <c r="B138" s="1" t="s">
        <v>263</v>
      </c>
      <c r="C138" s="15">
        <v>3.2</v>
      </c>
      <c r="D138" s="15">
        <v>3.2</v>
      </c>
      <c r="E138" s="15">
        <v>3</v>
      </c>
      <c r="F138" s="15">
        <v>4</v>
      </c>
      <c r="G138" s="15">
        <v>4</v>
      </c>
      <c r="H138" s="15">
        <v>4</v>
      </c>
      <c r="I138" s="15">
        <v>4</v>
      </c>
      <c r="J138" s="15">
        <v>3</v>
      </c>
      <c r="K138" s="15">
        <v>4</v>
      </c>
      <c r="L138" s="15">
        <v>4</v>
      </c>
      <c r="M138" s="15">
        <v>4</v>
      </c>
      <c r="N138" s="15">
        <v>4</v>
      </c>
    </row>
    <row r="139" spans="1:14" collapsed="1" x14ac:dyDescent="0.2">
      <c r="A139" s="9" t="s">
        <v>264</v>
      </c>
      <c r="B139" s="1" t="s">
        <v>265</v>
      </c>
      <c r="C139" s="15">
        <v>3.8</v>
      </c>
      <c r="D139" s="15">
        <v>3</v>
      </c>
      <c r="E139" s="15">
        <v>3</v>
      </c>
      <c r="F139" s="15">
        <v>3</v>
      </c>
      <c r="G139" s="15">
        <v>3</v>
      </c>
      <c r="H139" s="15">
        <v>4</v>
      </c>
      <c r="I139" s="15">
        <v>4</v>
      </c>
      <c r="J139" s="15">
        <v>3</v>
      </c>
      <c r="K139" s="15">
        <v>3</v>
      </c>
      <c r="L139" s="15">
        <v>3</v>
      </c>
      <c r="M139" s="15">
        <v>4</v>
      </c>
      <c r="N139" s="15">
        <v>4</v>
      </c>
    </row>
    <row r="140" spans="1:14" hidden="1" outlineLevel="1" x14ac:dyDescent="0.2">
      <c r="A140" s="9" t="s">
        <v>266</v>
      </c>
      <c r="B140" s="1" t="s">
        <v>267</v>
      </c>
      <c r="C140" s="15">
        <v>3.8</v>
      </c>
      <c r="D140" s="15">
        <v>3</v>
      </c>
      <c r="E140" s="15">
        <v>3</v>
      </c>
      <c r="F140" s="15">
        <v>3</v>
      </c>
      <c r="G140" s="15">
        <v>3</v>
      </c>
      <c r="H140" s="15">
        <v>4</v>
      </c>
      <c r="I140" s="15">
        <v>4</v>
      </c>
      <c r="J140" s="15">
        <v>3</v>
      </c>
      <c r="K140" s="15">
        <v>3</v>
      </c>
      <c r="L140" s="15">
        <v>3</v>
      </c>
      <c r="M140" s="15">
        <v>4</v>
      </c>
      <c r="N140" s="15">
        <v>4</v>
      </c>
    </row>
    <row r="141" spans="1:14" collapsed="1" x14ac:dyDescent="0.2">
      <c r="A141" s="9" t="s">
        <v>268</v>
      </c>
      <c r="B141" s="1" t="s">
        <v>269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">
      <c r="A142" s="9" t="s">
        <v>270</v>
      </c>
      <c r="B142" s="1" t="s">
        <v>271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">
      <c r="A143" s="9" t="s">
        <v>272</v>
      </c>
      <c r="B143" s="1" t="s">
        <v>273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">
      <c r="A144" s="9" t="s">
        <v>274</v>
      </c>
      <c r="B144" s="1" t="s">
        <v>275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">
      <c r="A145" s="9" t="s">
        <v>276</v>
      </c>
      <c r="B145" s="1" t="s">
        <v>277</v>
      </c>
      <c r="C145" s="15">
        <v>292</v>
      </c>
      <c r="D145" s="15">
        <v>292</v>
      </c>
      <c r="E145" s="15">
        <v>350</v>
      </c>
      <c r="F145" s="15">
        <v>610</v>
      </c>
      <c r="G145" s="15">
        <v>610</v>
      </c>
      <c r="H145" s="15">
        <v>610</v>
      </c>
      <c r="I145" s="15">
        <v>610</v>
      </c>
      <c r="J145" s="15">
        <v>350</v>
      </c>
      <c r="K145" s="15">
        <v>610</v>
      </c>
      <c r="L145" s="15">
        <v>610</v>
      </c>
      <c r="M145" s="15">
        <v>610</v>
      </c>
      <c r="N145" s="15">
        <v>610</v>
      </c>
    </row>
    <row r="146" spans="1:14" hidden="1" outlineLevel="1" x14ac:dyDescent="0.2">
      <c r="A146" s="9" t="s">
        <v>278</v>
      </c>
      <c r="B146" s="1" t="s">
        <v>279</v>
      </c>
      <c r="C146" s="15">
        <v>292</v>
      </c>
      <c r="D146" s="15">
        <v>292</v>
      </c>
      <c r="E146" s="15">
        <v>350</v>
      </c>
      <c r="F146" s="15">
        <v>610</v>
      </c>
      <c r="G146" s="15">
        <v>610</v>
      </c>
      <c r="H146" s="15">
        <v>610</v>
      </c>
      <c r="I146" s="15">
        <v>610</v>
      </c>
      <c r="J146" s="15">
        <v>350</v>
      </c>
      <c r="K146" s="15">
        <v>610</v>
      </c>
      <c r="L146" s="15">
        <v>610</v>
      </c>
      <c r="M146" s="15">
        <v>610</v>
      </c>
      <c r="N146" s="15">
        <v>610</v>
      </c>
    </row>
    <row r="147" spans="1:14" collapsed="1" x14ac:dyDescent="0.2">
      <c r="A147" s="9" t="s">
        <v>280</v>
      </c>
      <c r="B147" s="1" t="s">
        <v>281</v>
      </c>
      <c r="C147" s="15">
        <v>292</v>
      </c>
      <c r="D147" s="15">
        <v>292</v>
      </c>
      <c r="E147" s="15">
        <v>350</v>
      </c>
      <c r="F147" s="15">
        <v>610</v>
      </c>
      <c r="G147" s="15">
        <v>610</v>
      </c>
      <c r="H147" s="15">
        <v>610</v>
      </c>
      <c r="I147" s="15">
        <v>610</v>
      </c>
      <c r="J147" s="15">
        <v>350</v>
      </c>
      <c r="K147" s="15">
        <v>610</v>
      </c>
      <c r="L147" s="15">
        <v>610</v>
      </c>
      <c r="M147" s="15">
        <v>610</v>
      </c>
      <c r="N147" s="15">
        <v>610</v>
      </c>
    </row>
    <row r="148" spans="1:14" hidden="1" outlineLevel="1" x14ac:dyDescent="0.2">
      <c r="A148" s="9" t="s">
        <v>282</v>
      </c>
      <c r="B148" s="1" t="s">
        <v>283</v>
      </c>
      <c r="C148" s="15">
        <v>292</v>
      </c>
      <c r="D148" s="15">
        <v>292</v>
      </c>
      <c r="E148" s="15">
        <v>350</v>
      </c>
      <c r="F148" s="15">
        <v>610</v>
      </c>
      <c r="G148" s="15">
        <v>610</v>
      </c>
      <c r="H148" s="15">
        <v>610</v>
      </c>
      <c r="I148" s="15">
        <v>610</v>
      </c>
      <c r="J148" s="15">
        <v>350</v>
      </c>
      <c r="K148" s="15">
        <v>610</v>
      </c>
      <c r="L148" s="15">
        <v>610</v>
      </c>
      <c r="M148" s="15">
        <v>610</v>
      </c>
      <c r="N148" s="15">
        <v>610</v>
      </c>
    </row>
    <row r="149" spans="1:14" collapsed="1" x14ac:dyDescent="0.2">
      <c r="A149" s="9" t="s">
        <v>284</v>
      </c>
      <c r="B149" s="1" t="s">
        <v>285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">
      <c r="A150" s="9" t="s">
        <v>288</v>
      </c>
      <c r="B150" s="1" t="s">
        <v>289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">
      <c r="A151" s="3"/>
      <c r="B151" s="3" t="s">
        <v>290</v>
      </c>
      <c r="C151" s="17">
        <v>10.5</v>
      </c>
      <c r="D151" s="17">
        <v>7.8</v>
      </c>
      <c r="E151" s="17">
        <v>15.7</v>
      </c>
      <c r="F151" s="17">
        <v>20.399999999999999</v>
      </c>
      <c r="G151" s="17">
        <v>20.5</v>
      </c>
      <c r="H151" s="17">
        <v>17.5</v>
      </c>
      <c r="I151" s="17">
        <v>15.4</v>
      </c>
      <c r="J151" s="17">
        <v>15.7</v>
      </c>
      <c r="K151" s="17">
        <v>20.399999999999999</v>
      </c>
      <c r="L151" s="17">
        <v>20.5</v>
      </c>
      <c r="M151" s="17">
        <v>17.5</v>
      </c>
      <c r="N151" s="17">
        <v>15.4</v>
      </c>
    </row>
    <row r="152" spans="1:14" x14ac:dyDescent="0.2">
      <c r="A152" s="3"/>
      <c r="B152" s="3" t="s">
        <v>291</v>
      </c>
      <c r="C152" s="17" t="s">
        <v>292</v>
      </c>
      <c r="D152" s="17" t="s">
        <v>292</v>
      </c>
      <c r="E152" s="17" t="s">
        <v>292</v>
      </c>
      <c r="F152" s="17" t="s">
        <v>292</v>
      </c>
      <c r="G152" s="17" t="s">
        <v>292</v>
      </c>
      <c r="H152" s="17" t="s">
        <v>292</v>
      </c>
      <c r="I152" s="17" t="s">
        <v>292</v>
      </c>
      <c r="J152" s="17" t="s">
        <v>292</v>
      </c>
      <c r="K152" s="17" t="s">
        <v>292</v>
      </c>
      <c r="L152" s="17" t="s">
        <v>292</v>
      </c>
      <c r="M152" s="17" t="s">
        <v>292</v>
      </c>
      <c r="N152" s="17" t="s">
        <v>292</v>
      </c>
    </row>
    <row r="153" spans="1:14" x14ac:dyDescent="0.2">
      <c r="A153" s="3"/>
      <c r="B153" s="3" t="s">
        <v>293</v>
      </c>
      <c r="C153" s="17" t="s">
        <v>292</v>
      </c>
      <c r="D153" s="17" t="s">
        <v>292</v>
      </c>
      <c r="E153" s="17" t="s">
        <v>292</v>
      </c>
      <c r="F153" s="17" t="s">
        <v>292</v>
      </c>
      <c r="G153" s="17" t="s">
        <v>292</v>
      </c>
      <c r="H153" s="17" t="s">
        <v>292</v>
      </c>
      <c r="I153" s="17" t="s">
        <v>292</v>
      </c>
      <c r="J153" s="17" t="s">
        <v>292</v>
      </c>
      <c r="K153" s="17" t="s">
        <v>292</v>
      </c>
      <c r="L153" s="17" t="s">
        <v>292</v>
      </c>
      <c r="M153" s="17" t="s">
        <v>292</v>
      </c>
      <c r="N153" s="17" t="s">
        <v>292</v>
      </c>
    </row>
    <row r="154" spans="1:14" x14ac:dyDescent="0.2">
      <c r="A154" s="3"/>
      <c r="B154" s="3" t="s">
        <v>294</v>
      </c>
      <c r="C154" s="17">
        <v>0</v>
      </c>
      <c r="D154" s="17">
        <v>0</v>
      </c>
      <c r="E154" s="17">
        <v>0</v>
      </c>
      <c r="F154" s="17">
        <v>0</v>
      </c>
      <c r="G154" s="17">
        <v>0</v>
      </c>
      <c r="H154" s="17">
        <v>0</v>
      </c>
      <c r="I154" s="17">
        <v>0</v>
      </c>
      <c r="J154" s="17">
        <v>0</v>
      </c>
      <c r="K154" s="17">
        <v>0</v>
      </c>
      <c r="L154" s="17">
        <v>0</v>
      </c>
      <c r="M154" s="17">
        <v>0</v>
      </c>
      <c r="N154" s="17">
        <v>0</v>
      </c>
    </row>
    <row r="155" spans="1:14" x14ac:dyDescent="0.2">
      <c r="A155" s="12"/>
      <c r="B155" s="12" t="s">
        <v>295</v>
      </c>
      <c r="C155" s="16" t="s">
        <v>292</v>
      </c>
      <c r="D155" s="16" t="s">
        <v>292</v>
      </c>
      <c r="E155" s="16" t="s">
        <v>292</v>
      </c>
      <c r="F155" s="16" t="s">
        <v>292</v>
      </c>
      <c r="G155" s="16" t="s">
        <v>292</v>
      </c>
      <c r="H155" s="16" t="s">
        <v>292</v>
      </c>
      <c r="I155" s="16" t="s">
        <v>292</v>
      </c>
      <c r="J155" s="16" t="s">
        <v>292</v>
      </c>
      <c r="K155" s="16" t="s">
        <v>292</v>
      </c>
      <c r="L155" s="16" t="s">
        <v>292</v>
      </c>
      <c r="M155" s="16" t="s">
        <v>292</v>
      </c>
      <c r="N155" s="16" t="s">
        <v>292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FBA82-A6EC-413F-A754-7FD8C1AA16B5}">
  <sheetPr codeName="Hoja62">
    <tabColor rgb="FF7030A0"/>
  </sheetPr>
  <dimension ref="A1:N125"/>
  <sheetViews>
    <sheetView zoomScale="55" zoomScaleNormal="55" workbookViewId="0">
      <pane ySplit="6" topLeftCell="A28" activePane="bottomLeft" state="frozen"/>
      <selection activeCell="F65" sqref="F65"/>
      <selection pane="bottomLeft" activeCell="J48" sqref="C48:J48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386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:I7" si="0">SUM(C8:C11)</f>
        <v>11.9</v>
      </c>
      <c r="D7" s="28">
        <f t="shared" si="0"/>
        <v>14.6</v>
      </c>
      <c r="E7" s="28">
        <f t="shared" si="0"/>
        <v>18.5</v>
      </c>
      <c r="F7" s="28">
        <f t="shared" si="0"/>
        <v>24.2</v>
      </c>
      <c r="G7" s="28">
        <f t="shared" si="0"/>
        <v>53.6</v>
      </c>
      <c r="H7" s="28">
        <f t="shared" si="0"/>
        <v>32.799999999999997</v>
      </c>
      <c r="I7" s="28">
        <f t="shared" si="0"/>
        <v>35.1</v>
      </c>
      <c r="J7" s="28">
        <f>SUM(J8:J11)</f>
        <v>46</v>
      </c>
      <c r="K7" s="28">
        <f t="shared" ref="K7:N7" si="1">SUM(K8:K11)</f>
        <v>27</v>
      </c>
      <c r="L7" s="28">
        <f t="shared" si="1"/>
        <v>39</v>
      </c>
      <c r="M7" s="28">
        <f t="shared" si="1"/>
        <v>40</v>
      </c>
      <c r="N7" s="28">
        <f t="shared" si="1"/>
        <v>44</v>
      </c>
    </row>
    <row r="8" spans="1:14" hidden="1" outlineLevel="1" x14ac:dyDescent="0.2">
      <c r="A8" s="9" t="s">
        <v>27</v>
      </c>
      <c r="B8" s="1" t="s">
        <v>28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32.799999999999997</v>
      </c>
      <c r="I9" s="10">
        <v>35.1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33</v>
      </c>
      <c r="B10" s="1" t="s">
        <v>34</v>
      </c>
      <c r="C10" s="10">
        <v>11.9</v>
      </c>
      <c r="D10" s="10">
        <v>14.6</v>
      </c>
      <c r="E10" s="10">
        <v>18.5</v>
      </c>
      <c r="F10" s="10">
        <v>24.2</v>
      </c>
      <c r="G10" s="10">
        <v>53.6</v>
      </c>
      <c r="H10" s="10">
        <v>0</v>
      </c>
      <c r="I10" s="10">
        <v>0</v>
      </c>
      <c r="J10" s="10">
        <v>46</v>
      </c>
      <c r="K10" s="10">
        <v>27</v>
      </c>
      <c r="L10" s="10">
        <v>39</v>
      </c>
      <c r="M10" s="10">
        <v>40</v>
      </c>
      <c r="N10" s="10">
        <v>44</v>
      </c>
    </row>
    <row r="11" spans="1:14" hidden="1" outlineLevel="1" x14ac:dyDescent="0.2">
      <c r="A11" s="9" t="s">
        <v>35</v>
      </c>
      <c r="B11" s="1" t="s">
        <v>36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collapsed="1" x14ac:dyDescent="0.2">
      <c r="A12" s="9" t="s">
        <v>37</v>
      </c>
      <c r="B12" s="1" t="s">
        <v>38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</row>
    <row r="13" spans="1:14" x14ac:dyDescent="0.2">
      <c r="A13" s="9" t="s">
        <v>39</v>
      </c>
      <c r="B13" s="1" t="s">
        <v>40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</row>
    <row r="14" spans="1:14" x14ac:dyDescent="0.2">
      <c r="A14" s="9" t="s">
        <v>41</v>
      </c>
      <c r="B14" s="1" t="s">
        <v>42</v>
      </c>
      <c r="C14" s="28">
        <f t="shared" ref="C14:I14" si="2">+C15</f>
        <v>0</v>
      </c>
      <c r="D14" s="28">
        <f t="shared" si="2"/>
        <v>0</v>
      </c>
      <c r="E14" s="28">
        <f t="shared" si="2"/>
        <v>0</v>
      </c>
      <c r="F14" s="28">
        <f t="shared" si="2"/>
        <v>0</v>
      </c>
      <c r="G14" s="28">
        <f t="shared" si="2"/>
        <v>0</v>
      </c>
      <c r="H14" s="28">
        <f t="shared" si="2"/>
        <v>0</v>
      </c>
      <c r="I14" s="28">
        <f t="shared" si="2"/>
        <v>0</v>
      </c>
      <c r="J14" s="28">
        <f>+J15</f>
        <v>0</v>
      </c>
      <c r="K14" s="28">
        <f t="shared" ref="K14:N14" si="3">+K15</f>
        <v>0</v>
      </c>
      <c r="L14" s="28">
        <f t="shared" si="3"/>
        <v>0</v>
      </c>
      <c r="M14" s="28">
        <f t="shared" si="3"/>
        <v>0</v>
      </c>
      <c r="N14" s="28">
        <f t="shared" si="3"/>
        <v>0</v>
      </c>
    </row>
    <row r="15" spans="1:14" hidden="1" outlineLevel="1" x14ac:dyDescent="0.2">
      <c r="A15" s="9" t="s">
        <v>43</v>
      </c>
      <c r="B15" s="1" t="s">
        <v>44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collapsed="1" x14ac:dyDescent="0.2">
      <c r="A16" s="9" t="s">
        <v>45</v>
      </c>
      <c r="B16" s="1" t="s">
        <v>46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</row>
    <row r="17" spans="1:14" x14ac:dyDescent="0.2">
      <c r="A17" s="12"/>
      <c r="B17" s="12" t="s">
        <v>47</v>
      </c>
      <c r="C17" s="13">
        <v>11.9</v>
      </c>
      <c r="D17" s="13">
        <v>14.6</v>
      </c>
      <c r="E17" s="13">
        <v>18.5</v>
      </c>
      <c r="F17" s="13">
        <v>24.2</v>
      </c>
      <c r="G17" s="13">
        <v>53.6</v>
      </c>
      <c r="H17" s="13">
        <v>32.799999999999997</v>
      </c>
      <c r="I17" s="13">
        <v>35.1</v>
      </c>
      <c r="J17" s="29">
        <f>+J7+J12+J13+J14+J16</f>
        <v>46</v>
      </c>
      <c r="K17" s="29">
        <f t="shared" ref="K17:N17" si="4">+K7+K12+K13+K14+K16</f>
        <v>27</v>
      </c>
      <c r="L17" s="29">
        <f t="shared" si="4"/>
        <v>39</v>
      </c>
      <c r="M17" s="29">
        <f t="shared" si="4"/>
        <v>40</v>
      </c>
      <c r="N17" s="29">
        <f t="shared" si="4"/>
        <v>44</v>
      </c>
    </row>
    <row r="18" spans="1:14" x14ac:dyDescent="0.2">
      <c r="A18" s="9" t="s">
        <v>48</v>
      </c>
      <c r="B18" s="1" t="s">
        <v>49</v>
      </c>
      <c r="C18" s="28">
        <f t="shared" ref="C18:I18" si="5">SUM(C19:C22)</f>
        <v>20.3</v>
      </c>
      <c r="D18" s="28">
        <f t="shared" si="5"/>
        <v>11</v>
      </c>
      <c r="E18" s="28">
        <f t="shared" si="5"/>
        <v>12.5</v>
      </c>
      <c r="F18" s="28">
        <f t="shared" si="5"/>
        <v>11.2</v>
      </c>
      <c r="G18" s="28">
        <f t="shared" si="5"/>
        <v>34.9</v>
      </c>
      <c r="H18" s="28">
        <f t="shared" si="5"/>
        <v>14.9</v>
      </c>
      <c r="I18" s="28">
        <f t="shared" si="5"/>
        <v>21.3</v>
      </c>
      <c r="J18" s="28">
        <f>SUM(J19:J22)</f>
        <v>26</v>
      </c>
      <c r="K18" s="28">
        <f t="shared" ref="K18:N18" si="6">SUM(K19:K22)</f>
        <v>28.9</v>
      </c>
      <c r="L18" s="28">
        <f t="shared" si="6"/>
        <v>40.799999999999997</v>
      </c>
      <c r="M18" s="28">
        <f t="shared" si="6"/>
        <v>34</v>
      </c>
      <c r="N18" s="28">
        <f t="shared" si="6"/>
        <v>32</v>
      </c>
    </row>
    <row r="19" spans="1:14" hidden="1" outlineLevel="1" x14ac:dyDescent="0.2">
      <c r="A19" s="9" t="s">
        <v>54</v>
      </c>
      <c r="B19" s="1" t="s">
        <v>55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14.9</v>
      </c>
      <c r="I19" s="10">
        <v>9.8000000000000007</v>
      </c>
      <c r="J19" s="10">
        <v>0</v>
      </c>
      <c r="K19" s="10">
        <v>14.9</v>
      </c>
      <c r="L19" s="10">
        <v>9.8000000000000007</v>
      </c>
      <c r="M19" s="10">
        <v>0</v>
      </c>
      <c r="N19" s="10">
        <v>0</v>
      </c>
    </row>
    <row r="20" spans="1:14" hidden="1" outlineLevel="1" x14ac:dyDescent="0.2">
      <c r="A20" s="9" t="s">
        <v>56</v>
      </c>
      <c r="B20" s="1" t="s">
        <v>51</v>
      </c>
      <c r="C20" s="10">
        <v>22</v>
      </c>
      <c r="D20" s="10">
        <v>11</v>
      </c>
      <c r="E20" s="10">
        <v>12.5</v>
      </c>
      <c r="F20" s="10">
        <v>11.2</v>
      </c>
      <c r="G20" s="10">
        <v>34.9</v>
      </c>
      <c r="H20" s="10">
        <v>0</v>
      </c>
      <c r="I20" s="10">
        <v>11.5</v>
      </c>
      <c r="J20" s="10">
        <v>26</v>
      </c>
      <c r="K20" s="10">
        <v>14</v>
      </c>
      <c r="L20" s="10">
        <v>31</v>
      </c>
      <c r="M20" s="10">
        <v>34</v>
      </c>
      <c r="N20" s="10">
        <v>32</v>
      </c>
    </row>
    <row r="21" spans="1:14" hidden="1" outlineLevel="1" x14ac:dyDescent="0.2">
      <c r="A21" s="9" t="s">
        <v>57</v>
      </c>
      <c r="B21" s="1" t="s">
        <v>58</v>
      </c>
      <c r="C21" s="10">
        <v>-1.7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hidden="1" outlineLevel="1" x14ac:dyDescent="0.2">
      <c r="A22" s="9" t="s">
        <v>59</v>
      </c>
      <c r="B22" s="1" t="s">
        <v>53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collapsed="1" x14ac:dyDescent="0.2">
      <c r="A23" s="9" t="s">
        <v>60</v>
      </c>
      <c r="B23" s="1" t="s">
        <v>61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8">
        <v>0</v>
      </c>
      <c r="K23" s="28">
        <v>0</v>
      </c>
      <c r="L23" s="28">
        <v>0</v>
      </c>
      <c r="M23" s="28">
        <v>0</v>
      </c>
      <c r="N23" s="28">
        <v>0</v>
      </c>
    </row>
    <row r="24" spans="1:14" x14ac:dyDescent="0.2">
      <c r="A24" s="9" t="s">
        <v>62</v>
      </c>
      <c r="B24" s="1" t="s">
        <v>63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</row>
    <row r="25" spans="1:14" x14ac:dyDescent="0.2">
      <c r="A25" s="9" t="s">
        <v>64</v>
      </c>
      <c r="B25" s="1" t="s">
        <v>65</v>
      </c>
      <c r="C25" s="28">
        <f t="shared" ref="C25:M25" si="7">+C26</f>
        <v>-11</v>
      </c>
      <c r="D25" s="28">
        <f t="shared" si="7"/>
        <v>-0.3</v>
      </c>
      <c r="E25" s="28">
        <f t="shared" si="7"/>
        <v>0.5</v>
      </c>
      <c r="F25" s="28">
        <f t="shared" si="7"/>
        <v>2.2999999999999998</v>
      </c>
      <c r="G25" s="28">
        <f t="shared" si="7"/>
        <v>-0.9</v>
      </c>
      <c r="H25" s="28">
        <f t="shared" si="7"/>
        <v>-4.0999999999999996</v>
      </c>
      <c r="I25" s="28">
        <f t="shared" si="7"/>
        <v>0</v>
      </c>
      <c r="J25" s="28">
        <f t="shared" si="7"/>
        <v>0.5</v>
      </c>
      <c r="K25" s="28">
        <f t="shared" si="7"/>
        <v>2.2999999999999998</v>
      </c>
      <c r="L25" s="28">
        <f t="shared" si="7"/>
        <v>-0.9</v>
      </c>
      <c r="M25" s="28">
        <f t="shared" si="7"/>
        <v>-4.0999999999999996</v>
      </c>
      <c r="N25" s="28">
        <f t="shared" ref="N25" si="8">+N26</f>
        <v>0</v>
      </c>
    </row>
    <row r="26" spans="1:14" hidden="1" outlineLevel="1" x14ac:dyDescent="0.2">
      <c r="A26" s="9" t="s">
        <v>66</v>
      </c>
      <c r="B26" s="1" t="s">
        <v>67</v>
      </c>
      <c r="C26" s="10">
        <v>-11</v>
      </c>
      <c r="D26" s="10">
        <v>-0.3</v>
      </c>
      <c r="E26" s="10">
        <v>0.5</v>
      </c>
      <c r="F26" s="10">
        <v>2.2999999999999998</v>
      </c>
      <c r="G26" s="10">
        <v>-0.9</v>
      </c>
      <c r="H26" s="10">
        <v>-4.0999999999999996</v>
      </c>
      <c r="I26" s="10">
        <v>0</v>
      </c>
      <c r="J26" s="10">
        <v>0.5</v>
      </c>
      <c r="K26" s="10">
        <v>2.2999999999999998</v>
      </c>
      <c r="L26" s="10">
        <v>-0.9</v>
      </c>
      <c r="M26" s="10">
        <v>-4.0999999999999996</v>
      </c>
      <c r="N26" s="10">
        <v>0</v>
      </c>
    </row>
    <row r="27" spans="1:14" collapsed="1" x14ac:dyDescent="0.2">
      <c r="A27" s="9" t="s">
        <v>68</v>
      </c>
      <c r="B27" s="1" t="s">
        <v>69</v>
      </c>
      <c r="C27" s="28">
        <f t="shared" ref="C27:M27" si="9">+C28</f>
        <v>0</v>
      </c>
      <c r="D27" s="28">
        <f t="shared" si="9"/>
        <v>0</v>
      </c>
      <c r="E27" s="28">
        <f t="shared" si="9"/>
        <v>0</v>
      </c>
      <c r="F27" s="28">
        <f t="shared" si="9"/>
        <v>0</v>
      </c>
      <c r="G27" s="28">
        <f t="shared" si="9"/>
        <v>0</v>
      </c>
      <c r="H27" s="28">
        <f t="shared" si="9"/>
        <v>0</v>
      </c>
      <c r="I27" s="28">
        <f t="shared" si="9"/>
        <v>0</v>
      </c>
      <c r="J27" s="28">
        <f t="shared" si="9"/>
        <v>0</v>
      </c>
      <c r="K27" s="28">
        <f t="shared" si="9"/>
        <v>0</v>
      </c>
      <c r="L27" s="28">
        <f t="shared" si="9"/>
        <v>0</v>
      </c>
      <c r="M27" s="28">
        <f t="shared" si="9"/>
        <v>0</v>
      </c>
      <c r="N27" s="28">
        <f t="shared" ref="N27" si="10">+N28</f>
        <v>0</v>
      </c>
    </row>
    <row r="28" spans="1:14" hidden="1" outlineLevel="1" x14ac:dyDescent="0.2">
      <c r="A28" s="9" t="s">
        <v>70</v>
      </c>
      <c r="B28" s="1" t="s">
        <v>71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collapsed="1" x14ac:dyDescent="0.2">
      <c r="A29" s="3"/>
      <c r="B29" s="3" t="s">
        <v>72</v>
      </c>
      <c r="C29" s="30">
        <f t="shared" ref="C29:M29" si="11">+C18+C23+C24+C25+C27</f>
        <v>9.3000000000000007</v>
      </c>
      <c r="D29" s="30">
        <f t="shared" si="11"/>
        <v>10.7</v>
      </c>
      <c r="E29" s="30">
        <f t="shared" si="11"/>
        <v>13</v>
      </c>
      <c r="F29" s="30">
        <f t="shared" si="11"/>
        <v>13.5</v>
      </c>
      <c r="G29" s="30">
        <f t="shared" si="11"/>
        <v>34</v>
      </c>
      <c r="H29" s="30">
        <f t="shared" si="11"/>
        <v>10.8</v>
      </c>
      <c r="I29" s="30">
        <f t="shared" si="11"/>
        <v>21.3</v>
      </c>
      <c r="J29" s="30">
        <f t="shared" si="11"/>
        <v>26.5</v>
      </c>
      <c r="K29" s="30">
        <f t="shared" si="11"/>
        <v>31.2</v>
      </c>
      <c r="L29" s="30">
        <f t="shared" si="11"/>
        <v>39.9</v>
      </c>
      <c r="M29" s="30">
        <f t="shared" si="11"/>
        <v>29.9</v>
      </c>
      <c r="N29" s="30">
        <f t="shared" ref="N29" si="12">+N18+N23+N24+N25+N27</f>
        <v>32</v>
      </c>
    </row>
    <row r="30" spans="1:14" x14ac:dyDescent="0.2">
      <c r="A30" s="12"/>
      <c r="B30" s="12" t="s">
        <v>73</v>
      </c>
      <c r="C30" s="29">
        <f t="shared" ref="C30:M30" si="13">+C17-C29</f>
        <v>2.5999999999999996</v>
      </c>
      <c r="D30" s="29">
        <f t="shared" si="13"/>
        <v>3.9000000000000004</v>
      </c>
      <c r="E30" s="29">
        <f t="shared" si="13"/>
        <v>5.5</v>
      </c>
      <c r="F30" s="29">
        <f t="shared" si="13"/>
        <v>10.7</v>
      </c>
      <c r="G30" s="29">
        <f t="shared" si="13"/>
        <v>19.600000000000001</v>
      </c>
      <c r="H30" s="29">
        <f t="shared" si="13"/>
        <v>21.999999999999996</v>
      </c>
      <c r="I30" s="29">
        <f t="shared" si="13"/>
        <v>13.8</v>
      </c>
      <c r="J30" s="29">
        <f t="shared" si="13"/>
        <v>19.5</v>
      </c>
      <c r="K30" s="29">
        <f t="shared" si="13"/>
        <v>-4.1999999999999993</v>
      </c>
      <c r="L30" s="29">
        <f t="shared" si="13"/>
        <v>-0.89999999999999858</v>
      </c>
      <c r="M30" s="29">
        <f t="shared" si="13"/>
        <v>10.100000000000001</v>
      </c>
      <c r="N30" s="29">
        <f t="shared" ref="N30" si="14">+N17-N29</f>
        <v>12</v>
      </c>
    </row>
    <row r="31" spans="1:14" x14ac:dyDescent="0.2">
      <c r="A31" s="9" t="s">
        <v>74</v>
      </c>
      <c r="B31" s="1" t="s">
        <v>74</v>
      </c>
      <c r="C31" s="10" t="s">
        <v>74</v>
      </c>
      <c r="D31" s="10" t="s">
        <v>74</v>
      </c>
      <c r="E31" s="10" t="s">
        <v>74</v>
      </c>
      <c r="F31" s="10" t="s">
        <v>74</v>
      </c>
      <c r="G31" s="10" t="s">
        <v>74</v>
      </c>
      <c r="H31" s="10" t="s">
        <v>74</v>
      </c>
      <c r="I31" s="10" t="s">
        <v>74</v>
      </c>
      <c r="J31" s="10" t="s">
        <v>74</v>
      </c>
      <c r="K31" s="10" t="s">
        <v>74</v>
      </c>
      <c r="L31" s="10" t="s">
        <v>74</v>
      </c>
      <c r="M31" s="10" t="s">
        <v>74</v>
      </c>
      <c r="N31" s="10" t="s">
        <v>74</v>
      </c>
    </row>
    <row r="32" spans="1:14" x14ac:dyDescent="0.2">
      <c r="A32" s="9" t="s">
        <v>75</v>
      </c>
      <c r="B32" s="1" t="s">
        <v>76</v>
      </c>
      <c r="C32" s="28">
        <f>SUM(C33:C45)</f>
        <v>2.6000000000000005</v>
      </c>
      <c r="D32" s="28">
        <f t="shared" ref="D32:I32" si="15">SUM(D33:D45)</f>
        <v>3.0000000000000004</v>
      </c>
      <c r="E32" s="28">
        <f t="shared" si="15"/>
        <v>2.5000000000000004</v>
      </c>
      <c r="F32" s="28">
        <f t="shared" si="15"/>
        <v>9.4</v>
      </c>
      <c r="G32" s="28">
        <f t="shared" si="15"/>
        <v>1.5000000000000002</v>
      </c>
      <c r="H32" s="28">
        <f t="shared" si="15"/>
        <v>0.7</v>
      </c>
      <c r="I32" s="28">
        <f t="shared" si="15"/>
        <v>1.6000000000000003</v>
      </c>
      <c r="J32" s="28">
        <f>SUM(J33:J45)</f>
        <v>2.6000000000000005</v>
      </c>
      <c r="K32" s="28">
        <f t="shared" ref="K32:L32" si="16">SUM(K33:K45)</f>
        <v>3.0000000000000004</v>
      </c>
      <c r="L32" s="28">
        <f t="shared" si="16"/>
        <v>2.5000000000000004</v>
      </c>
      <c r="M32" s="28">
        <f>SUM(M33:M45)</f>
        <v>9.4</v>
      </c>
      <c r="N32" s="28">
        <f>SUM(N33:N45)</f>
        <v>1.5000000000000002</v>
      </c>
    </row>
    <row r="33" spans="1:14" hidden="1" outlineLevel="1" x14ac:dyDescent="0.2">
      <c r="A33" s="9" t="s">
        <v>77</v>
      </c>
      <c r="B33" s="1" t="s">
        <v>78</v>
      </c>
      <c r="C33" s="10">
        <v>1.3</v>
      </c>
      <c r="D33" s="10">
        <v>1.7</v>
      </c>
      <c r="E33" s="10">
        <v>1.5</v>
      </c>
      <c r="F33" s="10">
        <v>1</v>
      </c>
      <c r="G33" s="10">
        <v>1</v>
      </c>
      <c r="H33" s="10">
        <v>1</v>
      </c>
      <c r="I33" s="10">
        <v>1</v>
      </c>
      <c r="J33" s="10">
        <v>1.3</v>
      </c>
      <c r="K33" s="10">
        <v>1.7</v>
      </c>
      <c r="L33" s="10">
        <v>1.5</v>
      </c>
      <c r="M33" s="10">
        <v>1</v>
      </c>
      <c r="N33" s="10">
        <v>1</v>
      </c>
    </row>
    <row r="34" spans="1:14" hidden="1" outlineLevel="1" x14ac:dyDescent="0.2">
      <c r="A34" s="9" t="s">
        <v>79</v>
      </c>
      <c r="B34" s="1" t="s">
        <v>80</v>
      </c>
      <c r="C34" s="10">
        <v>0.2</v>
      </c>
      <c r="D34" s="10">
        <v>0.2</v>
      </c>
      <c r="E34" s="10">
        <v>0.2</v>
      </c>
      <c r="F34" s="10">
        <v>0.1</v>
      </c>
      <c r="G34" s="10">
        <v>0</v>
      </c>
      <c r="H34" s="10">
        <v>0</v>
      </c>
      <c r="I34" s="10">
        <v>0</v>
      </c>
      <c r="J34" s="10">
        <v>0.2</v>
      </c>
      <c r="K34" s="10">
        <v>0.2</v>
      </c>
      <c r="L34" s="10">
        <v>0.2</v>
      </c>
      <c r="M34" s="10">
        <v>0.1</v>
      </c>
      <c r="N34" s="10">
        <v>0</v>
      </c>
    </row>
    <row r="35" spans="1:14" hidden="1" outlineLevel="1" x14ac:dyDescent="0.2">
      <c r="A35" s="9" t="s">
        <v>81</v>
      </c>
      <c r="B35" s="1" t="s">
        <v>82</v>
      </c>
      <c r="C35" s="10">
        <v>0.4</v>
      </c>
      <c r="D35" s="10">
        <v>0.4</v>
      </c>
      <c r="E35" s="10">
        <v>0.3</v>
      </c>
      <c r="F35" s="10">
        <v>0.9</v>
      </c>
      <c r="G35" s="10">
        <v>0.2</v>
      </c>
      <c r="H35" s="10">
        <v>-0.6</v>
      </c>
      <c r="I35" s="10">
        <v>0.2</v>
      </c>
      <c r="J35" s="10">
        <v>0.4</v>
      </c>
      <c r="K35" s="10">
        <v>0.4</v>
      </c>
      <c r="L35" s="10">
        <v>0.3</v>
      </c>
      <c r="M35" s="10">
        <v>0.9</v>
      </c>
      <c r="N35" s="10">
        <v>0.2</v>
      </c>
    </row>
    <row r="36" spans="1:14" hidden="1" outlineLevel="1" x14ac:dyDescent="0.2">
      <c r="A36" s="9" t="s">
        <v>83</v>
      </c>
      <c r="B36" s="1" t="s">
        <v>84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hidden="1" outlineLevel="1" x14ac:dyDescent="0.2">
      <c r="A37" s="9" t="s">
        <v>87</v>
      </c>
      <c r="B37" s="1" t="s">
        <v>88</v>
      </c>
      <c r="C37" s="10">
        <v>0.2</v>
      </c>
      <c r="D37" s="10">
        <v>0.2</v>
      </c>
      <c r="E37" s="10">
        <v>0.1</v>
      </c>
      <c r="F37" s="10">
        <v>0.1</v>
      </c>
      <c r="G37" s="10">
        <v>0.1</v>
      </c>
      <c r="H37" s="10">
        <v>0.1</v>
      </c>
      <c r="I37" s="10">
        <v>0.1</v>
      </c>
      <c r="J37" s="10">
        <v>0.2</v>
      </c>
      <c r="K37" s="10">
        <v>0.2</v>
      </c>
      <c r="L37" s="10">
        <v>0.1</v>
      </c>
      <c r="M37" s="10">
        <v>0.1</v>
      </c>
      <c r="N37" s="10">
        <v>0.1</v>
      </c>
    </row>
    <row r="38" spans="1:14" hidden="1" outlineLevel="1" x14ac:dyDescent="0.2">
      <c r="A38" s="9" t="s">
        <v>89</v>
      </c>
      <c r="B38" s="1" t="s">
        <v>90</v>
      </c>
      <c r="C38" s="10">
        <v>0.2</v>
      </c>
      <c r="D38" s="10">
        <v>0.2</v>
      </c>
      <c r="E38" s="10">
        <v>0.1</v>
      </c>
      <c r="F38" s="10">
        <v>0.3</v>
      </c>
      <c r="G38" s="10">
        <v>0.1</v>
      </c>
      <c r="H38" s="10">
        <v>0.1</v>
      </c>
      <c r="I38" s="10">
        <v>0.1</v>
      </c>
      <c r="J38" s="10">
        <v>0.2</v>
      </c>
      <c r="K38" s="10">
        <v>0.2</v>
      </c>
      <c r="L38" s="10">
        <v>0.1</v>
      </c>
      <c r="M38" s="10">
        <v>0.3</v>
      </c>
      <c r="N38" s="10">
        <v>0.1</v>
      </c>
    </row>
    <row r="39" spans="1:14" hidden="1" outlineLevel="1" x14ac:dyDescent="0.2">
      <c r="A39" s="9" t="s">
        <v>91</v>
      </c>
      <c r="B39" s="1" t="s">
        <v>92</v>
      </c>
      <c r="C39" s="10">
        <v>0</v>
      </c>
      <c r="D39" s="10">
        <v>0</v>
      </c>
      <c r="E39" s="10">
        <v>0</v>
      </c>
      <c r="F39" s="10">
        <v>5.9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5.9</v>
      </c>
      <c r="N39" s="10">
        <v>0</v>
      </c>
    </row>
    <row r="40" spans="1:14" hidden="1" outlineLevel="1" x14ac:dyDescent="0.2">
      <c r="A40" s="9" t="s">
        <v>93</v>
      </c>
      <c r="B40" s="1" t="s">
        <v>94</v>
      </c>
      <c r="C40" s="10">
        <v>0.2</v>
      </c>
      <c r="D40" s="10">
        <v>0.2</v>
      </c>
      <c r="E40" s="10">
        <v>0.2</v>
      </c>
      <c r="F40" s="10">
        <v>1</v>
      </c>
      <c r="G40" s="10">
        <v>0.1</v>
      </c>
      <c r="H40" s="10">
        <v>0.1</v>
      </c>
      <c r="I40" s="10">
        <v>0.1</v>
      </c>
      <c r="J40" s="10">
        <v>0.2</v>
      </c>
      <c r="K40" s="10">
        <v>0.2</v>
      </c>
      <c r="L40" s="10">
        <v>0.2</v>
      </c>
      <c r="M40" s="10">
        <v>1</v>
      </c>
      <c r="N40" s="10">
        <v>0.1</v>
      </c>
    </row>
    <row r="41" spans="1:14" hidden="1" outlineLevel="1" x14ac:dyDescent="0.2">
      <c r="A41" s="9" t="s">
        <v>95</v>
      </c>
      <c r="B41" s="1" t="s">
        <v>96</v>
      </c>
      <c r="C41" s="10">
        <v>0.1</v>
      </c>
      <c r="D41" s="10">
        <v>0.1</v>
      </c>
      <c r="E41" s="10">
        <v>0.1</v>
      </c>
      <c r="F41" s="10">
        <v>0.1</v>
      </c>
      <c r="G41" s="10">
        <v>0</v>
      </c>
      <c r="H41" s="10">
        <v>0</v>
      </c>
      <c r="I41" s="10">
        <v>0</v>
      </c>
      <c r="J41" s="10">
        <v>0.1</v>
      </c>
      <c r="K41" s="10">
        <v>0.1</v>
      </c>
      <c r="L41" s="10">
        <v>0.1</v>
      </c>
      <c r="M41" s="10">
        <v>0.1</v>
      </c>
      <c r="N41" s="10">
        <v>0</v>
      </c>
    </row>
    <row r="42" spans="1:14" hidden="1" outlineLevel="1" x14ac:dyDescent="0.2">
      <c r="A42" s="9" t="s">
        <v>97</v>
      </c>
      <c r="B42" s="1" t="s">
        <v>98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0.1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hidden="1" outlineLevel="1" x14ac:dyDescent="0.2">
      <c r="A43" s="9" t="s">
        <v>99</v>
      </c>
      <c r="B43" s="1" t="s">
        <v>100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101</v>
      </c>
      <c r="B44" s="1" t="s">
        <v>102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hidden="1" outlineLevel="1" x14ac:dyDescent="0.2">
      <c r="A45" s="9" t="s">
        <v>103</v>
      </c>
      <c r="B45" s="1" t="s">
        <v>104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collapsed="1" x14ac:dyDescent="0.2">
      <c r="A46" s="9" t="s">
        <v>111</v>
      </c>
      <c r="B46" s="1" t="s">
        <v>112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28">
        <v>0</v>
      </c>
      <c r="K46" s="28">
        <v>0</v>
      </c>
      <c r="L46" s="28">
        <v>0</v>
      </c>
      <c r="M46" s="28">
        <v>0</v>
      </c>
      <c r="N46" s="28">
        <v>0</v>
      </c>
    </row>
    <row r="47" spans="1:14" x14ac:dyDescent="0.2">
      <c r="A47" s="9" t="s">
        <v>119</v>
      </c>
      <c r="B47" s="1" t="s">
        <v>120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28">
        <v>0</v>
      </c>
      <c r="K47" s="28">
        <v>0</v>
      </c>
      <c r="L47" s="28">
        <v>0</v>
      </c>
      <c r="M47" s="28">
        <v>0</v>
      </c>
      <c r="N47" s="28">
        <v>0</v>
      </c>
    </row>
    <row r="48" spans="1:14" x14ac:dyDescent="0.2">
      <c r="A48" s="9" t="s">
        <v>127</v>
      </c>
      <c r="B48" s="1" t="s">
        <v>128</v>
      </c>
      <c r="C48" s="28">
        <f t="shared" ref="C48:I48" si="17">SUM(C49:C50)</f>
        <v>0</v>
      </c>
      <c r="D48" s="28">
        <f t="shared" si="17"/>
        <v>0</v>
      </c>
      <c r="E48" s="28">
        <f t="shared" si="17"/>
        <v>0</v>
      </c>
      <c r="F48" s="28">
        <f t="shared" si="17"/>
        <v>0</v>
      </c>
      <c r="G48" s="28">
        <f t="shared" si="17"/>
        <v>0</v>
      </c>
      <c r="H48" s="28">
        <f t="shared" si="17"/>
        <v>0</v>
      </c>
      <c r="I48" s="28">
        <f t="shared" si="17"/>
        <v>0.1</v>
      </c>
      <c r="J48" s="28">
        <f>SUM(J49:J50)</f>
        <v>0</v>
      </c>
      <c r="K48" s="28">
        <f t="shared" ref="K48:N48" si="18">SUM(K49:K50)</f>
        <v>0</v>
      </c>
      <c r="L48" s="28">
        <f t="shared" si="18"/>
        <v>0</v>
      </c>
      <c r="M48" s="28">
        <f t="shared" si="18"/>
        <v>0</v>
      </c>
      <c r="N48" s="28">
        <f t="shared" si="18"/>
        <v>0.1</v>
      </c>
    </row>
    <row r="49" spans="1:14" hidden="1" outlineLevel="1" x14ac:dyDescent="0.2">
      <c r="A49" s="9" t="s">
        <v>129</v>
      </c>
      <c r="B49" s="1" t="s">
        <v>130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0.1</v>
      </c>
      <c r="J49" s="10">
        <v>0</v>
      </c>
      <c r="K49" s="10">
        <v>0</v>
      </c>
      <c r="L49" s="10">
        <v>0</v>
      </c>
      <c r="M49" s="10">
        <v>0</v>
      </c>
      <c r="N49" s="10">
        <v>0.1</v>
      </c>
    </row>
    <row r="50" spans="1:14" hidden="1" outlineLevel="1" x14ac:dyDescent="0.2">
      <c r="A50" s="9" t="s">
        <v>131</v>
      </c>
      <c r="B50" s="1" t="s">
        <v>132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</row>
    <row r="51" spans="1:14" collapsed="1" x14ac:dyDescent="0.2">
      <c r="A51" s="9" t="s">
        <v>133</v>
      </c>
      <c r="B51" s="1" t="s">
        <v>134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28">
        <f>+J52</f>
        <v>0</v>
      </c>
      <c r="K51" s="28">
        <f t="shared" ref="K51:N51" si="19">+K52</f>
        <v>0</v>
      </c>
      <c r="L51" s="28">
        <f t="shared" si="19"/>
        <v>0</v>
      </c>
      <c r="M51" s="28">
        <f t="shared" si="19"/>
        <v>0</v>
      </c>
      <c r="N51" s="28">
        <f t="shared" si="19"/>
        <v>0</v>
      </c>
    </row>
    <row r="52" spans="1:14" hidden="1" outlineLevel="1" x14ac:dyDescent="0.2">
      <c r="A52" s="9" t="s">
        <v>135</v>
      </c>
      <c r="B52" s="1" t="s">
        <v>136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collapsed="1" x14ac:dyDescent="0.2">
      <c r="A53" s="9" t="s">
        <v>137</v>
      </c>
      <c r="B53" s="1" t="s">
        <v>138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28">
        <v>0</v>
      </c>
      <c r="K53" s="28">
        <v>0</v>
      </c>
      <c r="L53" s="28">
        <v>0</v>
      </c>
      <c r="M53" s="28">
        <v>0</v>
      </c>
      <c r="N53" s="28">
        <v>0</v>
      </c>
    </row>
    <row r="54" spans="1:14" x14ac:dyDescent="0.2">
      <c r="A54" s="9" t="s">
        <v>139</v>
      </c>
      <c r="B54" s="1" t="s">
        <v>140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28">
        <v>0</v>
      </c>
      <c r="K54" s="28">
        <v>0</v>
      </c>
      <c r="L54" s="28">
        <v>0</v>
      </c>
      <c r="M54" s="28">
        <v>0</v>
      </c>
      <c r="N54" s="28">
        <v>0</v>
      </c>
    </row>
    <row r="55" spans="1:14" x14ac:dyDescent="0.2">
      <c r="A55" s="9" t="s">
        <v>141</v>
      </c>
      <c r="B55" s="1" t="s">
        <v>142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28">
        <v>0</v>
      </c>
      <c r="K55" s="28">
        <v>0</v>
      </c>
      <c r="L55" s="28">
        <v>0</v>
      </c>
      <c r="M55" s="28">
        <v>0</v>
      </c>
      <c r="N55" s="28">
        <v>0</v>
      </c>
    </row>
    <row r="56" spans="1:14" x14ac:dyDescent="0.2">
      <c r="A56" s="9" t="s">
        <v>143</v>
      </c>
      <c r="B56" s="1" t="s">
        <v>144</v>
      </c>
      <c r="C56" s="28">
        <f t="shared" ref="C56:I56" si="20">+C57</f>
        <v>0</v>
      </c>
      <c r="D56" s="28">
        <f t="shared" si="20"/>
        <v>0</v>
      </c>
      <c r="E56" s="28">
        <f t="shared" si="20"/>
        <v>0</v>
      </c>
      <c r="F56" s="28">
        <f t="shared" si="20"/>
        <v>0</v>
      </c>
      <c r="G56" s="28">
        <f t="shared" si="20"/>
        <v>0</v>
      </c>
      <c r="H56" s="28">
        <f t="shared" si="20"/>
        <v>0</v>
      </c>
      <c r="I56" s="28">
        <f t="shared" si="20"/>
        <v>0.7</v>
      </c>
      <c r="J56" s="28">
        <f>+J57</f>
        <v>0.7</v>
      </c>
      <c r="K56" s="28">
        <f t="shared" ref="K56:N56" si="21">+K57</f>
        <v>0</v>
      </c>
      <c r="L56" s="28">
        <f t="shared" si="21"/>
        <v>0.7</v>
      </c>
      <c r="M56" s="28">
        <f t="shared" si="21"/>
        <v>0.7</v>
      </c>
      <c r="N56" s="28">
        <f t="shared" si="21"/>
        <v>0</v>
      </c>
    </row>
    <row r="57" spans="1:14" hidden="1" outlineLevel="1" x14ac:dyDescent="0.2">
      <c r="A57" s="9" t="s">
        <v>145</v>
      </c>
      <c r="B57" s="1" t="s">
        <v>146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0.7</v>
      </c>
      <c r="J57" s="10">
        <v>0.7</v>
      </c>
      <c r="K57" s="10">
        <v>0</v>
      </c>
      <c r="L57" s="10">
        <v>0.7</v>
      </c>
      <c r="M57" s="10">
        <v>0.7</v>
      </c>
      <c r="N57" s="10">
        <v>0</v>
      </c>
    </row>
    <row r="58" spans="1:14" collapsed="1" x14ac:dyDescent="0.2">
      <c r="A58" s="9" t="s">
        <v>157</v>
      </c>
      <c r="B58" s="1" t="s">
        <v>158</v>
      </c>
      <c r="C58" s="28">
        <f t="shared" ref="C58:I58" si="22">+C59</f>
        <v>-2</v>
      </c>
      <c r="D58" s="28">
        <f t="shared" si="22"/>
        <v>-1.3</v>
      </c>
      <c r="E58" s="28">
        <f t="shared" si="22"/>
        <v>0.2</v>
      </c>
      <c r="F58" s="28">
        <f t="shared" si="22"/>
        <v>0.2</v>
      </c>
      <c r="G58" s="28">
        <f t="shared" si="22"/>
        <v>0.8</v>
      </c>
      <c r="H58" s="28">
        <f t="shared" si="22"/>
        <v>0.2</v>
      </c>
      <c r="I58" s="28">
        <f t="shared" si="22"/>
        <v>-0.4</v>
      </c>
      <c r="J58" s="28">
        <f>+J59</f>
        <v>0.2</v>
      </c>
      <c r="K58" s="28">
        <f t="shared" ref="K58:N58" si="23">+K59</f>
        <v>0.2</v>
      </c>
      <c r="L58" s="28">
        <f t="shared" si="23"/>
        <v>0.2</v>
      </c>
      <c r="M58" s="28">
        <f t="shared" si="23"/>
        <v>0.8</v>
      </c>
      <c r="N58" s="28">
        <f t="shared" si="23"/>
        <v>0.2</v>
      </c>
    </row>
    <row r="59" spans="1:14" hidden="1" outlineLevel="1" x14ac:dyDescent="0.2">
      <c r="A59" s="9" t="s">
        <v>159</v>
      </c>
      <c r="B59" s="1" t="s">
        <v>160</v>
      </c>
      <c r="C59" s="10">
        <v>-2</v>
      </c>
      <c r="D59" s="10">
        <v>-1.3</v>
      </c>
      <c r="E59" s="10">
        <v>0.2</v>
      </c>
      <c r="F59" s="10">
        <v>0.2</v>
      </c>
      <c r="G59" s="10">
        <v>0.8</v>
      </c>
      <c r="H59" s="10">
        <v>0.2</v>
      </c>
      <c r="I59" s="10">
        <v>-0.4</v>
      </c>
      <c r="J59" s="10">
        <v>0.2</v>
      </c>
      <c r="K59" s="10">
        <v>0.2</v>
      </c>
      <c r="L59" s="10">
        <v>0.2</v>
      </c>
      <c r="M59" s="10">
        <v>0.8</v>
      </c>
      <c r="N59" s="10">
        <v>0.2</v>
      </c>
    </row>
    <row r="60" spans="1:14" collapsed="1" x14ac:dyDescent="0.2">
      <c r="A60" s="3"/>
      <c r="B60" s="3" t="s">
        <v>165</v>
      </c>
      <c r="C60" s="30">
        <f t="shared" ref="C60:N60" si="24">+C32+C46+C47+C48+C51+C53+C54+C55+C56+C58</f>
        <v>0.60000000000000053</v>
      </c>
      <c r="D60" s="30">
        <f t="shared" si="24"/>
        <v>1.7000000000000004</v>
      </c>
      <c r="E60" s="30">
        <f t="shared" si="24"/>
        <v>2.7000000000000006</v>
      </c>
      <c r="F60" s="30">
        <f t="shared" si="24"/>
        <v>9.6</v>
      </c>
      <c r="G60" s="30">
        <f t="shared" si="24"/>
        <v>2.3000000000000003</v>
      </c>
      <c r="H60" s="30">
        <f t="shared" si="24"/>
        <v>0.89999999999999991</v>
      </c>
      <c r="I60" s="30">
        <f t="shared" si="24"/>
        <v>2.0000000000000004</v>
      </c>
      <c r="J60" s="30">
        <f t="shared" si="24"/>
        <v>3.5000000000000009</v>
      </c>
      <c r="K60" s="30">
        <f t="shared" si="24"/>
        <v>3.2000000000000006</v>
      </c>
      <c r="L60" s="30">
        <f t="shared" si="24"/>
        <v>3.4000000000000004</v>
      </c>
      <c r="M60" s="30">
        <f t="shared" si="24"/>
        <v>10.9</v>
      </c>
      <c r="N60" s="30">
        <f t="shared" si="24"/>
        <v>1.8000000000000003</v>
      </c>
    </row>
    <row r="61" spans="1:14" x14ac:dyDescent="0.2">
      <c r="A61" s="12"/>
      <c r="B61" s="12" t="s">
        <v>166</v>
      </c>
      <c r="C61" s="29">
        <f t="shared" ref="C61:I61" si="25">+C30-C60</f>
        <v>1.9999999999999991</v>
      </c>
      <c r="D61" s="29">
        <f t="shared" si="25"/>
        <v>2.2000000000000002</v>
      </c>
      <c r="E61" s="29">
        <f t="shared" si="25"/>
        <v>2.7999999999999994</v>
      </c>
      <c r="F61" s="29">
        <f t="shared" si="25"/>
        <v>1.0999999999999996</v>
      </c>
      <c r="G61" s="29">
        <f t="shared" si="25"/>
        <v>17.3</v>
      </c>
      <c r="H61" s="29">
        <f t="shared" si="25"/>
        <v>21.099999999999998</v>
      </c>
      <c r="I61" s="29">
        <f t="shared" si="25"/>
        <v>11.8</v>
      </c>
      <c r="J61" s="29">
        <f>+J30-J60</f>
        <v>16</v>
      </c>
      <c r="K61" s="29">
        <f t="shared" ref="K61:N61" si="26">+K30-K60</f>
        <v>-7.4</v>
      </c>
      <c r="L61" s="29">
        <f t="shared" si="26"/>
        <v>-4.2999999999999989</v>
      </c>
      <c r="M61" s="29">
        <f t="shared" si="26"/>
        <v>-0.79999999999999893</v>
      </c>
      <c r="N61" s="29">
        <f t="shared" si="26"/>
        <v>10.199999999999999</v>
      </c>
    </row>
    <row r="62" spans="1:14" x14ac:dyDescent="0.2">
      <c r="A62" s="9" t="s">
        <v>167</v>
      </c>
      <c r="B62" s="1" t="s">
        <v>168</v>
      </c>
      <c r="C62" s="28">
        <f t="shared" ref="C62:I62" si="27">SUM(C63:C77)</f>
        <v>8.7999999999999972</v>
      </c>
      <c r="D62" s="28">
        <f t="shared" si="27"/>
        <v>6.7999999999999989</v>
      </c>
      <c r="E62" s="28">
        <f t="shared" si="27"/>
        <v>7.1</v>
      </c>
      <c r="F62" s="28">
        <f t="shared" si="27"/>
        <v>11.099999999999998</v>
      </c>
      <c r="G62" s="28">
        <f t="shared" si="27"/>
        <v>3.100000000000001</v>
      </c>
      <c r="H62" s="28">
        <f t="shared" si="27"/>
        <v>5.3</v>
      </c>
      <c r="I62" s="28">
        <f t="shared" si="27"/>
        <v>1.0999999999999999</v>
      </c>
      <c r="J62" s="28">
        <f>SUM(J63:J77)</f>
        <v>6.7999999999999989</v>
      </c>
      <c r="K62" s="28">
        <f t="shared" ref="K62:N62" si="28">SUM(K63:K77)</f>
        <v>7.1</v>
      </c>
      <c r="L62" s="28">
        <f t="shared" si="28"/>
        <v>11.099999999999998</v>
      </c>
      <c r="M62" s="28">
        <f t="shared" si="28"/>
        <v>3.100000000000001</v>
      </c>
      <c r="N62" s="28">
        <f t="shared" si="28"/>
        <v>5.3</v>
      </c>
    </row>
    <row r="63" spans="1:14" hidden="1" outlineLevel="1" x14ac:dyDescent="0.2">
      <c r="A63" s="9" t="s">
        <v>171</v>
      </c>
      <c r="B63" s="1" t="s">
        <v>172</v>
      </c>
      <c r="C63" s="10">
        <v>1.5</v>
      </c>
      <c r="D63" s="10">
        <v>1</v>
      </c>
      <c r="E63" s="10">
        <v>0.8</v>
      </c>
      <c r="F63" s="10">
        <v>2.9</v>
      </c>
      <c r="G63" s="10">
        <v>0</v>
      </c>
      <c r="H63" s="10">
        <v>0</v>
      </c>
      <c r="I63" s="10">
        <v>0</v>
      </c>
      <c r="J63" s="10">
        <v>1</v>
      </c>
      <c r="K63" s="10">
        <v>0.8</v>
      </c>
      <c r="L63" s="10">
        <v>2.9</v>
      </c>
      <c r="M63" s="10">
        <v>0</v>
      </c>
      <c r="N63" s="10">
        <v>0</v>
      </c>
    </row>
    <row r="64" spans="1:14" hidden="1" outlineLevel="1" x14ac:dyDescent="0.2">
      <c r="A64" s="9" t="s">
        <v>173</v>
      </c>
      <c r="B64" s="1" t="s">
        <v>174</v>
      </c>
      <c r="C64" s="10">
        <v>2.9</v>
      </c>
      <c r="D64" s="10">
        <v>0.1</v>
      </c>
      <c r="E64" s="10">
        <v>0.9</v>
      </c>
      <c r="F64" s="10">
        <v>1.7</v>
      </c>
      <c r="G64" s="10">
        <v>0.5</v>
      </c>
      <c r="H64" s="10">
        <v>2.9</v>
      </c>
      <c r="I64" s="10">
        <v>-0.8</v>
      </c>
      <c r="J64" s="10">
        <v>0.1</v>
      </c>
      <c r="K64" s="10">
        <v>0.9</v>
      </c>
      <c r="L64" s="10">
        <v>1.7</v>
      </c>
      <c r="M64" s="10">
        <v>0.5</v>
      </c>
      <c r="N64" s="10">
        <v>2.9</v>
      </c>
    </row>
    <row r="65" spans="1:14" hidden="1" outlineLevel="1" x14ac:dyDescent="0.2">
      <c r="A65" s="9" t="s">
        <v>175</v>
      </c>
      <c r="B65" s="1" t="s">
        <v>176</v>
      </c>
      <c r="C65" s="10">
        <v>2.1</v>
      </c>
      <c r="D65" s="10">
        <v>2.6</v>
      </c>
      <c r="E65" s="10">
        <v>2.8</v>
      </c>
      <c r="F65" s="10">
        <v>3.9</v>
      </c>
      <c r="G65" s="10">
        <v>0</v>
      </c>
      <c r="H65" s="10">
        <v>0</v>
      </c>
      <c r="I65" s="10">
        <v>0</v>
      </c>
      <c r="J65" s="10">
        <v>2.6</v>
      </c>
      <c r="K65" s="10">
        <v>2.8</v>
      </c>
      <c r="L65" s="10">
        <v>3.9</v>
      </c>
      <c r="M65" s="10">
        <v>0</v>
      </c>
      <c r="N65" s="10">
        <v>0</v>
      </c>
    </row>
    <row r="66" spans="1:14" hidden="1" outlineLevel="1" x14ac:dyDescent="0.2">
      <c r="A66" s="9" t="s">
        <v>177</v>
      </c>
      <c r="B66" s="1" t="s">
        <v>178</v>
      </c>
      <c r="C66" s="10">
        <v>0.2</v>
      </c>
      <c r="D66" s="10">
        <v>0.3</v>
      </c>
      <c r="E66" s="10">
        <v>0.3</v>
      </c>
      <c r="F66" s="10">
        <v>0.3</v>
      </c>
      <c r="G66" s="10">
        <v>0</v>
      </c>
      <c r="H66" s="10">
        <v>0</v>
      </c>
      <c r="I66" s="10">
        <v>0</v>
      </c>
      <c r="J66" s="10">
        <v>0.3</v>
      </c>
      <c r="K66" s="10">
        <v>0.3</v>
      </c>
      <c r="L66" s="10">
        <v>0.3</v>
      </c>
      <c r="M66" s="10">
        <v>0</v>
      </c>
      <c r="N66" s="10">
        <v>0</v>
      </c>
    </row>
    <row r="67" spans="1:14" hidden="1" outlineLevel="1" x14ac:dyDescent="0.2">
      <c r="A67" s="9" t="s">
        <v>179</v>
      </c>
      <c r="B67" s="1" t="s">
        <v>180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</row>
    <row r="68" spans="1:14" hidden="1" outlineLevel="1" x14ac:dyDescent="0.2">
      <c r="A68" s="9" t="s">
        <v>181</v>
      </c>
      <c r="B68" s="1" t="s">
        <v>182</v>
      </c>
      <c r="C68" s="10">
        <v>1.3</v>
      </c>
      <c r="D68" s="10">
        <v>1.6</v>
      </c>
      <c r="E68" s="10">
        <v>1</v>
      </c>
      <c r="F68" s="10">
        <v>0.7</v>
      </c>
      <c r="G68" s="10">
        <v>0.9</v>
      </c>
      <c r="H68" s="10">
        <v>0.9</v>
      </c>
      <c r="I68" s="10">
        <v>0.7</v>
      </c>
      <c r="J68" s="10">
        <v>1.6</v>
      </c>
      <c r="K68" s="10">
        <v>1</v>
      </c>
      <c r="L68" s="10">
        <v>0.7</v>
      </c>
      <c r="M68" s="10">
        <v>0.9</v>
      </c>
      <c r="N68" s="10">
        <v>0.9</v>
      </c>
    </row>
    <row r="69" spans="1:14" hidden="1" outlineLevel="1" x14ac:dyDescent="0.2">
      <c r="A69" s="9" t="s">
        <v>183</v>
      </c>
      <c r="B69" s="1" t="s">
        <v>184</v>
      </c>
      <c r="C69" s="10">
        <v>0</v>
      </c>
      <c r="D69" s="10">
        <v>0.1</v>
      </c>
      <c r="E69" s="10">
        <v>0.3</v>
      </c>
      <c r="F69" s="10">
        <v>0.6</v>
      </c>
      <c r="G69" s="10">
        <v>0.8</v>
      </c>
      <c r="H69" s="10">
        <v>0.4</v>
      </c>
      <c r="I69" s="10">
        <v>0.2</v>
      </c>
      <c r="J69" s="10">
        <v>0.1</v>
      </c>
      <c r="K69" s="10">
        <v>0.3</v>
      </c>
      <c r="L69" s="10">
        <v>0.6</v>
      </c>
      <c r="M69" s="10">
        <v>0.8</v>
      </c>
      <c r="N69" s="10">
        <v>0.4</v>
      </c>
    </row>
    <row r="70" spans="1:14" hidden="1" outlineLevel="1" x14ac:dyDescent="0.2">
      <c r="A70" s="9" t="s">
        <v>185</v>
      </c>
      <c r="B70" s="1" t="s">
        <v>186</v>
      </c>
      <c r="C70" s="10">
        <v>0.2</v>
      </c>
      <c r="D70" s="10">
        <v>0.1</v>
      </c>
      <c r="E70" s="10">
        <v>0.2</v>
      </c>
      <c r="F70" s="10">
        <v>0.2</v>
      </c>
      <c r="G70" s="10">
        <v>0.2</v>
      </c>
      <c r="H70" s="10">
        <v>0.2</v>
      </c>
      <c r="I70" s="10">
        <v>0.3</v>
      </c>
      <c r="J70" s="10">
        <v>0.1</v>
      </c>
      <c r="K70" s="10">
        <v>0.2</v>
      </c>
      <c r="L70" s="10">
        <v>0.2</v>
      </c>
      <c r="M70" s="10">
        <v>0.2</v>
      </c>
      <c r="N70" s="10">
        <v>0.2</v>
      </c>
    </row>
    <row r="71" spans="1:14" hidden="1" outlineLevel="1" x14ac:dyDescent="0.2">
      <c r="A71" s="9" t="s">
        <v>187</v>
      </c>
      <c r="B71" s="1" t="s">
        <v>184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>
        <v>0</v>
      </c>
      <c r="N71" s="10">
        <v>0</v>
      </c>
    </row>
    <row r="72" spans="1:14" hidden="1" outlineLevel="1" x14ac:dyDescent="0.2">
      <c r="A72" s="9" t="s">
        <v>188</v>
      </c>
      <c r="B72" s="1" t="s">
        <v>189</v>
      </c>
      <c r="C72" s="10">
        <v>0.2</v>
      </c>
      <c r="D72" s="10">
        <v>0.2</v>
      </c>
      <c r="E72" s="10">
        <v>0.3</v>
      </c>
      <c r="F72" s="10">
        <v>0.3</v>
      </c>
      <c r="G72" s="10">
        <v>0.2</v>
      </c>
      <c r="H72" s="10">
        <v>0.3</v>
      </c>
      <c r="I72" s="10">
        <v>0.2</v>
      </c>
      <c r="J72" s="10">
        <v>0.2</v>
      </c>
      <c r="K72" s="10">
        <v>0.3</v>
      </c>
      <c r="L72" s="10">
        <v>0.3</v>
      </c>
      <c r="M72" s="10">
        <v>0.2</v>
      </c>
      <c r="N72" s="10">
        <v>0.3</v>
      </c>
    </row>
    <row r="73" spans="1:14" hidden="1" outlineLevel="1" x14ac:dyDescent="0.2">
      <c r="A73" s="9" t="s">
        <v>190</v>
      </c>
      <c r="B73" s="1" t="s">
        <v>191</v>
      </c>
      <c r="C73" s="10">
        <v>0.1</v>
      </c>
      <c r="D73" s="10">
        <v>0.1</v>
      </c>
      <c r="E73" s="10">
        <v>0.1</v>
      </c>
      <c r="F73" s="10">
        <v>0.1</v>
      </c>
      <c r="G73" s="10">
        <v>0.1</v>
      </c>
      <c r="H73" s="10">
        <v>0.2</v>
      </c>
      <c r="I73" s="10">
        <v>0.1</v>
      </c>
      <c r="J73" s="10">
        <v>0.1</v>
      </c>
      <c r="K73" s="10">
        <v>0.1</v>
      </c>
      <c r="L73" s="10">
        <v>0.1</v>
      </c>
      <c r="M73" s="10">
        <v>0.1</v>
      </c>
      <c r="N73" s="10">
        <v>0.2</v>
      </c>
    </row>
    <row r="74" spans="1:14" hidden="1" outlineLevel="1" x14ac:dyDescent="0.2">
      <c r="A74" s="9" t="s">
        <v>192</v>
      </c>
      <c r="B74" s="1" t="s">
        <v>193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</row>
    <row r="75" spans="1:14" hidden="1" outlineLevel="1" x14ac:dyDescent="0.2">
      <c r="A75" s="9" t="s">
        <v>194</v>
      </c>
      <c r="B75" s="1" t="s">
        <v>195</v>
      </c>
      <c r="C75" s="10">
        <v>0.2</v>
      </c>
      <c r="D75" s="10">
        <v>0.5</v>
      </c>
      <c r="E75" s="10">
        <v>0.2</v>
      </c>
      <c r="F75" s="10">
        <v>0.2</v>
      </c>
      <c r="G75" s="10">
        <v>0.2</v>
      </c>
      <c r="H75" s="10">
        <v>0.3</v>
      </c>
      <c r="I75" s="10">
        <v>0.2</v>
      </c>
      <c r="J75" s="10">
        <v>0.5</v>
      </c>
      <c r="K75" s="10">
        <v>0.2</v>
      </c>
      <c r="L75" s="10">
        <v>0.2</v>
      </c>
      <c r="M75" s="10">
        <v>0.2</v>
      </c>
      <c r="N75" s="10">
        <v>0.3</v>
      </c>
    </row>
    <row r="76" spans="1:14" hidden="1" outlineLevel="1" x14ac:dyDescent="0.2">
      <c r="A76" s="9" t="s">
        <v>196</v>
      </c>
      <c r="B76" s="1" t="s">
        <v>197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</row>
    <row r="77" spans="1:14" hidden="1" outlineLevel="1" x14ac:dyDescent="0.2">
      <c r="A77" s="9" t="s">
        <v>198</v>
      </c>
      <c r="B77" s="1" t="s">
        <v>199</v>
      </c>
      <c r="C77" s="10">
        <v>0.1</v>
      </c>
      <c r="D77" s="10">
        <v>0.2</v>
      </c>
      <c r="E77" s="10">
        <v>0.2</v>
      </c>
      <c r="F77" s="10">
        <v>0.2</v>
      </c>
      <c r="G77" s="10">
        <v>0.2</v>
      </c>
      <c r="H77" s="10">
        <v>0.1</v>
      </c>
      <c r="I77" s="10">
        <v>0.2</v>
      </c>
      <c r="J77" s="10">
        <v>0.2</v>
      </c>
      <c r="K77" s="10">
        <v>0.2</v>
      </c>
      <c r="L77" s="10">
        <v>0.2</v>
      </c>
      <c r="M77" s="10">
        <v>0.2</v>
      </c>
      <c r="N77" s="10">
        <v>0.1</v>
      </c>
    </row>
    <row r="78" spans="1:14" collapsed="1" x14ac:dyDescent="0.2">
      <c r="A78" s="9" t="s">
        <v>200</v>
      </c>
      <c r="B78" s="1" t="s">
        <v>201</v>
      </c>
      <c r="C78" s="28">
        <f t="shared" ref="C78:I78" si="29">SUM(C79:C89)</f>
        <v>0.60000000000000009</v>
      </c>
      <c r="D78" s="28">
        <f t="shared" si="29"/>
        <v>0.60000000000000009</v>
      </c>
      <c r="E78" s="28">
        <f t="shared" si="29"/>
        <v>0.70000000000000007</v>
      </c>
      <c r="F78" s="28">
        <f t="shared" si="29"/>
        <v>0.9</v>
      </c>
      <c r="G78" s="28">
        <f t="shared" si="29"/>
        <v>0.30000000000000004</v>
      </c>
      <c r="H78" s="28">
        <f t="shared" si="29"/>
        <v>0.30000000000000004</v>
      </c>
      <c r="I78" s="28">
        <f t="shared" si="29"/>
        <v>0.30000000000000004</v>
      </c>
      <c r="J78" s="28">
        <f>SUM(J79:J89)</f>
        <v>0.60000000000000009</v>
      </c>
      <c r="K78" s="28">
        <f t="shared" ref="K78:N78" si="30">SUM(K79:K89)</f>
        <v>0.70000000000000007</v>
      </c>
      <c r="L78" s="28">
        <f t="shared" si="30"/>
        <v>0.9</v>
      </c>
      <c r="M78" s="28">
        <f t="shared" si="30"/>
        <v>0.30000000000000004</v>
      </c>
      <c r="N78" s="28">
        <f t="shared" si="30"/>
        <v>0.30000000000000004</v>
      </c>
    </row>
    <row r="79" spans="1:14" hidden="1" outlineLevel="1" x14ac:dyDescent="0.2">
      <c r="A79" s="9" t="s">
        <v>202</v>
      </c>
      <c r="B79" s="1" t="s">
        <v>203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</row>
    <row r="80" spans="1:14" hidden="1" outlineLevel="1" x14ac:dyDescent="0.2">
      <c r="A80" s="9" t="s">
        <v>204</v>
      </c>
      <c r="B80" s="1" t="s">
        <v>205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</row>
    <row r="81" spans="1:14" hidden="1" outlineLevel="1" x14ac:dyDescent="0.2">
      <c r="A81" s="9" t="s">
        <v>206</v>
      </c>
      <c r="B81" s="1" t="s">
        <v>207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</row>
    <row r="82" spans="1:14" hidden="1" outlineLevel="1" x14ac:dyDescent="0.2">
      <c r="A82" s="9" t="s">
        <v>208</v>
      </c>
      <c r="B82" s="1" t="s">
        <v>209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0">
        <v>0</v>
      </c>
    </row>
    <row r="83" spans="1:14" hidden="1" outlineLevel="1" x14ac:dyDescent="0.2">
      <c r="A83" s="9" t="s">
        <v>210</v>
      </c>
      <c r="B83" s="1" t="s">
        <v>211</v>
      </c>
      <c r="C83" s="10">
        <v>0.1</v>
      </c>
      <c r="D83" s="10">
        <v>0.1</v>
      </c>
      <c r="E83" s="10">
        <v>0.1</v>
      </c>
      <c r="F83" s="10">
        <v>0.1</v>
      </c>
      <c r="G83" s="10">
        <v>0.1</v>
      </c>
      <c r="H83" s="10">
        <v>0.1</v>
      </c>
      <c r="I83" s="10">
        <v>0.1</v>
      </c>
      <c r="J83" s="10">
        <v>0.1</v>
      </c>
      <c r="K83" s="10">
        <v>0.1</v>
      </c>
      <c r="L83" s="10">
        <v>0.1</v>
      </c>
      <c r="M83" s="10">
        <v>0.1</v>
      </c>
      <c r="N83" s="10">
        <v>0.1</v>
      </c>
    </row>
    <row r="84" spans="1:14" hidden="1" outlineLevel="1" x14ac:dyDescent="0.2">
      <c r="A84" s="9" t="s">
        <v>212</v>
      </c>
      <c r="B84" s="1" t="s">
        <v>213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</row>
    <row r="85" spans="1:14" hidden="1" outlineLevel="1" x14ac:dyDescent="0.2">
      <c r="A85" s="9" t="s">
        <v>214</v>
      </c>
      <c r="B85" s="1" t="s">
        <v>215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hidden="1" outlineLevel="1" x14ac:dyDescent="0.2">
      <c r="A86" s="9" t="s">
        <v>216</v>
      </c>
      <c r="B86" s="1" t="s">
        <v>217</v>
      </c>
      <c r="C86" s="10">
        <v>0.2</v>
      </c>
      <c r="D86" s="10">
        <v>0.1</v>
      </c>
      <c r="E86" s="10">
        <v>0.2</v>
      </c>
      <c r="F86" s="10">
        <v>0.3</v>
      </c>
      <c r="G86" s="10">
        <v>0.2</v>
      </c>
      <c r="H86" s="10">
        <v>0.2</v>
      </c>
      <c r="I86" s="10">
        <v>0.2</v>
      </c>
      <c r="J86" s="10">
        <v>0.1</v>
      </c>
      <c r="K86" s="10">
        <v>0.2</v>
      </c>
      <c r="L86" s="10">
        <v>0.3</v>
      </c>
      <c r="M86" s="10">
        <v>0.2</v>
      </c>
      <c r="N86" s="10">
        <v>0.2</v>
      </c>
    </row>
    <row r="87" spans="1:14" hidden="1" outlineLevel="1" x14ac:dyDescent="0.2">
      <c r="A87" s="9" t="s">
        <v>218</v>
      </c>
      <c r="B87" s="1" t="s">
        <v>219</v>
      </c>
      <c r="C87" s="10">
        <v>0.3</v>
      </c>
      <c r="D87" s="10">
        <v>0.4</v>
      </c>
      <c r="E87" s="10">
        <v>0.4</v>
      </c>
      <c r="F87" s="10">
        <v>0.4</v>
      </c>
      <c r="G87" s="10">
        <v>0</v>
      </c>
      <c r="H87" s="10">
        <v>0</v>
      </c>
      <c r="I87" s="10">
        <v>0</v>
      </c>
      <c r="J87" s="10">
        <v>0.4</v>
      </c>
      <c r="K87" s="10">
        <v>0.4</v>
      </c>
      <c r="L87" s="10">
        <v>0.4</v>
      </c>
      <c r="M87" s="10">
        <v>0</v>
      </c>
      <c r="N87" s="10">
        <v>0</v>
      </c>
    </row>
    <row r="88" spans="1:14" hidden="1" outlineLevel="1" x14ac:dyDescent="0.2">
      <c r="A88" s="9" t="s">
        <v>220</v>
      </c>
      <c r="B88" s="1" t="s">
        <v>221</v>
      </c>
      <c r="C88" s="10">
        <v>0</v>
      </c>
      <c r="D88" s="10">
        <v>0</v>
      </c>
      <c r="E88" s="10">
        <v>0</v>
      </c>
      <c r="F88" s="10">
        <v>0</v>
      </c>
      <c r="G88" s="10">
        <v>0</v>
      </c>
      <c r="H88" s="10">
        <v>0</v>
      </c>
      <c r="I88" s="10">
        <v>0</v>
      </c>
      <c r="J88" s="10">
        <v>0</v>
      </c>
      <c r="K88" s="10">
        <v>0</v>
      </c>
      <c r="L88" s="10">
        <v>0</v>
      </c>
      <c r="M88" s="10">
        <v>0</v>
      </c>
      <c r="N88" s="10">
        <v>0</v>
      </c>
    </row>
    <row r="89" spans="1:14" hidden="1" outlineLevel="1" x14ac:dyDescent="0.2">
      <c r="A89" s="9" t="s">
        <v>224</v>
      </c>
      <c r="B89" s="1" t="s">
        <v>225</v>
      </c>
      <c r="C89" s="10">
        <v>0</v>
      </c>
      <c r="D89" s="10">
        <v>0</v>
      </c>
      <c r="E89" s="10">
        <v>0</v>
      </c>
      <c r="F89" s="10">
        <v>0.1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0.1</v>
      </c>
      <c r="M89" s="10">
        <v>0</v>
      </c>
      <c r="N89" s="10">
        <v>0</v>
      </c>
    </row>
    <row r="90" spans="1:14" collapsed="1" x14ac:dyDescent="0.2">
      <c r="A90" s="9" t="s">
        <v>226</v>
      </c>
      <c r="B90" s="1" t="s">
        <v>227</v>
      </c>
      <c r="C90" s="10">
        <v>0</v>
      </c>
      <c r="D90" s="10">
        <v>0</v>
      </c>
      <c r="E90" s="10">
        <v>0</v>
      </c>
      <c r="F90" s="10">
        <v>0</v>
      </c>
      <c r="G90" s="10">
        <v>0</v>
      </c>
      <c r="H90" s="10">
        <v>0</v>
      </c>
      <c r="I90" s="10">
        <v>0</v>
      </c>
      <c r="J90" s="28">
        <v>0</v>
      </c>
      <c r="K90" s="28">
        <v>0</v>
      </c>
      <c r="L90" s="28">
        <v>0</v>
      </c>
      <c r="M90" s="28">
        <v>0</v>
      </c>
      <c r="N90" s="28">
        <v>0</v>
      </c>
    </row>
    <row r="91" spans="1:14" x14ac:dyDescent="0.2">
      <c r="A91" s="9" t="s">
        <v>228</v>
      </c>
      <c r="B91" s="1" t="s">
        <v>229</v>
      </c>
      <c r="C91" s="10">
        <v>0</v>
      </c>
      <c r="D91" s="10">
        <v>0</v>
      </c>
      <c r="E91" s="10">
        <v>0</v>
      </c>
      <c r="F91" s="10">
        <v>0</v>
      </c>
      <c r="G91" s="10">
        <v>0</v>
      </c>
      <c r="H91" s="10">
        <v>0</v>
      </c>
      <c r="I91" s="10">
        <v>0</v>
      </c>
      <c r="J91" s="28">
        <v>0</v>
      </c>
      <c r="K91" s="28">
        <v>0</v>
      </c>
      <c r="L91" s="28">
        <v>0</v>
      </c>
      <c r="M91" s="28">
        <v>0</v>
      </c>
      <c r="N91" s="28">
        <v>0</v>
      </c>
    </row>
    <row r="92" spans="1:14" x14ac:dyDescent="0.2">
      <c r="A92" s="9" t="s">
        <v>230</v>
      </c>
      <c r="B92" s="1" t="s">
        <v>231</v>
      </c>
      <c r="C92" s="28">
        <f t="shared" ref="C92:I92" si="31">+C93+C94</f>
        <v>1.7</v>
      </c>
      <c r="D92" s="28">
        <f t="shared" si="31"/>
        <v>1.7</v>
      </c>
      <c r="E92" s="28">
        <f t="shared" si="31"/>
        <v>0.6</v>
      </c>
      <c r="F92" s="28">
        <f t="shared" si="31"/>
        <v>2</v>
      </c>
      <c r="G92" s="28">
        <f t="shared" si="31"/>
        <v>0</v>
      </c>
      <c r="H92" s="28">
        <f t="shared" si="31"/>
        <v>0</v>
      </c>
      <c r="I92" s="28">
        <f t="shared" si="31"/>
        <v>0</v>
      </c>
      <c r="J92" s="28">
        <f>+J93+J94</f>
        <v>0.6</v>
      </c>
      <c r="K92" s="28">
        <f t="shared" ref="K92:N92" si="32">+K93+K94</f>
        <v>2</v>
      </c>
      <c r="L92" s="28">
        <f t="shared" si="32"/>
        <v>0</v>
      </c>
      <c r="M92" s="28">
        <f t="shared" si="32"/>
        <v>0</v>
      </c>
      <c r="N92" s="28">
        <f t="shared" si="32"/>
        <v>1.7</v>
      </c>
    </row>
    <row r="93" spans="1:14" hidden="1" outlineLevel="1" x14ac:dyDescent="0.2">
      <c r="A93" s="9" t="s">
        <v>232</v>
      </c>
      <c r="B93" s="1" t="s">
        <v>233</v>
      </c>
      <c r="C93" s="10">
        <v>1.7</v>
      </c>
      <c r="D93" s="10">
        <v>1.7</v>
      </c>
      <c r="E93" s="10">
        <v>0.6</v>
      </c>
      <c r="F93" s="10">
        <v>2</v>
      </c>
      <c r="G93" s="10">
        <v>0</v>
      </c>
      <c r="H93" s="10">
        <v>0</v>
      </c>
      <c r="I93" s="10">
        <v>0</v>
      </c>
      <c r="J93" s="10">
        <v>0.6</v>
      </c>
      <c r="K93" s="10">
        <v>2</v>
      </c>
      <c r="L93" s="10">
        <v>0</v>
      </c>
      <c r="M93" s="10">
        <v>0</v>
      </c>
      <c r="N93" s="10">
        <v>1.7</v>
      </c>
    </row>
    <row r="94" spans="1:14" hidden="1" outlineLevel="1" x14ac:dyDescent="0.2">
      <c r="A94" s="9" t="s">
        <v>234</v>
      </c>
      <c r="B94" s="1" t="s">
        <v>235</v>
      </c>
      <c r="C94" s="10">
        <v>0</v>
      </c>
      <c r="D94" s="10">
        <v>0</v>
      </c>
      <c r="E94" s="10">
        <v>0</v>
      </c>
      <c r="F94" s="10">
        <v>0</v>
      </c>
      <c r="G94" s="10">
        <v>0</v>
      </c>
      <c r="H94" s="10">
        <v>0</v>
      </c>
      <c r="I94" s="10">
        <v>0</v>
      </c>
      <c r="J94" s="10">
        <v>0</v>
      </c>
      <c r="K94" s="10">
        <v>0</v>
      </c>
      <c r="L94" s="10">
        <v>0</v>
      </c>
      <c r="M94" s="10">
        <v>0</v>
      </c>
      <c r="N94" s="10">
        <v>0</v>
      </c>
    </row>
    <row r="95" spans="1:14" collapsed="1" x14ac:dyDescent="0.2">
      <c r="A95" s="3"/>
      <c r="B95" s="3" t="s">
        <v>236</v>
      </c>
      <c r="C95" s="30">
        <f t="shared" ref="C95:I95" si="33">+C62+C78+C90+C91+C92</f>
        <v>11.099999999999996</v>
      </c>
      <c r="D95" s="30">
        <f t="shared" si="33"/>
        <v>9.0999999999999979</v>
      </c>
      <c r="E95" s="30">
        <f t="shared" si="33"/>
        <v>8.4</v>
      </c>
      <c r="F95" s="30">
        <f t="shared" si="33"/>
        <v>13.999999999999998</v>
      </c>
      <c r="G95" s="30">
        <f t="shared" si="33"/>
        <v>3.4000000000000012</v>
      </c>
      <c r="H95" s="30">
        <f t="shared" si="33"/>
        <v>5.6</v>
      </c>
      <c r="I95" s="30">
        <f t="shared" si="33"/>
        <v>1.4</v>
      </c>
      <c r="J95" s="30">
        <f>+J62+J78+J90+J91+J92</f>
        <v>7.9999999999999982</v>
      </c>
      <c r="K95" s="30">
        <f t="shared" ref="K95:N95" si="34">+K62+K78+K90+K91+K92</f>
        <v>9.8000000000000007</v>
      </c>
      <c r="L95" s="30">
        <f t="shared" si="34"/>
        <v>11.999999999999998</v>
      </c>
      <c r="M95" s="30">
        <f t="shared" si="34"/>
        <v>3.4000000000000012</v>
      </c>
      <c r="N95" s="30">
        <f t="shared" si="34"/>
        <v>7.3</v>
      </c>
    </row>
    <row r="96" spans="1:14" x14ac:dyDescent="0.2">
      <c r="A96" s="12"/>
      <c r="B96" s="12" t="s">
        <v>237</v>
      </c>
      <c r="C96" s="29">
        <f t="shared" ref="C96:I96" si="35">+C61-C95</f>
        <v>-9.0999999999999979</v>
      </c>
      <c r="D96" s="29">
        <f t="shared" si="35"/>
        <v>-6.8999999999999977</v>
      </c>
      <c r="E96" s="29">
        <f t="shared" si="35"/>
        <v>-5.6000000000000014</v>
      </c>
      <c r="F96" s="29">
        <f t="shared" si="35"/>
        <v>-12.899999999999999</v>
      </c>
      <c r="G96" s="29">
        <f t="shared" si="35"/>
        <v>13.899999999999999</v>
      </c>
      <c r="H96" s="29">
        <f t="shared" si="35"/>
        <v>15.499999999999998</v>
      </c>
      <c r="I96" s="29">
        <f t="shared" si="35"/>
        <v>10.4</v>
      </c>
      <c r="J96" s="29">
        <f>+J61-J95</f>
        <v>8.0000000000000018</v>
      </c>
      <c r="K96" s="29">
        <f t="shared" ref="K96:N96" si="36">+K61-K95</f>
        <v>-17.200000000000003</v>
      </c>
      <c r="L96" s="29">
        <f t="shared" si="36"/>
        <v>-16.299999999999997</v>
      </c>
      <c r="M96" s="29">
        <f t="shared" si="36"/>
        <v>-4.2</v>
      </c>
      <c r="N96" s="29">
        <f t="shared" si="36"/>
        <v>2.8999999999999995</v>
      </c>
    </row>
    <row r="97" spans="1:14" x14ac:dyDescent="0.2">
      <c r="A97" s="9" t="s">
        <v>238</v>
      </c>
      <c r="B97" s="1" t="s">
        <v>239</v>
      </c>
      <c r="C97" s="10">
        <v>0.3</v>
      </c>
      <c r="D97" s="10">
        <v>0</v>
      </c>
      <c r="E97" s="10">
        <v>0</v>
      </c>
      <c r="F97" s="10">
        <v>0.1</v>
      </c>
      <c r="G97" s="10">
        <v>0.2</v>
      </c>
      <c r="H97" s="10">
        <v>0.4</v>
      </c>
      <c r="I97" s="10">
        <v>0.2</v>
      </c>
      <c r="J97" s="28">
        <f>+J98</f>
        <v>0</v>
      </c>
      <c r="K97" s="28">
        <f t="shared" ref="K97:N97" si="37">+K98</f>
        <v>0.1</v>
      </c>
      <c r="L97" s="28">
        <f t="shared" si="37"/>
        <v>0.2</v>
      </c>
      <c r="M97" s="28">
        <f t="shared" si="37"/>
        <v>0.4</v>
      </c>
      <c r="N97" s="28">
        <f t="shared" si="37"/>
        <v>0.2</v>
      </c>
    </row>
    <row r="98" spans="1:14" hidden="1" outlineLevel="1" x14ac:dyDescent="0.2">
      <c r="A98" s="9" t="s">
        <v>240</v>
      </c>
      <c r="B98" s="1" t="s">
        <v>241</v>
      </c>
      <c r="C98" s="10">
        <v>0.3</v>
      </c>
      <c r="D98" s="10">
        <v>0</v>
      </c>
      <c r="E98" s="10">
        <v>0</v>
      </c>
      <c r="F98" s="10">
        <v>0.1</v>
      </c>
      <c r="G98" s="10">
        <v>0.2</v>
      </c>
      <c r="H98" s="10">
        <v>0.4</v>
      </c>
      <c r="I98" s="10">
        <v>0.2</v>
      </c>
      <c r="J98" s="10">
        <v>0</v>
      </c>
      <c r="K98" s="10">
        <v>0.1</v>
      </c>
      <c r="L98" s="10">
        <v>0.2</v>
      </c>
      <c r="M98" s="10">
        <v>0.4</v>
      </c>
      <c r="N98" s="10">
        <v>0.2</v>
      </c>
    </row>
    <row r="99" spans="1:14" collapsed="1" x14ac:dyDescent="0.2">
      <c r="A99" s="9" t="s">
        <v>244</v>
      </c>
      <c r="B99" s="1" t="s">
        <v>245</v>
      </c>
      <c r="C99" s="10">
        <v>0</v>
      </c>
      <c r="D99" s="10">
        <v>0</v>
      </c>
      <c r="E99" s="10">
        <v>0</v>
      </c>
      <c r="F99" s="10">
        <v>0</v>
      </c>
      <c r="G99" s="10">
        <v>0</v>
      </c>
      <c r="H99" s="10">
        <v>0</v>
      </c>
      <c r="I99" s="10">
        <v>0</v>
      </c>
      <c r="J99" s="28">
        <v>0</v>
      </c>
      <c r="K99" s="28">
        <v>0</v>
      </c>
      <c r="L99" s="28">
        <v>0</v>
      </c>
      <c r="M99" s="28">
        <v>0</v>
      </c>
      <c r="N99" s="28">
        <v>0</v>
      </c>
    </row>
    <row r="100" spans="1:14" x14ac:dyDescent="0.2">
      <c r="A100" s="12"/>
      <c r="B100" s="12" t="s">
        <v>246</v>
      </c>
      <c r="C100" s="29">
        <f t="shared" ref="C100:I100" si="38">+C96-(C97+C99)</f>
        <v>-9.3999999999999986</v>
      </c>
      <c r="D100" s="29">
        <f t="shared" si="38"/>
        <v>-6.8999999999999977</v>
      </c>
      <c r="E100" s="29">
        <f t="shared" si="38"/>
        <v>-5.6000000000000014</v>
      </c>
      <c r="F100" s="29">
        <f t="shared" si="38"/>
        <v>-12.999999999999998</v>
      </c>
      <c r="G100" s="29">
        <f t="shared" si="38"/>
        <v>13.7</v>
      </c>
      <c r="H100" s="29">
        <f t="shared" si="38"/>
        <v>15.099999999999998</v>
      </c>
      <c r="I100" s="29">
        <f t="shared" si="38"/>
        <v>10.200000000000001</v>
      </c>
      <c r="J100" s="29">
        <f>+J96-(J97+J99)</f>
        <v>8.0000000000000018</v>
      </c>
      <c r="K100" s="29">
        <f t="shared" ref="K100:N100" si="39">+K96-(K97+K99)</f>
        <v>-17.300000000000004</v>
      </c>
      <c r="L100" s="29">
        <f t="shared" si="39"/>
        <v>-16.499999999999996</v>
      </c>
      <c r="M100" s="29">
        <f t="shared" si="39"/>
        <v>-4.6000000000000005</v>
      </c>
      <c r="N100" s="29">
        <f t="shared" si="39"/>
        <v>2.6999999999999993</v>
      </c>
    </row>
    <row r="101" spans="1:14" x14ac:dyDescent="0.2">
      <c r="A101" s="9" t="s">
        <v>74</v>
      </c>
      <c r="B101" s="1" t="s">
        <v>74</v>
      </c>
      <c r="C101" s="15" t="s">
        <v>74</v>
      </c>
      <c r="D101" s="15" t="s">
        <v>74</v>
      </c>
      <c r="E101" s="15" t="s">
        <v>74</v>
      </c>
      <c r="F101" s="15" t="s">
        <v>74</v>
      </c>
      <c r="G101" s="15" t="s">
        <v>74</v>
      </c>
      <c r="H101" s="15" t="s">
        <v>74</v>
      </c>
      <c r="I101" s="15" t="s">
        <v>74</v>
      </c>
      <c r="J101" s="15" t="s">
        <v>74</v>
      </c>
      <c r="K101" s="15" t="s">
        <v>74</v>
      </c>
      <c r="L101" s="15" t="s">
        <v>74</v>
      </c>
      <c r="M101" s="15" t="s">
        <v>74</v>
      </c>
      <c r="N101" s="15" t="s">
        <v>74</v>
      </c>
    </row>
    <row r="102" spans="1:14" x14ac:dyDescent="0.2">
      <c r="A102" s="12"/>
      <c r="B102" s="12" t="s">
        <v>247</v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</row>
    <row r="103" spans="1:14" x14ac:dyDescent="0.2">
      <c r="A103" s="9" t="s">
        <v>248</v>
      </c>
      <c r="B103" s="1" t="s">
        <v>249</v>
      </c>
      <c r="C103" s="15">
        <v>0</v>
      </c>
      <c r="D103" s="15">
        <v>0</v>
      </c>
      <c r="E103" s="15">
        <v>0</v>
      </c>
      <c r="F103" s="15">
        <v>0</v>
      </c>
      <c r="G103" s="15">
        <v>1</v>
      </c>
      <c r="H103" s="15">
        <v>1</v>
      </c>
      <c r="I103" s="15">
        <v>1</v>
      </c>
      <c r="J103" s="15">
        <v>1</v>
      </c>
      <c r="K103" s="15">
        <v>1</v>
      </c>
      <c r="L103" s="15">
        <v>1</v>
      </c>
      <c r="M103" s="15">
        <v>1</v>
      </c>
      <c r="N103" s="15">
        <v>1</v>
      </c>
    </row>
    <row r="104" spans="1:14" hidden="1" outlineLevel="1" x14ac:dyDescent="0.2">
      <c r="A104" s="9" t="s">
        <v>250</v>
      </c>
      <c r="B104" s="1" t="s">
        <v>251</v>
      </c>
      <c r="C104" s="15">
        <v>0</v>
      </c>
      <c r="D104" s="15">
        <v>0</v>
      </c>
      <c r="E104" s="15">
        <v>0</v>
      </c>
      <c r="F104" s="15">
        <v>0</v>
      </c>
      <c r="G104" s="15">
        <v>1</v>
      </c>
      <c r="H104" s="15">
        <v>1</v>
      </c>
      <c r="I104" s="15">
        <v>1</v>
      </c>
      <c r="J104" s="15">
        <v>1</v>
      </c>
      <c r="K104" s="15">
        <v>1</v>
      </c>
      <c r="L104" s="15">
        <v>1</v>
      </c>
      <c r="M104" s="15">
        <v>1</v>
      </c>
      <c r="N104" s="15">
        <v>1</v>
      </c>
    </row>
    <row r="105" spans="1:14" collapsed="1" x14ac:dyDescent="0.2">
      <c r="A105" s="9" t="s">
        <v>252</v>
      </c>
      <c r="B105" s="1" t="s">
        <v>253</v>
      </c>
      <c r="C105" s="15">
        <v>1.2</v>
      </c>
      <c r="D105" s="15">
        <v>0.4</v>
      </c>
      <c r="E105" s="15">
        <v>0.2</v>
      </c>
      <c r="F105" s="15">
        <v>0.2</v>
      </c>
      <c r="G105" s="15">
        <v>1</v>
      </c>
      <c r="H105" s="15">
        <v>1</v>
      </c>
      <c r="I105" s="15">
        <v>1</v>
      </c>
      <c r="J105" s="15">
        <v>1</v>
      </c>
      <c r="K105" s="15">
        <v>1</v>
      </c>
      <c r="L105" s="15">
        <v>1</v>
      </c>
      <c r="M105" s="15">
        <v>1</v>
      </c>
      <c r="N105" s="15">
        <v>1</v>
      </c>
    </row>
    <row r="106" spans="1:14" hidden="1" outlineLevel="1" x14ac:dyDescent="0.2">
      <c r="A106" s="9" t="s">
        <v>254</v>
      </c>
      <c r="B106" s="1" t="s">
        <v>255</v>
      </c>
      <c r="C106" s="15">
        <v>1.2</v>
      </c>
      <c r="D106" s="15">
        <v>0.4</v>
      </c>
      <c r="E106" s="15">
        <v>0.2</v>
      </c>
      <c r="F106" s="15">
        <v>0.2</v>
      </c>
      <c r="G106" s="15">
        <v>1</v>
      </c>
      <c r="H106" s="15">
        <v>1</v>
      </c>
      <c r="I106" s="15">
        <v>1</v>
      </c>
      <c r="J106" s="15">
        <v>1</v>
      </c>
      <c r="K106" s="15">
        <v>1</v>
      </c>
      <c r="L106" s="15">
        <v>1</v>
      </c>
      <c r="M106" s="15">
        <v>1</v>
      </c>
      <c r="N106" s="15">
        <v>1</v>
      </c>
    </row>
    <row r="107" spans="1:14" collapsed="1" x14ac:dyDescent="0.2">
      <c r="A107" s="9" t="s">
        <v>256</v>
      </c>
      <c r="B107" s="1" t="s">
        <v>257</v>
      </c>
      <c r="C107" s="15">
        <v>0.2</v>
      </c>
      <c r="D107" s="15">
        <v>0.2</v>
      </c>
      <c r="E107" s="15">
        <v>0.2</v>
      </c>
      <c r="F107" s="15">
        <v>0.2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hidden="1" outlineLevel="1" x14ac:dyDescent="0.2">
      <c r="A108" s="9" t="s">
        <v>258</v>
      </c>
      <c r="B108" s="1" t="s">
        <v>259</v>
      </c>
      <c r="C108" s="15">
        <v>0.2</v>
      </c>
      <c r="D108" s="15">
        <v>0.2</v>
      </c>
      <c r="E108" s="15">
        <v>0.2</v>
      </c>
      <c r="F108" s="15">
        <v>0.2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collapsed="1" x14ac:dyDescent="0.2">
      <c r="A109" s="9" t="s">
        <v>260</v>
      </c>
      <c r="B109" s="1" t="s">
        <v>261</v>
      </c>
      <c r="C109" s="15">
        <v>0.2</v>
      </c>
      <c r="D109" s="15">
        <v>0.2</v>
      </c>
      <c r="E109" s="15">
        <v>0</v>
      </c>
      <c r="F109" s="15">
        <v>0</v>
      </c>
      <c r="G109" s="15">
        <v>1</v>
      </c>
      <c r="H109" s="15">
        <v>1</v>
      </c>
      <c r="I109" s="15">
        <v>1</v>
      </c>
      <c r="J109" s="15">
        <v>1</v>
      </c>
      <c r="K109" s="15">
        <v>1</v>
      </c>
      <c r="L109" s="15">
        <v>1</v>
      </c>
      <c r="M109" s="15">
        <v>1</v>
      </c>
      <c r="N109" s="15">
        <v>1</v>
      </c>
    </row>
    <row r="110" spans="1:14" hidden="1" outlineLevel="1" x14ac:dyDescent="0.2">
      <c r="A110" s="9" t="s">
        <v>262</v>
      </c>
      <c r="B110" s="1" t="s">
        <v>263</v>
      </c>
      <c r="C110" s="15">
        <v>0.2</v>
      </c>
      <c r="D110" s="15">
        <v>0.2</v>
      </c>
      <c r="E110" s="15">
        <v>0</v>
      </c>
      <c r="F110" s="15">
        <v>0</v>
      </c>
      <c r="G110" s="15">
        <v>1</v>
      </c>
      <c r="H110" s="15">
        <v>1</v>
      </c>
      <c r="I110" s="15">
        <v>1</v>
      </c>
      <c r="J110" s="15">
        <v>1</v>
      </c>
      <c r="K110" s="15">
        <v>1</v>
      </c>
      <c r="L110" s="15">
        <v>1</v>
      </c>
      <c r="M110" s="15">
        <v>1</v>
      </c>
      <c r="N110" s="15">
        <v>1</v>
      </c>
    </row>
    <row r="111" spans="1:14" collapsed="1" x14ac:dyDescent="0.2">
      <c r="A111" s="9" t="s">
        <v>264</v>
      </c>
      <c r="B111" s="1" t="s">
        <v>265</v>
      </c>
      <c r="C111" s="15">
        <v>0.8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hidden="1" outlineLevel="1" x14ac:dyDescent="0.2">
      <c r="A112" s="9" t="s">
        <v>266</v>
      </c>
      <c r="B112" s="1" t="s">
        <v>267</v>
      </c>
      <c r="C112" s="15">
        <v>0.8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collapsed="1" x14ac:dyDescent="0.2">
      <c r="A113" s="9" t="s">
        <v>268</v>
      </c>
      <c r="B113" s="1" t="s">
        <v>269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">
      <c r="A114" s="9" t="s">
        <v>270</v>
      </c>
      <c r="B114" s="1" t="s">
        <v>271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">
      <c r="A115" s="9" t="s">
        <v>272</v>
      </c>
      <c r="B115" s="1" t="s">
        <v>273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">
      <c r="A116" s="9" t="s">
        <v>274</v>
      </c>
      <c r="B116" s="1" t="s">
        <v>275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">
      <c r="A117" s="9" t="s">
        <v>276</v>
      </c>
      <c r="B117" s="1" t="s">
        <v>277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">
      <c r="A118" s="9" t="s">
        <v>280</v>
      </c>
      <c r="B118" s="1" t="s">
        <v>281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">
      <c r="A119" s="9" t="s">
        <v>284</v>
      </c>
      <c r="B119" s="1" t="s">
        <v>285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">
      <c r="A120" s="9" t="s">
        <v>288</v>
      </c>
      <c r="B120" s="1" t="s">
        <v>289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">
      <c r="A121" s="3"/>
      <c r="B121" s="3" t="s">
        <v>290</v>
      </c>
      <c r="C121" s="17">
        <v>2.2000000000000002</v>
      </c>
      <c r="D121" s="17">
        <v>9.9</v>
      </c>
      <c r="E121" s="17">
        <v>27.7</v>
      </c>
      <c r="F121" s="17">
        <v>53.1</v>
      </c>
      <c r="G121" s="17">
        <v>19.600000000000001</v>
      </c>
      <c r="H121" s="17">
        <v>19.600000000000001</v>
      </c>
      <c r="I121" s="17">
        <v>19.600000000000001</v>
      </c>
      <c r="J121" s="17">
        <v>19.600000000000001</v>
      </c>
      <c r="K121" s="17">
        <v>19.600000000000001</v>
      </c>
      <c r="L121" s="17">
        <v>19.600000000000001</v>
      </c>
      <c r="M121" s="17">
        <v>19.600000000000001</v>
      </c>
      <c r="N121" s="17">
        <v>19.600000000000001</v>
      </c>
    </row>
    <row r="122" spans="1:14" x14ac:dyDescent="0.2">
      <c r="A122" s="3"/>
      <c r="B122" s="3" t="s">
        <v>291</v>
      </c>
      <c r="C122" s="17" t="s">
        <v>292</v>
      </c>
      <c r="D122" s="17" t="s">
        <v>292</v>
      </c>
      <c r="E122" s="17" t="s">
        <v>292</v>
      </c>
      <c r="F122" s="17" t="s">
        <v>292</v>
      </c>
      <c r="G122" s="17" t="s">
        <v>292</v>
      </c>
      <c r="H122" s="17" t="s">
        <v>292</v>
      </c>
      <c r="I122" s="17" t="s">
        <v>292</v>
      </c>
      <c r="J122" s="17" t="s">
        <v>292</v>
      </c>
      <c r="K122" s="17" t="s">
        <v>292</v>
      </c>
      <c r="L122" s="17" t="s">
        <v>292</v>
      </c>
      <c r="M122" s="17" t="s">
        <v>292</v>
      </c>
      <c r="N122" s="17" t="s">
        <v>292</v>
      </c>
    </row>
    <row r="123" spans="1:14" x14ac:dyDescent="0.2">
      <c r="A123" s="3"/>
      <c r="B123" s="3" t="s">
        <v>293</v>
      </c>
      <c r="C123" s="17" t="s">
        <v>292</v>
      </c>
      <c r="D123" s="17" t="s">
        <v>292</v>
      </c>
      <c r="E123" s="17" t="s">
        <v>292</v>
      </c>
      <c r="F123" s="17" t="s">
        <v>292</v>
      </c>
      <c r="G123" s="17" t="s">
        <v>292</v>
      </c>
      <c r="H123" s="17" t="s">
        <v>292</v>
      </c>
      <c r="I123" s="17" t="s">
        <v>292</v>
      </c>
      <c r="J123" s="17" t="s">
        <v>292</v>
      </c>
      <c r="K123" s="17" t="s">
        <v>292</v>
      </c>
      <c r="L123" s="17" t="s">
        <v>292</v>
      </c>
      <c r="M123" s="17" t="s">
        <v>292</v>
      </c>
      <c r="N123" s="17" t="s">
        <v>292</v>
      </c>
    </row>
    <row r="124" spans="1:14" x14ac:dyDescent="0.2">
      <c r="A124" s="3"/>
      <c r="B124" s="3" t="s">
        <v>294</v>
      </c>
      <c r="C124" s="17">
        <v>0</v>
      </c>
      <c r="D124" s="17">
        <v>0</v>
      </c>
      <c r="E124" s="17">
        <v>0</v>
      </c>
      <c r="F124" s="17">
        <v>0</v>
      </c>
      <c r="G124" s="17">
        <v>0</v>
      </c>
      <c r="H124" s="17">
        <v>0</v>
      </c>
      <c r="I124" s="17">
        <v>0</v>
      </c>
      <c r="J124" s="17">
        <v>0</v>
      </c>
      <c r="K124" s="17">
        <v>0</v>
      </c>
      <c r="L124" s="17">
        <v>0</v>
      </c>
      <c r="M124" s="17">
        <v>0</v>
      </c>
      <c r="N124" s="17">
        <v>0</v>
      </c>
    </row>
    <row r="125" spans="1:14" x14ac:dyDescent="0.2">
      <c r="A125" s="12"/>
      <c r="B125" s="12" t="s">
        <v>295</v>
      </c>
      <c r="C125" s="16" t="s">
        <v>292</v>
      </c>
      <c r="D125" s="16" t="s">
        <v>292</v>
      </c>
      <c r="E125" s="16" t="s">
        <v>292</v>
      </c>
      <c r="F125" s="16" t="s">
        <v>292</v>
      </c>
      <c r="G125" s="16" t="s">
        <v>292</v>
      </c>
      <c r="H125" s="16" t="s">
        <v>292</v>
      </c>
      <c r="I125" s="16" t="s">
        <v>292</v>
      </c>
      <c r="J125" s="16" t="s">
        <v>292</v>
      </c>
      <c r="K125" s="16" t="s">
        <v>292</v>
      </c>
      <c r="L125" s="16" t="s">
        <v>292</v>
      </c>
      <c r="M125" s="16" t="s">
        <v>292</v>
      </c>
      <c r="N125" s="16" t="s">
        <v>292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E51F-1ADE-48F1-949D-6354704F1739}">
  <sheetPr codeName="Hoja61">
    <tabColor rgb="FF7030A0"/>
  </sheetPr>
  <dimension ref="A1:N85"/>
  <sheetViews>
    <sheetView zoomScale="55" zoomScaleNormal="55" workbookViewId="0">
      <pane ySplit="6" topLeftCell="A16" activePane="bottomLeft" state="frozen"/>
      <selection activeCell="F65" sqref="F65"/>
      <selection pane="bottomLeft" activeCell="C48" sqref="C48:N48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385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:I7" si="0">SUM(C8:C11)</f>
        <v>14.9</v>
      </c>
      <c r="D7" s="28">
        <f t="shared" si="0"/>
        <v>15.4</v>
      </c>
      <c r="E7" s="28">
        <f t="shared" si="0"/>
        <v>90.1</v>
      </c>
      <c r="F7" s="28">
        <f t="shared" si="0"/>
        <v>134.69999999999999</v>
      </c>
      <c r="G7" s="28">
        <f t="shared" si="0"/>
        <v>122.1</v>
      </c>
      <c r="H7" s="28">
        <f t="shared" si="0"/>
        <v>122.5</v>
      </c>
      <c r="I7" s="28">
        <f t="shared" si="0"/>
        <v>98</v>
      </c>
      <c r="J7" s="28">
        <f>SUM(J8:J11)</f>
        <v>115</v>
      </c>
      <c r="K7" s="28">
        <f t="shared" ref="K7:N7" si="1">SUM(K8:K11)</f>
        <v>135</v>
      </c>
      <c r="L7" s="28">
        <f>SUM(L8:L11)</f>
        <v>111</v>
      </c>
      <c r="M7" s="28">
        <f t="shared" si="1"/>
        <v>126</v>
      </c>
      <c r="N7" s="28">
        <f t="shared" si="1"/>
        <v>115</v>
      </c>
    </row>
    <row r="8" spans="1:14" hidden="1" outlineLevel="1" x14ac:dyDescent="0.2">
      <c r="A8" s="9" t="s">
        <v>29</v>
      </c>
      <c r="B8" s="1" t="s">
        <v>30</v>
      </c>
      <c r="C8" s="10">
        <v>14.9</v>
      </c>
      <c r="D8" s="10">
        <v>15.4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122.5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33</v>
      </c>
      <c r="B10" s="1" t="s">
        <v>34</v>
      </c>
      <c r="C10" s="10">
        <v>0</v>
      </c>
      <c r="D10" s="10">
        <v>0</v>
      </c>
      <c r="E10" s="10">
        <v>90.1</v>
      </c>
      <c r="F10" s="10">
        <v>134.69999999999999</v>
      </c>
      <c r="G10" s="10">
        <v>122.1</v>
      </c>
      <c r="H10" s="10">
        <v>0</v>
      </c>
      <c r="I10" s="10">
        <v>98</v>
      </c>
      <c r="J10" s="10">
        <v>115</v>
      </c>
      <c r="K10" s="10">
        <v>135</v>
      </c>
      <c r="L10" s="10">
        <v>111</v>
      </c>
      <c r="M10" s="10">
        <v>126</v>
      </c>
      <c r="N10" s="10">
        <v>115</v>
      </c>
    </row>
    <row r="11" spans="1:14" hidden="1" outlineLevel="1" x14ac:dyDescent="0.2">
      <c r="A11" s="9" t="s">
        <v>35</v>
      </c>
      <c r="B11" s="1" t="s">
        <v>36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collapsed="1" x14ac:dyDescent="0.2">
      <c r="A12" s="9" t="s">
        <v>37</v>
      </c>
      <c r="B12" s="1" t="s">
        <v>38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28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</row>
    <row r="13" spans="1:14" x14ac:dyDescent="0.2">
      <c r="A13" s="9" t="s">
        <v>39</v>
      </c>
      <c r="B13" s="1" t="s">
        <v>40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28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</row>
    <row r="14" spans="1:14" x14ac:dyDescent="0.2">
      <c r="A14" s="9" t="s">
        <v>41</v>
      </c>
      <c r="B14" s="1" t="s">
        <v>42</v>
      </c>
      <c r="C14" s="28">
        <f t="shared" ref="C14:H14" si="2">+C15</f>
        <v>0</v>
      </c>
      <c r="D14" s="28">
        <f t="shared" si="2"/>
        <v>0</v>
      </c>
      <c r="E14" s="28">
        <f t="shared" si="2"/>
        <v>0</v>
      </c>
      <c r="F14" s="28">
        <f t="shared" si="2"/>
        <v>0</v>
      </c>
      <c r="G14" s="28">
        <f t="shared" si="2"/>
        <v>0</v>
      </c>
      <c r="H14" s="28">
        <f t="shared" si="2"/>
        <v>0</v>
      </c>
      <c r="I14" s="28">
        <f>+I15</f>
        <v>0</v>
      </c>
      <c r="J14" s="28">
        <f>+J15</f>
        <v>0</v>
      </c>
      <c r="K14" s="28">
        <f t="shared" ref="K14:N14" si="3">+K15</f>
        <v>0</v>
      </c>
      <c r="L14" s="28">
        <f t="shared" si="3"/>
        <v>0</v>
      </c>
      <c r="M14" s="28">
        <f t="shared" si="3"/>
        <v>0</v>
      </c>
      <c r="N14" s="28">
        <f t="shared" si="3"/>
        <v>0</v>
      </c>
    </row>
    <row r="15" spans="1:14" hidden="1" outlineLevel="1" x14ac:dyDescent="0.2">
      <c r="A15" s="9" t="s">
        <v>43</v>
      </c>
      <c r="B15" s="1" t="s">
        <v>44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collapsed="1" x14ac:dyDescent="0.2">
      <c r="A16" s="9" t="s">
        <v>45</v>
      </c>
      <c r="B16" s="1" t="s">
        <v>46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28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</row>
    <row r="17" spans="1:14" x14ac:dyDescent="0.2">
      <c r="A17" s="12"/>
      <c r="B17" s="12" t="s">
        <v>47</v>
      </c>
      <c r="C17" s="29">
        <f t="shared" ref="C17:M17" si="4">+C7+C12+C13+C14+C16</f>
        <v>14.9</v>
      </c>
      <c r="D17" s="29">
        <f t="shared" si="4"/>
        <v>15.4</v>
      </c>
      <c r="E17" s="29">
        <f t="shared" si="4"/>
        <v>90.1</v>
      </c>
      <c r="F17" s="29">
        <f t="shared" si="4"/>
        <v>134.69999999999999</v>
      </c>
      <c r="G17" s="29">
        <f t="shared" si="4"/>
        <v>122.1</v>
      </c>
      <c r="H17" s="29">
        <f t="shared" si="4"/>
        <v>122.5</v>
      </c>
      <c r="I17" s="29">
        <f t="shared" si="4"/>
        <v>98</v>
      </c>
      <c r="J17" s="29">
        <f t="shared" si="4"/>
        <v>115</v>
      </c>
      <c r="K17" s="29">
        <f t="shared" si="4"/>
        <v>135</v>
      </c>
      <c r="L17" s="29">
        <f t="shared" si="4"/>
        <v>111</v>
      </c>
      <c r="M17" s="29">
        <f t="shared" si="4"/>
        <v>126</v>
      </c>
      <c r="N17" s="29">
        <f t="shared" ref="N17" si="5">+N7+N12+N13+N14+N16</f>
        <v>115</v>
      </c>
    </row>
    <row r="18" spans="1:14" x14ac:dyDescent="0.2">
      <c r="A18" s="9" t="s">
        <v>48</v>
      </c>
      <c r="B18" s="1" t="s">
        <v>49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28">
        <f>+I19</f>
        <v>0</v>
      </c>
      <c r="J18" s="28">
        <f>+J19</f>
        <v>0</v>
      </c>
      <c r="K18" s="28">
        <f t="shared" ref="K18:N18" si="6">+K19</f>
        <v>0</v>
      </c>
      <c r="L18" s="28">
        <f t="shared" si="6"/>
        <v>0</v>
      </c>
      <c r="M18" s="28">
        <f t="shared" si="6"/>
        <v>0</v>
      </c>
      <c r="N18" s="28">
        <f t="shared" si="6"/>
        <v>0</v>
      </c>
    </row>
    <row r="19" spans="1:14" hidden="1" outlineLevel="1" x14ac:dyDescent="0.2">
      <c r="A19" s="9" t="s">
        <v>59</v>
      </c>
      <c r="B19" s="1" t="s">
        <v>53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collapsed="1" x14ac:dyDescent="0.2">
      <c r="A20" s="9" t="s">
        <v>60</v>
      </c>
      <c r="B20" s="1" t="s">
        <v>61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28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</row>
    <row r="21" spans="1:14" x14ac:dyDescent="0.2">
      <c r="A21" s="9" t="s">
        <v>62</v>
      </c>
      <c r="B21" s="1" t="s">
        <v>63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28">
        <v>0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</row>
    <row r="22" spans="1:14" x14ac:dyDescent="0.2">
      <c r="A22" s="9" t="s">
        <v>64</v>
      </c>
      <c r="B22" s="1" t="s">
        <v>65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28">
        <v>0</v>
      </c>
      <c r="J22" s="28">
        <v>0</v>
      </c>
      <c r="K22" s="28">
        <v>0</v>
      </c>
      <c r="L22" s="28">
        <v>0</v>
      </c>
      <c r="M22" s="28">
        <v>0</v>
      </c>
      <c r="N22" s="28">
        <v>0</v>
      </c>
    </row>
    <row r="23" spans="1:14" x14ac:dyDescent="0.2">
      <c r="A23" s="9" t="s">
        <v>68</v>
      </c>
      <c r="B23" s="1" t="s">
        <v>69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28">
        <f>+I24</f>
        <v>0</v>
      </c>
      <c r="J23" s="28">
        <f>+J24</f>
        <v>0</v>
      </c>
      <c r="K23" s="28">
        <f t="shared" ref="K23:N23" si="7">+K24</f>
        <v>0</v>
      </c>
      <c r="L23" s="28">
        <f t="shared" si="7"/>
        <v>0</v>
      </c>
      <c r="M23" s="28">
        <f t="shared" si="7"/>
        <v>0</v>
      </c>
      <c r="N23" s="28">
        <f t="shared" si="7"/>
        <v>0</v>
      </c>
    </row>
    <row r="24" spans="1:14" hidden="1" outlineLevel="1" x14ac:dyDescent="0.2">
      <c r="A24" s="9" t="s">
        <v>70</v>
      </c>
      <c r="B24" s="1" t="s">
        <v>71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</row>
    <row r="25" spans="1:14" collapsed="1" x14ac:dyDescent="0.2">
      <c r="A25" s="3"/>
      <c r="B25" s="3" t="s">
        <v>72</v>
      </c>
      <c r="C25" s="30">
        <f t="shared" ref="C25:M25" si="8">+C18+C20+C21+C22+C23</f>
        <v>0</v>
      </c>
      <c r="D25" s="30">
        <f t="shared" si="8"/>
        <v>0</v>
      </c>
      <c r="E25" s="30">
        <f t="shared" si="8"/>
        <v>0</v>
      </c>
      <c r="F25" s="30">
        <f t="shared" si="8"/>
        <v>0</v>
      </c>
      <c r="G25" s="30">
        <f t="shared" si="8"/>
        <v>0</v>
      </c>
      <c r="H25" s="30">
        <f t="shared" si="8"/>
        <v>0</v>
      </c>
      <c r="I25" s="30">
        <f t="shared" si="8"/>
        <v>0</v>
      </c>
      <c r="J25" s="30">
        <f t="shared" si="8"/>
        <v>0</v>
      </c>
      <c r="K25" s="30">
        <f t="shared" si="8"/>
        <v>0</v>
      </c>
      <c r="L25" s="30">
        <f t="shared" si="8"/>
        <v>0</v>
      </c>
      <c r="M25" s="30">
        <f t="shared" si="8"/>
        <v>0</v>
      </c>
      <c r="N25" s="30">
        <f t="shared" ref="N25" si="9">+N18+N20+N21+N22+N23</f>
        <v>0</v>
      </c>
    </row>
    <row r="26" spans="1:14" x14ac:dyDescent="0.2">
      <c r="A26" s="12"/>
      <c r="B26" s="12" t="s">
        <v>73</v>
      </c>
      <c r="C26" s="29">
        <f t="shared" ref="C26:M26" si="10">+C17-C25</f>
        <v>14.9</v>
      </c>
      <c r="D26" s="29">
        <f t="shared" si="10"/>
        <v>15.4</v>
      </c>
      <c r="E26" s="29">
        <f t="shared" si="10"/>
        <v>90.1</v>
      </c>
      <c r="F26" s="29">
        <f t="shared" si="10"/>
        <v>134.69999999999999</v>
      </c>
      <c r="G26" s="29">
        <f t="shared" si="10"/>
        <v>122.1</v>
      </c>
      <c r="H26" s="29">
        <f t="shared" si="10"/>
        <v>122.5</v>
      </c>
      <c r="I26" s="29">
        <f t="shared" si="10"/>
        <v>98</v>
      </c>
      <c r="J26" s="29">
        <f t="shared" si="10"/>
        <v>115</v>
      </c>
      <c r="K26" s="29">
        <f t="shared" si="10"/>
        <v>135</v>
      </c>
      <c r="L26" s="29">
        <f t="shared" si="10"/>
        <v>111</v>
      </c>
      <c r="M26" s="29">
        <f t="shared" si="10"/>
        <v>126</v>
      </c>
      <c r="N26" s="29">
        <f t="shared" ref="N26" si="11">+N17-N25</f>
        <v>115</v>
      </c>
    </row>
    <row r="27" spans="1:14" x14ac:dyDescent="0.2">
      <c r="A27" s="9" t="s">
        <v>74</v>
      </c>
      <c r="B27" s="1" t="s">
        <v>74</v>
      </c>
      <c r="C27" s="10" t="s">
        <v>74</v>
      </c>
      <c r="D27" s="10" t="s">
        <v>74</v>
      </c>
      <c r="E27" s="10" t="s">
        <v>74</v>
      </c>
      <c r="F27" s="10" t="s">
        <v>74</v>
      </c>
      <c r="G27" s="10" t="s">
        <v>74</v>
      </c>
      <c r="H27" s="10" t="s">
        <v>74</v>
      </c>
      <c r="I27" s="10" t="s">
        <v>74</v>
      </c>
      <c r="J27" s="10" t="s">
        <v>74</v>
      </c>
      <c r="K27" s="10" t="s">
        <v>74</v>
      </c>
      <c r="L27" s="10" t="s">
        <v>74</v>
      </c>
      <c r="M27" s="10" t="s">
        <v>74</v>
      </c>
      <c r="N27" s="10" t="s">
        <v>74</v>
      </c>
    </row>
    <row r="28" spans="1:14" x14ac:dyDescent="0.2">
      <c r="A28" s="9" t="s">
        <v>75</v>
      </c>
      <c r="B28" s="1" t="s">
        <v>76</v>
      </c>
      <c r="C28" s="28">
        <v>0</v>
      </c>
      <c r="D28" s="28">
        <v>0</v>
      </c>
      <c r="E28" s="28">
        <v>0</v>
      </c>
      <c r="F28" s="28">
        <v>0</v>
      </c>
      <c r="G28" s="28">
        <v>0</v>
      </c>
      <c r="H28" s="28">
        <v>0</v>
      </c>
      <c r="I28" s="28">
        <v>0</v>
      </c>
      <c r="J28" s="28">
        <v>0</v>
      </c>
      <c r="K28" s="28">
        <v>0</v>
      </c>
      <c r="L28" s="28">
        <v>0</v>
      </c>
      <c r="M28" s="28">
        <v>0</v>
      </c>
      <c r="N28" s="28">
        <v>0</v>
      </c>
    </row>
    <row r="29" spans="1:14" x14ac:dyDescent="0.2">
      <c r="A29" s="9" t="s">
        <v>111</v>
      </c>
      <c r="B29" s="1" t="s">
        <v>112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</row>
    <row r="30" spans="1:14" x14ac:dyDescent="0.2">
      <c r="A30" s="9" t="s">
        <v>119</v>
      </c>
      <c r="B30" s="1" t="s">
        <v>120</v>
      </c>
      <c r="C30" s="28">
        <v>0</v>
      </c>
      <c r="D30" s="28">
        <v>0</v>
      </c>
      <c r="E30" s="28">
        <v>0</v>
      </c>
      <c r="F30" s="28">
        <v>0</v>
      </c>
      <c r="G30" s="28">
        <v>0</v>
      </c>
      <c r="H30" s="28">
        <v>0</v>
      </c>
      <c r="I30" s="28">
        <v>0</v>
      </c>
      <c r="J30" s="28">
        <v>0</v>
      </c>
      <c r="K30" s="28">
        <v>0</v>
      </c>
      <c r="L30" s="28">
        <v>0</v>
      </c>
      <c r="M30" s="28">
        <v>0</v>
      </c>
      <c r="N30" s="28">
        <v>0</v>
      </c>
    </row>
    <row r="31" spans="1:14" x14ac:dyDescent="0.2">
      <c r="A31" s="9" t="s">
        <v>127</v>
      </c>
      <c r="B31" s="1" t="s">
        <v>128</v>
      </c>
      <c r="C31" s="28">
        <v>0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>
        <v>0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</row>
    <row r="32" spans="1:14" x14ac:dyDescent="0.2">
      <c r="A32" s="9" t="s">
        <v>133</v>
      </c>
      <c r="B32" s="1" t="s">
        <v>134</v>
      </c>
      <c r="C32" s="28">
        <f t="shared" ref="C32:I32" si="12">+C33</f>
        <v>0</v>
      </c>
      <c r="D32" s="28">
        <f t="shared" si="12"/>
        <v>0</v>
      </c>
      <c r="E32" s="28">
        <f t="shared" si="12"/>
        <v>0.2</v>
      </c>
      <c r="F32" s="28">
        <f t="shared" si="12"/>
        <v>0</v>
      </c>
      <c r="G32" s="28">
        <f t="shared" si="12"/>
        <v>0</v>
      </c>
      <c r="H32" s="28">
        <f t="shared" si="12"/>
        <v>0</v>
      </c>
      <c r="I32" s="28">
        <f t="shared" si="12"/>
        <v>0</v>
      </c>
      <c r="J32" s="28">
        <f>+J33</f>
        <v>0</v>
      </c>
      <c r="K32" s="28">
        <f t="shared" ref="K32:N32" si="13">+K33</f>
        <v>0</v>
      </c>
      <c r="L32" s="28">
        <f t="shared" si="13"/>
        <v>0</v>
      </c>
      <c r="M32" s="28">
        <f t="shared" si="13"/>
        <v>0</v>
      </c>
      <c r="N32" s="28">
        <f t="shared" si="13"/>
        <v>0</v>
      </c>
    </row>
    <row r="33" spans="1:14" hidden="1" outlineLevel="1" x14ac:dyDescent="0.2">
      <c r="A33" s="9" t="s">
        <v>329</v>
      </c>
      <c r="B33" s="1" t="s">
        <v>330</v>
      </c>
      <c r="C33" s="10">
        <v>0</v>
      </c>
      <c r="D33" s="10">
        <v>0</v>
      </c>
      <c r="E33" s="10">
        <v>0.2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</row>
    <row r="34" spans="1:14" collapsed="1" x14ac:dyDescent="0.2">
      <c r="A34" s="9" t="s">
        <v>137</v>
      </c>
      <c r="B34" s="1" t="s">
        <v>138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28">
        <v>0</v>
      </c>
      <c r="K34" s="28">
        <v>0</v>
      </c>
      <c r="L34" s="28">
        <v>0</v>
      </c>
      <c r="M34" s="28">
        <v>0</v>
      </c>
      <c r="N34" s="28">
        <v>0</v>
      </c>
    </row>
    <row r="35" spans="1:14" x14ac:dyDescent="0.2">
      <c r="A35" s="9" t="s">
        <v>139</v>
      </c>
      <c r="B35" s="1" t="s">
        <v>140</v>
      </c>
      <c r="C35" s="28">
        <f t="shared" ref="C35:I35" si="14">+C36</f>
        <v>0</v>
      </c>
      <c r="D35" s="28">
        <f t="shared" si="14"/>
        <v>0</v>
      </c>
      <c r="E35" s="28">
        <f t="shared" si="14"/>
        <v>0</v>
      </c>
      <c r="F35" s="28">
        <f t="shared" si="14"/>
        <v>0</v>
      </c>
      <c r="G35" s="28">
        <f t="shared" si="14"/>
        <v>0</v>
      </c>
      <c r="H35" s="28">
        <f t="shared" si="14"/>
        <v>0</v>
      </c>
      <c r="I35" s="28">
        <f t="shared" si="14"/>
        <v>0</v>
      </c>
      <c r="J35" s="28">
        <f>+J36</f>
        <v>0</v>
      </c>
      <c r="K35" s="28">
        <f t="shared" ref="K35:N35" si="15">+K36</f>
        <v>0</v>
      </c>
      <c r="L35" s="28">
        <f t="shared" si="15"/>
        <v>0</v>
      </c>
      <c r="M35" s="28">
        <f t="shared" si="15"/>
        <v>0</v>
      </c>
      <c r="N35" s="28">
        <f t="shared" si="15"/>
        <v>0</v>
      </c>
    </row>
    <row r="36" spans="1:14" hidden="1" outlineLevel="1" x14ac:dyDescent="0.2">
      <c r="A36" s="9" t="s">
        <v>353</v>
      </c>
      <c r="B36" s="1" t="s">
        <v>354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collapsed="1" x14ac:dyDescent="0.2">
      <c r="A37" s="9" t="s">
        <v>141</v>
      </c>
      <c r="B37" s="1" t="s">
        <v>142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28">
        <v>0</v>
      </c>
      <c r="K37" s="28">
        <v>0</v>
      </c>
      <c r="L37" s="28">
        <v>0</v>
      </c>
      <c r="M37" s="28">
        <v>0</v>
      </c>
      <c r="N37" s="28">
        <v>0</v>
      </c>
    </row>
    <row r="38" spans="1:14" x14ac:dyDescent="0.2">
      <c r="A38" s="9" t="s">
        <v>143</v>
      </c>
      <c r="B38" s="1" t="s">
        <v>144</v>
      </c>
      <c r="C38" s="28">
        <f t="shared" ref="C38:I38" si="16">SUM(C39:C44)</f>
        <v>10.7</v>
      </c>
      <c r="D38" s="28">
        <f t="shared" si="16"/>
        <v>8.5</v>
      </c>
      <c r="E38" s="28">
        <f t="shared" si="16"/>
        <v>9.1</v>
      </c>
      <c r="F38" s="28">
        <f t="shared" si="16"/>
        <v>8.6</v>
      </c>
      <c r="G38" s="28">
        <f t="shared" si="16"/>
        <v>18.299999999999997</v>
      </c>
      <c r="H38" s="28">
        <f t="shared" si="16"/>
        <v>10.4</v>
      </c>
      <c r="I38" s="28">
        <f t="shared" si="16"/>
        <v>13.9</v>
      </c>
      <c r="J38" s="28">
        <f>SUM(J39:J44)</f>
        <v>8.6</v>
      </c>
      <c r="K38" s="28">
        <f t="shared" ref="K38:N38" si="17">SUM(K39:K44)</f>
        <v>8.6</v>
      </c>
      <c r="L38" s="28">
        <f t="shared" si="17"/>
        <v>18.299999999999997</v>
      </c>
      <c r="M38" s="28">
        <f t="shared" si="17"/>
        <v>10.4</v>
      </c>
      <c r="N38" s="28">
        <f t="shared" si="17"/>
        <v>13.9</v>
      </c>
    </row>
    <row r="39" spans="1:14" hidden="1" outlineLevel="1" x14ac:dyDescent="0.2">
      <c r="A39" s="9" t="s">
        <v>145</v>
      </c>
      <c r="B39" s="1" t="s">
        <v>146</v>
      </c>
      <c r="C39" s="10">
        <v>10</v>
      </c>
      <c r="D39" s="10">
        <v>8.5</v>
      </c>
      <c r="E39" s="10">
        <v>9.1</v>
      </c>
      <c r="F39" s="10">
        <v>8.6</v>
      </c>
      <c r="G39" s="10">
        <v>17.5</v>
      </c>
      <c r="H39" s="10">
        <v>7.1</v>
      </c>
      <c r="I39" s="10">
        <v>10.5</v>
      </c>
      <c r="J39" s="10">
        <v>8.6</v>
      </c>
      <c r="K39" s="10">
        <v>8.6</v>
      </c>
      <c r="L39" s="10">
        <v>17.5</v>
      </c>
      <c r="M39" s="10">
        <v>7.1</v>
      </c>
      <c r="N39" s="10">
        <v>10.5</v>
      </c>
    </row>
    <row r="40" spans="1:14" hidden="1" outlineLevel="1" x14ac:dyDescent="0.2">
      <c r="A40" s="9" t="s">
        <v>147</v>
      </c>
      <c r="B40" s="1" t="s">
        <v>148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0.2</v>
      </c>
      <c r="I40" s="10">
        <v>0</v>
      </c>
      <c r="J40" s="10">
        <v>0</v>
      </c>
      <c r="K40" s="10">
        <v>0</v>
      </c>
      <c r="L40" s="10">
        <v>0</v>
      </c>
      <c r="M40" s="10">
        <v>0.2</v>
      </c>
      <c r="N40" s="10">
        <v>0</v>
      </c>
    </row>
    <row r="41" spans="1:14" hidden="1" outlineLevel="1" x14ac:dyDescent="0.2">
      <c r="A41" s="9" t="s">
        <v>149</v>
      </c>
      <c r="B41" s="1" t="s">
        <v>150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hidden="1" outlineLevel="1" x14ac:dyDescent="0.2">
      <c r="A42" s="9" t="s">
        <v>151</v>
      </c>
      <c r="B42" s="1" t="s">
        <v>152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hidden="1" outlineLevel="1" x14ac:dyDescent="0.2">
      <c r="A43" s="9" t="s">
        <v>153</v>
      </c>
      <c r="B43" s="1" t="s">
        <v>154</v>
      </c>
      <c r="C43" s="10">
        <v>0</v>
      </c>
      <c r="D43" s="10">
        <v>0</v>
      </c>
      <c r="E43" s="10">
        <v>0</v>
      </c>
      <c r="F43" s="10">
        <v>0</v>
      </c>
      <c r="G43" s="10">
        <v>0.4</v>
      </c>
      <c r="H43" s="10">
        <v>2.8</v>
      </c>
      <c r="I43" s="10">
        <v>3</v>
      </c>
      <c r="J43" s="10">
        <v>0</v>
      </c>
      <c r="K43" s="10">
        <v>0</v>
      </c>
      <c r="L43" s="10">
        <v>0.4</v>
      </c>
      <c r="M43" s="10">
        <v>2.8</v>
      </c>
      <c r="N43" s="10">
        <v>3</v>
      </c>
    </row>
    <row r="44" spans="1:14" hidden="1" outlineLevel="1" x14ac:dyDescent="0.2">
      <c r="A44" s="9" t="s">
        <v>155</v>
      </c>
      <c r="B44" s="1" t="s">
        <v>156</v>
      </c>
      <c r="C44" s="10">
        <v>0.7</v>
      </c>
      <c r="D44" s="10">
        <v>0</v>
      </c>
      <c r="E44" s="10">
        <v>0</v>
      </c>
      <c r="F44" s="10">
        <v>0</v>
      </c>
      <c r="G44" s="10">
        <v>0.4</v>
      </c>
      <c r="H44" s="10">
        <v>0.3</v>
      </c>
      <c r="I44" s="10">
        <v>0.4</v>
      </c>
      <c r="J44" s="10">
        <v>0</v>
      </c>
      <c r="K44" s="10">
        <v>0</v>
      </c>
      <c r="L44" s="10">
        <v>0.4</v>
      </c>
      <c r="M44" s="10">
        <v>0.3</v>
      </c>
      <c r="N44" s="10">
        <v>0.4</v>
      </c>
    </row>
    <row r="45" spans="1:14" collapsed="1" x14ac:dyDescent="0.2">
      <c r="A45" s="9" t="s">
        <v>157</v>
      </c>
      <c r="B45" s="1" t="s">
        <v>158</v>
      </c>
      <c r="C45" s="28">
        <f t="shared" ref="C45:I45" si="18">+C46</f>
        <v>0</v>
      </c>
      <c r="D45" s="28">
        <f t="shared" si="18"/>
        <v>0</v>
      </c>
      <c r="E45" s="28">
        <f t="shared" si="18"/>
        <v>2.1</v>
      </c>
      <c r="F45" s="28">
        <f t="shared" si="18"/>
        <v>3.2</v>
      </c>
      <c r="G45" s="28">
        <f t="shared" si="18"/>
        <v>0.8</v>
      </c>
      <c r="H45" s="28">
        <f t="shared" si="18"/>
        <v>-0.3</v>
      </c>
      <c r="I45" s="28">
        <f t="shared" si="18"/>
        <v>-2.9</v>
      </c>
      <c r="J45" s="28">
        <f>+J46</f>
        <v>3.2</v>
      </c>
      <c r="K45" s="28">
        <f t="shared" ref="K45:N45" si="19">+K46</f>
        <v>0.8</v>
      </c>
      <c r="L45" s="28">
        <f t="shared" si="19"/>
        <v>-0.3</v>
      </c>
      <c r="M45" s="28">
        <f t="shared" si="19"/>
        <v>-2.9</v>
      </c>
      <c r="N45" s="28">
        <f t="shared" si="19"/>
        <v>-0.3</v>
      </c>
    </row>
    <row r="46" spans="1:14" hidden="1" outlineLevel="1" x14ac:dyDescent="0.2">
      <c r="A46" s="9" t="s">
        <v>159</v>
      </c>
      <c r="B46" s="1" t="s">
        <v>160</v>
      </c>
      <c r="C46" s="10">
        <v>0</v>
      </c>
      <c r="D46" s="10">
        <v>0</v>
      </c>
      <c r="E46" s="10">
        <v>2.1</v>
      </c>
      <c r="F46" s="10">
        <v>3.2</v>
      </c>
      <c r="G46" s="10">
        <v>0.8</v>
      </c>
      <c r="H46" s="10">
        <v>-0.3</v>
      </c>
      <c r="I46" s="10">
        <v>-2.9</v>
      </c>
      <c r="J46" s="10">
        <v>3.2</v>
      </c>
      <c r="K46" s="10">
        <v>0.8</v>
      </c>
      <c r="L46" s="10">
        <v>-0.3</v>
      </c>
      <c r="M46" s="10">
        <v>-2.9</v>
      </c>
      <c r="N46" s="10">
        <v>-0.3</v>
      </c>
    </row>
    <row r="47" spans="1:14" collapsed="1" x14ac:dyDescent="0.2">
      <c r="A47" s="3"/>
      <c r="B47" s="3" t="s">
        <v>165</v>
      </c>
      <c r="C47" s="30">
        <f t="shared" ref="C47:N47" si="20">+C28+C29+C30+C31+C32+C34+C35+C37+C38+C45</f>
        <v>10.7</v>
      </c>
      <c r="D47" s="30">
        <f t="shared" si="20"/>
        <v>8.5</v>
      </c>
      <c r="E47" s="30">
        <f t="shared" si="20"/>
        <v>11.399999999999999</v>
      </c>
      <c r="F47" s="30">
        <f t="shared" si="20"/>
        <v>11.8</v>
      </c>
      <c r="G47" s="30">
        <f t="shared" si="20"/>
        <v>19.099999999999998</v>
      </c>
      <c r="H47" s="30">
        <f t="shared" si="20"/>
        <v>10.1</v>
      </c>
      <c r="I47" s="30">
        <f t="shared" si="20"/>
        <v>11</v>
      </c>
      <c r="J47" s="30">
        <f t="shared" si="20"/>
        <v>11.8</v>
      </c>
      <c r="K47" s="30">
        <f t="shared" si="20"/>
        <v>9.4</v>
      </c>
      <c r="L47" s="30">
        <f t="shared" si="20"/>
        <v>17.999999999999996</v>
      </c>
      <c r="M47" s="30">
        <f t="shared" si="20"/>
        <v>7.5</v>
      </c>
      <c r="N47" s="30">
        <f t="shared" si="20"/>
        <v>13.6</v>
      </c>
    </row>
    <row r="48" spans="1:14" x14ac:dyDescent="0.2">
      <c r="A48" s="12"/>
      <c r="B48" s="12" t="s">
        <v>166</v>
      </c>
      <c r="C48" s="29">
        <f t="shared" ref="C48" si="21">+C26-C47</f>
        <v>4.2000000000000011</v>
      </c>
      <c r="D48" s="29">
        <f t="shared" ref="D48" si="22">+D26-D47</f>
        <v>6.9</v>
      </c>
      <c r="E48" s="29">
        <f t="shared" ref="E48" si="23">+E26-E47</f>
        <v>78.699999999999989</v>
      </c>
      <c r="F48" s="29">
        <f t="shared" ref="F48" si="24">+F26-F47</f>
        <v>122.89999999999999</v>
      </c>
      <c r="G48" s="29">
        <f t="shared" ref="G48" si="25">+G26-G47</f>
        <v>103</v>
      </c>
      <c r="H48" s="29">
        <f t="shared" ref="H48" si="26">+H26-H47</f>
        <v>112.4</v>
      </c>
      <c r="I48" s="29">
        <f t="shared" ref="I48" si="27">+I26-I47</f>
        <v>87</v>
      </c>
      <c r="J48" s="29">
        <f t="shared" ref="J48" si="28">+J26-J47</f>
        <v>103.2</v>
      </c>
      <c r="K48" s="29">
        <f t="shared" ref="K48" si="29">+K26-K47</f>
        <v>125.6</v>
      </c>
      <c r="L48" s="29">
        <f t="shared" ref="L48" si="30">+L26-L47</f>
        <v>93</v>
      </c>
      <c r="M48" s="29">
        <f t="shared" ref="M48" si="31">+M26-M47</f>
        <v>118.5</v>
      </c>
      <c r="N48" s="29">
        <f t="shared" ref="N48" si="32">+N26-N47</f>
        <v>101.4</v>
      </c>
    </row>
    <row r="49" spans="1:14" x14ac:dyDescent="0.2">
      <c r="A49" s="9" t="s">
        <v>167</v>
      </c>
      <c r="B49" s="1" t="s">
        <v>168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28">
        <v>0</v>
      </c>
      <c r="K49" s="28">
        <v>0</v>
      </c>
      <c r="L49" s="28">
        <v>0</v>
      </c>
      <c r="M49" s="28">
        <v>0</v>
      </c>
      <c r="N49" s="28">
        <v>0</v>
      </c>
    </row>
    <row r="50" spans="1:14" x14ac:dyDescent="0.2">
      <c r="A50" s="9" t="s">
        <v>200</v>
      </c>
      <c r="B50" s="1" t="s">
        <v>201</v>
      </c>
      <c r="C50" s="28">
        <f t="shared" ref="C50:I50" si="33">+C51+C52</f>
        <v>0</v>
      </c>
      <c r="D50" s="28">
        <f t="shared" si="33"/>
        <v>0</v>
      </c>
      <c r="E50" s="28">
        <f t="shared" si="33"/>
        <v>0</v>
      </c>
      <c r="F50" s="28">
        <f t="shared" si="33"/>
        <v>0</v>
      </c>
      <c r="G50" s="28">
        <f t="shared" si="33"/>
        <v>0</v>
      </c>
      <c r="H50" s="28">
        <f t="shared" si="33"/>
        <v>0</v>
      </c>
      <c r="I50" s="28">
        <f t="shared" si="33"/>
        <v>0</v>
      </c>
      <c r="J50" s="28">
        <f>+J51+J52</f>
        <v>0</v>
      </c>
      <c r="K50" s="28">
        <f t="shared" ref="K50:N50" si="34">+K51+K52</f>
        <v>0</v>
      </c>
      <c r="L50" s="28">
        <f t="shared" si="34"/>
        <v>0</v>
      </c>
      <c r="M50" s="28">
        <f t="shared" si="34"/>
        <v>0</v>
      </c>
      <c r="N50" s="28">
        <f t="shared" si="34"/>
        <v>0</v>
      </c>
    </row>
    <row r="51" spans="1:14" hidden="1" outlineLevel="1" x14ac:dyDescent="0.2">
      <c r="A51" s="9" t="s">
        <v>220</v>
      </c>
      <c r="B51" s="1" t="s">
        <v>221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hidden="1" outlineLevel="1" x14ac:dyDescent="0.2">
      <c r="A52" s="9" t="s">
        <v>222</v>
      </c>
      <c r="B52" s="1" t="s">
        <v>223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collapsed="1" x14ac:dyDescent="0.2">
      <c r="A53" s="9" t="s">
        <v>226</v>
      </c>
      <c r="B53" s="1" t="s">
        <v>227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28">
        <v>0</v>
      </c>
      <c r="K53" s="28">
        <v>0</v>
      </c>
      <c r="L53" s="28">
        <v>0</v>
      </c>
      <c r="M53" s="28">
        <v>0</v>
      </c>
      <c r="N53" s="28">
        <v>0</v>
      </c>
    </row>
    <row r="54" spans="1:14" x14ac:dyDescent="0.2">
      <c r="A54" s="9" t="s">
        <v>228</v>
      </c>
      <c r="B54" s="1" t="s">
        <v>229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28">
        <v>0</v>
      </c>
      <c r="K54" s="28">
        <v>0</v>
      </c>
      <c r="L54" s="28">
        <v>0</v>
      </c>
      <c r="M54" s="28">
        <v>0</v>
      </c>
      <c r="N54" s="28">
        <v>0</v>
      </c>
    </row>
    <row r="55" spans="1:14" x14ac:dyDescent="0.2">
      <c r="A55" s="9" t="s">
        <v>230</v>
      </c>
      <c r="B55" s="1" t="s">
        <v>231</v>
      </c>
      <c r="C55" s="28">
        <f t="shared" ref="C55:I55" si="35">+C56</f>
        <v>0</v>
      </c>
      <c r="D55" s="28">
        <f t="shared" si="35"/>
        <v>0</v>
      </c>
      <c r="E55" s="28">
        <f t="shared" si="35"/>
        <v>0</v>
      </c>
      <c r="F55" s="28">
        <f t="shared" si="35"/>
        <v>0</v>
      </c>
      <c r="G55" s="28">
        <f t="shared" si="35"/>
        <v>0</v>
      </c>
      <c r="H55" s="28">
        <f t="shared" si="35"/>
        <v>0</v>
      </c>
      <c r="I55" s="28">
        <f t="shared" si="35"/>
        <v>0</v>
      </c>
      <c r="J55" s="28">
        <f>+J56</f>
        <v>0</v>
      </c>
      <c r="K55" s="28">
        <f t="shared" ref="K55:N55" si="36">+K56</f>
        <v>0</v>
      </c>
      <c r="L55" s="28">
        <f t="shared" si="36"/>
        <v>0</v>
      </c>
      <c r="M55" s="28">
        <f t="shared" si="36"/>
        <v>0</v>
      </c>
      <c r="N55" s="28">
        <f t="shared" si="36"/>
        <v>0</v>
      </c>
    </row>
    <row r="56" spans="1:14" hidden="1" outlineLevel="1" x14ac:dyDescent="0.2">
      <c r="A56" s="9" t="s">
        <v>232</v>
      </c>
      <c r="B56" s="1" t="s">
        <v>233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</row>
    <row r="57" spans="1:14" collapsed="1" x14ac:dyDescent="0.2">
      <c r="A57" s="3"/>
      <c r="B57" s="3" t="s">
        <v>236</v>
      </c>
      <c r="C57" s="30">
        <f t="shared" ref="C57:I57" si="37">+C49+C50+C53+C54+C55</f>
        <v>0</v>
      </c>
      <c r="D57" s="30">
        <f t="shared" si="37"/>
        <v>0</v>
      </c>
      <c r="E57" s="30">
        <f t="shared" si="37"/>
        <v>0</v>
      </c>
      <c r="F57" s="30">
        <f t="shared" si="37"/>
        <v>0</v>
      </c>
      <c r="G57" s="30">
        <f t="shared" si="37"/>
        <v>0</v>
      </c>
      <c r="H57" s="30">
        <f t="shared" si="37"/>
        <v>0</v>
      </c>
      <c r="I57" s="30">
        <f t="shared" si="37"/>
        <v>0</v>
      </c>
      <c r="J57" s="30">
        <f>+J49+J50+J53+J54+J55</f>
        <v>0</v>
      </c>
      <c r="K57" s="30">
        <f t="shared" ref="K57:N57" si="38">+K49+K50+K53+K54+K55</f>
        <v>0</v>
      </c>
      <c r="L57" s="30">
        <f t="shared" si="38"/>
        <v>0</v>
      </c>
      <c r="M57" s="30">
        <f t="shared" si="38"/>
        <v>0</v>
      </c>
      <c r="N57" s="30">
        <f t="shared" si="38"/>
        <v>0</v>
      </c>
    </row>
    <row r="58" spans="1:14" x14ac:dyDescent="0.2">
      <c r="A58" s="12"/>
      <c r="B58" s="12" t="s">
        <v>237</v>
      </c>
      <c r="C58" s="29">
        <f t="shared" ref="C58:I58" si="39">+C48-C57</f>
        <v>4.2000000000000011</v>
      </c>
      <c r="D58" s="29">
        <f t="shared" si="39"/>
        <v>6.9</v>
      </c>
      <c r="E58" s="29">
        <f t="shared" si="39"/>
        <v>78.699999999999989</v>
      </c>
      <c r="F58" s="29">
        <f t="shared" si="39"/>
        <v>122.89999999999999</v>
      </c>
      <c r="G58" s="29">
        <f t="shared" si="39"/>
        <v>103</v>
      </c>
      <c r="H58" s="29">
        <f t="shared" si="39"/>
        <v>112.4</v>
      </c>
      <c r="I58" s="29">
        <f t="shared" si="39"/>
        <v>87</v>
      </c>
      <c r="J58" s="29">
        <f>+J48-J57</f>
        <v>103.2</v>
      </c>
      <c r="K58" s="29">
        <f t="shared" ref="K58:N58" si="40">+K48-K57</f>
        <v>125.6</v>
      </c>
      <c r="L58" s="29">
        <f t="shared" si="40"/>
        <v>93</v>
      </c>
      <c r="M58" s="29">
        <f t="shared" si="40"/>
        <v>118.5</v>
      </c>
      <c r="N58" s="29">
        <f t="shared" si="40"/>
        <v>101.4</v>
      </c>
    </row>
    <row r="59" spans="1:14" x14ac:dyDescent="0.2">
      <c r="A59" s="9" t="s">
        <v>238</v>
      </c>
      <c r="B59" s="1" t="s">
        <v>239</v>
      </c>
      <c r="C59" s="28">
        <f t="shared" ref="C59:I59" si="41">+C60+C61</f>
        <v>0</v>
      </c>
      <c r="D59" s="28">
        <f t="shared" si="41"/>
        <v>0</v>
      </c>
      <c r="E59" s="28">
        <f t="shared" si="41"/>
        <v>0.4</v>
      </c>
      <c r="F59" s="28">
        <f t="shared" si="41"/>
        <v>1.1000000000000001</v>
      </c>
      <c r="G59" s="28">
        <f t="shared" si="41"/>
        <v>1</v>
      </c>
      <c r="H59" s="28">
        <f t="shared" si="41"/>
        <v>1.1000000000000001</v>
      </c>
      <c r="I59" s="28">
        <f t="shared" si="41"/>
        <v>0.5</v>
      </c>
      <c r="J59" s="28">
        <f>+J60+J61</f>
        <v>1</v>
      </c>
      <c r="K59" s="28">
        <f t="shared" ref="K59:N59" si="42">+K60+K61</f>
        <v>0.5</v>
      </c>
      <c r="L59" s="28">
        <f t="shared" si="42"/>
        <v>1</v>
      </c>
      <c r="M59" s="28">
        <f t="shared" si="42"/>
        <v>1.1000000000000001</v>
      </c>
      <c r="N59" s="28">
        <f t="shared" si="42"/>
        <v>0.5</v>
      </c>
    </row>
    <row r="60" spans="1:14" hidden="1" outlineLevel="1" x14ac:dyDescent="0.2">
      <c r="A60" s="9" t="s">
        <v>240</v>
      </c>
      <c r="B60" s="1" t="s">
        <v>241</v>
      </c>
      <c r="C60" s="10">
        <v>0</v>
      </c>
      <c r="D60" s="10">
        <v>0</v>
      </c>
      <c r="E60" s="10">
        <v>0.4</v>
      </c>
      <c r="F60" s="10">
        <v>1.1000000000000001</v>
      </c>
      <c r="G60" s="10">
        <v>1</v>
      </c>
      <c r="H60" s="10">
        <v>1.1000000000000001</v>
      </c>
      <c r="I60" s="10">
        <v>0.5</v>
      </c>
      <c r="J60" s="10">
        <v>1</v>
      </c>
      <c r="K60" s="10">
        <v>0.5</v>
      </c>
      <c r="L60" s="10">
        <v>1</v>
      </c>
      <c r="M60" s="10">
        <v>1.1000000000000001</v>
      </c>
      <c r="N60" s="10">
        <v>0.5</v>
      </c>
    </row>
    <row r="61" spans="1:14" hidden="1" outlineLevel="1" x14ac:dyDescent="0.2">
      <c r="A61" s="9" t="s">
        <v>242</v>
      </c>
      <c r="B61" s="1" t="s">
        <v>243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</row>
    <row r="62" spans="1:14" collapsed="1" x14ac:dyDescent="0.2">
      <c r="A62" s="9" t="s">
        <v>244</v>
      </c>
      <c r="B62" s="1" t="s">
        <v>245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28">
        <v>0</v>
      </c>
      <c r="K62" s="28">
        <v>0</v>
      </c>
      <c r="L62" s="28">
        <v>0</v>
      </c>
      <c r="M62" s="28">
        <v>0</v>
      </c>
      <c r="N62" s="28">
        <v>0</v>
      </c>
    </row>
    <row r="63" spans="1:14" x14ac:dyDescent="0.2">
      <c r="A63" s="12"/>
      <c r="B63" s="12" t="s">
        <v>246</v>
      </c>
      <c r="C63" s="29">
        <f t="shared" ref="C63:I63" si="43">+C58-(C59+C62)</f>
        <v>4.2000000000000011</v>
      </c>
      <c r="D63" s="29">
        <f t="shared" si="43"/>
        <v>6.9</v>
      </c>
      <c r="E63" s="29">
        <f t="shared" si="43"/>
        <v>78.299999999999983</v>
      </c>
      <c r="F63" s="29">
        <f t="shared" si="43"/>
        <v>121.8</v>
      </c>
      <c r="G63" s="29">
        <f t="shared" si="43"/>
        <v>102</v>
      </c>
      <c r="H63" s="29">
        <f t="shared" si="43"/>
        <v>111.30000000000001</v>
      </c>
      <c r="I63" s="29">
        <f t="shared" si="43"/>
        <v>86.5</v>
      </c>
      <c r="J63" s="29">
        <f>+J58-(J59+J62)</f>
        <v>102.2</v>
      </c>
      <c r="K63" s="29">
        <f t="shared" ref="K63:N63" si="44">+K58-(K59+K62)</f>
        <v>125.1</v>
      </c>
      <c r="L63" s="29">
        <f t="shared" si="44"/>
        <v>92</v>
      </c>
      <c r="M63" s="29">
        <f t="shared" si="44"/>
        <v>117.4</v>
      </c>
      <c r="N63" s="29">
        <f t="shared" si="44"/>
        <v>100.9</v>
      </c>
    </row>
    <row r="64" spans="1:14" x14ac:dyDescent="0.2">
      <c r="A64" s="9" t="s">
        <v>74</v>
      </c>
      <c r="B64" s="1" t="s">
        <v>74</v>
      </c>
      <c r="C64" s="15" t="s">
        <v>74</v>
      </c>
      <c r="D64" s="15" t="s">
        <v>74</v>
      </c>
      <c r="E64" s="15" t="s">
        <v>74</v>
      </c>
      <c r="F64" s="15" t="s">
        <v>74</v>
      </c>
      <c r="G64" s="15" t="s">
        <v>74</v>
      </c>
      <c r="H64" s="15" t="s">
        <v>74</v>
      </c>
      <c r="I64" s="15" t="s">
        <v>74</v>
      </c>
      <c r="J64" s="15" t="s">
        <v>74</v>
      </c>
      <c r="K64" s="15" t="s">
        <v>74</v>
      </c>
      <c r="L64" s="15" t="s">
        <v>74</v>
      </c>
      <c r="M64" s="15" t="s">
        <v>74</v>
      </c>
      <c r="N64" s="15" t="s">
        <v>74</v>
      </c>
    </row>
    <row r="65" spans="1:14" x14ac:dyDescent="0.2">
      <c r="A65" s="12"/>
      <c r="B65" s="12" t="s">
        <v>247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</row>
    <row r="66" spans="1:14" x14ac:dyDescent="0.2">
      <c r="A66" s="9" t="s">
        <v>248</v>
      </c>
      <c r="B66" s="1" t="s">
        <v>249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">
      <c r="A67" s="9" t="s">
        <v>252</v>
      </c>
      <c r="B67" s="1" t="s">
        <v>253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">
      <c r="A68" s="9" t="s">
        <v>256</v>
      </c>
      <c r="B68" s="1" t="s">
        <v>257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">
      <c r="A69" s="9" t="s">
        <v>260</v>
      </c>
      <c r="B69" s="1" t="s">
        <v>261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">
      <c r="A70" s="9" t="s">
        <v>264</v>
      </c>
      <c r="B70" s="1" t="s">
        <v>265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">
      <c r="A71" s="9" t="s">
        <v>268</v>
      </c>
      <c r="B71" s="1" t="s">
        <v>269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">
      <c r="A72" s="9" t="s">
        <v>270</v>
      </c>
      <c r="B72" s="1" t="s">
        <v>271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">
      <c r="A73" s="9" t="s">
        <v>272</v>
      </c>
      <c r="B73" s="1" t="s">
        <v>273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">
      <c r="A74" s="9" t="s">
        <v>274</v>
      </c>
      <c r="B74" s="1" t="s">
        <v>275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">
      <c r="A75" s="9" t="s">
        <v>276</v>
      </c>
      <c r="B75" s="1" t="s">
        <v>277</v>
      </c>
      <c r="C75" s="15">
        <v>292</v>
      </c>
      <c r="D75" s="15">
        <v>292</v>
      </c>
      <c r="E75" s="15">
        <v>350</v>
      </c>
      <c r="F75" s="15">
        <v>610</v>
      </c>
      <c r="G75" s="15">
        <v>610</v>
      </c>
      <c r="H75" s="15">
        <v>610</v>
      </c>
      <c r="I75" s="15">
        <v>610</v>
      </c>
      <c r="J75" s="15">
        <v>610</v>
      </c>
      <c r="K75" s="15">
        <v>610</v>
      </c>
      <c r="L75" s="15">
        <v>610</v>
      </c>
      <c r="M75" s="15">
        <v>610</v>
      </c>
      <c r="N75" s="15">
        <v>610</v>
      </c>
    </row>
    <row r="76" spans="1:14" hidden="1" outlineLevel="1" x14ac:dyDescent="0.2">
      <c r="A76" s="9" t="s">
        <v>278</v>
      </c>
      <c r="B76" s="1" t="s">
        <v>279</v>
      </c>
      <c r="C76" s="15">
        <v>292</v>
      </c>
      <c r="D76" s="15">
        <v>292</v>
      </c>
      <c r="E76" s="15">
        <v>350</v>
      </c>
      <c r="F76" s="15">
        <v>610</v>
      </c>
      <c r="G76" s="15">
        <v>610</v>
      </c>
      <c r="H76" s="15">
        <v>610</v>
      </c>
      <c r="I76" s="15">
        <v>610</v>
      </c>
      <c r="J76" s="15">
        <v>610</v>
      </c>
      <c r="K76" s="15">
        <v>610</v>
      </c>
      <c r="L76" s="15">
        <v>610</v>
      </c>
      <c r="M76" s="15">
        <v>610</v>
      </c>
      <c r="N76" s="15">
        <v>610</v>
      </c>
    </row>
    <row r="77" spans="1:14" collapsed="1" x14ac:dyDescent="0.2">
      <c r="A77" s="9" t="s">
        <v>280</v>
      </c>
      <c r="B77" s="1" t="s">
        <v>281</v>
      </c>
      <c r="C77" s="15">
        <v>292</v>
      </c>
      <c r="D77" s="15">
        <v>292</v>
      </c>
      <c r="E77" s="15">
        <v>350</v>
      </c>
      <c r="F77" s="15">
        <v>610</v>
      </c>
      <c r="G77" s="15">
        <v>610</v>
      </c>
      <c r="H77" s="15">
        <v>610</v>
      </c>
      <c r="I77" s="15">
        <v>610</v>
      </c>
      <c r="J77" s="15">
        <v>610</v>
      </c>
      <c r="K77" s="15">
        <v>610</v>
      </c>
      <c r="L77" s="15">
        <v>610</v>
      </c>
      <c r="M77" s="15">
        <v>610</v>
      </c>
      <c r="N77" s="15">
        <v>610</v>
      </c>
    </row>
    <row r="78" spans="1:14" hidden="1" outlineLevel="1" x14ac:dyDescent="0.2">
      <c r="A78" s="9" t="s">
        <v>282</v>
      </c>
      <c r="B78" s="1" t="s">
        <v>283</v>
      </c>
      <c r="C78" s="15">
        <v>292</v>
      </c>
      <c r="D78" s="15">
        <v>292</v>
      </c>
      <c r="E78" s="15">
        <v>350</v>
      </c>
      <c r="F78" s="15">
        <v>610</v>
      </c>
      <c r="G78" s="15">
        <v>610</v>
      </c>
      <c r="H78" s="15">
        <v>610</v>
      </c>
      <c r="I78" s="15">
        <v>610</v>
      </c>
      <c r="J78" s="15">
        <v>610</v>
      </c>
      <c r="K78" s="15">
        <v>610</v>
      </c>
      <c r="L78" s="15">
        <v>610</v>
      </c>
      <c r="M78" s="15">
        <v>610</v>
      </c>
      <c r="N78" s="15">
        <v>610</v>
      </c>
    </row>
    <row r="79" spans="1:14" collapsed="1" x14ac:dyDescent="0.2">
      <c r="A79" s="9" t="s">
        <v>284</v>
      </c>
      <c r="B79" s="1" t="s">
        <v>285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">
      <c r="A80" s="9" t="s">
        <v>288</v>
      </c>
      <c r="B80" s="1" t="s">
        <v>289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">
      <c r="A81" s="3"/>
      <c r="B81" s="3" t="s">
        <v>290</v>
      </c>
      <c r="C81" s="17" t="s">
        <v>292</v>
      </c>
      <c r="D81" s="17" t="s">
        <v>292</v>
      </c>
      <c r="E81" s="17" t="s">
        <v>292</v>
      </c>
      <c r="F81" s="17" t="s">
        <v>292</v>
      </c>
      <c r="G81" s="17" t="s">
        <v>292</v>
      </c>
      <c r="H81" s="17" t="s">
        <v>292</v>
      </c>
      <c r="I81" s="17" t="s">
        <v>292</v>
      </c>
      <c r="J81" s="17" t="s">
        <v>292</v>
      </c>
      <c r="K81" s="17" t="s">
        <v>292</v>
      </c>
      <c r="L81" s="17" t="s">
        <v>292</v>
      </c>
      <c r="M81" s="17" t="s">
        <v>292</v>
      </c>
      <c r="N81" s="17" t="s">
        <v>292</v>
      </c>
    </row>
    <row r="82" spans="1:14" x14ac:dyDescent="0.2">
      <c r="A82" s="3"/>
      <c r="B82" s="3" t="s">
        <v>291</v>
      </c>
      <c r="C82" s="17" t="s">
        <v>292</v>
      </c>
      <c r="D82" s="17" t="s">
        <v>292</v>
      </c>
      <c r="E82" s="17" t="s">
        <v>292</v>
      </c>
      <c r="F82" s="17" t="s">
        <v>292</v>
      </c>
      <c r="G82" s="17" t="s">
        <v>292</v>
      </c>
      <c r="H82" s="17" t="s">
        <v>292</v>
      </c>
      <c r="I82" s="17" t="s">
        <v>292</v>
      </c>
      <c r="J82" s="17" t="s">
        <v>292</v>
      </c>
      <c r="K82" s="17" t="s">
        <v>292</v>
      </c>
      <c r="L82" s="17" t="s">
        <v>292</v>
      </c>
      <c r="M82" s="17" t="s">
        <v>292</v>
      </c>
      <c r="N82" s="17" t="s">
        <v>292</v>
      </c>
    </row>
    <row r="83" spans="1:14" x14ac:dyDescent="0.2">
      <c r="A83" s="3"/>
      <c r="B83" s="3" t="s">
        <v>293</v>
      </c>
      <c r="C83" s="17" t="s">
        <v>292</v>
      </c>
      <c r="D83" s="17" t="s">
        <v>292</v>
      </c>
      <c r="E83" s="17" t="s">
        <v>292</v>
      </c>
      <c r="F83" s="17" t="s">
        <v>292</v>
      </c>
      <c r="G83" s="17" t="s">
        <v>292</v>
      </c>
      <c r="H83" s="17" t="s">
        <v>292</v>
      </c>
      <c r="I83" s="17" t="s">
        <v>292</v>
      </c>
      <c r="J83" s="17" t="s">
        <v>292</v>
      </c>
      <c r="K83" s="17" t="s">
        <v>292</v>
      </c>
      <c r="L83" s="17" t="s">
        <v>292</v>
      </c>
      <c r="M83" s="17" t="s">
        <v>292</v>
      </c>
      <c r="N83" s="17" t="s">
        <v>292</v>
      </c>
    </row>
    <row r="84" spans="1:14" x14ac:dyDescent="0.2">
      <c r="A84" s="3"/>
      <c r="B84" s="3" t="s">
        <v>294</v>
      </c>
      <c r="C84" s="17" t="s">
        <v>292</v>
      </c>
      <c r="D84" s="17" t="s">
        <v>292</v>
      </c>
      <c r="E84" s="17" t="s">
        <v>292</v>
      </c>
      <c r="F84" s="17" t="s">
        <v>292</v>
      </c>
      <c r="G84" s="17" t="s">
        <v>292</v>
      </c>
      <c r="H84" s="17" t="s">
        <v>292</v>
      </c>
      <c r="I84" s="17" t="s">
        <v>292</v>
      </c>
      <c r="J84" s="17" t="s">
        <v>292</v>
      </c>
      <c r="K84" s="17" t="s">
        <v>292</v>
      </c>
      <c r="L84" s="17" t="s">
        <v>292</v>
      </c>
      <c r="M84" s="17" t="s">
        <v>292</v>
      </c>
      <c r="N84" s="17" t="s">
        <v>292</v>
      </c>
    </row>
    <row r="85" spans="1:14" x14ac:dyDescent="0.2">
      <c r="A85" s="12"/>
      <c r="B85" s="12" t="s">
        <v>295</v>
      </c>
      <c r="C85" s="16" t="s">
        <v>292</v>
      </c>
      <c r="D85" s="16" t="s">
        <v>292</v>
      </c>
      <c r="E85" s="16" t="s">
        <v>292</v>
      </c>
      <c r="F85" s="16" t="s">
        <v>292</v>
      </c>
      <c r="G85" s="16" t="s">
        <v>292</v>
      </c>
      <c r="H85" s="16" t="s">
        <v>292</v>
      </c>
      <c r="I85" s="16" t="s">
        <v>292</v>
      </c>
      <c r="J85" s="16" t="s">
        <v>292</v>
      </c>
      <c r="K85" s="16" t="s">
        <v>292</v>
      </c>
      <c r="L85" s="16" t="s">
        <v>292</v>
      </c>
      <c r="M85" s="16" t="s">
        <v>292</v>
      </c>
      <c r="N85" s="16" t="s">
        <v>292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EB646-5067-4906-8E16-62F43A2F220E}">
  <sheetPr codeName="Hoja63">
    <tabColor rgb="FF7030A0"/>
  </sheetPr>
  <dimension ref="A1:N122"/>
  <sheetViews>
    <sheetView zoomScale="55" zoomScaleNormal="55" workbookViewId="0">
      <pane ySplit="6" topLeftCell="A18" activePane="bottomLeft" state="frozen"/>
      <selection activeCell="F65" sqref="F65"/>
      <selection pane="bottomLeft" activeCell="H57" sqref="C57:H57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387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" si="0">SUM(C8:C11)</f>
        <v>87.8</v>
      </c>
      <c r="D7" s="28">
        <f t="shared" ref="D7" si="1">SUM(D8:D11)</f>
        <v>30.5</v>
      </c>
      <c r="E7" s="28">
        <f t="shared" ref="E7" si="2">SUM(E8:E11)</f>
        <v>12.2</v>
      </c>
      <c r="F7" s="28">
        <f t="shared" ref="F7" si="3">SUM(F8:F11)</f>
        <v>9.4</v>
      </c>
      <c r="G7" s="28">
        <f t="shared" ref="G7" si="4">SUM(G8:G11)</f>
        <v>17.3</v>
      </c>
      <c r="H7" s="28">
        <f t="shared" ref="H7" si="5">SUM(H8:H11)</f>
        <v>0.6</v>
      </c>
      <c r="I7" s="28">
        <f t="shared" ref="I7" si="6">SUM(I8:I11)</f>
        <v>126.7</v>
      </c>
      <c r="J7" s="28">
        <f t="shared" ref="J7" si="7">SUM(J8:J11)</f>
        <v>51</v>
      </c>
      <c r="K7" s="28">
        <f t="shared" ref="K7" si="8">SUM(K8:K11)</f>
        <v>132</v>
      </c>
      <c r="L7" s="28">
        <f t="shared" ref="L7:N7" si="9">SUM(L8:L11)</f>
        <v>112</v>
      </c>
      <c r="M7" s="28">
        <f t="shared" si="9"/>
        <v>72</v>
      </c>
      <c r="N7" s="28">
        <f t="shared" si="9"/>
        <v>125</v>
      </c>
    </row>
    <row r="8" spans="1:14" hidden="1" outlineLevel="1" x14ac:dyDescent="0.2">
      <c r="A8" s="9" t="s">
        <v>29</v>
      </c>
      <c r="B8" s="1" t="s">
        <v>30</v>
      </c>
      <c r="C8" s="10">
        <v>-14.9</v>
      </c>
      <c r="D8" s="10">
        <v>-15.4</v>
      </c>
      <c r="E8" s="10">
        <v>0</v>
      </c>
      <c r="F8" s="10">
        <v>0</v>
      </c>
      <c r="G8" s="10">
        <v>0</v>
      </c>
      <c r="H8" s="10">
        <v>0</v>
      </c>
      <c r="I8" s="10">
        <v>19</v>
      </c>
      <c r="J8" s="10">
        <v>0</v>
      </c>
      <c r="K8" s="10">
        <v>19</v>
      </c>
      <c r="L8" s="10">
        <v>0</v>
      </c>
      <c r="M8" s="10">
        <v>0</v>
      </c>
      <c r="N8" s="10">
        <v>20</v>
      </c>
    </row>
    <row r="9" spans="1:14" hidden="1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0.6</v>
      </c>
      <c r="I9" s="10">
        <v>107.7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33</v>
      </c>
      <c r="B10" s="1" t="s">
        <v>34</v>
      </c>
      <c r="C10" s="10">
        <v>102.7</v>
      </c>
      <c r="D10" s="10">
        <v>45.9</v>
      </c>
      <c r="E10" s="10">
        <v>12.2</v>
      </c>
      <c r="F10" s="10">
        <v>9.4</v>
      </c>
      <c r="G10" s="10">
        <v>17.3</v>
      </c>
      <c r="H10" s="10">
        <v>0</v>
      </c>
      <c r="I10" s="10">
        <v>0</v>
      </c>
      <c r="J10" s="10">
        <v>51</v>
      </c>
      <c r="K10" s="10">
        <v>113</v>
      </c>
      <c r="L10" s="10">
        <v>112</v>
      </c>
      <c r="M10" s="10">
        <v>72</v>
      </c>
      <c r="N10" s="10">
        <v>105</v>
      </c>
    </row>
    <row r="11" spans="1:14" hidden="1" outlineLevel="1" x14ac:dyDescent="0.2">
      <c r="A11" s="9" t="s">
        <v>35</v>
      </c>
      <c r="B11" s="1" t="s">
        <v>36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collapsed="1" x14ac:dyDescent="0.2">
      <c r="A12" s="9" t="s">
        <v>37</v>
      </c>
      <c r="B12" s="1" t="s">
        <v>38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</row>
    <row r="13" spans="1:14" x14ac:dyDescent="0.2">
      <c r="A13" s="9" t="s">
        <v>39</v>
      </c>
      <c r="B13" s="1" t="s">
        <v>40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</row>
    <row r="14" spans="1:14" x14ac:dyDescent="0.2">
      <c r="A14" s="9" t="s">
        <v>41</v>
      </c>
      <c r="B14" s="1" t="s">
        <v>42</v>
      </c>
      <c r="C14" s="28">
        <f t="shared" ref="C14:I14" si="10">+C15</f>
        <v>0</v>
      </c>
      <c r="D14" s="28">
        <f t="shared" si="10"/>
        <v>0</v>
      </c>
      <c r="E14" s="28">
        <f t="shared" si="10"/>
        <v>0</v>
      </c>
      <c r="F14" s="28">
        <f t="shared" si="10"/>
        <v>0</v>
      </c>
      <c r="G14" s="28">
        <f t="shared" si="10"/>
        <v>0</v>
      </c>
      <c r="H14" s="28">
        <f t="shared" si="10"/>
        <v>0</v>
      </c>
      <c r="I14" s="28">
        <f t="shared" si="10"/>
        <v>0</v>
      </c>
      <c r="J14" s="28">
        <f>+J15</f>
        <v>0</v>
      </c>
      <c r="K14" s="28">
        <f t="shared" ref="K14:N14" si="11">+K15</f>
        <v>0</v>
      </c>
      <c r="L14" s="28">
        <f t="shared" si="11"/>
        <v>0</v>
      </c>
      <c r="M14" s="28">
        <f t="shared" si="11"/>
        <v>0</v>
      </c>
      <c r="N14" s="28">
        <f t="shared" si="11"/>
        <v>0</v>
      </c>
    </row>
    <row r="15" spans="1:14" hidden="1" outlineLevel="1" x14ac:dyDescent="0.2">
      <c r="A15" s="9" t="s">
        <v>43</v>
      </c>
      <c r="B15" s="1" t="s">
        <v>44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collapsed="1" x14ac:dyDescent="0.2">
      <c r="A16" s="9" t="s">
        <v>45</v>
      </c>
      <c r="B16" s="1" t="s">
        <v>46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</row>
    <row r="17" spans="1:14" x14ac:dyDescent="0.2">
      <c r="A17" s="12"/>
      <c r="B17" s="12" t="s">
        <v>47</v>
      </c>
      <c r="C17" s="29">
        <f t="shared" ref="C17:M17" si="12">+C7+C12+C13+C14+C16</f>
        <v>87.8</v>
      </c>
      <c r="D17" s="29">
        <f t="shared" si="12"/>
        <v>30.5</v>
      </c>
      <c r="E17" s="29">
        <f t="shared" si="12"/>
        <v>12.2</v>
      </c>
      <c r="F17" s="29">
        <f t="shared" si="12"/>
        <v>9.4</v>
      </c>
      <c r="G17" s="29">
        <f t="shared" si="12"/>
        <v>17.3</v>
      </c>
      <c r="H17" s="29">
        <f t="shared" si="12"/>
        <v>0.6</v>
      </c>
      <c r="I17" s="29">
        <f t="shared" si="12"/>
        <v>126.7</v>
      </c>
      <c r="J17" s="29">
        <f t="shared" si="12"/>
        <v>51</v>
      </c>
      <c r="K17" s="29">
        <f t="shared" si="12"/>
        <v>132</v>
      </c>
      <c r="L17" s="29">
        <f t="shared" si="12"/>
        <v>112</v>
      </c>
      <c r="M17" s="29">
        <f t="shared" si="12"/>
        <v>72</v>
      </c>
      <c r="N17" s="29">
        <f t="shared" ref="N17" si="13">+N7+N12+N13+N14+N16</f>
        <v>125</v>
      </c>
    </row>
    <row r="18" spans="1:14" x14ac:dyDescent="0.2">
      <c r="A18" s="9" t="s">
        <v>48</v>
      </c>
      <c r="B18" s="1" t="s">
        <v>49</v>
      </c>
      <c r="C18" s="10">
        <v>29.5</v>
      </c>
      <c r="D18" s="10">
        <v>0</v>
      </c>
      <c r="E18" s="10">
        <v>10.3</v>
      </c>
      <c r="F18" s="10">
        <v>0</v>
      </c>
      <c r="G18" s="10">
        <v>10.1</v>
      </c>
      <c r="H18" s="10">
        <v>0</v>
      </c>
      <c r="I18" s="10">
        <v>30.6</v>
      </c>
      <c r="J18" s="28">
        <f>SUM(J19:J22)</f>
        <v>18</v>
      </c>
      <c r="K18" s="28">
        <f t="shared" ref="K18:N18" si="14">SUM(K19:K22)</f>
        <v>20</v>
      </c>
      <c r="L18" s="28">
        <f t="shared" si="14"/>
        <v>19</v>
      </c>
      <c r="M18" s="28">
        <f t="shared" si="14"/>
        <v>18</v>
      </c>
      <c r="N18" s="28">
        <f t="shared" si="14"/>
        <v>15</v>
      </c>
    </row>
    <row r="19" spans="1:14" hidden="1" outlineLevel="1" x14ac:dyDescent="0.2">
      <c r="A19" s="9" t="s">
        <v>54</v>
      </c>
      <c r="B19" s="1" t="s">
        <v>55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12.1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hidden="1" outlineLevel="1" x14ac:dyDescent="0.2">
      <c r="A20" s="9" t="s">
        <v>56</v>
      </c>
      <c r="B20" s="1" t="s">
        <v>51</v>
      </c>
      <c r="C20" s="10">
        <v>29.5</v>
      </c>
      <c r="D20" s="10">
        <v>0</v>
      </c>
      <c r="E20" s="10">
        <v>10.3</v>
      </c>
      <c r="F20" s="10">
        <v>0</v>
      </c>
      <c r="G20" s="10">
        <v>10.1</v>
      </c>
      <c r="H20" s="10">
        <v>0</v>
      </c>
      <c r="I20" s="10">
        <v>0</v>
      </c>
      <c r="J20" s="10">
        <v>18</v>
      </c>
      <c r="K20" s="10">
        <v>20</v>
      </c>
      <c r="L20" s="10">
        <v>19</v>
      </c>
      <c r="M20" s="10">
        <v>18</v>
      </c>
      <c r="N20" s="10">
        <v>15</v>
      </c>
    </row>
    <row r="21" spans="1:14" hidden="1" outlineLevel="1" x14ac:dyDescent="0.2">
      <c r="A21" s="9" t="s">
        <v>57</v>
      </c>
      <c r="B21" s="1" t="s">
        <v>58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18.5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hidden="1" outlineLevel="1" x14ac:dyDescent="0.2">
      <c r="A22" s="9" t="s">
        <v>59</v>
      </c>
      <c r="B22" s="1" t="s">
        <v>53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collapsed="1" x14ac:dyDescent="0.2">
      <c r="A23" s="9" t="s">
        <v>60</v>
      </c>
      <c r="B23" s="1" t="s">
        <v>61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8">
        <v>0</v>
      </c>
      <c r="K23" s="28">
        <v>0</v>
      </c>
      <c r="L23" s="28">
        <v>0</v>
      </c>
      <c r="M23" s="28">
        <v>0</v>
      </c>
      <c r="N23" s="28">
        <v>0</v>
      </c>
    </row>
    <row r="24" spans="1:14" x14ac:dyDescent="0.2">
      <c r="A24" s="9" t="s">
        <v>62</v>
      </c>
      <c r="B24" s="1" t="s">
        <v>63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</row>
    <row r="25" spans="1:14" x14ac:dyDescent="0.2">
      <c r="A25" s="9" t="s">
        <v>64</v>
      </c>
      <c r="B25" s="1" t="s">
        <v>65</v>
      </c>
      <c r="C25" s="28">
        <f t="shared" ref="C25:I25" si="15">+C26</f>
        <v>0</v>
      </c>
      <c r="D25" s="28">
        <f t="shared" si="15"/>
        <v>0</v>
      </c>
      <c r="E25" s="28">
        <f t="shared" si="15"/>
        <v>0</v>
      </c>
      <c r="F25" s="28">
        <f t="shared" si="15"/>
        <v>7.8</v>
      </c>
      <c r="G25" s="28">
        <f t="shared" si="15"/>
        <v>5.5</v>
      </c>
      <c r="H25" s="28">
        <f t="shared" si="15"/>
        <v>0</v>
      </c>
      <c r="I25" s="28">
        <f t="shared" si="15"/>
        <v>-13.2</v>
      </c>
      <c r="J25" s="28">
        <f>+J26</f>
        <v>7.8</v>
      </c>
      <c r="K25" s="28">
        <f t="shared" ref="K25:N25" si="16">+K26</f>
        <v>5.5</v>
      </c>
      <c r="L25" s="28">
        <f t="shared" si="16"/>
        <v>0</v>
      </c>
      <c r="M25" s="28">
        <f t="shared" si="16"/>
        <v>-5</v>
      </c>
      <c r="N25" s="28">
        <f t="shared" si="16"/>
        <v>-17</v>
      </c>
    </row>
    <row r="26" spans="1:14" hidden="1" outlineLevel="1" x14ac:dyDescent="0.2">
      <c r="A26" s="9" t="s">
        <v>66</v>
      </c>
      <c r="B26" s="1" t="s">
        <v>67</v>
      </c>
      <c r="C26" s="10">
        <v>0</v>
      </c>
      <c r="D26" s="10">
        <v>0</v>
      </c>
      <c r="E26" s="10">
        <v>0</v>
      </c>
      <c r="F26" s="10">
        <v>7.8</v>
      </c>
      <c r="G26" s="10">
        <v>5.5</v>
      </c>
      <c r="H26" s="10">
        <v>0</v>
      </c>
      <c r="I26" s="10">
        <v>-13.2</v>
      </c>
      <c r="J26" s="10">
        <v>7.8</v>
      </c>
      <c r="K26" s="10">
        <v>5.5</v>
      </c>
      <c r="L26" s="10">
        <v>0</v>
      </c>
      <c r="M26" s="10">
        <v>-5</v>
      </c>
      <c r="N26" s="10">
        <v>-17</v>
      </c>
    </row>
    <row r="27" spans="1:14" collapsed="1" x14ac:dyDescent="0.2">
      <c r="A27" s="9" t="s">
        <v>68</v>
      </c>
      <c r="B27" s="1" t="s">
        <v>69</v>
      </c>
      <c r="C27" s="28">
        <f t="shared" ref="C27:I27" si="17">+C28</f>
        <v>0</v>
      </c>
      <c r="D27" s="28">
        <f t="shared" si="17"/>
        <v>0</v>
      </c>
      <c r="E27" s="28">
        <f t="shared" si="17"/>
        <v>0</v>
      </c>
      <c r="F27" s="28">
        <f t="shared" si="17"/>
        <v>0</v>
      </c>
      <c r="G27" s="28">
        <f t="shared" si="17"/>
        <v>0</v>
      </c>
      <c r="H27" s="28">
        <f t="shared" si="17"/>
        <v>0</v>
      </c>
      <c r="I27" s="28">
        <f t="shared" si="17"/>
        <v>0</v>
      </c>
      <c r="J27" s="28">
        <f>+J28</f>
        <v>0</v>
      </c>
      <c r="K27" s="28">
        <f t="shared" ref="K27:N27" si="18">+K28</f>
        <v>0</v>
      </c>
      <c r="L27" s="28">
        <f t="shared" si="18"/>
        <v>0</v>
      </c>
      <c r="M27" s="28">
        <f t="shared" si="18"/>
        <v>0</v>
      </c>
      <c r="N27" s="28">
        <f t="shared" si="18"/>
        <v>0</v>
      </c>
    </row>
    <row r="28" spans="1:14" hidden="1" outlineLevel="1" x14ac:dyDescent="0.2">
      <c r="A28" s="9" t="s">
        <v>70</v>
      </c>
      <c r="B28" s="1" t="s">
        <v>71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collapsed="1" x14ac:dyDescent="0.2">
      <c r="A29" s="3"/>
      <c r="B29" s="3" t="s">
        <v>72</v>
      </c>
      <c r="C29" s="30">
        <f t="shared" ref="C29:I29" si="19">+C18+C23+C24+C25+C27</f>
        <v>29.5</v>
      </c>
      <c r="D29" s="30">
        <f t="shared" si="19"/>
        <v>0</v>
      </c>
      <c r="E29" s="30">
        <f t="shared" si="19"/>
        <v>10.3</v>
      </c>
      <c r="F29" s="30">
        <f t="shared" si="19"/>
        <v>7.8</v>
      </c>
      <c r="G29" s="30">
        <f t="shared" si="19"/>
        <v>15.6</v>
      </c>
      <c r="H29" s="30">
        <f t="shared" si="19"/>
        <v>0</v>
      </c>
      <c r="I29" s="30">
        <f t="shared" si="19"/>
        <v>17.400000000000002</v>
      </c>
      <c r="J29" s="30">
        <f>+J18+J23+J24+J25+J27</f>
        <v>25.8</v>
      </c>
      <c r="K29" s="30">
        <f t="shared" ref="K29:N29" si="20">+K18+K23+K24+K25+K27</f>
        <v>25.5</v>
      </c>
      <c r="L29" s="30">
        <f t="shared" si="20"/>
        <v>19</v>
      </c>
      <c r="M29" s="30">
        <f t="shared" si="20"/>
        <v>13</v>
      </c>
      <c r="N29" s="30">
        <f t="shared" si="20"/>
        <v>-2</v>
      </c>
    </row>
    <row r="30" spans="1:14" x14ac:dyDescent="0.2">
      <c r="A30" s="12"/>
      <c r="B30" s="12" t="s">
        <v>73</v>
      </c>
      <c r="C30" s="29">
        <f t="shared" ref="C30:I30" si="21">+C17-C29</f>
        <v>58.3</v>
      </c>
      <c r="D30" s="29">
        <f t="shared" si="21"/>
        <v>30.5</v>
      </c>
      <c r="E30" s="29">
        <f t="shared" si="21"/>
        <v>1.8999999999999986</v>
      </c>
      <c r="F30" s="29">
        <f t="shared" si="21"/>
        <v>1.6000000000000005</v>
      </c>
      <c r="G30" s="29">
        <f t="shared" si="21"/>
        <v>1.7000000000000011</v>
      </c>
      <c r="H30" s="29">
        <f t="shared" si="21"/>
        <v>0.6</v>
      </c>
      <c r="I30" s="29">
        <f t="shared" si="21"/>
        <v>109.3</v>
      </c>
      <c r="J30" s="29">
        <f>+J17-J29</f>
        <v>25.2</v>
      </c>
      <c r="K30" s="29">
        <f t="shared" ref="K30:N30" si="22">+K17-K29</f>
        <v>106.5</v>
      </c>
      <c r="L30" s="29">
        <f t="shared" si="22"/>
        <v>93</v>
      </c>
      <c r="M30" s="29">
        <f t="shared" si="22"/>
        <v>59</v>
      </c>
      <c r="N30" s="29">
        <f t="shared" si="22"/>
        <v>127</v>
      </c>
    </row>
    <row r="31" spans="1:14" x14ac:dyDescent="0.2">
      <c r="A31" s="9" t="s">
        <v>74</v>
      </c>
      <c r="B31" s="1" t="s">
        <v>74</v>
      </c>
      <c r="C31" s="10" t="s">
        <v>74</v>
      </c>
      <c r="D31" s="10" t="s">
        <v>74</v>
      </c>
      <c r="E31" s="10" t="s">
        <v>74</v>
      </c>
      <c r="F31" s="10" t="s">
        <v>74</v>
      </c>
      <c r="G31" s="10" t="s">
        <v>74</v>
      </c>
      <c r="H31" s="10" t="s">
        <v>74</v>
      </c>
      <c r="I31" s="10" t="s">
        <v>74</v>
      </c>
      <c r="J31" s="10" t="s">
        <v>74</v>
      </c>
      <c r="K31" s="10" t="s">
        <v>74</v>
      </c>
      <c r="L31" s="10" t="s">
        <v>74</v>
      </c>
      <c r="M31" s="10" t="s">
        <v>74</v>
      </c>
      <c r="N31" s="10" t="s">
        <v>74</v>
      </c>
    </row>
    <row r="32" spans="1:14" x14ac:dyDescent="0.2">
      <c r="A32" s="9" t="s">
        <v>75</v>
      </c>
      <c r="B32" s="1" t="s">
        <v>76</v>
      </c>
      <c r="C32" s="28">
        <f t="shared" ref="C32:M32" si="23">SUM(C33:C51)</f>
        <v>9.9</v>
      </c>
      <c r="D32" s="28">
        <f t="shared" si="23"/>
        <v>18.5</v>
      </c>
      <c r="E32" s="28">
        <f t="shared" si="23"/>
        <v>15.7</v>
      </c>
      <c r="F32" s="28">
        <f t="shared" si="23"/>
        <v>18.8</v>
      </c>
      <c r="G32" s="28">
        <f t="shared" si="23"/>
        <v>14.700000000000003</v>
      </c>
      <c r="H32" s="28">
        <f t="shared" si="23"/>
        <v>23.6</v>
      </c>
      <c r="I32" s="28">
        <f t="shared" si="23"/>
        <v>17.799999999999997</v>
      </c>
      <c r="J32" s="28">
        <f t="shared" si="23"/>
        <v>15.7</v>
      </c>
      <c r="K32" s="28">
        <f t="shared" si="23"/>
        <v>19.8</v>
      </c>
      <c r="L32" s="28">
        <f t="shared" si="23"/>
        <v>14.700000000000003</v>
      </c>
      <c r="M32" s="28">
        <f t="shared" si="23"/>
        <v>24.5</v>
      </c>
      <c r="N32" s="28">
        <f t="shared" ref="N32" si="24">SUM(N33:N51)</f>
        <v>20.5</v>
      </c>
    </row>
    <row r="33" spans="1:14" hidden="1" outlineLevel="1" x14ac:dyDescent="0.2">
      <c r="A33" s="9" t="s">
        <v>77</v>
      </c>
      <c r="B33" s="1" t="s">
        <v>78</v>
      </c>
      <c r="C33" s="10">
        <v>3</v>
      </c>
      <c r="D33" s="10">
        <v>4</v>
      </c>
      <c r="E33" s="10">
        <v>4.5999999999999996</v>
      </c>
      <c r="F33" s="10">
        <v>5.7</v>
      </c>
      <c r="G33" s="10">
        <v>5.0999999999999996</v>
      </c>
      <c r="H33" s="10">
        <v>9.3000000000000007</v>
      </c>
      <c r="I33" s="10">
        <v>4</v>
      </c>
      <c r="J33" s="10">
        <v>4.5999999999999996</v>
      </c>
      <c r="K33" s="10">
        <v>6.7</v>
      </c>
      <c r="L33" s="10">
        <v>5.0999999999999996</v>
      </c>
      <c r="M33" s="10">
        <v>10.199999999999999</v>
      </c>
      <c r="N33" s="10">
        <v>6</v>
      </c>
    </row>
    <row r="34" spans="1:14" hidden="1" outlineLevel="1" x14ac:dyDescent="0.2">
      <c r="A34" s="9" t="s">
        <v>79</v>
      </c>
      <c r="B34" s="1" t="s">
        <v>80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0.5</v>
      </c>
      <c r="I34" s="10">
        <v>0</v>
      </c>
      <c r="J34" s="10">
        <v>0</v>
      </c>
      <c r="K34" s="10">
        <v>0</v>
      </c>
      <c r="L34" s="10">
        <v>0</v>
      </c>
      <c r="M34" s="10">
        <v>0.5</v>
      </c>
      <c r="N34" s="10">
        <v>0</v>
      </c>
    </row>
    <row r="35" spans="1:14" hidden="1" outlineLevel="1" x14ac:dyDescent="0.2">
      <c r="A35" s="9" t="s">
        <v>81</v>
      </c>
      <c r="B35" s="1" t="s">
        <v>82</v>
      </c>
      <c r="C35" s="10">
        <v>0.8</v>
      </c>
      <c r="D35" s="10">
        <v>0.8</v>
      </c>
      <c r="E35" s="10">
        <v>0.8</v>
      </c>
      <c r="F35" s="10">
        <v>1.3</v>
      </c>
      <c r="G35" s="10">
        <v>0.9</v>
      </c>
      <c r="H35" s="10">
        <v>2</v>
      </c>
      <c r="I35" s="10">
        <v>0.9</v>
      </c>
      <c r="J35" s="10">
        <v>0.8</v>
      </c>
      <c r="K35" s="10">
        <v>1.3</v>
      </c>
      <c r="L35" s="10">
        <v>0.9</v>
      </c>
      <c r="M35" s="10">
        <v>2</v>
      </c>
      <c r="N35" s="10">
        <v>0.8</v>
      </c>
    </row>
    <row r="36" spans="1:14" hidden="1" outlineLevel="1" x14ac:dyDescent="0.2">
      <c r="A36" s="9" t="s">
        <v>83</v>
      </c>
      <c r="B36" s="1" t="s">
        <v>84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hidden="1" outlineLevel="1" x14ac:dyDescent="0.2">
      <c r="A37" s="9" t="s">
        <v>85</v>
      </c>
      <c r="B37" s="1" t="s">
        <v>86</v>
      </c>
      <c r="C37" s="10">
        <v>0</v>
      </c>
      <c r="D37" s="10">
        <v>0</v>
      </c>
      <c r="E37" s="10">
        <v>0.1</v>
      </c>
      <c r="F37" s="10">
        <v>0</v>
      </c>
      <c r="G37" s="10">
        <v>0.2</v>
      </c>
      <c r="H37" s="10">
        <v>0.1</v>
      </c>
      <c r="I37" s="10">
        <v>0.1</v>
      </c>
      <c r="J37" s="10">
        <v>0.1</v>
      </c>
      <c r="K37" s="10">
        <v>0</v>
      </c>
      <c r="L37" s="10">
        <v>0.2</v>
      </c>
      <c r="M37" s="10">
        <v>0.1</v>
      </c>
      <c r="N37" s="10">
        <v>0</v>
      </c>
    </row>
    <row r="38" spans="1:14" hidden="1" outlineLevel="1" x14ac:dyDescent="0.2">
      <c r="A38" s="9" t="s">
        <v>87</v>
      </c>
      <c r="B38" s="1" t="s">
        <v>88</v>
      </c>
      <c r="C38" s="10">
        <v>0.4</v>
      </c>
      <c r="D38" s="10">
        <v>0.4</v>
      </c>
      <c r="E38" s="10">
        <v>0.4</v>
      </c>
      <c r="F38" s="10">
        <v>0.5</v>
      </c>
      <c r="G38" s="10">
        <v>0.4</v>
      </c>
      <c r="H38" s="10">
        <v>0.8</v>
      </c>
      <c r="I38" s="10">
        <v>0.4</v>
      </c>
      <c r="J38" s="10">
        <v>0.4</v>
      </c>
      <c r="K38" s="10">
        <v>0.5</v>
      </c>
      <c r="L38" s="10">
        <v>0.4</v>
      </c>
      <c r="M38" s="10">
        <v>0.8</v>
      </c>
      <c r="N38" s="10">
        <v>0.4</v>
      </c>
    </row>
    <row r="39" spans="1:14" hidden="1" outlineLevel="1" x14ac:dyDescent="0.2">
      <c r="A39" s="9" t="s">
        <v>89</v>
      </c>
      <c r="B39" s="1" t="s">
        <v>90</v>
      </c>
      <c r="C39" s="10">
        <v>0.5</v>
      </c>
      <c r="D39" s="10">
        <v>0.4</v>
      </c>
      <c r="E39" s="10">
        <v>0.4</v>
      </c>
      <c r="F39" s="10">
        <v>0.5</v>
      </c>
      <c r="G39" s="10">
        <v>0.5</v>
      </c>
      <c r="H39" s="10">
        <v>0.9</v>
      </c>
      <c r="I39" s="10">
        <v>0.5</v>
      </c>
      <c r="J39" s="10">
        <v>0.4</v>
      </c>
      <c r="K39" s="10">
        <v>0.5</v>
      </c>
      <c r="L39" s="10">
        <v>0.5</v>
      </c>
      <c r="M39" s="10">
        <v>0.9</v>
      </c>
      <c r="N39" s="10">
        <v>0.4</v>
      </c>
    </row>
    <row r="40" spans="1:14" hidden="1" outlineLevel="1" x14ac:dyDescent="0.2">
      <c r="A40" s="9" t="s">
        <v>93</v>
      </c>
      <c r="B40" s="1" t="s">
        <v>94</v>
      </c>
      <c r="C40" s="10">
        <v>0.6</v>
      </c>
      <c r="D40" s="10">
        <v>0.5</v>
      </c>
      <c r="E40" s="10">
        <v>0.5</v>
      </c>
      <c r="F40" s="10">
        <v>0.7</v>
      </c>
      <c r="G40" s="10">
        <v>0.4</v>
      </c>
      <c r="H40" s="10">
        <v>0.9</v>
      </c>
      <c r="I40" s="10">
        <v>0.6</v>
      </c>
      <c r="J40" s="10">
        <v>0.5</v>
      </c>
      <c r="K40" s="10">
        <v>0.7</v>
      </c>
      <c r="L40" s="10">
        <v>0.4</v>
      </c>
      <c r="M40" s="10">
        <v>0.9</v>
      </c>
      <c r="N40" s="10">
        <v>0.5</v>
      </c>
    </row>
    <row r="41" spans="1:14" hidden="1" outlineLevel="1" x14ac:dyDescent="0.2">
      <c r="A41" s="9" t="s">
        <v>95</v>
      </c>
      <c r="B41" s="1" t="s">
        <v>96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0.3</v>
      </c>
      <c r="I41" s="10">
        <v>0</v>
      </c>
      <c r="J41" s="10">
        <v>0</v>
      </c>
      <c r="K41" s="10">
        <v>0</v>
      </c>
      <c r="L41" s="10">
        <v>0</v>
      </c>
      <c r="M41" s="10">
        <v>0.3</v>
      </c>
      <c r="N41" s="10">
        <v>0</v>
      </c>
    </row>
    <row r="42" spans="1:14" hidden="1" outlineLevel="1" x14ac:dyDescent="0.2">
      <c r="A42" s="9" t="s">
        <v>97</v>
      </c>
      <c r="B42" s="1" t="s">
        <v>98</v>
      </c>
      <c r="C42" s="10">
        <v>0.4</v>
      </c>
      <c r="D42" s="10">
        <v>0.3</v>
      </c>
      <c r="E42" s="10">
        <v>0.9</v>
      </c>
      <c r="F42" s="10">
        <v>0.7</v>
      </c>
      <c r="G42" s="10">
        <v>0.4</v>
      </c>
      <c r="H42" s="10">
        <v>1.8</v>
      </c>
      <c r="I42" s="10">
        <v>1.5</v>
      </c>
      <c r="J42" s="10">
        <v>0.9</v>
      </c>
      <c r="K42" s="10">
        <v>0.7</v>
      </c>
      <c r="L42" s="10">
        <v>0.4</v>
      </c>
      <c r="M42" s="10">
        <v>1.8</v>
      </c>
      <c r="N42" s="10">
        <v>0.3</v>
      </c>
    </row>
    <row r="43" spans="1:14" hidden="1" outlineLevel="1" x14ac:dyDescent="0.2">
      <c r="A43" s="9" t="s">
        <v>303</v>
      </c>
      <c r="B43" s="1" t="s">
        <v>304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0.1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99</v>
      </c>
      <c r="B44" s="1" t="s">
        <v>100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hidden="1" outlineLevel="1" x14ac:dyDescent="0.2">
      <c r="A45" s="9" t="s">
        <v>101</v>
      </c>
      <c r="B45" s="1" t="s">
        <v>102</v>
      </c>
      <c r="C45" s="10">
        <v>0</v>
      </c>
      <c r="D45" s="10">
        <v>0.1</v>
      </c>
      <c r="E45" s="10">
        <v>0</v>
      </c>
      <c r="F45" s="10">
        <v>0</v>
      </c>
      <c r="G45" s="10">
        <v>0.1</v>
      </c>
      <c r="H45" s="10">
        <v>0</v>
      </c>
      <c r="I45" s="10">
        <v>0</v>
      </c>
      <c r="J45" s="10">
        <v>0</v>
      </c>
      <c r="K45" s="10">
        <v>0</v>
      </c>
      <c r="L45" s="10">
        <v>0.1</v>
      </c>
      <c r="M45" s="10">
        <v>0</v>
      </c>
      <c r="N45" s="10">
        <v>0.1</v>
      </c>
    </row>
    <row r="46" spans="1:14" hidden="1" outlineLevel="1" x14ac:dyDescent="0.2">
      <c r="A46" s="9" t="s">
        <v>103</v>
      </c>
      <c r="B46" s="1" t="s">
        <v>104</v>
      </c>
      <c r="C46" s="10">
        <v>0.4</v>
      </c>
      <c r="D46" s="10">
        <v>0.4</v>
      </c>
      <c r="E46" s="10">
        <v>0.4</v>
      </c>
      <c r="F46" s="10">
        <v>0.5</v>
      </c>
      <c r="G46" s="10">
        <v>0.5</v>
      </c>
      <c r="H46" s="10">
        <v>0.4</v>
      </c>
      <c r="I46" s="10">
        <v>0.5</v>
      </c>
      <c r="J46" s="10">
        <v>0.4</v>
      </c>
      <c r="K46" s="10">
        <v>0.5</v>
      </c>
      <c r="L46" s="10">
        <v>0.5</v>
      </c>
      <c r="M46" s="10">
        <v>0.4</v>
      </c>
      <c r="N46" s="10">
        <v>0.4</v>
      </c>
    </row>
    <row r="47" spans="1:14" hidden="1" outlineLevel="1" x14ac:dyDescent="0.2">
      <c r="A47" s="9" t="s">
        <v>305</v>
      </c>
      <c r="B47" s="1" t="s">
        <v>306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hidden="1" outlineLevel="1" x14ac:dyDescent="0.2">
      <c r="A48" s="9" t="s">
        <v>105</v>
      </c>
      <c r="B48" s="1" t="s">
        <v>106</v>
      </c>
      <c r="C48" s="10">
        <v>3.9</v>
      </c>
      <c r="D48" s="10">
        <v>11.6</v>
      </c>
      <c r="E48" s="10">
        <v>7.9</v>
      </c>
      <c r="F48" s="10">
        <v>9.6</v>
      </c>
      <c r="G48" s="10">
        <v>5.7</v>
      </c>
      <c r="H48" s="10">
        <v>6.5</v>
      </c>
      <c r="I48" s="10">
        <v>8.3000000000000007</v>
      </c>
      <c r="J48" s="10">
        <v>7.9</v>
      </c>
      <c r="K48" s="10">
        <v>9.6</v>
      </c>
      <c r="L48" s="10">
        <v>5.7</v>
      </c>
      <c r="M48" s="10">
        <v>6.5</v>
      </c>
      <c r="N48" s="10">
        <v>11.6</v>
      </c>
    </row>
    <row r="49" spans="1:14" hidden="1" outlineLevel="1" x14ac:dyDescent="0.2">
      <c r="A49" s="9" t="s">
        <v>107</v>
      </c>
      <c r="B49" s="1" t="s">
        <v>108</v>
      </c>
      <c r="C49" s="10">
        <v>0.1</v>
      </c>
      <c r="D49" s="10">
        <v>0</v>
      </c>
      <c r="E49" s="10">
        <v>0</v>
      </c>
      <c r="F49" s="10">
        <v>0</v>
      </c>
      <c r="G49" s="10">
        <v>0</v>
      </c>
      <c r="H49" s="10">
        <v>0.1</v>
      </c>
      <c r="I49" s="10">
        <v>0.2</v>
      </c>
      <c r="J49" s="10">
        <v>0</v>
      </c>
      <c r="K49" s="10">
        <v>0</v>
      </c>
      <c r="L49" s="10">
        <v>0</v>
      </c>
      <c r="M49" s="10">
        <v>0.1</v>
      </c>
      <c r="N49" s="10">
        <v>0</v>
      </c>
    </row>
    <row r="50" spans="1:14" hidden="1" outlineLevel="1" x14ac:dyDescent="0.2">
      <c r="A50" s="9" t="s">
        <v>109</v>
      </c>
      <c r="B50" s="1" t="s">
        <v>110</v>
      </c>
      <c r="C50" s="10">
        <v>0</v>
      </c>
      <c r="D50" s="10">
        <v>0</v>
      </c>
      <c r="E50" s="10">
        <v>0</v>
      </c>
      <c r="F50" s="10">
        <v>0</v>
      </c>
      <c r="G50" s="10">
        <v>0.2</v>
      </c>
      <c r="H50" s="10">
        <v>0</v>
      </c>
      <c r="I50" s="10">
        <v>0.7</v>
      </c>
      <c r="J50" s="10">
        <v>0</v>
      </c>
      <c r="K50" s="10">
        <v>0</v>
      </c>
      <c r="L50" s="10">
        <v>0.2</v>
      </c>
      <c r="M50" s="10">
        <v>0</v>
      </c>
      <c r="N50" s="10">
        <v>0</v>
      </c>
    </row>
    <row r="51" spans="1:14" hidden="1" outlineLevel="1" x14ac:dyDescent="0.2">
      <c r="A51" s="9" t="s">
        <v>307</v>
      </c>
      <c r="B51" s="1" t="s">
        <v>308</v>
      </c>
      <c r="C51" s="10">
        <v>-0.2</v>
      </c>
      <c r="D51" s="10">
        <v>0</v>
      </c>
      <c r="E51" s="10">
        <v>-0.3</v>
      </c>
      <c r="F51" s="10">
        <v>-0.7</v>
      </c>
      <c r="G51" s="10">
        <v>0.3</v>
      </c>
      <c r="H51" s="10">
        <v>0</v>
      </c>
      <c r="I51" s="10">
        <v>0</v>
      </c>
      <c r="J51" s="10">
        <v>-0.3</v>
      </c>
      <c r="K51" s="10">
        <v>-0.7</v>
      </c>
      <c r="L51" s="10">
        <v>0.3</v>
      </c>
      <c r="M51" s="10">
        <v>0</v>
      </c>
      <c r="N51" s="10">
        <v>0</v>
      </c>
    </row>
    <row r="52" spans="1:14" collapsed="1" x14ac:dyDescent="0.2">
      <c r="A52" s="9" t="s">
        <v>111</v>
      </c>
      <c r="B52" s="1" t="s">
        <v>112</v>
      </c>
      <c r="C52" s="28">
        <f t="shared" ref="C52:N52" si="25">SUM(C53:C56)</f>
        <v>0.5</v>
      </c>
      <c r="D52" s="28">
        <f t="shared" si="25"/>
        <v>0</v>
      </c>
      <c r="E52" s="28">
        <f t="shared" si="25"/>
        <v>0</v>
      </c>
      <c r="F52" s="28">
        <f t="shared" si="25"/>
        <v>0</v>
      </c>
      <c r="G52" s="28">
        <f t="shared" si="25"/>
        <v>0</v>
      </c>
      <c r="H52" s="28">
        <f t="shared" si="25"/>
        <v>0</v>
      </c>
      <c r="I52" s="28">
        <f t="shared" si="25"/>
        <v>0.3</v>
      </c>
      <c r="J52" s="28">
        <f t="shared" si="25"/>
        <v>0</v>
      </c>
      <c r="K52" s="28">
        <f t="shared" si="25"/>
        <v>0</v>
      </c>
      <c r="L52" s="28">
        <f t="shared" si="25"/>
        <v>0</v>
      </c>
      <c r="M52" s="28">
        <f t="shared" si="25"/>
        <v>0.3</v>
      </c>
      <c r="N52" s="28">
        <f t="shared" si="25"/>
        <v>0.3</v>
      </c>
    </row>
    <row r="53" spans="1:14" hidden="1" outlineLevel="1" x14ac:dyDescent="0.2">
      <c r="A53" s="9" t="s">
        <v>113</v>
      </c>
      <c r="B53" s="1" t="s">
        <v>114</v>
      </c>
      <c r="C53" s="10">
        <v>0.5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</row>
    <row r="54" spans="1:14" hidden="1" outlineLevel="1" x14ac:dyDescent="0.2">
      <c r="A54" s="9" t="s">
        <v>388</v>
      </c>
      <c r="B54" s="1" t="s">
        <v>389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hidden="1" outlineLevel="1" x14ac:dyDescent="0.2">
      <c r="A55" s="9" t="s">
        <v>311</v>
      </c>
      <c r="B55" s="1" t="s">
        <v>312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0.3</v>
      </c>
      <c r="J55" s="10">
        <v>0</v>
      </c>
      <c r="K55" s="10">
        <v>0</v>
      </c>
      <c r="L55" s="10">
        <v>0</v>
      </c>
      <c r="M55" s="10">
        <v>0.3</v>
      </c>
      <c r="N55" s="10">
        <v>0.3</v>
      </c>
    </row>
    <row r="56" spans="1:14" hidden="1" outlineLevel="1" x14ac:dyDescent="0.2">
      <c r="A56" s="9" t="s">
        <v>117</v>
      </c>
      <c r="B56" s="1" t="s">
        <v>118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</row>
    <row r="57" spans="1:14" collapsed="1" x14ac:dyDescent="0.2">
      <c r="A57" s="9" t="s">
        <v>119</v>
      </c>
      <c r="B57" s="1" t="s">
        <v>120</v>
      </c>
      <c r="C57" s="28">
        <f t="shared" ref="C57:N57" si="26">SUM(C58:C59)</f>
        <v>0.1</v>
      </c>
      <c r="D57" s="28">
        <f t="shared" si="26"/>
        <v>0.1</v>
      </c>
      <c r="E57" s="28">
        <f t="shared" si="26"/>
        <v>0.1</v>
      </c>
      <c r="F57" s="28">
        <f t="shared" si="26"/>
        <v>0.1</v>
      </c>
      <c r="G57" s="28">
        <f t="shared" si="26"/>
        <v>0.1</v>
      </c>
      <c r="H57" s="28">
        <f t="shared" si="26"/>
        <v>0.1</v>
      </c>
      <c r="I57" s="28">
        <f t="shared" si="26"/>
        <v>0.1</v>
      </c>
      <c r="J57" s="28">
        <f t="shared" si="26"/>
        <v>0.1</v>
      </c>
      <c r="K57" s="28">
        <f t="shared" si="26"/>
        <v>0.1</v>
      </c>
      <c r="L57" s="28">
        <f t="shared" si="26"/>
        <v>0.1</v>
      </c>
      <c r="M57" s="28">
        <f t="shared" si="26"/>
        <v>0.1</v>
      </c>
      <c r="N57" s="28">
        <f t="shared" si="26"/>
        <v>0.1</v>
      </c>
    </row>
    <row r="58" spans="1:14" hidden="1" outlineLevel="1" x14ac:dyDescent="0.2">
      <c r="A58" s="9" t="s">
        <v>123</v>
      </c>
      <c r="B58" s="1" t="s">
        <v>124</v>
      </c>
      <c r="C58" s="10">
        <v>0.1</v>
      </c>
      <c r="D58" s="10">
        <v>0.1</v>
      </c>
      <c r="E58" s="10">
        <v>0.1</v>
      </c>
      <c r="F58" s="10">
        <v>0.1</v>
      </c>
      <c r="G58" s="10">
        <v>0.1</v>
      </c>
      <c r="H58" s="10">
        <v>0.1</v>
      </c>
      <c r="I58" s="10">
        <v>0.1</v>
      </c>
      <c r="J58" s="10">
        <v>0.1</v>
      </c>
      <c r="K58" s="10">
        <v>0.1</v>
      </c>
      <c r="L58" s="10">
        <v>0.1</v>
      </c>
      <c r="M58" s="10">
        <v>0.1</v>
      </c>
      <c r="N58" s="10">
        <v>0.1</v>
      </c>
    </row>
    <row r="59" spans="1:14" hidden="1" outlineLevel="1" x14ac:dyDescent="0.2">
      <c r="A59" s="9" t="s">
        <v>125</v>
      </c>
      <c r="B59" s="1" t="s">
        <v>126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</row>
    <row r="60" spans="1:14" collapsed="1" x14ac:dyDescent="0.2">
      <c r="A60" s="9" t="s">
        <v>127</v>
      </c>
      <c r="B60" s="1" t="s">
        <v>128</v>
      </c>
      <c r="C60" s="28">
        <f t="shared" ref="C60:M60" si="27">SUM(C61:C62)</f>
        <v>0.7</v>
      </c>
      <c r="D60" s="28">
        <f t="shared" si="27"/>
        <v>0.3</v>
      </c>
      <c r="E60" s="28">
        <f t="shared" si="27"/>
        <v>0.2</v>
      </c>
      <c r="F60" s="28">
        <f t="shared" si="27"/>
        <v>-0.2</v>
      </c>
      <c r="G60" s="28">
        <f t="shared" si="27"/>
        <v>0.5</v>
      </c>
      <c r="H60" s="28">
        <f t="shared" si="27"/>
        <v>0.8</v>
      </c>
      <c r="I60" s="28">
        <f t="shared" si="27"/>
        <v>0.4</v>
      </c>
      <c r="J60" s="28">
        <f t="shared" si="27"/>
        <v>0.5</v>
      </c>
      <c r="K60" s="28">
        <f t="shared" si="27"/>
        <v>0.8</v>
      </c>
      <c r="L60" s="28">
        <f t="shared" si="27"/>
        <v>0.5</v>
      </c>
      <c r="M60" s="28">
        <f t="shared" si="27"/>
        <v>0.8</v>
      </c>
      <c r="N60" s="28">
        <f t="shared" ref="N60" si="28">SUM(N61:N62)</f>
        <v>0.4</v>
      </c>
    </row>
    <row r="61" spans="1:14" hidden="1" outlineLevel="1" x14ac:dyDescent="0.2">
      <c r="A61" s="9" t="s">
        <v>129</v>
      </c>
      <c r="B61" s="1" t="s">
        <v>130</v>
      </c>
      <c r="C61" s="10">
        <v>0.7</v>
      </c>
      <c r="D61" s="10">
        <v>0.3</v>
      </c>
      <c r="E61" s="10">
        <v>0.2</v>
      </c>
      <c r="F61" s="10">
        <v>-0.2</v>
      </c>
      <c r="G61" s="10">
        <v>0.5</v>
      </c>
      <c r="H61" s="10">
        <v>0.8</v>
      </c>
      <c r="I61" s="10">
        <v>0.4</v>
      </c>
      <c r="J61" s="10">
        <v>0.5</v>
      </c>
      <c r="K61" s="10">
        <v>0.8</v>
      </c>
      <c r="L61" s="10">
        <v>0.5</v>
      </c>
      <c r="M61" s="10">
        <v>0.8</v>
      </c>
      <c r="N61" s="10">
        <v>0.4</v>
      </c>
    </row>
    <row r="62" spans="1:14" hidden="1" outlineLevel="1" x14ac:dyDescent="0.2">
      <c r="A62" s="9" t="s">
        <v>131</v>
      </c>
      <c r="B62" s="1" t="s">
        <v>132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</row>
    <row r="63" spans="1:14" collapsed="1" x14ac:dyDescent="0.2">
      <c r="A63" s="9" t="s">
        <v>133</v>
      </c>
      <c r="B63" s="1" t="s">
        <v>134</v>
      </c>
      <c r="C63" s="28">
        <f t="shared" ref="C63:I63" si="29">+C64</f>
        <v>0.1</v>
      </c>
      <c r="D63" s="28">
        <f t="shared" si="29"/>
        <v>-3.1</v>
      </c>
      <c r="E63" s="28">
        <f t="shared" si="29"/>
        <v>0.3</v>
      </c>
      <c r="F63" s="28">
        <f t="shared" si="29"/>
        <v>5.9</v>
      </c>
      <c r="G63" s="28">
        <f t="shared" si="29"/>
        <v>-0.5</v>
      </c>
      <c r="H63" s="28">
        <f t="shared" si="29"/>
        <v>8.1</v>
      </c>
      <c r="I63" s="28">
        <f t="shared" si="29"/>
        <v>0</v>
      </c>
      <c r="J63" s="28">
        <f>+J64</f>
        <v>5.9</v>
      </c>
      <c r="K63" s="28">
        <f t="shared" ref="K63:N63" si="30">+K64</f>
        <v>-0.5</v>
      </c>
      <c r="L63" s="28">
        <f t="shared" si="30"/>
        <v>8.1</v>
      </c>
      <c r="M63" s="28">
        <f t="shared" si="30"/>
        <v>7</v>
      </c>
      <c r="N63" s="28">
        <f t="shared" si="30"/>
        <v>-0.3</v>
      </c>
    </row>
    <row r="64" spans="1:14" hidden="1" outlineLevel="1" x14ac:dyDescent="0.2">
      <c r="A64" s="9" t="s">
        <v>335</v>
      </c>
      <c r="B64" s="1" t="s">
        <v>336</v>
      </c>
      <c r="C64" s="10">
        <v>0.1</v>
      </c>
      <c r="D64" s="10">
        <v>-3.1</v>
      </c>
      <c r="E64" s="10">
        <v>0.3</v>
      </c>
      <c r="F64" s="10">
        <v>5.9</v>
      </c>
      <c r="G64" s="10">
        <v>-0.5</v>
      </c>
      <c r="H64" s="10">
        <v>8.1</v>
      </c>
      <c r="I64" s="10">
        <v>0</v>
      </c>
      <c r="J64" s="10">
        <v>5.9</v>
      </c>
      <c r="K64" s="10">
        <v>-0.5</v>
      </c>
      <c r="L64" s="10">
        <v>8.1</v>
      </c>
      <c r="M64" s="10">
        <v>7</v>
      </c>
      <c r="N64" s="10">
        <v>-0.3</v>
      </c>
    </row>
    <row r="65" spans="1:14" collapsed="1" x14ac:dyDescent="0.2">
      <c r="A65" s="9" t="s">
        <v>137</v>
      </c>
      <c r="B65" s="1" t="s">
        <v>138</v>
      </c>
      <c r="C65" s="28">
        <f t="shared" ref="C65:I65" si="31">+C66</f>
        <v>0</v>
      </c>
      <c r="D65" s="28">
        <f t="shared" si="31"/>
        <v>0</v>
      </c>
      <c r="E65" s="28">
        <f t="shared" si="31"/>
        <v>0</v>
      </c>
      <c r="F65" s="28">
        <f t="shared" si="31"/>
        <v>0</v>
      </c>
      <c r="G65" s="28">
        <f t="shared" si="31"/>
        <v>0</v>
      </c>
      <c r="H65" s="28">
        <f t="shared" si="31"/>
        <v>0</v>
      </c>
      <c r="I65" s="28">
        <f t="shared" si="31"/>
        <v>0</v>
      </c>
      <c r="J65" s="28">
        <f>+J66</f>
        <v>0</v>
      </c>
      <c r="K65" s="28">
        <f t="shared" ref="K65:N65" si="32">+K66</f>
        <v>0</v>
      </c>
      <c r="L65" s="28">
        <f t="shared" si="32"/>
        <v>0</v>
      </c>
      <c r="M65" s="28">
        <f t="shared" si="32"/>
        <v>0</v>
      </c>
      <c r="N65" s="28">
        <f t="shared" si="32"/>
        <v>0</v>
      </c>
    </row>
    <row r="66" spans="1:14" hidden="1" outlineLevel="1" x14ac:dyDescent="0.2">
      <c r="A66" s="9" t="s">
        <v>351</v>
      </c>
      <c r="B66" s="1" t="s">
        <v>352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</row>
    <row r="67" spans="1:14" collapsed="1" x14ac:dyDescent="0.2">
      <c r="A67" s="9" t="s">
        <v>139</v>
      </c>
      <c r="B67" s="1" t="s">
        <v>140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28">
        <v>0</v>
      </c>
      <c r="K67" s="28">
        <v>0</v>
      </c>
      <c r="L67" s="28">
        <v>0</v>
      </c>
      <c r="M67" s="28">
        <v>0</v>
      </c>
      <c r="N67" s="28">
        <v>0</v>
      </c>
    </row>
    <row r="68" spans="1:14" x14ac:dyDescent="0.2">
      <c r="A68" s="9" t="s">
        <v>141</v>
      </c>
      <c r="B68" s="1" t="s">
        <v>142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28">
        <v>0</v>
      </c>
      <c r="K68" s="28">
        <v>0</v>
      </c>
      <c r="L68" s="28">
        <v>0</v>
      </c>
      <c r="M68" s="28">
        <v>0</v>
      </c>
      <c r="N68" s="28">
        <v>0</v>
      </c>
    </row>
    <row r="69" spans="1:14" x14ac:dyDescent="0.2">
      <c r="A69" s="9" t="s">
        <v>143</v>
      </c>
      <c r="B69" s="1" t="s">
        <v>144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28">
        <v>0</v>
      </c>
      <c r="K69" s="28">
        <v>0</v>
      </c>
      <c r="L69" s="28">
        <v>0</v>
      </c>
      <c r="M69" s="28">
        <v>0</v>
      </c>
      <c r="N69" s="28">
        <v>0</v>
      </c>
    </row>
    <row r="70" spans="1:14" x14ac:dyDescent="0.2">
      <c r="A70" s="9" t="s">
        <v>157</v>
      </c>
      <c r="B70" s="1" t="s">
        <v>158</v>
      </c>
      <c r="C70" s="28">
        <f t="shared" ref="C70:I70" si="33">+C71</f>
        <v>-16.7</v>
      </c>
      <c r="D70" s="28">
        <f t="shared" si="33"/>
        <v>-6.1</v>
      </c>
      <c r="E70" s="28">
        <f t="shared" si="33"/>
        <v>-2.2000000000000002</v>
      </c>
      <c r="F70" s="28">
        <f t="shared" si="33"/>
        <v>-0.9</v>
      </c>
      <c r="G70" s="28">
        <f t="shared" si="33"/>
        <v>0.1</v>
      </c>
      <c r="H70" s="28">
        <f t="shared" si="33"/>
        <v>-0.2</v>
      </c>
      <c r="I70" s="28">
        <f t="shared" si="33"/>
        <v>2.1</v>
      </c>
      <c r="J70" s="28">
        <f>+J71</f>
        <v>-0.9</v>
      </c>
      <c r="K70" s="28">
        <f t="shared" ref="K70:N70" si="34">+K71</f>
        <v>0.1</v>
      </c>
      <c r="L70" s="28">
        <f t="shared" si="34"/>
        <v>-0.2</v>
      </c>
      <c r="M70" s="28">
        <f t="shared" si="34"/>
        <v>2.1</v>
      </c>
      <c r="N70" s="28">
        <f t="shared" si="34"/>
        <v>3</v>
      </c>
    </row>
    <row r="71" spans="1:14" hidden="1" outlineLevel="1" x14ac:dyDescent="0.2">
      <c r="A71" s="9" t="s">
        <v>159</v>
      </c>
      <c r="B71" s="1" t="s">
        <v>160</v>
      </c>
      <c r="C71" s="10">
        <v>-16.7</v>
      </c>
      <c r="D71" s="10">
        <v>-6.1</v>
      </c>
      <c r="E71" s="10">
        <v>-2.2000000000000002</v>
      </c>
      <c r="F71" s="10">
        <v>-0.9</v>
      </c>
      <c r="G71" s="10">
        <v>0.1</v>
      </c>
      <c r="H71" s="10">
        <v>-0.2</v>
      </c>
      <c r="I71" s="10">
        <v>2.1</v>
      </c>
      <c r="J71" s="10">
        <v>-0.9</v>
      </c>
      <c r="K71" s="10">
        <v>0.1</v>
      </c>
      <c r="L71" s="10">
        <v>-0.2</v>
      </c>
      <c r="M71" s="10">
        <v>2.1</v>
      </c>
      <c r="N71" s="10">
        <v>3</v>
      </c>
    </row>
    <row r="72" spans="1:14" collapsed="1" x14ac:dyDescent="0.2">
      <c r="A72" s="3"/>
      <c r="B72" s="3" t="s">
        <v>165</v>
      </c>
      <c r="C72" s="30">
        <f t="shared" ref="C72:I72" si="35">+C32+C52+C57+C60+C63+C65+C67+C68+C69+C70</f>
        <v>-5.4</v>
      </c>
      <c r="D72" s="30">
        <f t="shared" si="35"/>
        <v>9.7000000000000028</v>
      </c>
      <c r="E72" s="30">
        <f t="shared" si="35"/>
        <v>14.099999999999998</v>
      </c>
      <c r="F72" s="30">
        <f t="shared" si="35"/>
        <v>23.700000000000003</v>
      </c>
      <c r="G72" s="30">
        <f t="shared" si="35"/>
        <v>14.900000000000002</v>
      </c>
      <c r="H72" s="30">
        <f t="shared" si="35"/>
        <v>32.4</v>
      </c>
      <c r="I72" s="30">
        <f t="shared" si="35"/>
        <v>20.7</v>
      </c>
      <c r="J72" s="30">
        <f>+J32+J52+J57+J60+J63+J65+J67+J68+J69+J70</f>
        <v>21.299999999999997</v>
      </c>
      <c r="K72" s="30">
        <f t="shared" ref="K72:N72" si="36">+K32+K52+K57+K60+K63+K65+K67+K68+K69+K70</f>
        <v>20.300000000000004</v>
      </c>
      <c r="L72" s="30">
        <f t="shared" si="36"/>
        <v>23.200000000000003</v>
      </c>
      <c r="M72" s="30">
        <f t="shared" si="36"/>
        <v>34.800000000000004</v>
      </c>
      <c r="N72" s="30">
        <f t="shared" si="36"/>
        <v>24</v>
      </c>
    </row>
    <row r="73" spans="1:14" x14ac:dyDescent="0.2">
      <c r="A73" s="12"/>
      <c r="B73" s="12" t="s">
        <v>166</v>
      </c>
      <c r="C73" s="29">
        <f t="shared" ref="C73:I73" si="37">+C30-C72</f>
        <v>63.699999999999996</v>
      </c>
      <c r="D73" s="29">
        <f t="shared" si="37"/>
        <v>20.799999999999997</v>
      </c>
      <c r="E73" s="29">
        <f t="shared" si="37"/>
        <v>-12.2</v>
      </c>
      <c r="F73" s="29">
        <f t="shared" si="37"/>
        <v>-22.1</v>
      </c>
      <c r="G73" s="29">
        <f t="shared" si="37"/>
        <v>-13.200000000000001</v>
      </c>
      <c r="H73" s="29">
        <f t="shared" si="37"/>
        <v>-31.799999999999997</v>
      </c>
      <c r="I73" s="29">
        <f t="shared" si="37"/>
        <v>88.6</v>
      </c>
      <c r="J73" s="29">
        <f>+J30-J72</f>
        <v>3.9000000000000021</v>
      </c>
      <c r="K73" s="29">
        <f t="shared" ref="K73:N73" si="38">+K30-K72</f>
        <v>86.199999999999989</v>
      </c>
      <c r="L73" s="29">
        <f t="shared" si="38"/>
        <v>69.8</v>
      </c>
      <c r="M73" s="29">
        <f t="shared" si="38"/>
        <v>24.199999999999996</v>
      </c>
      <c r="N73" s="29">
        <f t="shared" si="38"/>
        <v>103</v>
      </c>
    </row>
    <row r="74" spans="1:14" x14ac:dyDescent="0.2">
      <c r="A74" s="9" t="s">
        <v>167</v>
      </c>
      <c r="B74" s="1" t="s">
        <v>168</v>
      </c>
      <c r="C74" s="28">
        <f t="shared" ref="C74:I74" si="39">SUM(C75:C78)</f>
        <v>0</v>
      </c>
      <c r="D74" s="28">
        <f t="shared" si="39"/>
        <v>0</v>
      </c>
      <c r="E74" s="28">
        <f t="shared" si="39"/>
        <v>0</v>
      </c>
      <c r="F74" s="28">
        <f t="shared" si="39"/>
        <v>0</v>
      </c>
      <c r="G74" s="28">
        <f t="shared" si="39"/>
        <v>0</v>
      </c>
      <c r="H74" s="28">
        <f t="shared" si="39"/>
        <v>9.5</v>
      </c>
      <c r="I74" s="28">
        <f t="shared" si="39"/>
        <v>0</v>
      </c>
      <c r="J74" s="28">
        <f>SUM(J75:J78)</f>
        <v>9.5</v>
      </c>
      <c r="K74" s="28">
        <f t="shared" ref="K74:N74" si="40">SUM(K75:K78)</f>
        <v>0</v>
      </c>
      <c r="L74" s="28">
        <f t="shared" si="40"/>
        <v>8.7999999999999989</v>
      </c>
      <c r="M74" s="28">
        <f t="shared" si="40"/>
        <v>0</v>
      </c>
      <c r="N74" s="28">
        <f t="shared" si="40"/>
        <v>1.9000000000000001</v>
      </c>
    </row>
    <row r="75" spans="1:14" hidden="1" outlineLevel="1" x14ac:dyDescent="0.2">
      <c r="A75" s="9" t="s">
        <v>169</v>
      </c>
      <c r="B75" s="1" t="s">
        <v>170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0.5</v>
      </c>
      <c r="I75" s="10">
        <v>0</v>
      </c>
      <c r="J75" s="10">
        <v>0.5</v>
      </c>
      <c r="K75" s="10">
        <v>0</v>
      </c>
      <c r="L75" s="10">
        <v>0.5</v>
      </c>
      <c r="M75" s="10">
        <v>0</v>
      </c>
      <c r="N75" s="10">
        <v>1</v>
      </c>
    </row>
    <row r="76" spans="1:14" hidden="1" outlineLevel="1" x14ac:dyDescent="0.2">
      <c r="A76" s="9" t="s">
        <v>171</v>
      </c>
      <c r="B76" s="1" t="s">
        <v>172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0.7</v>
      </c>
      <c r="I76" s="10">
        <v>0</v>
      </c>
      <c r="J76" s="10">
        <v>0.7</v>
      </c>
      <c r="K76" s="10">
        <v>0</v>
      </c>
      <c r="L76" s="10">
        <v>0.9</v>
      </c>
      <c r="M76" s="10">
        <v>0</v>
      </c>
      <c r="N76" s="10">
        <v>0.6</v>
      </c>
    </row>
    <row r="77" spans="1:14" hidden="1" outlineLevel="1" x14ac:dyDescent="0.2">
      <c r="A77" s="9" t="s">
        <v>175</v>
      </c>
      <c r="B77" s="1" t="s">
        <v>176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7.7</v>
      </c>
      <c r="I77" s="10">
        <v>0</v>
      </c>
      <c r="J77" s="10">
        <v>7.7</v>
      </c>
      <c r="K77" s="10">
        <v>0</v>
      </c>
      <c r="L77" s="10">
        <v>6.8</v>
      </c>
      <c r="M77" s="10">
        <v>0</v>
      </c>
      <c r="N77" s="10">
        <v>0.3</v>
      </c>
    </row>
    <row r="78" spans="1:14" hidden="1" outlineLevel="1" x14ac:dyDescent="0.2">
      <c r="A78" s="9" t="s">
        <v>177</v>
      </c>
      <c r="B78" s="1" t="s">
        <v>178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0.6</v>
      </c>
      <c r="I78" s="10">
        <v>0</v>
      </c>
      <c r="J78" s="10">
        <v>0.6</v>
      </c>
      <c r="K78" s="10">
        <v>0</v>
      </c>
      <c r="L78" s="10">
        <v>0.6</v>
      </c>
      <c r="M78" s="10">
        <v>0</v>
      </c>
      <c r="N78" s="10">
        <v>0</v>
      </c>
    </row>
    <row r="79" spans="1:14" collapsed="1" x14ac:dyDescent="0.2">
      <c r="A79" s="9" t="s">
        <v>200</v>
      </c>
      <c r="B79" s="1" t="s">
        <v>201</v>
      </c>
      <c r="C79" s="28">
        <f t="shared" ref="C79:I79" si="41">SUM(C80:C83)</f>
        <v>0</v>
      </c>
      <c r="D79" s="28">
        <f t="shared" si="41"/>
        <v>0</v>
      </c>
      <c r="E79" s="28">
        <f t="shared" si="41"/>
        <v>0</v>
      </c>
      <c r="F79" s="28">
        <f t="shared" si="41"/>
        <v>0</v>
      </c>
      <c r="G79" s="28">
        <f t="shared" si="41"/>
        <v>0</v>
      </c>
      <c r="H79" s="28">
        <f t="shared" si="41"/>
        <v>0.7</v>
      </c>
      <c r="I79" s="28">
        <f t="shared" si="41"/>
        <v>0</v>
      </c>
      <c r="J79" s="28">
        <f>SUM(J80:J83)</f>
        <v>0.1</v>
      </c>
      <c r="K79" s="28">
        <f t="shared" ref="K79:N79" si="42">SUM(K80:K83)</f>
        <v>0.6</v>
      </c>
      <c r="L79" s="28">
        <f t="shared" si="42"/>
        <v>0</v>
      </c>
      <c r="M79" s="28">
        <f t="shared" si="42"/>
        <v>0.7</v>
      </c>
      <c r="N79" s="28">
        <f t="shared" si="42"/>
        <v>0</v>
      </c>
    </row>
    <row r="80" spans="1:14" hidden="1" outlineLevel="1" x14ac:dyDescent="0.2">
      <c r="A80" s="9" t="s">
        <v>212</v>
      </c>
      <c r="B80" s="1" t="s">
        <v>213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</row>
    <row r="81" spans="1:14" hidden="1" outlineLevel="1" x14ac:dyDescent="0.2">
      <c r="A81" s="9" t="s">
        <v>214</v>
      </c>
      <c r="B81" s="1" t="s">
        <v>215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</row>
    <row r="82" spans="1:14" hidden="1" outlineLevel="1" x14ac:dyDescent="0.2">
      <c r="A82" s="9" t="s">
        <v>218</v>
      </c>
      <c r="B82" s="1" t="s">
        <v>219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0.7</v>
      </c>
      <c r="I82" s="10">
        <v>0</v>
      </c>
      <c r="J82" s="10">
        <v>0</v>
      </c>
      <c r="K82" s="10">
        <v>0.6</v>
      </c>
      <c r="L82" s="10">
        <v>0</v>
      </c>
      <c r="M82" s="10">
        <v>0.7</v>
      </c>
      <c r="N82" s="10">
        <v>0</v>
      </c>
    </row>
    <row r="83" spans="1:14" hidden="1" outlineLevel="1" x14ac:dyDescent="0.2">
      <c r="A83" s="9" t="s">
        <v>220</v>
      </c>
      <c r="B83" s="1" t="s">
        <v>221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0.1</v>
      </c>
      <c r="K83" s="10">
        <v>0</v>
      </c>
      <c r="L83" s="10">
        <v>0</v>
      </c>
      <c r="M83" s="10">
        <v>0</v>
      </c>
      <c r="N83" s="10">
        <v>0</v>
      </c>
    </row>
    <row r="84" spans="1:14" collapsed="1" x14ac:dyDescent="0.2">
      <c r="A84" s="9" t="s">
        <v>226</v>
      </c>
      <c r="B84" s="1" t="s">
        <v>227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28">
        <v>0</v>
      </c>
      <c r="K84" s="28">
        <v>0</v>
      </c>
      <c r="L84" s="28">
        <v>0</v>
      </c>
      <c r="M84" s="28">
        <v>0</v>
      </c>
      <c r="N84" s="28">
        <v>0</v>
      </c>
    </row>
    <row r="85" spans="1:14" x14ac:dyDescent="0.2">
      <c r="A85" s="9" t="s">
        <v>228</v>
      </c>
      <c r="B85" s="1" t="s">
        <v>229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28">
        <v>0</v>
      </c>
      <c r="K85" s="28">
        <v>0</v>
      </c>
      <c r="L85" s="28">
        <v>0</v>
      </c>
      <c r="M85" s="28">
        <v>0</v>
      </c>
      <c r="N85" s="28">
        <v>0</v>
      </c>
    </row>
    <row r="86" spans="1:14" x14ac:dyDescent="0.2">
      <c r="A86" s="9" t="s">
        <v>230</v>
      </c>
      <c r="B86" s="1" t="s">
        <v>231</v>
      </c>
      <c r="C86" s="28">
        <f t="shared" ref="C86:I86" si="43">+C87+C88</f>
        <v>0</v>
      </c>
      <c r="D86" s="28">
        <f t="shared" si="43"/>
        <v>0</v>
      </c>
      <c r="E86" s="28">
        <f t="shared" si="43"/>
        <v>0</v>
      </c>
      <c r="F86" s="28">
        <f t="shared" si="43"/>
        <v>0</v>
      </c>
      <c r="G86" s="28">
        <f t="shared" si="43"/>
        <v>0</v>
      </c>
      <c r="H86" s="28">
        <f t="shared" si="43"/>
        <v>3.7</v>
      </c>
      <c r="I86" s="28">
        <f t="shared" si="43"/>
        <v>0</v>
      </c>
      <c r="J86" s="28">
        <f>+J87+J88</f>
        <v>3.7</v>
      </c>
      <c r="K86" s="28">
        <f t="shared" ref="K86:N86" si="44">+K87+K88</f>
        <v>0</v>
      </c>
      <c r="L86" s="28">
        <f t="shared" si="44"/>
        <v>4.0999999999999996</v>
      </c>
      <c r="M86" s="28">
        <f t="shared" si="44"/>
        <v>0</v>
      </c>
      <c r="N86" s="28">
        <f t="shared" si="44"/>
        <v>3.2</v>
      </c>
    </row>
    <row r="87" spans="1:14" hidden="1" outlineLevel="1" x14ac:dyDescent="0.2">
      <c r="A87" s="9" t="s">
        <v>232</v>
      </c>
      <c r="B87" s="1" t="s">
        <v>233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3.7</v>
      </c>
      <c r="I87" s="10">
        <v>0</v>
      </c>
      <c r="J87" s="10">
        <v>3.7</v>
      </c>
      <c r="K87" s="10">
        <v>0</v>
      </c>
      <c r="L87" s="10">
        <v>4.0999999999999996</v>
      </c>
      <c r="M87" s="10">
        <v>0</v>
      </c>
      <c r="N87" s="10">
        <v>3.2</v>
      </c>
    </row>
    <row r="88" spans="1:14" hidden="1" outlineLevel="1" x14ac:dyDescent="0.2">
      <c r="A88" s="9" t="s">
        <v>234</v>
      </c>
      <c r="B88" s="1" t="s">
        <v>235</v>
      </c>
      <c r="C88" s="10">
        <v>0</v>
      </c>
      <c r="D88" s="10">
        <v>0</v>
      </c>
      <c r="E88" s="10">
        <v>0</v>
      </c>
      <c r="F88" s="10">
        <v>0</v>
      </c>
      <c r="G88" s="10">
        <v>0</v>
      </c>
      <c r="H88" s="10">
        <v>0</v>
      </c>
      <c r="I88" s="10">
        <v>0</v>
      </c>
      <c r="J88" s="10">
        <v>0</v>
      </c>
      <c r="K88" s="10">
        <v>0</v>
      </c>
      <c r="L88" s="10">
        <v>0</v>
      </c>
      <c r="M88" s="10">
        <v>0</v>
      </c>
      <c r="N88" s="10">
        <v>0</v>
      </c>
    </row>
    <row r="89" spans="1:14" collapsed="1" x14ac:dyDescent="0.2">
      <c r="A89" s="3"/>
      <c r="B89" s="3" t="s">
        <v>236</v>
      </c>
      <c r="C89" s="30">
        <f t="shared" ref="C89:I89" si="45">+C74+C79+C84+C85+C86</f>
        <v>0</v>
      </c>
      <c r="D89" s="30">
        <f t="shared" si="45"/>
        <v>0</v>
      </c>
      <c r="E89" s="30">
        <f t="shared" si="45"/>
        <v>0</v>
      </c>
      <c r="F89" s="30">
        <f t="shared" si="45"/>
        <v>0</v>
      </c>
      <c r="G89" s="30">
        <f t="shared" si="45"/>
        <v>0</v>
      </c>
      <c r="H89" s="30">
        <f t="shared" si="45"/>
        <v>13.899999999999999</v>
      </c>
      <c r="I89" s="30">
        <f t="shared" si="45"/>
        <v>0</v>
      </c>
      <c r="J89" s="30">
        <f>+J74+J79+J84+J85+J86</f>
        <v>13.3</v>
      </c>
      <c r="K89" s="30">
        <f t="shared" ref="K89:N89" si="46">+K74+K79+K84+K85+K86</f>
        <v>0.6</v>
      </c>
      <c r="L89" s="30">
        <f t="shared" si="46"/>
        <v>12.899999999999999</v>
      </c>
      <c r="M89" s="30">
        <f t="shared" si="46"/>
        <v>0.7</v>
      </c>
      <c r="N89" s="30">
        <f t="shared" si="46"/>
        <v>5.1000000000000005</v>
      </c>
    </row>
    <row r="90" spans="1:14" x14ac:dyDescent="0.2">
      <c r="A90" s="12"/>
      <c r="B90" s="12" t="s">
        <v>237</v>
      </c>
      <c r="C90" s="29">
        <f t="shared" ref="C90:I90" si="47">+C73-C89</f>
        <v>63.699999999999996</v>
      </c>
      <c r="D90" s="29">
        <f t="shared" si="47"/>
        <v>20.799999999999997</v>
      </c>
      <c r="E90" s="29">
        <f t="shared" si="47"/>
        <v>-12.2</v>
      </c>
      <c r="F90" s="29">
        <f t="shared" si="47"/>
        <v>-22.1</v>
      </c>
      <c r="G90" s="29">
        <f t="shared" si="47"/>
        <v>-13.200000000000001</v>
      </c>
      <c r="H90" s="29">
        <f t="shared" si="47"/>
        <v>-45.699999999999996</v>
      </c>
      <c r="I90" s="29">
        <f t="shared" si="47"/>
        <v>88.6</v>
      </c>
      <c r="J90" s="29">
        <f>+J73-J89</f>
        <v>-9.3999999999999986</v>
      </c>
      <c r="K90" s="29">
        <f t="shared" ref="K90:N90" si="48">+K73-K89</f>
        <v>85.6</v>
      </c>
      <c r="L90" s="29">
        <f t="shared" si="48"/>
        <v>56.9</v>
      </c>
      <c r="M90" s="29">
        <f t="shared" si="48"/>
        <v>23.499999999999996</v>
      </c>
      <c r="N90" s="29">
        <f t="shared" si="48"/>
        <v>97.9</v>
      </c>
    </row>
    <row r="91" spans="1:14" x14ac:dyDescent="0.2">
      <c r="A91" s="9" t="s">
        <v>238</v>
      </c>
      <c r="B91" s="1" t="s">
        <v>239</v>
      </c>
      <c r="C91" s="28">
        <f t="shared" ref="C91:I91" si="49">SUM(C92:C95)</f>
        <v>1.7</v>
      </c>
      <c r="D91" s="28">
        <f t="shared" si="49"/>
        <v>0.7</v>
      </c>
      <c r="E91" s="28">
        <f t="shared" si="49"/>
        <v>0.2</v>
      </c>
      <c r="F91" s="28">
        <f t="shared" si="49"/>
        <v>0</v>
      </c>
      <c r="G91" s="28">
        <f t="shared" si="49"/>
        <v>0</v>
      </c>
      <c r="H91" s="28">
        <f t="shared" si="49"/>
        <v>0</v>
      </c>
      <c r="I91" s="28">
        <f t="shared" si="49"/>
        <v>0.4</v>
      </c>
      <c r="J91" s="28">
        <f>SUM(J92:J95)</f>
        <v>0.4</v>
      </c>
      <c r="K91" s="28">
        <f t="shared" ref="K91:N91" si="50">SUM(K92:K95)</f>
        <v>0.2</v>
      </c>
      <c r="L91" s="28">
        <f t="shared" si="50"/>
        <v>0</v>
      </c>
      <c r="M91" s="28">
        <f t="shared" si="50"/>
        <v>0</v>
      </c>
      <c r="N91" s="28">
        <f t="shared" si="50"/>
        <v>0.4</v>
      </c>
    </row>
    <row r="92" spans="1:14" hidden="1" outlineLevel="1" x14ac:dyDescent="0.2">
      <c r="A92" s="9" t="s">
        <v>240</v>
      </c>
      <c r="B92" s="1" t="s">
        <v>241</v>
      </c>
      <c r="C92" s="10">
        <v>1.7</v>
      </c>
      <c r="D92" s="10">
        <v>0.7</v>
      </c>
      <c r="E92" s="10">
        <v>0.2</v>
      </c>
      <c r="F92" s="10">
        <v>0</v>
      </c>
      <c r="G92" s="10">
        <v>0</v>
      </c>
      <c r="H92" s="10">
        <v>0</v>
      </c>
      <c r="I92" s="10">
        <v>0.4</v>
      </c>
      <c r="J92" s="10">
        <v>0.4</v>
      </c>
      <c r="K92" s="10">
        <v>0</v>
      </c>
      <c r="L92" s="10">
        <v>0</v>
      </c>
      <c r="M92" s="10">
        <v>0</v>
      </c>
      <c r="N92" s="10">
        <v>0.4</v>
      </c>
    </row>
    <row r="93" spans="1:14" hidden="1" outlineLevel="1" x14ac:dyDescent="0.2">
      <c r="A93" s="9" t="s">
        <v>242</v>
      </c>
      <c r="B93" s="1" t="s">
        <v>243</v>
      </c>
      <c r="C93" s="10">
        <v>0</v>
      </c>
      <c r="D93" s="10">
        <v>0</v>
      </c>
      <c r="E93" s="10">
        <v>0</v>
      </c>
      <c r="F93" s="10">
        <v>0</v>
      </c>
      <c r="G93" s="10">
        <v>0</v>
      </c>
      <c r="H93" s="10">
        <v>0</v>
      </c>
      <c r="I93" s="10">
        <v>0</v>
      </c>
      <c r="J93" s="10">
        <v>0</v>
      </c>
      <c r="K93" s="10">
        <v>0.2</v>
      </c>
      <c r="L93" s="10">
        <v>0</v>
      </c>
      <c r="M93" s="10">
        <v>0</v>
      </c>
      <c r="N93" s="10">
        <v>0</v>
      </c>
    </row>
    <row r="94" spans="1:14" hidden="1" outlineLevel="1" x14ac:dyDescent="0.2">
      <c r="A94" s="9" t="s">
        <v>359</v>
      </c>
      <c r="B94" s="1" t="s">
        <v>360</v>
      </c>
      <c r="C94" s="10">
        <v>0</v>
      </c>
      <c r="D94" s="10">
        <v>0</v>
      </c>
      <c r="E94" s="10">
        <v>0</v>
      </c>
      <c r="F94" s="10">
        <v>0</v>
      </c>
      <c r="G94" s="10">
        <v>0</v>
      </c>
      <c r="H94" s="10">
        <v>0</v>
      </c>
      <c r="I94" s="10">
        <v>0</v>
      </c>
      <c r="J94" s="10">
        <v>0</v>
      </c>
      <c r="K94" s="10">
        <v>0</v>
      </c>
      <c r="L94" s="10">
        <v>0</v>
      </c>
      <c r="M94" s="10">
        <v>0</v>
      </c>
      <c r="N94" s="10">
        <v>0</v>
      </c>
    </row>
    <row r="95" spans="1:14" hidden="1" outlineLevel="1" x14ac:dyDescent="0.2">
      <c r="A95" s="9" t="s">
        <v>361</v>
      </c>
      <c r="B95" s="1" t="s">
        <v>362</v>
      </c>
      <c r="C95" s="10">
        <v>0</v>
      </c>
      <c r="D95" s="10">
        <v>0</v>
      </c>
      <c r="E95" s="10">
        <v>0</v>
      </c>
      <c r="F95" s="10">
        <v>0</v>
      </c>
      <c r="G95" s="10">
        <v>0</v>
      </c>
      <c r="H95" s="10">
        <v>0</v>
      </c>
      <c r="I95" s="10">
        <v>0</v>
      </c>
      <c r="J95" s="10">
        <v>0</v>
      </c>
      <c r="K95" s="10">
        <v>0</v>
      </c>
      <c r="L95" s="10">
        <v>0</v>
      </c>
      <c r="M95" s="10">
        <v>0</v>
      </c>
      <c r="N95" s="10">
        <v>0</v>
      </c>
    </row>
    <row r="96" spans="1:14" collapsed="1" x14ac:dyDescent="0.2">
      <c r="A96" s="9" t="s">
        <v>244</v>
      </c>
      <c r="B96" s="1" t="s">
        <v>245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0</v>
      </c>
      <c r="I96" s="10">
        <v>0</v>
      </c>
      <c r="J96" s="28">
        <v>0</v>
      </c>
      <c r="K96" s="28">
        <v>0</v>
      </c>
      <c r="L96" s="28">
        <v>0</v>
      </c>
      <c r="M96" s="28">
        <v>0</v>
      </c>
      <c r="N96" s="28">
        <v>0</v>
      </c>
    </row>
    <row r="97" spans="1:14" x14ac:dyDescent="0.2">
      <c r="A97" s="12"/>
      <c r="B97" s="12" t="s">
        <v>246</v>
      </c>
      <c r="C97" s="29">
        <f t="shared" ref="C97:I97" si="51">+C90-(C91+C96)</f>
        <v>61.999999999999993</v>
      </c>
      <c r="D97" s="29">
        <f t="shared" si="51"/>
        <v>20.099999999999998</v>
      </c>
      <c r="E97" s="29">
        <f t="shared" si="51"/>
        <v>-12.399999999999999</v>
      </c>
      <c r="F97" s="29">
        <f t="shared" si="51"/>
        <v>-22.1</v>
      </c>
      <c r="G97" s="29">
        <f t="shared" si="51"/>
        <v>-13.200000000000001</v>
      </c>
      <c r="H97" s="29">
        <f t="shared" si="51"/>
        <v>-45.699999999999996</v>
      </c>
      <c r="I97" s="29">
        <f t="shared" si="51"/>
        <v>88.199999999999989</v>
      </c>
      <c r="J97" s="29">
        <f>+J90-(J91+J96)</f>
        <v>-9.7999999999999989</v>
      </c>
      <c r="K97" s="29">
        <f t="shared" ref="K97:N97" si="52">+K90-(K91+K96)</f>
        <v>85.399999999999991</v>
      </c>
      <c r="L97" s="29">
        <f t="shared" si="52"/>
        <v>56.9</v>
      </c>
      <c r="M97" s="29">
        <f t="shared" si="52"/>
        <v>23.499999999999996</v>
      </c>
      <c r="N97" s="29">
        <f t="shared" si="52"/>
        <v>97.5</v>
      </c>
    </row>
    <row r="98" spans="1:14" x14ac:dyDescent="0.2">
      <c r="A98" s="9" t="s">
        <v>74</v>
      </c>
      <c r="B98" s="1" t="s">
        <v>74</v>
      </c>
      <c r="C98" s="15" t="s">
        <v>74</v>
      </c>
      <c r="D98" s="15" t="s">
        <v>74</v>
      </c>
      <c r="E98" s="15" t="s">
        <v>74</v>
      </c>
      <c r="F98" s="15" t="s">
        <v>74</v>
      </c>
      <c r="G98" s="15" t="s">
        <v>74</v>
      </c>
      <c r="H98" s="15" t="s">
        <v>74</v>
      </c>
      <c r="I98" s="15" t="s">
        <v>74</v>
      </c>
      <c r="J98" s="15" t="s">
        <v>74</v>
      </c>
      <c r="K98" s="15" t="s">
        <v>74</v>
      </c>
      <c r="L98" s="15" t="s">
        <v>74</v>
      </c>
      <c r="M98" s="15" t="s">
        <v>74</v>
      </c>
      <c r="N98" s="15" t="s">
        <v>74</v>
      </c>
    </row>
    <row r="99" spans="1:14" x14ac:dyDescent="0.2">
      <c r="A99" s="12"/>
      <c r="B99" s="12" t="s">
        <v>247</v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</row>
    <row r="100" spans="1:14" x14ac:dyDescent="0.2">
      <c r="A100" s="9" t="s">
        <v>248</v>
      </c>
      <c r="B100" s="1" t="s">
        <v>249</v>
      </c>
      <c r="C100" s="15">
        <v>3</v>
      </c>
      <c r="D100" s="15">
        <v>3</v>
      </c>
      <c r="E100" s="15">
        <v>3</v>
      </c>
      <c r="F100" s="15">
        <v>4</v>
      </c>
      <c r="G100" s="15">
        <v>3</v>
      </c>
      <c r="H100" s="15">
        <v>4</v>
      </c>
      <c r="I100" s="15">
        <v>3</v>
      </c>
      <c r="J100" s="15">
        <v>3</v>
      </c>
      <c r="K100" s="15">
        <v>4</v>
      </c>
      <c r="L100" s="15">
        <v>3</v>
      </c>
      <c r="M100" s="15">
        <v>4</v>
      </c>
      <c r="N100" s="15">
        <v>3</v>
      </c>
    </row>
    <row r="101" spans="1:14" hidden="1" outlineLevel="1" x14ac:dyDescent="0.2">
      <c r="A101" s="9" t="s">
        <v>250</v>
      </c>
      <c r="B101" s="1" t="s">
        <v>251</v>
      </c>
      <c r="C101" s="15">
        <v>3</v>
      </c>
      <c r="D101" s="15">
        <v>3</v>
      </c>
      <c r="E101" s="15">
        <v>3</v>
      </c>
      <c r="F101" s="15">
        <v>4</v>
      </c>
      <c r="G101" s="15">
        <v>3</v>
      </c>
      <c r="H101" s="15">
        <v>4</v>
      </c>
      <c r="I101" s="15">
        <v>3</v>
      </c>
      <c r="J101" s="15">
        <v>3</v>
      </c>
      <c r="K101" s="15">
        <v>4</v>
      </c>
      <c r="L101" s="15">
        <v>3</v>
      </c>
      <c r="M101" s="15">
        <v>4</v>
      </c>
      <c r="N101" s="15">
        <v>3</v>
      </c>
    </row>
    <row r="102" spans="1:14" collapsed="1" x14ac:dyDescent="0.2">
      <c r="A102" s="9" t="s">
        <v>252</v>
      </c>
      <c r="B102" s="1" t="s">
        <v>253</v>
      </c>
      <c r="C102" s="15">
        <v>6</v>
      </c>
      <c r="D102" s="15">
        <v>6</v>
      </c>
      <c r="E102" s="15">
        <v>6</v>
      </c>
      <c r="F102" s="15">
        <v>7</v>
      </c>
      <c r="G102" s="15">
        <v>6</v>
      </c>
      <c r="H102" s="15">
        <v>7.3</v>
      </c>
      <c r="I102" s="15">
        <v>7</v>
      </c>
      <c r="J102" s="15">
        <v>6</v>
      </c>
      <c r="K102" s="15">
        <v>7</v>
      </c>
      <c r="L102" s="15">
        <v>6</v>
      </c>
      <c r="M102" s="15">
        <v>7.3</v>
      </c>
      <c r="N102" s="15">
        <v>7</v>
      </c>
    </row>
    <row r="103" spans="1:14" hidden="1" outlineLevel="1" x14ac:dyDescent="0.2">
      <c r="A103" s="9" t="s">
        <v>254</v>
      </c>
      <c r="B103" s="1" t="s">
        <v>255</v>
      </c>
      <c r="C103" s="15">
        <v>6</v>
      </c>
      <c r="D103" s="15">
        <v>6</v>
      </c>
      <c r="E103" s="15">
        <v>6</v>
      </c>
      <c r="F103" s="15">
        <v>7</v>
      </c>
      <c r="G103" s="15">
        <v>6</v>
      </c>
      <c r="H103" s="15">
        <v>7.3</v>
      </c>
      <c r="I103" s="15">
        <v>7</v>
      </c>
      <c r="J103" s="15">
        <v>6</v>
      </c>
      <c r="K103" s="15">
        <v>7</v>
      </c>
      <c r="L103" s="15">
        <v>6</v>
      </c>
      <c r="M103" s="15">
        <v>7.3</v>
      </c>
      <c r="N103" s="15">
        <v>7</v>
      </c>
    </row>
    <row r="104" spans="1:14" collapsed="1" x14ac:dyDescent="0.2">
      <c r="A104" s="9" t="s">
        <v>256</v>
      </c>
      <c r="B104" s="1" t="s">
        <v>257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0.3</v>
      </c>
      <c r="I104" s="15">
        <v>0</v>
      </c>
      <c r="J104" s="15">
        <v>0</v>
      </c>
      <c r="K104" s="15">
        <v>0</v>
      </c>
      <c r="L104" s="15">
        <v>0</v>
      </c>
      <c r="M104" s="15">
        <v>0.3</v>
      </c>
      <c r="N104" s="15">
        <v>0</v>
      </c>
    </row>
    <row r="105" spans="1:14" hidden="1" outlineLevel="1" x14ac:dyDescent="0.2">
      <c r="A105" s="9" t="s">
        <v>258</v>
      </c>
      <c r="B105" s="1" t="s">
        <v>259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0.3</v>
      </c>
      <c r="I105" s="15">
        <v>0</v>
      </c>
      <c r="J105" s="15">
        <v>0</v>
      </c>
      <c r="K105" s="15">
        <v>0</v>
      </c>
      <c r="L105" s="15">
        <v>0</v>
      </c>
      <c r="M105" s="15">
        <v>0.3</v>
      </c>
      <c r="N105" s="15">
        <v>0</v>
      </c>
    </row>
    <row r="106" spans="1:14" collapsed="1" x14ac:dyDescent="0.2">
      <c r="A106" s="9" t="s">
        <v>260</v>
      </c>
      <c r="B106" s="1" t="s">
        <v>261</v>
      </c>
      <c r="C106" s="15">
        <v>3</v>
      </c>
      <c r="D106" s="15">
        <v>3</v>
      </c>
      <c r="E106" s="15">
        <v>3</v>
      </c>
      <c r="F106" s="15">
        <v>4</v>
      </c>
      <c r="G106" s="15">
        <v>3</v>
      </c>
      <c r="H106" s="15">
        <v>3</v>
      </c>
      <c r="I106" s="15">
        <v>3</v>
      </c>
      <c r="J106" s="15">
        <v>3</v>
      </c>
      <c r="K106" s="15">
        <v>4</v>
      </c>
      <c r="L106" s="15">
        <v>3</v>
      </c>
      <c r="M106" s="15">
        <v>3</v>
      </c>
      <c r="N106" s="15">
        <v>3</v>
      </c>
    </row>
    <row r="107" spans="1:14" hidden="1" outlineLevel="1" x14ac:dyDescent="0.2">
      <c r="A107" s="9" t="s">
        <v>262</v>
      </c>
      <c r="B107" s="1" t="s">
        <v>263</v>
      </c>
      <c r="C107" s="15">
        <v>3</v>
      </c>
      <c r="D107" s="15">
        <v>3</v>
      </c>
      <c r="E107" s="15">
        <v>3</v>
      </c>
      <c r="F107" s="15">
        <v>4</v>
      </c>
      <c r="G107" s="15">
        <v>3</v>
      </c>
      <c r="H107" s="15">
        <v>3</v>
      </c>
      <c r="I107" s="15">
        <v>3</v>
      </c>
      <c r="J107" s="15">
        <v>3</v>
      </c>
      <c r="K107" s="15">
        <v>4</v>
      </c>
      <c r="L107" s="15">
        <v>3</v>
      </c>
      <c r="M107" s="15">
        <v>3</v>
      </c>
      <c r="N107" s="15">
        <v>3</v>
      </c>
    </row>
    <row r="108" spans="1:14" collapsed="1" x14ac:dyDescent="0.2">
      <c r="A108" s="9" t="s">
        <v>264</v>
      </c>
      <c r="B108" s="1" t="s">
        <v>265</v>
      </c>
      <c r="C108" s="15">
        <v>3</v>
      </c>
      <c r="D108" s="15">
        <v>3</v>
      </c>
      <c r="E108" s="15">
        <v>3</v>
      </c>
      <c r="F108" s="15">
        <v>3</v>
      </c>
      <c r="G108" s="15">
        <v>3</v>
      </c>
      <c r="H108" s="15">
        <v>4</v>
      </c>
      <c r="I108" s="15">
        <v>4</v>
      </c>
      <c r="J108" s="15">
        <v>3</v>
      </c>
      <c r="K108" s="15">
        <v>3</v>
      </c>
      <c r="L108" s="15">
        <v>3</v>
      </c>
      <c r="M108" s="15">
        <v>4</v>
      </c>
      <c r="N108" s="15">
        <v>4</v>
      </c>
    </row>
    <row r="109" spans="1:14" hidden="1" outlineLevel="1" x14ac:dyDescent="0.2">
      <c r="A109" s="9" t="s">
        <v>266</v>
      </c>
      <c r="B109" s="1" t="s">
        <v>267</v>
      </c>
      <c r="C109" s="15">
        <v>3</v>
      </c>
      <c r="D109" s="15">
        <v>3</v>
      </c>
      <c r="E109" s="15">
        <v>3</v>
      </c>
      <c r="F109" s="15">
        <v>3</v>
      </c>
      <c r="G109" s="15">
        <v>3</v>
      </c>
      <c r="H109" s="15">
        <v>4</v>
      </c>
      <c r="I109" s="15">
        <v>4</v>
      </c>
      <c r="J109" s="15">
        <v>3</v>
      </c>
      <c r="K109" s="15">
        <v>3</v>
      </c>
      <c r="L109" s="15">
        <v>3</v>
      </c>
      <c r="M109" s="15">
        <v>4</v>
      </c>
      <c r="N109" s="15">
        <v>4</v>
      </c>
    </row>
    <row r="110" spans="1:14" collapsed="1" x14ac:dyDescent="0.2">
      <c r="A110" s="9" t="s">
        <v>268</v>
      </c>
      <c r="B110" s="1" t="s">
        <v>269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">
      <c r="A111" s="9" t="s">
        <v>270</v>
      </c>
      <c r="B111" s="1" t="s">
        <v>271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">
      <c r="A112" s="9" t="s">
        <v>272</v>
      </c>
      <c r="B112" s="1" t="s">
        <v>273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">
      <c r="A113" s="9" t="s">
        <v>274</v>
      </c>
      <c r="B113" s="1" t="s">
        <v>275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">
      <c r="A114" s="9" t="s">
        <v>276</v>
      </c>
      <c r="B114" s="1" t="s">
        <v>277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">
      <c r="A115" s="9" t="s">
        <v>280</v>
      </c>
      <c r="B115" s="1" t="s">
        <v>281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">
      <c r="A116" s="9" t="s">
        <v>284</v>
      </c>
      <c r="B116" s="1" t="s">
        <v>285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">
      <c r="A117" s="9" t="s">
        <v>288</v>
      </c>
      <c r="B117" s="1" t="s">
        <v>289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">
      <c r="A118" s="3"/>
      <c r="B118" s="3" t="s">
        <v>290</v>
      </c>
      <c r="C118" s="17">
        <v>9.6999999999999993</v>
      </c>
      <c r="D118" s="17">
        <v>5.0999999999999996</v>
      </c>
      <c r="E118" s="17">
        <v>0.3</v>
      </c>
      <c r="F118" s="17">
        <v>0.2</v>
      </c>
      <c r="G118" s="17">
        <v>0.3</v>
      </c>
      <c r="H118" s="17">
        <v>0.1</v>
      </c>
      <c r="I118" s="17">
        <v>15.6</v>
      </c>
      <c r="J118" s="17">
        <v>0.3</v>
      </c>
      <c r="K118" s="17">
        <v>0.2</v>
      </c>
      <c r="L118" s="17">
        <v>0.3</v>
      </c>
      <c r="M118" s="17">
        <v>0.1</v>
      </c>
      <c r="N118" s="17">
        <v>15.6</v>
      </c>
    </row>
    <row r="119" spans="1:14" x14ac:dyDescent="0.2">
      <c r="A119" s="3"/>
      <c r="B119" s="3" t="s">
        <v>291</v>
      </c>
      <c r="C119" s="17" t="s">
        <v>292</v>
      </c>
      <c r="D119" s="17" t="s">
        <v>292</v>
      </c>
      <c r="E119" s="17" t="s">
        <v>292</v>
      </c>
      <c r="F119" s="17" t="s">
        <v>292</v>
      </c>
      <c r="G119" s="17" t="s">
        <v>292</v>
      </c>
      <c r="H119" s="17" t="s">
        <v>292</v>
      </c>
      <c r="I119" s="17" t="s">
        <v>292</v>
      </c>
      <c r="J119" s="17" t="s">
        <v>292</v>
      </c>
      <c r="K119" s="17" t="s">
        <v>292</v>
      </c>
      <c r="L119" s="17" t="s">
        <v>292</v>
      </c>
      <c r="M119" s="17" t="s">
        <v>292</v>
      </c>
      <c r="N119" s="17" t="s">
        <v>292</v>
      </c>
    </row>
    <row r="120" spans="1:14" x14ac:dyDescent="0.2">
      <c r="A120" s="3"/>
      <c r="B120" s="3" t="s">
        <v>293</v>
      </c>
      <c r="C120" s="17" t="s">
        <v>292</v>
      </c>
      <c r="D120" s="17" t="s">
        <v>292</v>
      </c>
      <c r="E120" s="17" t="s">
        <v>292</v>
      </c>
      <c r="F120" s="17" t="s">
        <v>292</v>
      </c>
      <c r="G120" s="17" t="s">
        <v>292</v>
      </c>
      <c r="H120" s="17" t="s">
        <v>292</v>
      </c>
      <c r="I120" s="17" t="s">
        <v>292</v>
      </c>
      <c r="J120" s="17" t="s">
        <v>292</v>
      </c>
      <c r="K120" s="17" t="s">
        <v>292</v>
      </c>
      <c r="L120" s="17" t="s">
        <v>292</v>
      </c>
      <c r="M120" s="17" t="s">
        <v>292</v>
      </c>
      <c r="N120" s="17" t="s">
        <v>292</v>
      </c>
    </row>
    <row r="121" spans="1:14" x14ac:dyDescent="0.2">
      <c r="A121" s="3"/>
      <c r="B121" s="3" t="s">
        <v>294</v>
      </c>
      <c r="C121" s="17">
        <v>0</v>
      </c>
      <c r="D121" s="17">
        <v>0</v>
      </c>
      <c r="E121" s="17">
        <v>0</v>
      </c>
      <c r="F121" s="17">
        <v>0</v>
      </c>
      <c r="G121" s="17">
        <v>0</v>
      </c>
      <c r="H121" s="17">
        <v>0</v>
      </c>
      <c r="I121" s="17">
        <v>0</v>
      </c>
      <c r="J121" s="17">
        <v>0</v>
      </c>
      <c r="K121" s="17">
        <v>0</v>
      </c>
      <c r="L121" s="17">
        <v>0</v>
      </c>
      <c r="M121" s="17">
        <v>0</v>
      </c>
      <c r="N121" s="17">
        <v>0</v>
      </c>
    </row>
    <row r="122" spans="1:14" x14ac:dyDescent="0.2">
      <c r="A122" s="12"/>
      <c r="B122" s="12" t="s">
        <v>295</v>
      </c>
      <c r="C122" s="16" t="s">
        <v>292</v>
      </c>
      <c r="D122" s="16" t="s">
        <v>292</v>
      </c>
      <c r="E122" s="16" t="s">
        <v>292</v>
      </c>
      <c r="F122" s="16" t="s">
        <v>292</v>
      </c>
      <c r="G122" s="16" t="s">
        <v>292</v>
      </c>
      <c r="H122" s="16" t="s">
        <v>292</v>
      </c>
      <c r="I122" s="16" t="s">
        <v>292</v>
      </c>
      <c r="J122" s="16" t="s">
        <v>292</v>
      </c>
      <c r="K122" s="16" t="s">
        <v>292</v>
      </c>
      <c r="L122" s="16" t="s">
        <v>292</v>
      </c>
      <c r="M122" s="16" t="s">
        <v>292</v>
      </c>
      <c r="N122" s="16" t="s">
        <v>292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0108-9BB8-438E-9759-B83C5E701E45}">
  <sheetPr codeName="Hoja67">
    <tabColor theme="9" tint="-0.249977111117893"/>
  </sheetPr>
  <dimension ref="A1:N129"/>
  <sheetViews>
    <sheetView zoomScale="70" zoomScaleNormal="70" workbookViewId="0">
      <pane ySplit="6" topLeftCell="A7" activePane="bottomLeft" state="frozen"/>
      <selection activeCell="I54" sqref="I54"/>
      <selection pane="bottomLeft" activeCell="I31" sqref="I31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4</v>
      </c>
    </row>
    <row r="4" spans="1:14" x14ac:dyDescent="0.2">
      <c r="A4" s="5"/>
      <c r="B4" s="5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33" t="s">
        <v>23</v>
      </c>
      <c r="B7" s="34" t="s">
        <v>24</v>
      </c>
      <c r="C7" s="44">
        <f t="shared" ref="C7:N7" si="0">SUM(C8:C11)</f>
        <v>71.099999999999994</v>
      </c>
      <c r="D7" s="44">
        <f t="shared" si="0"/>
        <v>82.7</v>
      </c>
      <c r="E7" s="44">
        <f t="shared" si="0"/>
        <v>69.599999999999994</v>
      </c>
      <c r="F7" s="44">
        <f t="shared" si="0"/>
        <v>84.6</v>
      </c>
      <c r="G7" s="44">
        <f t="shared" si="0"/>
        <v>76.099999999999994</v>
      </c>
      <c r="H7" s="44">
        <f t="shared" si="0"/>
        <v>80.8</v>
      </c>
      <c r="I7" s="44">
        <f t="shared" si="0"/>
        <v>85.9</v>
      </c>
      <c r="J7" s="44">
        <f t="shared" si="0"/>
        <v>70</v>
      </c>
      <c r="K7" s="44">
        <f t="shared" si="0"/>
        <v>76</v>
      </c>
      <c r="L7" s="44">
        <f t="shared" si="0"/>
        <v>80</v>
      </c>
      <c r="M7" s="44">
        <f t="shared" si="0"/>
        <v>85</v>
      </c>
      <c r="N7" s="44">
        <f t="shared" si="0"/>
        <v>78</v>
      </c>
    </row>
    <row r="8" spans="1:14" hidden="1" outlineLevel="1" x14ac:dyDescent="0.2">
      <c r="A8" s="9" t="s">
        <v>29</v>
      </c>
      <c r="B8" s="1" t="s">
        <v>30</v>
      </c>
      <c r="C8" s="10">
        <f>IFERROR(VLOOKUP(A8,'Centre DW14'!$A$7:$N$160,3,FALSE),0)+
IFERROR(VLOOKUP(A8,'Centre WP14'!$A$7:$N$160,3,FALSE),0)+
IFERROR(VLOOKUP(A8,'Centre WR14'!$A$7:$N$160,3,FALSE),0)</f>
        <v>18.3</v>
      </c>
      <c r="D8" s="10">
        <f>IFERROR(VLOOKUP(A8,'Centre DW14'!$A$7:$N$160,4,FALSE),0)+
IFERROR(VLOOKUP(A8,'Centre WP14'!$A$7:$N$160,4,FALSE),0)+
IFERROR(VLOOKUP(A8,'Centre WR14'!$A$7:$N$160,4,FALSE),0)</f>
        <v>0</v>
      </c>
      <c r="E8" s="10">
        <f>IFERROR(VLOOKUP(A8,'Centre DW14'!$A$7:$N$160,5,FALSE),0)+
IFERROR(VLOOKUP(A8,'Centre WP14'!$A$7:$N$160,5,FALSE),0)+
IFERROR(VLOOKUP(A8,'Centre WR14'!$A$7:$N$160,5,FALSE),0)</f>
        <v>0</v>
      </c>
      <c r="F8" s="10">
        <f>IFERROR(VLOOKUP(A8,'Centre DW14'!$A$7:$N$160,6,FALSE),0)+
IFERROR(VLOOKUP(A8,'Centre WP14'!$A$7:$N$160,6,FALSE),0)+
IFERROR(VLOOKUP(A8,'Centre WR14'!$A$7:$N$160,6,FALSE),0)</f>
        <v>0</v>
      </c>
      <c r="G8" s="10">
        <f>IFERROR(VLOOKUP(A8,'Centre DW14'!$A$7:$N$160,7,FALSE),0)+
IFERROR(VLOOKUP(A8,'Centre WP14'!$A$7:$N$160,7,FALSE),0)+
IFERROR(VLOOKUP(A8,'Centre WR14'!$A$7:$N$160,7,FALSE),0)</f>
        <v>0</v>
      </c>
      <c r="H8" s="10">
        <f>IFERROR(VLOOKUP(A8,'Centre DW14'!$A$7:$N$160,8,FALSE),0)+
IFERROR(VLOOKUP(A8,'Centre WP14'!$A$7:$N$160,8,FALSE),0)+
IFERROR(VLOOKUP(A8,'Centre WR14'!$A$7:$N$160,8,FALSE),0)</f>
        <v>0</v>
      </c>
      <c r="I8" s="10">
        <f>IFERROR(VLOOKUP(A8,'Centre DW14'!$A$7:$N$160,9,FALSE),0)+
IFERROR(VLOOKUP(A8,'Centre WP14'!$A$7:$N$160,9,FALSE),0)+
IFERROR(VLOOKUP(A8,'Centre WR14'!$A$7:$N$160,9,FALSE),0)</f>
        <v>0</v>
      </c>
      <c r="J8" s="28">
        <f>IFERROR(VLOOKUP(A8,'Centre DW14'!$A$7:$N$160,10,FALSE),0)+
IFERROR(VLOOKUP(A8,'Centre WP14'!$A$7:$N$160,10,FALSE),0)+
IFERROR(VLOOKUP(A8,'Centre WR14'!$A$7:$N$160,10,FALSE),0)</f>
        <v>0</v>
      </c>
      <c r="K8" s="10">
        <f>IFERROR(VLOOKUP(A8,'Centre DW14'!$A$7:$N$160,11,FALSE),0)+
IFERROR(VLOOKUP(A8,'Centre WP14'!$A$7:$N$160,11,FALSE),0)+
IFERROR(VLOOKUP(A8,'Centre WR14'!$A$7:$N$160,11,FALSE),0)</f>
        <v>0</v>
      </c>
      <c r="L8" s="10">
        <f>IFERROR(VLOOKUP(A8,'Centre DW14'!$A$7:$N$160,12,FALSE),0)+
IFERROR(VLOOKUP(A8,'Centre WP14'!$A$7:$N$160,12,FALSE),0)+
IFERROR(VLOOKUP(A8,'Centre WR14'!$A$7:$N$160,12,FALSE),0)</f>
        <v>0</v>
      </c>
      <c r="M8" s="10">
        <f>IFERROR(VLOOKUP(A8,'Centre DW14'!$A$7:$N$160,13,FALSE),0)+
IFERROR(VLOOKUP(A8,'Centre WP14'!$A$7:$N$160,13,FALSE),0)+
IFERROR(VLOOKUP(A8,'Centre WR14'!$A$7:$N$160,13,FALSE),0)</f>
        <v>0</v>
      </c>
      <c r="N8" s="10">
        <f>IFERROR(VLOOKUP(A8,'Centre DW14'!$A$7:$N$160,14,FALSE),0)+
IFERROR(VLOOKUP(A8,'Centre WP14'!$A$7:$N$160,14,FALSE),0)+
IFERROR(VLOOKUP(A8,'Centre WR14'!$A$7:$N$160,14,FALSE),0)</f>
        <v>0</v>
      </c>
    </row>
    <row r="9" spans="1:14" hidden="1" outlineLevel="1" x14ac:dyDescent="0.2">
      <c r="A9" s="9" t="s">
        <v>31</v>
      </c>
      <c r="B9" s="1" t="s">
        <v>32</v>
      </c>
      <c r="C9" s="10">
        <f>IFERROR(VLOOKUP(A9,'Centre DW14'!$A$7:$N$160,3,FALSE),0)+
IFERROR(VLOOKUP(A9,'Centre WP14'!$A$7:$N$160,3,FALSE),0)+
IFERROR(VLOOKUP(A9,'Centre WR14'!$A$7:$N$160,3,FALSE),0)</f>
        <v>0</v>
      </c>
      <c r="D9" s="10">
        <f>IFERROR(VLOOKUP(A9,'Centre DW14'!$A$7:$N$160,4,FALSE),0)+
IFERROR(VLOOKUP(A9,'Centre WP14'!$A$7:$N$160,4,FALSE),0)+
IFERROR(VLOOKUP(A9,'Centre WR14'!$A$7:$N$160,4,FALSE),0)</f>
        <v>0</v>
      </c>
      <c r="E9" s="10">
        <f>IFERROR(VLOOKUP(A9,'Centre DW14'!$A$7:$N$160,5,FALSE),0)+
IFERROR(VLOOKUP(A9,'Centre WP14'!$A$7:$N$160,5,FALSE),0)+
IFERROR(VLOOKUP(A9,'Centre WR14'!$A$7:$N$160,5,FALSE),0)</f>
        <v>0</v>
      </c>
      <c r="F9" s="10">
        <f>IFERROR(VLOOKUP(A9,'Centre DW14'!$A$7:$N$160,6,FALSE),0)+
IFERROR(VLOOKUP(A9,'Centre WP14'!$A$7:$N$160,6,FALSE),0)+
IFERROR(VLOOKUP(A9,'Centre WR14'!$A$7:$N$160,6,FALSE),0)</f>
        <v>0</v>
      </c>
      <c r="G9" s="10">
        <f>IFERROR(VLOOKUP(A9,'Centre DW14'!$A$7:$N$160,7,FALSE),0)+
IFERROR(VLOOKUP(A9,'Centre WP14'!$A$7:$N$160,7,FALSE),0)+
IFERROR(VLOOKUP(A9,'Centre WR14'!$A$7:$N$160,7,FALSE),0)</f>
        <v>0</v>
      </c>
      <c r="H9" s="10">
        <f>IFERROR(VLOOKUP(A9,'Centre DW14'!$A$7:$N$160,8,FALSE),0)+
IFERROR(VLOOKUP(A9,'Centre WP14'!$A$7:$N$160,8,FALSE),0)+
IFERROR(VLOOKUP(A9,'Centre WR14'!$A$7:$N$160,8,FALSE),0)</f>
        <v>80.8</v>
      </c>
      <c r="I9" s="10">
        <f>IFERROR(VLOOKUP(A9,'Centre DW14'!$A$7:$N$160,9,FALSE),0)+
IFERROR(VLOOKUP(A9,'Centre WP14'!$A$7:$N$160,9,FALSE),0)+
IFERROR(VLOOKUP(A9,'Centre WR14'!$A$7:$N$160,9,FALSE),0)</f>
        <v>85.9</v>
      </c>
      <c r="J9" s="28">
        <f>IFERROR(VLOOKUP(A9,'Centre DW14'!$A$7:$N$160,10,FALSE),0)+
IFERROR(VLOOKUP(A9,'Centre WP14'!$A$7:$N$160,10,FALSE),0)+
IFERROR(VLOOKUP(A9,'Centre WR14'!$A$7:$N$160,10,FALSE),0)</f>
        <v>0</v>
      </c>
      <c r="K9" s="10">
        <f>IFERROR(VLOOKUP(A9,'Centre DW14'!$A$7:$N$160,11,FALSE),0)+
IFERROR(VLOOKUP(A9,'Centre WP14'!$A$7:$N$160,11,FALSE),0)+
IFERROR(VLOOKUP(A9,'Centre WR14'!$A$7:$N$160,11,FALSE),0)</f>
        <v>0</v>
      </c>
      <c r="L9" s="10">
        <f>IFERROR(VLOOKUP(A9,'Centre DW14'!$A$7:$N$160,12,FALSE),0)+
IFERROR(VLOOKUP(A9,'Centre WP14'!$A$7:$N$160,12,FALSE),0)+
IFERROR(VLOOKUP(A9,'Centre WR14'!$A$7:$N$160,12,FALSE),0)</f>
        <v>0</v>
      </c>
      <c r="M9" s="10">
        <f>IFERROR(VLOOKUP(A9,'Centre DW14'!$A$7:$N$160,13,FALSE),0)+
IFERROR(VLOOKUP(A9,'Centre WP14'!$A$7:$N$160,13,FALSE),0)+
IFERROR(VLOOKUP(A9,'Centre WR14'!$A$7:$N$160,13,FALSE),0)</f>
        <v>0</v>
      </c>
      <c r="N9" s="10">
        <f>IFERROR(VLOOKUP(A9,'Centre DW14'!$A$7:$N$160,14,FALSE),0)+
IFERROR(VLOOKUP(A9,'Centre WP14'!$A$7:$N$160,14,FALSE),0)+
IFERROR(VLOOKUP(A9,'Centre WR14'!$A$7:$N$160,14,FALSE),0)</f>
        <v>0</v>
      </c>
    </row>
    <row r="10" spans="1:14" hidden="1" outlineLevel="1" x14ac:dyDescent="0.2">
      <c r="A10" s="9" t="s">
        <v>33</v>
      </c>
      <c r="B10" s="1" t="s">
        <v>34</v>
      </c>
      <c r="C10" s="10">
        <f>IFERROR(VLOOKUP(A10,'Centre DW14'!$A$7:$N$160,3,FALSE),0)+
IFERROR(VLOOKUP(A10,'Centre WP14'!$A$7:$N$160,3,FALSE),0)+
IFERROR(VLOOKUP(A10,'Centre WR14'!$A$7:$N$160,3,FALSE),0)</f>
        <v>52.8</v>
      </c>
      <c r="D10" s="10">
        <f>IFERROR(VLOOKUP(A10,'Centre DW14'!$A$7:$N$160,4,FALSE),0)+
IFERROR(VLOOKUP(A10,'Centre WP14'!$A$7:$N$160,4,FALSE),0)+
IFERROR(VLOOKUP(A10,'Centre WR14'!$A$7:$N$160,4,FALSE),0)</f>
        <v>82.7</v>
      </c>
      <c r="E10" s="10">
        <f>IFERROR(VLOOKUP(A10,'Centre DW14'!$A$7:$N$160,5,FALSE),0)+
IFERROR(VLOOKUP(A10,'Centre WP14'!$A$7:$N$160,5,FALSE),0)+
IFERROR(VLOOKUP(A10,'Centre WR14'!$A$7:$N$160,5,FALSE),0)</f>
        <v>69.599999999999994</v>
      </c>
      <c r="F10" s="10">
        <f>IFERROR(VLOOKUP(A10,'Centre DW14'!$A$7:$N$160,6,FALSE),0)+
IFERROR(VLOOKUP(A10,'Centre WP14'!$A$7:$N$160,6,FALSE),0)+
IFERROR(VLOOKUP(A10,'Centre WR14'!$A$7:$N$160,6,FALSE),0)</f>
        <v>84.6</v>
      </c>
      <c r="G10" s="10">
        <f>IFERROR(VLOOKUP(A10,'Centre DW14'!$A$7:$N$160,7,FALSE),0)+
IFERROR(VLOOKUP(A10,'Centre WP14'!$A$7:$N$160,7,FALSE),0)+
IFERROR(VLOOKUP(A10,'Centre WR14'!$A$7:$N$160,7,FALSE),0)</f>
        <v>76.099999999999994</v>
      </c>
      <c r="H10" s="10">
        <f>IFERROR(VLOOKUP(A10,'Centre DW14'!$A$7:$N$160,8,FALSE),0)+
IFERROR(VLOOKUP(A10,'Centre WP14'!$A$7:$N$160,8,FALSE),0)+
IFERROR(VLOOKUP(A10,'Centre WR14'!$A$7:$N$160,8,FALSE),0)</f>
        <v>0</v>
      </c>
      <c r="I10" s="10">
        <f>IFERROR(VLOOKUP(A10,'Centre DW14'!$A$7:$N$160,9,FALSE),0)+
IFERROR(VLOOKUP(A10,'Centre WP14'!$A$7:$N$160,9,FALSE),0)+
IFERROR(VLOOKUP(A10,'Centre WR14'!$A$7:$N$160,9,FALSE),0)</f>
        <v>0</v>
      </c>
      <c r="J10" s="28">
        <f>IFERROR(VLOOKUP(A10,'Centre DW14'!$A$7:$N$160,10,FALSE),0)+
IFERROR(VLOOKUP(A10,'Centre WP14'!$A$7:$N$160,10,FALSE),0)+
IFERROR(VLOOKUP(A10,'Centre WR14'!$A$7:$N$160,10,FALSE),0)</f>
        <v>70</v>
      </c>
      <c r="K10" s="10">
        <f>IFERROR(VLOOKUP(A10,'Centre DW14'!$A$7:$N$160,11,FALSE),0)+
IFERROR(VLOOKUP(A10,'Centre WP14'!$A$7:$N$160,11,FALSE),0)+
IFERROR(VLOOKUP(A10,'Centre WR14'!$A$7:$N$160,11,FALSE),0)</f>
        <v>76</v>
      </c>
      <c r="L10" s="10">
        <f>IFERROR(VLOOKUP(A10,'Centre DW14'!$A$7:$N$160,12,FALSE),0)+
IFERROR(VLOOKUP(A10,'Centre WP14'!$A$7:$N$160,12,FALSE),0)+
IFERROR(VLOOKUP(A10,'Centre WR14'!$A$7:$N$160,12,FALSE),0)</f>
        <v>80</v>
      </c>
      <c r="M10" s="10">
        <f>IFERROR(VLOOKUP(A10,'Centre DW14'!$A$7:$N$160,13,FALSE),0)+
IFERROR(VLOOKUP(A10,'Centre WP14'!$A$7:$N$160,13,FALSE),0)+
IFERROR(VLOOKUP(A10,'Centre WR14'!$A$7:$N$160,13,FALSE),0)</f>
        <v>85</v>
      </c>
      <c r="N10" s="10">
        <f>IFERROR(VLOOKUP(A10,'Centre DW14'!$A$7:$N$160,14,FALSE),0)+
IFERROR(VLOOKUP(A10,'Centre WP14'!$A$7:$N$160,14,FALSE),0)+
IFERROR(VLOOKUP(A10,'Centre WR14'!$A$7:$N$160,14,FALSE),0)</f>
        <v>78</v>
      </c>
    </row>
    <row r="11" spans="1:14" hidden="1" outlineLevel="1" x14ac:dyDescent="0.2">
      <c r="A11" s="9" t="s">
        <v>35</v>
      </c>
      <c r="B11" s="1" t="s">
        <v>36</v>
      </c>
      <c r="C11" s="10">
        <f>IFERROR(VLOOKUP(A11,'Centre DW14'!$A$7:$N$160,3,FALSE),0)+
IFERROR(VLOOKUP(A11,'Centre WP14'!$A$7:$N$160,3,FALSE),0)+
IFERROR(VLOOKUP(A11,'Centre WR14'!$A$7:$N$160,3,FALSE),0)</f>
        <v>0</v>
      </c>
      <c r="D11" s="10">
        <f>IFERROR(VLOOKUP(A11,'Centre DW14'!$A$7:$N$160,4,FALSE),0)+
IFERROR(VLOOKUP(A11,'Centre WP14'!$A$7:$N$160,4,FALSE),0)+
IFERROR(VLOOKUP(A11,'Centre WR14'!$A$7:$N$160,4,FALSE),0)</f>
        <v>0</v>
      </c>
      <c r="E11" s="10">
        <f>IFERROR(VLOOKUP(A11,'Centre DW14'!$A$7:$N$160,5,FALSE),0)+
IFERROR(VLOOKUP(A11,'Centre WP14'!$A$7:$N$160,5,FALSE),0)+
IFERROR(VLOOKUP(A11,'Centre WR14'!$A$7:$N$160,5,FALSE),0)</f>
        <v>0</v>
      </c>
      <c r="F11" s="10">
        <f>IFERROR(VLOOKUP(A11,'Centre DW14'!$A$7:$N$160,6,FALSE),0)+
IFERROR(VLOOKUP(A11,'Centre WP14'!$A$7:$N$160,6,FALSE),0)+
IFERROR(VLOOKUP(A11,'Centre WR14'!$A$7:$N$160,6,FALSE),0)</f>
        <v>0</v>
      </c>
      <c r="G11" s="10">
        <f>IFERROR(VLOOKUP(A11,'Centre DW14'!$A$7:$N$160,7,FALSE),0)+
IFERROR(VLOOKUP(A11,'Centre WP14'!$A$7:$N$160,7,FALSE),0)+
IFERROR(VLOOKUP(A11,'Centre WR14'!$A$7:$N$160,7,FALSE),0)</f>
        <v>0</v>
      </c>
      <c r="H11" s="10">
        <f>IFERROR(VLOOKUP(A11,'Centre DW14'!$A$7:$N$160,8,FALSE),0)+
IFERROR(VLOOKUP(A11,'Centre WP14'!$A$7:$N$160,8,FALSE),0)+
IFERROR(VLOOKUP(A11,'Centre WR14'!$A$7:$N$160,8,FALSE),0)</f>
        <v>0</v>
      </c>
      <c r="I11" s="10">
        <f>IFERROR(VLOOKUP(A11,'Centre DW14'!$A$7:$N$160,9,FALSE),0)+
IFERROR(VLOOKUP(A11,'Centre WP14'!$A$7:$N$160,9,FALSE),0)+
IFERROR(VLOOKUP(A11,'Centre WR14'!$A$7:$N$160,9,FALSE),0)</f>
        <v>0</v>
      </c>
      <c r="J11" s="28">
        <f>IFERROR(VLOOKUP(A11,'Centre DW14'!$A$7:$N$160,10,FALSE),0)+
IFERROR(VLOOKUP(A11,'Centre WP14'!$A$7:$N$160,10,FALSE),0)+
IFERROR(VLOOKUP(A11,'Centre WR14'!$A$7:$N$160,10,FALSE),0)</f>
        <v>0</v>
      </c>
      <c r="K11" s="10">
        <f>IFERROR(VLOOKUP(A11,'Centre DW14'!$A$7:$N$160,11,FALSE),0)+
IFERROR(VLOOKUP(A11,'Centre WP14'!$A$7:$N$160,11,FALSE),0)+
IFERROR(VLOOKUP(A11,'Centre WR14'!$A$7:$N$160,11,FALSE),0)</f>
        <v>0</v>
      </c>
      <c r="L11" s="10">
        <f>IFERROR(VLOOKUP(A11,'Centre DW14'!$A$7:$N$160,12,FALSE),0)+
IFERROR(VLOOKUP(A11,'Centre WP14'!$A$7:$N$160,12,FALSE),0)+
IFERROR(VLOOKUP(A11,'Centre WR14'!$A$7:$N$160,12,FALSE),0)</f>
        <v>0</v>
      </c>
      <c r="M11" s="10">
        <f>IFERROR(VLOOKUP(A11,'Centre DW14'!$A$7:$N$160,13,FALSE),0)+
IFERROR(VLOOKUP(A11,'Centre WP14'!$A$7:$N$160,13,FALSE),0)+
IFERROR(VLOOKUP(A11,'Centre WR14'!$A$7:$N$160,13,FALSE),0)</f>
        <v>0</v>
      </c>
      <c r="N11" s="10">
        <f>IFERROR(VLOOKUP(A11,'Centre DW14'!$A$7:$N$160,14,FALSE),0)+
IFERROR(VLOOKUP(A11,'Centre WP14'!$A$7:$N$160,14,FALSE),0)+
IFERROR(VLOOKUP(A11,'Centre WR14'!$A$7:$N$160,14,FALSE),0)</f>
        <v>0</v>
      </c>
    </row>
    <row r="12" spans="1:14" collapsed="1" x14ac:dyDescent="0.2">
      <c r="A12" s="33" t="s">
        <v>37</v>
      </c>
      <c r="B12" s="34" t="s">
        <v>38</v>
      </c>
      <c r="C12" s="44">
        <f>IFERROR(VLOOKUP(A12,'Centre DW14'!$A$7:$N$160,3,FALSE),0)+
IFERROR(VLOOKUP(A12,'Centre WP14'!$A$7:$N$160,3,FALSE),0)+
IFERROR(VLOOKUP(A12,'Centre WR14'!$A$7:$N$160,3,FALSE),0)</f>
        <v>0</v>
      </c>
      <c r="D12" s="44">
        <f>IFERROR(VLOOKUP(A12,'Centre DW14'!$A$7:$N$160,4,FALSE),0)+
IFERROR(VLOOKUP(A12,'Centre WP14'!$A$7:$N$160,4,FALSE),0)+
IFERROR(VLOOKUP(A12,'Centre WR14'!$A$7:$N$160,4,FALSE),0)</f>
        <v>0</v>
      </c>
      <c r="E12" s="44">
        <f>IFERROR(VLOOKUP(A12,'Centre DW14'!$A$7:$N$160,5,FALSE),0)+
IFERROR(VLOOKUP(A12,'Centre WP14'!$A$7:$N$160,5,FALSE),0)+
IFERROR(VLOOKUP(A12,'Centre WR14'!$A$7:$N$160,5,FALSE),0)</f>
        <v>0</v>
      </c>
      <c r="F12" s="44">
        <f>IFERROR(VLOOKUP(A12,'Centre DW14'!$A$7:$N$160,6,FALSE),0)+
IFERROR(VLOOKUP(A12,'Centre WP14'!$A$7:$N$160,6,FALSE),0)+
IFERROR(VLOOKUP(A12,'Centre WR14'!$A$7:$N$160,6,FALSE),0)</f>
        <v>0</v>
      </c>
      <c r="G12" s="44">
        <f>IFERROR(VLOOKUP(A12,'Centre DW14'!$A$7:$N$160,7,FALSE),0)+
IFERROR(VLOOKUP(A12,'Centre WP14'!$A$7:$N$160,7,FALSE),0)+
IFERROR(VLOOKUP(A12,'Centre WR14'!$A$7:$N$160,7,FALSE),0)</f>
        <v>0</v>
      </c>
      <c r="H12" s="44">
        <f>IFERROR(VLOOKUP(A12,'Centre DW14'!$A$7:$N$160,8,FALSE),0)+
IFERROR(VLOOKUP(A12,'Centre WP14'!$A$7:$N$160,8,FALSE),0)+
IFERROR(VLOOKUP(A12,'Centre WR14'!$A$7:$N$160,8,FALSE),0)</f>
        <v>0</v>
      </c>
      <c r="I12" s="44">
        <f>IFERROR(VLOOKUP(A12,'Centre DW14'!$A$7:$N$160,9,FALSE),0)+
IFERROR(VLOOKUP(A12,'Centre WP14'!$A$7:$N$160,9,FALSE),0)+
IFERROR(VLOOKUP(A12,'Centre WR14'!$A$7:$N$160,9,FALSE),0)</f>
        <v>0</v>
      </c>
      <c r="J12" s="44">
        <f>IFERROR(VLOOKUP(A12,'Centre DW14'!$A$7:$N$160,10,FALSE),0)+
IFERROR(VLOOKUP(A12,'Centre WP14'!$A$7:$N$160,10,FALSE),0)+
IFERROR(VLOOKUP(A12,'Centre WR14'!$A$7:$N$160,10,FALSE),0)</f>
        <v>0</v>
      </c>
      <c r="K12" s="44">
        <f>IFERROR(VLOOKUP(A12,'Centre DW14'!$A$7:$N$160,11,FALSE),0)+
IFERROR(VLOOKUP(A12,'Centre WP14'!$A$7:$N$160,11,FALSE),0)+
IFERROR(VLOOKUP(A12,'Centre WR14'!$A$7:$N$160,11,FALSE),0)</f>
        <v>0</v>
      </c>
      <c r="L12" s="44">
        <f>IFERROR(VLOOKUP(A12,'Centre DW14'!$A$7:$N$160,12,FALSE),0)+
IFERROR(VLOOKUP(A12,'Centre WP14'!$A$7:$N$160,12,FALSE),0)+
IFERROR(VLOOKUP(A12,'Centre WR14'!$A$7:$N$160,12,FALSE),0)</f>
        <v>0</v>
      </c>
      <c r="M12" s="44">
        <f>IFERROR(VLOOKUP(A12,'Centre DW14'!$A$7:$N$160,13,FALSE),0)+
IFERROR(VLOOKUP(A12,'Centre WP14'!$A$7:$N$160,13,FALSE),0)+
IFERROR(VLOOKUP(A12,'Centre WR14'!$A$7:$N$160,13,FALSE),0)</f>
        <v>0</v>
      </c>
      <c r="N12" s="44">
        <f>IFERROR(VLOOKUP(A12,'Centre DW14'!$A$7:$N$160,14,FALSE),0)+
IFERROR(VLOOKUP(A12,'Centre WP14'!$A$7:$N$160,14,FALSE),0)+
IFERROR(VLOOKUP(A12,'Centre WR14'!$A$7:$N$160,14,FALSE),0)</f>
        <v>0</v>
      </c>
    </row>
    <row r="13" spans="1:14" x14ac:dyDescent="0.2">
      <c r="A13" s="33" t="s">
        <v>39</v>
      </c>
      <c r="B13" s="34" t="s">
        <v>40</v>
      </c>
      <c r="C13" s="44">
        <f>IFERROR(VLOOKUP(A13,'Centre DW14'!$A$7:$N$160,3,FALSE),0)+
IFERROR(VLOOKUP(A13,'Centre WP14'!$A$7:$N$160,3,FALSE),0)+
IFERROR(VLOOKUP(A13,'Centre WR14'!$A$7:$N$160,3,FALSE),0)</f>
        <v>0</v>
      </c>
      <c r="D13" s="44">
        <f>IFERROR(VLOOKUP(A13,'Centre DW14'!$A$7:$N$160,4,FALSE),0)+
IFERROR(VLOOKUP(A13,'Centre WP14'!$A$7:$N$160,4,FALSE),0)+
IFERROR(VLOOKUP(A13,'Centre WR14'!$A$7:$N$160,4,FALSE),0)</f>
        <v>0</v>
      </c>
      <c r="E13" s="44">
        <f>IFERROR(VLOOKUP(A13,'Centre DW14'!$A$7:$N$160,5,FALSE),0)+
IFERROR(VLOOKUP(A13,'Centre WP14'!$A$7:$N$160,5,FALSE),0)+
IFERROR(VLOOKUP(A13,'Centre WR14'!$A$7:$N$160,5,FALSE),0)</f>
        <v>0</v>
      </c>
      <c r="F13" s="44">
        <f>IFERROR(VLOOKUP(A13,'Centre DW14'!$A$7:$N$160,6,FALSE),0)+
IFERROR(VLOOKUP(A13,'Centre WP14'!$A$7:$N$160,6,FALSE),0)+
IFERROR(VLOOKUP(A13,'Centre WR14'!$A$7:$N$160,6,FALSE),0)</f>
        <v>0</v>
      </c>
      <c r="G13" s="44">
        <f>IFERROR(VLOOKUP(A13,'Centre DW14'!$A$7:$N$160,7,FALSE),0)+
IFERROR(VLOOKUP(A13,'Centre WP14'!$A$7:$N$160,7,FALSE),0)+
IFERROR(VLOOKUP(A13,'Centre WR14'!$A$7:$N$160,7,FALSE),0)</f>
        <v>0</v>
      </c>
      <c r="H13" s="44">
        <f>IFERROR(VLOOKUP(A13,'Centre DW14'!$A$7:$N$160,8,FALSE),0)+
IFERROR(VLOOKUP(A13,'Centre WP14'!$A$7:$N$160,8,FALSE),0)+
IFERROR(VLOOKUP(A13,'Centre WR14'!$A$7:$N$160,8,FALSE),0)</f>
        <v>0</v>
      </c>
      <c r="I13" s="44">
        <f>IFERROR(VLOOKUP(A13,'Centre DW14'!$A$7:$N$160,9,FALSE),0)+
IFERROR(VLOOKUP(A13,'Centre WP14'!$A$7:$N$160,9,FALSE),0)+
IFERROR(VLOOKUP(A13,'Centre WR14'!$A$7:$N$160,9,FALSE),0)</f>
        <v>0</v>
      </c>
      <c r="J13" s="44">
        <f>IFERROR(VLOOKUP(A13,'Centre DW14'!$A$7:$N$160,10,FALSE),0)+
IFERROR(VLOOKUP(A13,'Centre WP14'!$A$7:$N$160,10,FALSE),0)+
IFERROR(VLOOKUP(A13,'Centre WR14'!$A$7:$N$160,10,FALSE),0)</f>
        <v>0</v>
      </c>
      <c r="K13" s="44">
        <f>IFERROR(VLOOKUP(A13,'Centre DW14'!$A$7:$N$160,11,FALSE),0)+
IFERROR(VLOOKUP(A13,'Centre WP14'!$A$7:$N$160,11,FALSE),0)+
IFERROR(VLOOKUP(A13,'Centre WR14'!$A$7:$N$160,11,FALSE),0)</f>
        <v>0</v>
      </c>
      <c r="L13" s="44">
        <f>IFERROR(VLOOKUP(A13,'Centre DW14'!$A$7:$N$160,12,FALSE),0)+
IFERROR(VLOOKUP(A13,'Centre WP14'!$A$7:$N$160,12,FALSE),0)+
IFERROR(VLOOKUP(A13,'Centre WR14'!$A$7:$N$160,12,FALSE),0)</f>
        <v>0</v>
      </c>
      <c r="M13" s="44">
        <f>IFERROR(VLOOKUP(A13,'Centre DW14'!$A$7:$N$160,13,FALSE),0)+
IFERROR(VLOOKUP(A13,'Centre WP14'!$A$7:$N$160,13,FALSE),0)+
IFERROR(VLOOKUP(A13,'Centre WR14'!$A$7:$N$160,13,FALSE),0)</f>
        <v>0</v>
      </c>
      <c r="N13" s="44">
        <f>IFERROR(VLOOKUP(A13,'Centre DW14'!$A$7:$N$160,14,FALSE),0)+
IFERROR(VLOOKUP(A13,'Centre WP14'!$A$7:$N$160,14,FALSE),0)+
IFERROR(VLOOKUP(A13,'Centre WR14'!$A$7:$N$160,14,FALSE),0)</f>
        <v>0</v>
      </c>
    </row>
    <row r="14" spans="1:14" x14ac:dyDescent="0.2">
      <c r="A14" s="33" t="s">
        <v>41</v>
      </c>
      <c r="B14" s="34" t="s">
        <v>42</v>
      </c>
      <c r="C14" s="44">
        <f t="shared" ref="C14:N14" si="1">+C15</f>
        <v>0</v>
      </c>
      <c r="D14" s="44">
        <f t="shared" si="1"/>
        <v>0</v>
      </c>
      <c r="E14" s="44">
        <f t="shared" si="1"/>
        <v>0</v>
      </c>
      <c r="F14" s="44">
        <f t="shared" si="1"/>
        <v>0</v>
      </c>
      <c r="G14" s="44">
        <f t="shared" si="1"/>
        <v>0</v>
      </c>
      <c r="H14" s="44">
        <f t="shared" si="1"/>
        <v>0</v>
      </c>
      <c r="I14" s="44">
        <f t="shared" si="1"/>
        <v>0</v>
      </c>
      <c r="J14" s="44">
        <f t="shared" si="1"/>
        <v>0</v>
      </c>
      <c r="K14" s="44">
        <f t="shared" si="1"/>
        <v>0</v>
      </c>
      <c r="L14" s="44">
        <f t="shared" si="1"/>
        <v>0</v>
      </c>
      <c r="M14" s="44">
        <f t="shared" si="1"/>
        <v>0</v>
      </c>
      <c r="N14" s="44">
        <f t="shared" si="1"/>
        <v>0</v>
      </c>
    </row>
    <row r="15" spans="1:14" hidden="1" outlineLevel="1" x14ac:dyDescent="0.2">
      <c r="A15" s="9" t="s">
        <v>43</v>
      </c>
      <c r="B15" s="1" t="s">
        <v>44</v>
      </c>
      <c r="C15" s="10">
        <f>IFERROR(VLOOKUP(A15,'Centre DW14'!$A$7:$N$160,3,FALSE),0)+
IFERROR(VLOOKUP(A15,'Centre WP14'!$A$7:$N$160,3,FALSE),0)+
IFERROR(VLOOKUP(A15,'Centre WR14'!$A$7:$N$160,3,FALSE),0)</f>
        <v>0</v>
      </c>
      <c r="D15" s="10">
        <f>IFERROR(VLOOKUP(A15,'Centre DW14'!$A$7:$N$160,4,FALSE),0)+
IFERROR(VLOOKUP(A15,'Centre WP14'!$A$7:$N$160,4,FALSE),0)+
IFERROR(VLOOKUP(A15,'Centre WR14'!$A$7:$N$160,4,FALSE),0)</f>
        <v>0</v>
      </c>
      <c r="E15" s="10">
        <f>IFERROR(VLOOKUP(A15,'Centre DW14'!$A$7:$N$160,5,FALSE),0)+
IFERROR(VLOOKUP(A15,'Centre WP14'!$A$7:$N$160,5,FALSE),0)+
IFERROR(VLOOKUP(A15,'Centre WR14'!$A$7:$N$160,5,FALSE),0)</f>
        <v>0</v>
      </c>
      <c r="F15" s="10">
        <f>IFERROR(VLOOKUP(A15,'Centre DW14'!$A$7:$N$160,6,FALSE),0)+
IFERROR(VLOOKUP(A15,'Centre WP14'!$A$7:$N$160,6,FALSE),0)+
IFERROR(VLOOKUP(A15,'Centre WR14'!$A$7:$N$160,6,FALSE),0)</f>
        <v>0</v>
      </c>
      <c r="G15" s="10">
        <f>IFERROR(VLOOKUP(A15,'Centre DW14'!$A$7:$N$160,7,FALSE),0)+
IFERROR(VLOOKUP(A15,'Centre WP14'!$A$7:$N$160,7,FALSE),0)+
IFERROR(VLOOKUP(A15,'Centre WR14'!$A$7:$N$160,7,FALSE),0)</f>
        <v>0</v>
      </c>
      <c r="H15" s="10">
        <f>IFERROR(VLOOKUP(A15,'Centre DW14'!$A$7:$N$160,8,FALSE),0)+
IFERROR(VLOOKUP(A15,'Centre WP14'!$A$7:$N$160,8,FALSE),0)+
IFERROR(VLOOKUP(A15,'Centre WR14'!$A$7:$N$160,8,FALSE),0)</f>
        <v>0</v>
      </c>
      <c r="I15" s="10">
        <f>IFERROR(VLOOKUP(A15,'Centre DW14'!$A$7:$N$160,9,FALSE),0)+
IFERROR(VLOOKUP(A15,'Centre WP14'!$A$7:$N$160,9,FALSE),0)+
IFERROR(VLOOKUP(A15,'Centre WR14'!$A$7:$N$160,9,FALSE),0)</f>
        <v>0</v>
      </c>
      <c r="J15" s="28">
        <f>IFERROR(VLOOKUP(A15,'Centre DW14'!$A$7:$N$160,10,FALSE),0)+
IFERROR(VLOOKUP(A15,'Centre WP14'!$A$7:$N$160,10,FALSE),0)+
IFERROR(VLOOKUP(A15,'Centre WR14'!$A$7:$N$160,10,FALSE),0)</f>
        <v>0</v>
      </c>
      <c r="K15" s="10">
        <f>IFERROR(VLOOKUP(A15,'Centre DW14'!$A$7:$N$160,11,FALSE),0)+
IFERROR(VLOOKUP(A15,'Centre WP14'!$A$7:$N$160,11,FALSE),0)+
IFERROR(VLOOKUP(A15,'Centre WR14'!$A$7:$N$160,11,FALSE),0)</f>
        <v>0</v>
      </c>
      <c r="L15" s="10">
        <f>IFERROR(VLOOKUP(A15,'Centre DW14'!$A$7:$N$160,12,FALSE),0)+
IFERROR(VLOOKUP(A15,'Centre WP14'!$A$7:$N$160,12,FALSE),0)+
IFERROR(VLOOKUP(A15,'Centre WR14'!$A$7:$N$160,12,FALSE),0)</f>
        <v>0</v>
      </c>
      <c r="M15" s="10">
        <f>IFERROR(VLOOKUP(A15,'Centre DW14'!$A$7:$N$160,13,FALSE),0)+
IFERROR(VLOOKUP(A15,'Centre WP14'!$A$7:$N$160,13,FALSE),0)+
IFERROR(VLOOKUP(A15,'Centre WR14'!$A$7:$N$160,13,FALSE),0)</f>
        <v>0</v>
      </c>
      <c r="N15" s="10">
        <f>IFERROR(VLOOKUP(A15,'Centre DW14'!$A$7:$N$160,14,FALSE),0)+
IFERROR(VLOOKUP(A15,'Centre WP14'!$A$7:$N$160,14,FALSE),0)+
IFERROR(VLOOKUP(A15,'Centre WR14'!$A$7:$N$160,14,FALSE),0)</f>
        <v>0</v>
      </c>
    </row>
    <row r="16" spans="1:14" collapsed="1" x14ac:dyDescent="0.2">
      <c r="A16" s="33" t="s">
        <v>45</v>
      </c>
      <c r="B16" s="34" t="s">
        <v>46</v>
      </c>
      <c r="C16" s="44">
        <f>IFERROR(VLOOKUP(A16,'Centre DW14'!$A$7:$N$160,3,FALSE),0)+
IFERROR(VLOOKUP(A16,'Centre WP14'!$A$7:$N$160,3,FALSE),0)+
IFERROR(VLOOKUP(A16,'Centre WR14'!$A$7:$N$160,3,FALSE),0)</f>
        <v>0</v>
      </c>
      <c r="D16" s="44">
        <f>IFERROR(VLOOKUP(A16,'Centre DW14'!$A$7:$N$160,4,FALSE),0)+
IFERROR(VLOOKUP(A16,'Centre WP14'!$A$7:$N$160,4,FALSE),0)+
IFERROR(VLOOKUP(A16,'Centre WR14'!$A$7:$N$160,4,FALSE),0)</f>
        <v>0</v>
      </c>
      <c r="E16" s="44">
        <f>IFERROR(VLOOKUP(A16,'Centre DW14'!$A$7:$N$160,5,FALSE),0)+
IFERROR(VLOOKUP(A16,'Centre WP14'!$A$7:$N$160,5,FALSE),0)+
IFERROR(VLOOKUP(A16,'Centre WR14'!$A$7:$N$160,5,FALSE),0)</f>
        <v>0</v>
      </c>
      <c r="F16" s="44">
        <f>IFERROR(VLOOKUP(A16,'Centre DW14'!$A$7:$N$160,6,FALSE),0)+
IFERROR(VLOOKUP(A16,'Centre WP14'!$A$7:$N$160,6,FALSE),0)+
IFERROR(VLOOKUP(A16,'Centre WR14'!$A$7:$N$160,6,FALSE),0)</f>
        <v>0</v>
      </c>
      <c r="G16" s="44">
        <f>IFERROR(VLOOKUP(A16,'Centre DW14'!$A$7:$N$160,7,FALSE),0)+
IFERROR(VLOOKUP(A16,'Centre WP14'!$A$7:$N$160,7,FALSE),0)+
IFERROR(VLOOKUP(A16,'Centre WR14'!$A$7:$N$160,7,FALSE),0)</f>
        <v>0</v>
      </c>
      <c r="H16" s="44">
        <f>IFERROR(VLOOKUP(A16,'Centre DW14'!$A$7:$N$160,8,FALSE),0)+
IFERROR(VLOOKUP(A16,'Centre WP14'!$A$7:$N$160,8,FALSE),0)+
IFERROR(VLOOKUP(A16,'Centre WR14'!$A$7:$N$160,8,FALSE),0)</f>
        <v>0</v>
      </c>
      <c r="I16" s="44">
        <f>IFERROR(VLOOKUP(A16,'Centre DW14'!$A$7:$N$160,9,FALSE),0)+
IFERROR(VLOOKUP(A16,'Centre WP14'!$A$7:$N$160,9,FALSE),0)+
IFERROR(VLOOKUP(A16,'Centre WR14'!$A$7:$N$160,9,FALSE),0)</f>
        <v>0</v>
      </c>
      <c r="J16" s="44">
        <f>IFERROR(VLOOKUP(A16,'Centre DW14'!$A$7:$N$160,10,FALSE),0)+
IFERROR(VLOOKUP(A16,'Centre WP14'!$A$7:$N$160,10,FALSE),0)+
IFERROR(VLOOKUP(A16,'Centre WR14'!$A$7:$N$160,10,FALSE),0)</f>
        <v>0</v>
      </c>
      <c r="K16" s="44">
        <f>IFERROR(VLOOKUP(A16,'Centre DW14'!$A$7:$N$160,11,FALSE),0)+
IFERROR(VLOOKUP(A16,'Centre WP14'!$A$7:$N$160,11,FALSE),0)+
IFERROR(VLOOKUP(A16,'Centre WR14'!$A$7:$N$160,11,FALSE),0)</f>
        <v>0</v>
      </c>
      <c r="L16" s="44">
        <f>IFERROR(VLOOKUP(A16,'Centre DW14'!$A$7:$N$160,12,FALSE),0)+
IFERROR(VLOOKUP(A16,'Centre WP14'!$A$7:$N$160,12,FALSE),0)+
IFERROR(VLOOKUP(A16,'Centre WR14'!$A$7:$N$160,12,FALSE),0)</f>
        <v>0</v>
      </c>
      <c r="M16" s="44">
        <f>IFERROR(VLOOKUP(A16,'Centre DW14'!$A$7:$N$160,13,FALSE),0)+
IFERROR(VLOOKUP(A16,'Centre WP14'!$A$7:$N$160,13,FALSE),0)+
IFERROR(VLOOKUP(A16,'Centre WR14'!$A$7:$N$160,13,FALSE),0)</f>
        <v>0</v>
      </c>
      <c r="N16" s="44">
        <f>IFERROR(VLOOKUP(A16,'Centre DW14'!$A$7:$N$160,14,FALSE),0)+
IFERROR(VLOOKUP(A16,'Centre WP14'!$A$7:$N$160,14,FALSE),0)+
IFERROR(VLOOKUP(A16,'Centre WR14'!$A$7:$N$160,14,FALSE),0)</f>
        <v>0</v>
      </c>
    </row>
    <row r="17" spans="1:14" x14ac:dyDescent="0.2">
      <c r="A17" s="35"/>
      <c r="B17" s="35" t="s">
        <v>47</v>
      </c>
      <c r="C17" s="21">
        <f>+C7+C12+C13+C14+C16</f>
        <v>71.099999999999994</v>
      </c>
      <c r="D17" s="21">
        <f t="shared" ref="D17:N17" si="2">+D7+D12+D13+D14+D16</f>
        <v>82.7</v>
      </c>
      <c r="E17" s="21">
        <f t="shared" si="2"/>
        <v>69.599999999999994</v>
      </c>
      <c r="F17" s="21">
        <f t="shared" si="2"/>
        <v>84.6</v>
      </c>
      <c r="G17" s="21">
        <f t="shared" si="2"/>
        <v>76.099999999999994</v>
      </c>
      <c r="H17" s="21">
        <f t="shared" si="2"/>
        <v>80.8</v>
      </c>
      <c r="I17" s="21">
        <f t="shared" si="2"/>
        <v>85.9</v>
      </c>
      <c r="J17" s="21">
        <f t="shared" si="2"/>
        <v>70</v>
      </c>
      <c r="K17" s="21">
        <f t="shared" si="2"/>
        <v>76</v>
      </c>
      <c r="L17" s="21">
        <f t="shared" si="2"/>
        <v>80</v>
      </c>
      <c r="M17" s="21">
        <f t="shared" si="2"/>
        <v>85</v>
      </c>
      <c r="N17" s="21">
        <f t="shared" si="2"/>
        <v>78</v>
      </c>
    </row>
    <row r="18" spans="1:14" x14ac:dyDescent="0.2">
      <c r="A18" s="33" t="s">
        <v>48</v>
      </c>
      <c r="B18" s="34" t="s">
        <v>49</v>
      </c>
      <c r="C18" s="44">
        <f t="shared" ref="C18:N18" si="3">SUM(C19:C21)</f>
        <v>6</v>
      </c>
      <c r="D18" s="44">
        <f t="shared" si="3"/>
        <v>9.5</v>
      </c>
      <c r="E18" s="44">
        <f t="shared" si="3"/>
        <v>9.5</v>
      </c>
      <c r="F18" s="44">
        <f t="shared" si="3"/>
        <v>5.8</v>
      </c>
      <c r="G18" s="44">
        <f t="shared" si="3"/>
        <v>15.8</v>
      </c>
      <c r="H18" s="44">
        <f t="shared" si="3"/>
        <v>9.3000000000000007</v>
      </c>
      <c r="I18" s="44">
        <f t="shared" si="3"/>
        <v>4</v>
      </c>
      <c r="J18" s="44">
        <f t="shared" si="3"/>
        <v>9.5</v>
      </c>
      <c r="K18" s="44">
        <f t="shared" si="3"/>
        <v>5.8</v>
      </c>
      <c r="L18" s="44">
        <f t="shared" si="3"/>
        <v>15.8</v>
      </c>
      <c r="M18" s="44">
        <f t="shared" si="3"/>
        <v>9.3000000000000007</v>
      </c>
      <c r="N18" s="44">
        <f t="shared" si="3"/>
        <v>15.8</v>
      </c>
    </row>
    <row r="19" spans="1:14" hidden="1" outlineLevel="1" x14ac:dyDescent="0.2">
      <c r="A19" s="9" t="s">
        <v>54</v>
      </c>
      <c r="B19" s="1" t="s">
        <v>55</v>
      </c>
      <c r="C19" s="10">
        <f>IFERROR(VLOOKUP(A19,'Centre DW14'!$A$7:$N$160,3,FALSE),0)+
IFERROR(VLOOKUP(A19,'Centre WP14'!$A$7:$N$160,3,FALSE),0)+
IFERROR(VLOOKUP(A19,'Centre WR14'!$A$7:$N$160,3,FALSE),0)</f>
        <v>0</v>
      </c>
      <c r="D19" s="10">
        <f>IFERROR(VLOOKUP(A19,'Centre DW14'!$A$7:$N$160,4,FALSE),0)+
IFERROR(VLOOKUP(A19,'Centre WP14'!$A$7:$N$160,4,FALSE),0)+
IFERROR(VLOOKUP(A19,'Centre WR14'!$A$7:$N$160,4,FALSE),0)</f>
        <v>0</v>
      </c>
      <c r="E19" s="10">
        <f>IFERROR(VLOOKUP(A19,'Centre DW14'!$A$7:$N$160,5,FALSE),0)+
IFERROR(VLOOKUP(A19,'Centre WP14'!$A$7:$N$160,5,FALSE),0)+
IFERROR(VLOOKUP(A19,'Centre WR14'!$A$7:$N$160,5,FALSE),0)</f>
        <v>0</v>
      </c>
      <c r="F19" s="10">
        <f>IFERROR(VLOOKUP(A19,'Centre DW14'!$A$7:$N$160,6,FALSE),0)+
IFERROR(VLOOKUP(A19,'Centre WP14'!$A$7:$N$160,6,FALSE),0)+
IFERROR(VLOOKUP(A19,'Centre WR14'!$A$7:$N$160,6,FALSE),0)</f>
        <v>0</v>
      </c>
      <c r="G19" s="10">
        <f>IFERROR(VLOOKUP(A19,'Centre DW14'!$A$7:$N$160,7,FALSE),0)+
IFERROR(VLOOKUP(A19,'Centre WP14'!$A$7:$N$160,7,FALSE),0)+
IFERROR(VLOOKUP(A19,'Centre WR14'!$A$7:$N$160,7,FALSE),0)</f>
        <v>0</v>
      </c>
      <c r="H19" s="10">
        <f>IFERROR(VLOOKUP(A19,'Centre DW14'!$A$7:$N$160,8,FALSE),0)+
IFERROR(VLOOKUP(A19,'Centre WP14'!$A$7:$N$160,8,FALSE),0)+
IFERROR(VLOOKUP(A19,'Centre WR14'!$A$7:$N$160,8,FALSE),0)</f>
        <v>9.3000000000000007</v>
      </c>
      <c r="I19" s="10">
        <f>IFERROR(VLOOKUP(A19,'Centre DW14'!$A$7:$N$160,9,FALSE),0)+
IFERROR(VLOOKUP(A19,'Centre WP14'!$A$7:$N$160,9,FALSE),0)+
IFERROR(VLOOKUP(A19,'Centre WR14'!$A$7:$N$160,9,FALSE),0)</f>
        <v>2.5</v>
      </c>
      <c r="J19" s="28">
        <f>IFERROR(VLOOKUP(A19,'Centre DW14'!$A$7:$N$160,10,FALSE),0)+
IFERROR(VLOOKUP(A19,'Centre WP14'!$A$7:$N$160,10,FALSE),0)+
IFERROR(VLOOKUP(A19,'Centre WR14'!$A$7:$N$160,10,FALSE),0)</f>
        <v>0</v>
      </c>
      <c r="K19" s="10">
        <f>IFERROR(VLOOKUP(A19,'Centre DW14'!$A$7:$N$160,11,FALSE),0)+
IFERROR(VLOOKUP(A19,'Centre WP14'!$A$7:$N$160,11,FALSE),0)+
IFERROR(VLOOKUP(A19,'Centre WR14'!$A$7:$N$160,11,FALSE),0)</f>
        <v>0</v>
      </c>
      <c r="L19" s="10">
        <f>IFERROR(VLOOKUP(A19,'Centre DW14'!$A$7:$N$160,12,FALSE),0)+
IFERROR(VLOOKUP(A19,'Centre WP14'!$A$7:$N$160,12,FALSE),0)+
IFERROR(VLOOKUP(A19,'Centre WR14'!$A$7:$N$160,12,FALSE),0)</f>
        <v>0</v>
      </c>
      <c r="M19" s="10">
        <f>IFERROR(VLOOKUP(A19,'Centre DW14'!$A$7:$N$160,13,FALSE),0)+
IFERROR(VLOOKUP(A19,'Centre WP14'!$A$7:$N$160,13,FALSE),0)+
IFERROR(VLOOKUP(A19,'Centre WR14'!$A$7:$N$160,13,FALSE),0)</f>
        <v>9.3000000000000007</v>
      </c>
      <c r="N19" s="10">
        <f>IFERROR(VLOOKUP(A19,'Centre DW14'!$A$7:$N$160,14,FALSE),0)+
IFERROR(VLOOKUP(A19,'Centre WP14'!$A$7:$N$160,14,FALSE),0)+
IFERROR(VLOOKUP(A19,'Centre WR14'!$A$7:$N$160,14,FALSE),0)</f>
        <v>0</v>
      </c>
    </row>
    <row r="20" spans="1:14" hidden="1" outlineLevel="1" x14ac:dyDescent="0.2">
      <c r="A20" s="9" t="s">
        <v>56</v>
      </c>
      <c r="B20" s="1" t="s">
        <v>51</v>
      </c>
      <c r="C20" s="10">
        <f>IFERROR(VLOOKUP(A20,'Centre DW14'!$A$7:$N$160,3,FALSE),0)+
IFERROR(VLOOKUP(A20,'Centre WP14'!$A$7:$N$160,3,FALSE),0)+
IFERROR(VLOOKUP(A20,'Centre WR14'!$A$7:$N$160,3,FALSE),0)</f>
        <v>0</v>
      </c>
      <c r="D20" s="10">
        <f>IFERROR(VLOOKUP(A20,'Centre DW14'!$A$7:$N$160,4,FALSE),0)+
IFERROR(VLOOKUP(A20,'Centre WP14'!$A$7:$N$160,4,FALSE),0)+
IFERROR(VLOOKUP(A20,'Centre WR14'!$A$7:$N$160,4,FALSE),0)</f>
        <v>9.5</v>
      </c>
      <c r="E20" s="10">
        <f>IFERROR(VLOOKUP(A20,'Centre DW14'!$A$7:$N$160,5,FALSE),0)+
IFERROR(VLOOKUP(A20,'Centre WP14'!$A$7:$N$160,5,FALSE),0)+
IFERROR(VLOOKUP(A20,'Centre WR14'!$A$7:$N$160,5,FALSE),0)</f>
        <v>9.5</v>
      </c>
      <c r="F20" s="10">
        <f>IFERROR(VLOOKUP(A20,'Centre DW14'!$A$7:$N$160,6,FALSE),0)+
IFERROR(VLOOKUP(A20,'Centre WP14'!$A$7:$N$160,6,FALSE),0)+
IFERROR(VLOOKUP(A20,'Centre WR14'!$A$7:$N$160,6,FALSE),0)</f>
        <v>5.8</v>
      </c>
      <c r="G20" s="10">
        <f>IFERROR(VLOOKUP(A20,'Centre DW14'!$A$7:$N$160,7,FALSE),0)+
IFERROR(VLOOKUP(A20,'Centre WP14'!$A$7:$N$160,7,FALSE),0)+
IFERROR(VLOOKUP(A20,'Centre WR14'!$A$7:$N$160,7,FALSE),0)</f>
        <v>15.8</v>
      </c>
      <c r="H20" s="10">
        <f>IFERROR(VLOOKUP(A20,'Centre DW14'!$A$7:$N$160,8,FALSE),0)+
IFERROR(VLOOKUP(A20,'Centre WP14'!$A$7:$N$160,8,FALSE),0)+
IFERROR(VLOOKUP(A20,'Centre WR14'!$A$7:$N$160,8,FALSE),0)</f>
        <v>0</v>
      </c>
      <c r="I20" s="10">
        <f>IFERROR(VLOOKUP(A20,'Centre DW14'!$A$7:$N$160,9,FALSE),0)+
IFERROR(VLOOKUP(A20,'Centre WP14'!$A$7:$N$160,9,FALSE),0)+
IFERROR(VLOOKUP(A20,'Centre WR14'!$A$7:$N$160,9,FALSE),0)</f>
        <v>1.5</v>
      </c>
      <c r="J20" s="28">
        <f>IFERROR(VLOOKUP(A20,'Centre DW14'!$A$7:$N$160,10,FALSE),0)+
IFERROR(VLOOKUP(A20,'Centre WP14'!$A$7:$N$160,10,FALSE),0)+
IFERROR(VLOOKUP(A20,'Centre WR14'!$A$7:$N$160,10,FALSE),0)</f>
        <v>9.5</v>
      </c>
      <c r="K20" s="10">
        <f>IFERROR(VLOOKUP(A20,'Centre DW14'!$A$7:$N$160,11,FALSE),0)+
IFERROR(VLOOKUP(A20,'Centre WP14'!$A$7:$N$160,11,FALSE),0)+
IFERROR(VLOOKUP(A20,'Centre WR14'!$A$7:$N$160,11,FALSE),0)</f>
        <v>5.8</v>
      </c>
      <c r="L20" s="10">
        <f>IFERROR(VLOOKUP(A20,'Centre DW14'!$A$7:$N$160,12,FALSE),0)+
IFERROR(VLOOKUP(A20,'Centre WP14'!$A$7:$N$160,12,FALSE),0)+
IFERROR(VLOOKUP(A20,'Centre WR14'!$A$7:$N$160,12,FALSE),0)</f>
        <v>15.8</v>
      </c>
      <c r="M20" s="10">
        <f>IFERROR(VLOOKUP(A20,'Centre DW14'!$A$7:$N$160,13,FALSE),0)+
IFERROR(VLOOKUP(A20,'Centre WP14'!$A$7:$N$160,13,FALSE),0)+
IFERROR(VLOOKUP(A20,'Centre WR14'!$A$7:$N$160,13,FALSE),0)</f>
        <v>0</v>
      </c>
      <c r="N20" s="10">
        <f>IFERROR(VLOOKUP(A20,'Centre DW14'!$A$7:$N$160,14,FALSE),0)+
IFERROR(VLOOKUP(A20,'Centre WP14'!$A$7:$N$160,14,FALSE),0)+
IFERROR(VLOOKUP(A20,'Centre WR14'!$A$7:$N$160,14,FALSE),0)</f>
        <v>15.8</v>
      </c>
    </row>
    <row r="21" spans="1:14" hidden="1" outlineLevel="1" x14ac:dyDescent="0.2">
      <c r="A21" s="9" t="s">
        <v>57</v>
      </c>
      <c r="B21" s="1" t="s">
        <v>58</v>
      </c>
      <c r="C21" s="10">
        <f>IFERROR(VLOOKUP(A21,'Centre DW14'!$A$7:$N$160,3,FALSE),0)+
IFERROR(VLOOKUP(A21,'Centre WP14'!$A$7:$N$160,3,FALSE),0)+
IFERROR(VLOOKUP(A21,'Centre WR14'!$A$7:$N$160,3,FALSE),0)</f>
        <v>6</v>
      </c>
      <c r="D21" s="10">
        <f>IFERROR(VLOOKUP(A21,'Centre DW14'!$A$7:$N$160,4,FALSE),0)+
IFERROR(VLOOKUP(A21,'Centre WP14'!$A$7:$N$160,4,FALSE),0)+
IFERROR(VLOOKUP(A21,'Centre WR14'!$A$7:$N$160,4,FALSE),0)</f>
        <v>0</v>
      </c>
      <c r="E21" s="10">
        <f>IFERROR(VLOOKUP(A21,'Centre DW14'!$A$7:$N$160,5,FALSE),0)+
IFERROR(VLOOKUP(A21,'Centre WP14'!$A$7:$N$160,5,FALSE),0)+
IFERROR(VLOOKUP(A21,'Centre WR14'!$A$7:$N$160,5,FALSE),0)</f>
        <v>0</v>
      </c>
      <c r="F21" s="10">
        <f>IFERROR(VLOOKUP(A21,'Centre DW14'!$A$7:$N$160,6,FALSE),0)+
IFERROR(VLOOKUP(A21,'Centre WP14'!$A$7:$N$160,6,FALSE),0)+
IFERROR(VLOOKUP(A21,'Centre WR14'!$A$7:$N$160,6,FALSE),0)</f>
        <v>0</v>
      </c>
      <c r="G21" s="10">
        <f>IFERROR(VLOOKUP(A21,'Centre DW14'!$A$7:$N$160,7,FALSE),0)+
IFERROR(VLOOKUP(A21,'Centre WP14'!$A$7:$N$160,7,FALSE),0)+
IFERROR(VLOOKUP(A21,'Centre WR14'!$A$7:$N$160,7,FALSE),0)</f>
        <v>0</v>
      </c>
      <c r="H21" s="10">
        <f>IFERROR(VLOOKUP(A21,'Centre DW14'!$A$7:$N$160,8,FALSE),0)+
IFERROR(VLOOKUP(A21,'Centre WP14'!$A$7:$N$160,8,FALSE),0)+
IFERROR(VLOOKUP(A21,'Centre WR14'!$A$7:$N$160,8,FALSE),0)</f>
        <v>0</v>
      </c>
      <c r="I21" s="10">
        <f>IFERROR(VLOOKUP(A21,'Centre DW14'!$A$7:$N$160,9,FALSE),0)+
IFERROR(VLOOKUP(A21,'Centre WP14'!$A$7:$N$160,9,FALSE),0)+
IFERROR(VLOOKUP(A21,'Centre WR14'!$A$7:$N$160,9,FALSE),0)</f>
        <v>0</v>
      </c>
      <c r="J21" s="28">
        <f>IFERROR(VLOOKUP(A21,'Centre DW14'!$A$7:$N$160,10,FALSE),0)+
IFERROR(VLOOKUP(A21,'Centre WP14'!$A$7:$N$160,10,FALSE),0)+
IFERROR(VLOOKUP(A21,'Centre WR14'!$A$7:$N$160,10,FALSE),0)</f>
        <v>0</v>
      </c>
      <c r="K21" s="10">
        <f>IFERROR(VLOOKUP(A21,'Centre DW14'!$A$7:$N$160,11,FALSE),0)+
IFERROR(VLOOKUP(A21,'Centre WP14'!$A$7:$N$160,11,FALSE),0)+
IFERROR(VLOOKUP(A21,'Centre WR14'!$A$7:$N$160,11,FALSE),0)</f>
        <v>0</v>
      </c>
      <c r="L21" s="10">
        <f>IFERROR(VLOOKUP(A21,'Centre DW14'!$A$7:$N$160,12,FALSE),0)+
IFERROR(VLOOKUP(A21,'Centre WP14'!$A$7:$N$160,12,FALSE),0)+
IFERROR(VLOOKUP(A21,'Centre WR14'!$A$7:$N$160,12,FALSE),0)</f>
        <v>0</v>
      </c>
      <c r="M21" s="10">
        <f>IFERROR(VLOOKUP(A21,'Centre DW14'!$A$7:$N$160,13,FALSE),0)+
IFERROR(VLOOKUP(A21,'Centre WP14'!$A$7:$N$160,13,FALSE),0)+
IFERROR(VLOOKUP(A21,'Centre WR14'!$A$7:$N$160,13,FALSE),0)</f>
        <v>0</v>
      </c>
      <c r="N21" s="10">
        <f>IFERROR(VLOOKUP(A21,'Centre DW14'!$A$7:$N$160,14,FALSE),0)+
IFERROR(VLOOKUP(A21,'Centre WP14'!$A$7:$N$160,14,FALSE),0)+
IFERROR(VLOOKUP(A21,'Centre WR14'!$A$7:$N$160,14,FALSE),0)</f>
        <v>0</v>
      </c>
    </row>
    <row r="22" spans="1:14" collapsed="1" x14ac:dyDescent="0.2">
      <c r="A22" s="33" t="s">
        <v>60</v>
      </c>
      <c r="B22" s="34" t="s">
        <v>61</v>
      </c>
      <c r="C22" s="44">
        <f>IFERROR(VLOOKUP(A22,'Centre DW14'!$A$7:$N$160,3,FALSE),0)+
IFERROR(VLOOKUP(A22,'Centre WP14'!$A$7:$N$160,3,FALSE),0)+
IFERROR(VLOOKUP(A22,'Centre WR14'!$A$7:$N$160,3,FALSE),0)</f>
        <v>0</v>
      </c>
      <c r="D22" s="44">
        <f>IFERROR(VLOOKUP(A22,'Centre DW14'!$A$7:$N$160,4,FALSE),0)+
IFERROR(VLOOKUP(A22,'Centre WP14'!$A$7:$N$160,4,FALSE),0)+
IFERROR(VLOOKUP(A22,'Centre WR14'!$A$7:$N$160,4,FALSE),0)</f>
        <v>0</v>
      </c>
      <c r="E22" s="44">
        <f>IFERROR(VLOOKUP(A22,'Centre DW14'!$A$7:$N$160,5,FALSE),0)+
IFERROR(VLOOKUP(A22,'Centre WP14'!$A$7:$N$160,5,FALSE),0)+
IFERROR(VLOOKUP(A22,'Centre WR14'!$A$7:$N$160,5,FALSE),0)</f>
        <v>0</v>
      </c>
      <c r="F22" s="44">
        <f>IFERROR(VLOOKUP(A22,'Centre DW14'!$A$7:$N$160,6,FALSE),0)+
IFERROR(VLOOKUP(A22,'Centre WP14'!$A$7:$N$160,6,FALSE),0)+
IFERROR(VLOOKUP(A22,'Centre WR14'!$A$7:$N$160,6,FALSE),0)</f>
        <v>0</v>
      </c>
      <c r="G22" s="44">
        <f>IFERROR(VLOOKUP(A22,'Centre DW14'!$A$7:$N$160,7,FALSE),0)+
IFERROR(VLOOKUP(A22,'Centre WP14'!$A$7:$N$160,7,FALSE),0)+
IFERROR(VLOOKUP(A22,'Centre WR14'!$A$7:$N$160,7,FALSE),0)</f>
        <v>0</v>
      </c>
      <c r="H22" s="44">
        <f>IFERROR(VLOOKUP(A22,'Centre DW14'!$A$7:$N$160,8,FALSE),0)+
IFERROR(VLOOKUP(A22,'Centre WP14'!$A$7:$N$160,8,FALSE),0)+
IFERROR(VLOOKUP(A22,'Centre WR14'!$A$7:$N$160,8,FALSE),0)</f>
        <v>0</v>
      </c>
      <c r="I22" s="44">
        <f>IFERROR(VLOOKUP(A22,'Centre DW14'!$A$7:$N$160,9,FALSE),0)+
IFERROR(VLOOKUP(A22,'Centre WP14'!$A$7:$N$160,9,FALSE),0)+
IFERROR(VLOOKUP(A22,'Centre WR14'!$A$7:$N$160,9,FALSE),0)</f>
        <v>0</v>
      </c>
      <c r="J22" s="44">
        <f>IFERROR(VLOOKUP(A22,'Centre DW14'!$A$7:$N$160,10,FALSE),0)+
IFERROR(VLOOKUP(A22,'Centre WP14'!$A$7:$N$160,10,FALSE),0)+
IFERROR(VLOOKUP(A22,'Centre WR14'!$A$7:$N$160,10,FALSE),0)</f>
        <v>0</v>
      </c>
      <c r="K22" s="44">
        <f>IFERROR(VLOOKUP(A22,'Centre DW14'!$A$7:$N$160,11,FALSE),0)+
IFERROR(VLOOKUP(A22,'Centre WP14'!$A$7:$N$160,11,FALSE),0)+
IFERROR(VLOOKUP(A22,'Centre WR14'!$A$7:$N$160,11,FALSE),0)</f>
        <v>0</v>
      </c>
      <c r="L22" s="44">
        <f>IFERROR(VLOOKUP(A22,'Centre DW14'!$A$7:$N$160,12,FALSE),0)+
IFERROR(VLOOKUP(A22,'Centre WP14'!$A$7:$N$160,12,FALSE),0)+
IFERROR(VLOOKUP(A22,'Centre WR14'!$A$7:$N$160,12,FALSE),0)</f>
        <v>0</v>
      </c>
      <c r="M22" s="44">
        <f>IFERROR(VLOOKUP(A22,'Centre DW14'!$A$7:$N$160,13,FALSE),0)+
IFERROR(VLOOKUP(A22,'Centre WP14'!$A$7:$N$160,13,FALSE),0)+
IFERROR(VLOOKUP(A22,'Centre WR14'!$A$7:$N$160,13,FALSE),0)</f>
        <v>0</v>
      </c>
      <c r="N22" s="44">
        <f>IFERROR(VLOOKUP(A22,'Centre DW14'!$A$7:$N$160,14,FALSE),0)+
IFERROR(VLOOKUP(A22,'Centre WP14'!$A$7:$N$160,14,FALSE),0)+
IFERROR(VLOOKUP(A22,'Centre WR14'!$A$7:$N$160,14,FALSE),0)</f>
        <v>0</v>
      </c>
    </row>
    <row r="23" spans="1:14" x14ac:dyDescent="0.2">
      <c r="A23" s="33" t="s">
        <v>62</v>
      </c>
      <c r="B23" s="34" t="s">
        <v>63</v>
      </c>
      <c r="C23" s="44">
        <f>IFERROR(VLOOKUP(A23,'Centre DW14'!$A$7:$N$160,3,FALSE),0)+
IFERROR(VLOOKUP(A23,'Centre WP14'!$A$7:$N$160,3,FALSE),0)+
IFERROR(VLOOKUP(A23,'Centre WR14'!$A$7:$N$160,3,FALSE),0)</f>
        <v>0</v>
      </c>
      <c r="D23" s="44">
        <f>IFERROR(VLOOKUP(A23,'Centre DW14'!$A$7:$N$160,4,FALSE),0)+
IFERROR(VLOOKUP(A23,'Centre WP14'!$A$7:$N$160,4,FALSE),0)+
IFERROR(VLOOKUP(A23,'Centre WR14'!$A$7:$N$160,4,FALSE),0)</f>
        <v>0</v>
      </c>
      <c r="E23" s="44">
        <f>IFERROR(VLOOKUP(A23,'Centre DW14'!$A$7:$N$160,5,FALSE),0)+
IFERROR(VLOOKUP(A23,'Centre WP14'!$A$7:$N$160,5,FALSE),0)+
IFERROR(VLOOKUP(A23,'Centre WR14'!$A$7:$N$160,5,FALSE),0)</f>
        <v>0</v>
      </c>
      <c r="F23" s="44">
        <f>IFERROR(VLOOKUP(A23,'Centre DW14'!$A$7:$N$160,6,FALSE),0)+
IFERROR(VLOOKUP(A23,'Centre WP14'!$A$7:$N$160,6,FALSE),0)+
IFERROR(VLOOKUP(A23,'Centre WR14'!$A$7:$N$160,6,FALSE),0)</f>
        <v>0</v>
      </c>
      <c r="G23" s="44">
        <f>IFERROR(VLOOKUP(A23,'Centre DW14'!$A$7:$N$160,7,FALSE),0)+
IFERROR(VLOOKUP(A23,'Centre WP14'!$A$7:$N$160,7,FALSE),0)+
IFERROR(VLOOKUP(A23,'Centre WR14'!$A$7:$N$160,7,FALSE),0)</f>
        <v>0</v>
      </c>
      <c r="H23" s="44">
        <f>IFERROR(VLOOKUP(A23,'Centre DW14'!$A$7:$N$160,8,FALSE),0)+
IFERROR(VLOOKUP(A23,'Centre WP14'!$A$7:$N$160,8,FALSE),0)+
IFERROR(VLOOKUP(A23,'Centre WR14'!$A$7:$N$160,8,FALSE),0)</f>
        <v>0</v>
      </c>
      <c r="I23" s="44">
        <f>IFERROR(VLOOKUP(A23,'Centre DW14'!$A$7:$N$160,9,FALSE),0)+
IFERROR(VLOOKUP(A23,'Centre WP14'!$A$7:$N$160,9,FALSE),0)+
IFERROR(VLOOKUP(A23,'Centre WR14'!$A$7:$N$160,9,FALSE),0)</f>
        <v>0</v>
      </c>
      <c r="J23" s="44">
        <f>IFERROR(VLOOKUP(A23,'Centre DW14'!$A$7:$N$160,10,FALSE),0)+
IFERROR(VLOOKUP(A23,'Centre WP14'!$A$7:$N$160,10,FALSE),0)+
IFERROR(VLOOKUP(A23,'Centre WR14'!$A$7:$N$160,10,FALSE),0)</f>
        <v>0</v>
      </c>
      <c r="K23" s="44">
        <f>IFERROR(VLOOKUP(A23,'Centre DW14'!$A$7:$N$160,11,FALSE),0)+
IFERROR(VLOOKUP(A23,'Centre WP14'!$A$7:$N$160,11,FALSE),0)+
IFERROR(VLOOKUP(A23,'Centre WR14'!$A$7:$N$160,11,FALSE),0)</f>
        <v>0</v>
      </c>
      <c r="L23" s="44">
        <f>IFERROR(VLOOKUP(A23,'Centre DW14'!$A$7:$N$160,12,FALSE),0)+
IFERROR(VLOOKUP(A23,'Centre WP14'!$A$7:$N$160,12,FALSE),0)+
IFERROR(VLOOKUP(A23,'Centre WR14'!$A$7:$N$160,12,FALSE),0)</f>
        <v>0</v>
      </c>
      <c r="M23" s="44">
        <f>IFERROR(VLOOKUP(A23,'Centre DW14'!$A$7:$N$160,13,FALSE),0)+
IFERROR(VLOOKUP(A23,'Centre WP14'!$A$7:$N$160,13,FALSE),0)+
IFERROR(VLOOKUP(A23,'Centre WR14'!$A$7:$N$160,13,FALSE),0)</f>
        <v>0</v>
      </c>
      <c r="N23" s="44">
        <f>IFERROR(VLOOKUP(A23,'Centre DW14'!$A$7:$N$160,14,FALSE),0)+
IFERROR(VLOOKUP(A23,'Centre WP14'!$A$7:$N$160,14,FALSE),0)+
IFERROR(VLOOKUP(A23,'Centre WR14'!$A$7:$N$160,14,FALSE),0)</f>
        <v>0</v>
      </c>
    </row>
    <row r="24" spans="1:14" x14ac:dyDescent="0.2">
      <c r="A24" s="33" t="s">
        <v>64</v>
      </c>
      <c r="B24" s="34" t="s">
        <v>65</v>
      </c>
      <c r="C24" s="44">
        <f t="shared" ref="C24:N24" si="4">+C25</f>
        <v>4.8</v>
      </c>
      <c r="D24" s="44">
        <f t="shared" si="4"/>
        <v>-2.2999999999999998</v>
      </c>
      <c r="E24" s="44">
        <f t="shared" si="4"/>
        <v>-1.1000000000000001</v>
      </c>
      <c r="F24" s="44">
        <f t="shared" si="4"/>
        <v>9.9</v>
      </c>
      <c r="G24" s="44">
        <f t="shared" si="4"/>
        <v>-6.4</v>
      </c>
      <c r="H24" s="44">
        <f t="shared" si="4"/>
        <v>-5</v>
      </c>
      <c r="I24" s="44">
        <f t="shared" si="4"/>
        <v>0</v>
      </c>
      <c r="J24" s="44">
        <f t="shared" si="4"/>
        <v>-1.1000000000000001</v>
      </c>
      <c r="K24" s="44">
        <f t="shared" si="4"/>
        <v>9.9</v>
      </c>
      <c r="L24" s="44">
        <f t="shared" si="4"/>
        <v>-6.4</v>
      </c>
      <c r="M24" s="44">
        <f t="shared" si="4"/>
        <v>-5</v>
      </c>
      <c r="N24" s="44">
        <f t="shared" si="4"/>
        <v>0</v>
      </c>
    </row>
    <row r="25" spans="1:14" hidden="1" outlineLevel="1" x14ac:dyDescent="0.2">
      <c r="A25" s="9" t="s">
        <v>66</v>
      </c>
      <c r="B25" s="1" t="s">
        <v>67</v>
      </c>
      <c r="C25" s="10">
        <f>IFERROR(VLOOKUP(A25,'Centre DW14'!$A$7:$N$160,3,FALSE),0)+
IFERROR(VLOOKUP(A25,'Centre WP14'!$A$7:$N$160,3,FALSE),0)+
IFERROR(VLOOKUP(A25,'Centre WR14'!$A$7:$N$160,3,FALSE),0)</f>
        <v>4.8</v>
      </c>
      <c r="D25" s="10">
        <f>IFERROR(VLOOKUP(A25,'Centre DW14'!$A$7:$N$160,4,FALSE),0)+
IFERROR(VLOOKUP(A25,'Centre WP14'!$A$7:$N$160,4,FALSE),0)+
IFERROR(VLOOKUP(A25,'Centre WR14'!$A$7:$N$160,4,FALSE),0)</f>
        <v>-2.2999999999999998</v>
      </c>
      <c r="E25" s="10">
        <f>IFERROR(VLOOKUP(A25,'Centre DW14'!$A$7:$N$160,5,FALSE),0)+
IFERROR(VLOOKUP(A25,'Centre WP14'!$A$7:$N$160,5,FALSE),0)+
IFERROR(VLOOKUP(A25,'Centre WR14'!$A$7:$N$160,5,FALSE),0)</f>
        <v>-1.1000000000000001</v>
      </c>
      <c r="F25" s="10">
        <f>IFERROR(VLOOKUP(A25,'Centre DW14'!$A$7:$N$160,6,FALSE),0)+
IFERROR(VLOOKUP(A25,'Centre WP14'!$A$7:$N$160,6,FALSE),0)+
IFERROR(VLOOKUP(A25,'Centre WR14'!$A$7:$N$160,6,FALSE),0)</f>
        <v>9.9</v>
      </c>
      <c r="G25" s="10">
        <f>IFERROR(VLOOKUP(A25,'Centre DW14'!$A$7:$N$160,7,FALSE),0)+
IFERROR(VLOOKUP(A25,'Centre WP14'!$A$7:$N$160,7,FALSE),0)+
IFERROR(VLOOKUP(A25,'Centre WR14'!$A$7:$N$160,7,FALSE),0)</f>
        <v>-6.4</v>
      </c>
      <c r="H25" s="10">
        <f>IFERROR(VLOOKUP(A25,'Centre DW14'!$A$7:$N$160,8,FALSE),0)+
IFERROR(VLOOKUP(A25,'Centre WP14'!$A$7:$N$160,8,FALSE),0)+
IFERROR(VLOOKUP(A25,'Centre WR14'!$A$7:$N$160,8,FALSE),0)</f>
        <v>-5</v>
      </c>
      <c r="I25" s="10">
        <f>IFERROR(VLOOKUP(A25,'Centre DW14'!$A$7:$N$160,9,FALSE),0)+
IFERROR(VLOOKUP(A25,'Centre WP14'!$A$7:$N$160,9,FALSE),0)+
IFERROR(VLOOKUP(A25,'Centre WR14'!$A$7:$N$160,9,FALSE),0)</f>
        <v>0</v>
      </c>
      <c r="J25" s="28">
        <f>IFERROR(VLOOKUP(A25,'Centre DW14'!$A$7:$N$160,10,FALSE),0)+
IFERROR(VLOOKUP(A25,'Centre WP14'!$A$7:$N$160,10,FALSE),0)+
IFERROR(VLOOKUP(A25,'Centre WR14'!$A$7:$N$160,10,FALSE),0)</f>
        <v>-1.1000000000000001</v>
      </c>
      <c r="K25" s="10">
        <f>IFERROR(VLOOKUP(A25,'Centre DW14'!$A$7:$N$160,11,FALSE),0)+
IFERROR(VLOOKUP(A25,'Centre WP14'!$A$7:$N$160,11,FALSE),0)+
IFERROR(VLOOKUP(A25,'Centre WR14'!$A$7:$N$160,11,FALSE),0)</f>
        <v>9.9</v>
      </c>
      <c r="L25" s="10">
        <f>IFERROR(VLOOKUP(A25,'Centre DW14'!$A$7:$N$160,12,FALSE),0)+
IFERROR(VLOOKUP(A25,'Centre WP14'!$A$7:$N$160,12,FALSE),0)+
IFERROR(VLOOKUP(A25,'Centre WR14'!$A$7:$N$160,12,FALSE),0)</f>
        <v>-6.4</v>
      </c>
      <c r="M25" s="10">
        <f>IFERROR(VLOOKUP(A25,'Centre DW14'!$A$7:$N$160,13,FALSE),0)+
IFERROR(VLOOKUP(A25,'Centre WP14'!$A$7:$N$160,13,FALSE),0)+
IFERROR(VLOOKUP(A25,'Centre WR14'!$A$7:$N$160,13,FALSE),0)</f>
        <v>-5</v>
      </c>
      <c r="N25" s="10">
        <f>IFERROR(VLOOKUP(A25,'Centre DW14'!$A$7:$N$160,14,FALSE),0)+
IFERROR(VLOOKUP(A25,'Centre WP14'!$A$7:$N$160,14,FALSE),0)+
IFERROR(VLOOKUP(A25,'Centre WR14'!$A$7:$N$160,14,FALSE),0)</f>
        <v>0</v>
      </c>
    </row>
    <row r="26" spans="1:14" collapsed="1" x14ac:dyDescent="0.2">
      <c r="A26" s="33" t="s">
        <v>68</v>
      </c>
      <c r="B26" s="34" t="s">
        <v>69</v>
      </c>
      <c r="C26" s="44">
        <f t="shared" ref="C26:N26" si="5">+C27</f>
        <v>0</v>
      </c>
      <c r="D26" s="44">
        <f t="shared" si="5"/>
        <v>0</v>
      </c>
      <c r="E26" s="44">
        <f t="shared" si="5"/>
        <v>0</v>
      </c>
      <c r="F26" s="44">
        <f t="shared" si="5"/>
        <v>0</v>
      </c>
      <c r="G26" s="44">
        <f t="shared" si="5"/>
        <v>0</v>
      </c>
      <c r="H26" s="44">
        <f t="shared" si="5"/>
        <v>0</v>
      </c>
      <c r="I26" s="44">
        <f t="shared" si="5"/>
        <v>0</v>
      </c>
      <c r="J26" s="44">
        <f t="shared" si="5"/>
        <v>0</v>
      </c>
      <c r="K26" s="44">
        <f t="shared" si="5"/>
        <v>0</v>
      </c>
      <c r="L26" s="44">
        <f t="shared" si="5"/>
        <v>0</v>
      </c>
      <c r="M26" s="44">
        <f t="shared" si="5"/>
        <v>0</v>
      </c>
      <c r="N26" s="44">
        <f t="shared" si="5"/>
        <v>0</v>
      </c>
    </row>
    <row r="27" spans="1:14" hidden="1" outlineLevel="1" x14ac:dyDescent="0.2">
      <c r="A27" s="9" t="s">
        <v>70</v>
      </c>
      <c r="B27" s="1" t="s">
        <v>71</v>
      </c>
      <c r="C27" s="10">
        <f>IFERROR(VLOOKUP(A27,'Centre DW14'!$A$7:$N$160,3,FALSE),0)+
IFERROR(VLOOKUP(A27,'Centre WP14'!$A$7:$N$160,3,FALSE),0)+
IFERROR(VLOOKUP(A27,'Centre WR14'!$A$7:$N$160,3,FALSE),0)</f>
        <v>0</v>
      </c>
      <c r="D27" s="10">
        <f>IFERROR(VLOOKUP(A27,'Centre DW14'!$A$7:$N$160,4,FALSE),0)+
IFERROR(VLOOKUP(A27,'Centre WP14'!$A$7:$N$160,4,FALSE),0)+
IFERROR(VLOOKUP(A27,'Centre WR14'!$A$7:$N$160,4,FALSE),0)</f>
        <v>0</v>
      </c>
      <c r="E27" s="10">
        <f>IFERROR(VLOOKUP(A27,'Centre DW14'!$A$7:$N$160,5,FALSE),0)+
IFERROR(VLOOKUP(A27,'Centre WP14'!$A$7:$N$160,5,FALSE),0)+
IFERROR(VLOOKUP(A27,'Centre WR14'!$A$7:$N$160,5,FALSE),0)</f>
        <v>0</v>
      </c>
      <c r="F27" s="10">
        <f>IFERROR(VLOOKUP(A27,'Centre DW14'!$A$7:$N$160,6,FALSE),0)+
IFERROR(VLOOKUP(A27,'Centre WP14'!$A$7:$N$160,6,FALSE),0)+
IFERROR(VLOOKUP(A27,'Centre WR14'!$A$7:$N$160,6,FALSE),0)</f>
        <v>0</v>
      </c>
      <c r="G27" s="10">
        <f>IFERROR(VLOOKUP(A27,'Centre DW14'!$A$7:$N$160,7,FALSE),0)+
IFERROR(VLOOKUP(A27,'Centre WP14'!$A$7:$N$160,7,FALSE),0)+
IFERROR(VLOOKUP(A27,'Centre WR14'!$A$7:$N$160,7,FALSE),0)</f>
        <v>0</v>
      </c>
      <c r="H27" s="10">
        <f>IFERROR(VLOOKUP(A27,'Centre DW14'!$A$7:$N$160,8,FALSE),0)+
IFERROR(VLOOKUP(A27,'Centre WP14'!$A$7:$N$160,8,FALSE),0)+
IFERROR(VLOOKUP(A27,'Centre WR14'!$A$7:$N$160,8,FALSE),0)</f>
        <v>0</v>
      </c>
      <c r="I27" s="10">
        <f>IFERROR(VLOOKUP(A27,'Centre DW14'!$A$7:$N$160,9,FALSE),0)+
IFERROR(VLOOKUP(A27,'Centre WP14'!$A$7:$N$160,9,FALSE),0)+
IFERROR(VLOOKUP(A27,'Centre WR14'!$A$7:$N$160,9,FALSE),0)</f>
        <v>0</v>
      </c>
      <c r="J27" s="28">
        <f>IFERROR(VLOOKUP(A27,'Centre DW14'!$A$7:$N$160,10,FALSE),0)+
IFERROR(VLOOKUP(A27,'Centre WP14'!$A$7:$N$160,10,FALSE),0)+
IFERROR(VLOOKUP(A27,'Centre WR14'!$A$7:$N$160,10,FALSE),0)</f>
        <v>0</v>
      </c>
      <c r="K27" s="10">
        <f>IFERROR(VLOOKUP(A27,'Centre DW14'!$A$7:$N$160,11,FALSE),0)+
IFERROR(VLOOKUP(A27,'Centre WP14'!$A$7:$N$160,11,FALSE),0)+
IFERROR(VLOOKUP(A27,'Centre WR14'!$A$7:$N$160,11,FALSE),0)</f>
        <v>0</v>
      </c>
      <c r="L27" s="10">
        <f>IFERROR(VLOOKUP(A27,'Centre DW14'!$A$7:$N$160,12,FALSE),0)+
IFERROR(VLOOKUP(A27,'Centre WP14'!$A$7:$N$160,12,FALSE),0)+
IFERROR(VLOOKUP(A27,'Centre WR14'!$A$7:$N$160,12,FALSE),0)</f>
        <v>0</v>
      </c>
      <c r="M27" s="10">
        <f>IFERROR(VLOOKUP(A27,'Centre DW14'!$A$7:$N$160,13,FALSE),0)+
IFERROR(VLOOKUP(A27,'Centre WP14'!$A$7:$N$160,13,FALSE),0)+
IFERROR(VLOOKUP(A27,'Centre WR14'!$A$7:$N$160,13,FALSE),0)</f>
        <v>0</v>
      </c>
      <c r="N27" s="10">
        <f>IFERROR(VLOOKUP(A27,'Centre DW14'!$A$7:$N$160,14,FALSE),0)+
IFERROR(VLOOKUP(A27,'Centre WP14'!$A$7:$N$160,14,FALSE),0)+
IFERROR(VLOOKUP(A27,'Centre WR14'!$A$7:$N$160,14,FALSE),0)</f>
        <v>0</v>
      </c>
    </row>
    <row r="28" spans="1:14" collapsed="1" x14ac:dyDescent="0.2">
      <c r="A28" s="36"/>
      <c r="B28" s="36" t="s">
        <v>72</v>
      </c>
      <c r="C28" s="45">
        <f t="shared" ref="C28:M28" si="6">+C18+C22+C23+C24+C26</f>
        <v>10.8</v>
      </c>
      <c r="D28" s="45">
        <f t="shared" si="6"/>
        <v>7.2</v>
      </c>
      <c r="E28" s="45">
        <f t="shared" si="6"/>
        <v>8.4</v>
      </c>
      <c r="F28" s="45">
        <f t="shared" si="6"/>
        <v>15.7</v>
      </c>
      <c r="G28" s="45">
        <f t="shared" si="6"/>
        <v>9.4</v>
      </c>
      <c r="H28" s="45">
        <f t="shared" si="6"/>
        <v>4.3000000000000007</v>
      </c>
      <c r="I28" s="45">
        <f t="shared" si="6"/>
        <v>4</v>
      </c>
      <c r="J28" s="45">
        <f t="shared" si="6"/>
        <v>8.4</v>
      </c>
      <c r="K28" s="45">
        <f t="shared" si="6"/>
        <v>15.7</v>
      </c>
      <c r="L28" s="45">
        <f t="shared" si="6"/>
        <v>9.4</v>
      </c>
      <c r="M28" s="45">
        <f t="shared" si="6"/>
        <v>4.3000000000000007</v>
      </c>
      <c r="N28" s="45">
        <f t="shared" ref="N28" si="7">+N18+N22+N23+N24+N26</f>
        <v>15.8</v>
      </c>
    </row>
    <row r="29" spans="1:14" x14ac:dyDescent="0.2">
      <c r="A29" s="35"/>
      <c r="B29" s="35" t="s">
        <v>73</v>
      </c>
      <c r="C29" s="21">
        <f t="shared" ref="C29:M29" si="8">+C17-C28</f>
        <v>60.3</v>
      </c>
      <c r="D29" s="21">
        <f t="shared" si="8"/>
        <v>75.5</v>
      </c>
      <c r="E29" s="21">
        <f t="shared" si="8"/>
        <v>61.199999999999996</v>
      </c>
      <c r="F29" s="21">
        <f t="shared" si="8"/>
        <v>68.899999999999991</v>
      </c>
      <c r="G29" s="21">
        <f t="shared" si="8"/>
        <v>66.699999999999989</v>
      </c>
      <c r="H29" s="21">
        <f t="shared" si="8"/>
        <v>76.5</v>
      </c>
      <c r="I29" s="21">
        <f t="shared" si="8"/>
        <v>81.900000000000006</v>
      </c>
      <c r="J29" s="21">
        <f t="shared" si="8"/>
        <v>61.6</v>
      </c>
      <c r="K29" s="21">
        <f t="shared" si="8"/>
        <v>60.3</v>
      </c>
      <c r="L29" s="21">
        <f t="shared" si="8"/>
        <v>70.599999999999994</v>
      </c>
      <c r="M29" s="21">
        <f t="shared" si="8"/>
        <v>80.7</v>
      </c>
      <c r="N29" s="21">
        <f t="shared" ref="N29" si="9">+N17-N28</f>
        <v>62.2</v>
      </c>
    </row>
    <row r="30" spans="1:14" x14ac:dyDescent="0.2">
      <c r="A30" s="10" t="s">
        <v>74</v>
      </c>
      <c r="B30" s="10" t="s">
        <v>74</v>
      </c>
      <c r="C30" s="10" t="s">
        <v>74</v>
      </c>
      <c r="D30" s="10" t="s">
        <v>74</v>
      </c>
      <c r="E30" s="10" t="s">
        <v>74</v>
      </c>
      <c r="F30" s="10" t="s">
        <v>74</v>
      </c>
      <c r="G30" s="10" t="s">
        <v>74</v>
      </c>
      <c r="H30" s="10" t="s">
        <v>74</v>
      </c>
      <c r="I30" s="10" t="s">
        <v>74</v>
      </c>
      <c r="J30" s="10" t="s">
        <v>74</v>
      </c>
      <c r="K30" s="10" t="s">
        <v>74</v>
      </c>
      <c r="L30" s="10" t="s">
        <v>74</v>
      </c>
      <c r="M30" s="10" t="s">
        <v>74</v>
      </c>
      <c r="N30" s="10" t="s">
        <v>74</v>
      </c>
    </row>
    <row r="31" spans="1:14" x14ac:dyDescent="0.2">
      <c r="A31" s="33" t="s">
        <v>75</v>
      </c>
      <c r="B31" s="34" t="s">
        <v>76</v>
      </c>
      <c r="C31" s="44">
        <f t="shared" ref="C31:N31" si="10">SUM(C32:C46)</f>
        <v>8.2999999999999989</v>
      </c>
      <c r="D31" s="44">
        <f t="shared" si="10"/>
        <v>5.5</v>
      </c>
      <c r="E31" s="44">
        <f t="shared" si="10"/>
        <v>10.8</v>
      </c>
      <c r="F31" s="44">
        <f t="shared" si="10"/>
        <v>8.3999999999999968</v>
      </c>
      <c r="G31" s="44">
        <f t="shared" si="10"/>
        <v>9</v>
      </c>
      <c r="H31" s="44">
        <f t="shared" si="10"/>
        <v>18.3</v>
      </c>
      <c r="I31" s="44">
        <f t="shared" si="10"/>
        <v>20.399999999999999</v>
      </c>
      <c r="J31" s="44">
        <f t="shared" si="10"/>
        <v>8.3999999999999968</v>
      </c>
      <c r="K31" s="44">
        <f t="shared" si="10"/>
        <v>9</v>
      </c>
      <c r="L31" s="44">
        <f t="shared" si="10"/>
        <v>8.2999999999999972</v>
      </c>
      <c r="M31" s="44">
        <f t="shared" si="10"/>
        <v>9</v>
      </c>
      <c r="N31" s="44">
        <f t="shared" si="10"/>
        <v>18.350000000000001</v>
      </c>
    </row>
    <row r="32" spans="1:14" hidden="1" outlineLevel="1" x14ac:dyDescent="0.2">
      <c r="A32" s="9" t="s">
        <v>77</v>
      </c>
      <c r="B32" s="1" t="s">
        <v>78</v>
      </c>
      <c r="C32" s="10">
        <f>IFERROR(VLOOKUP(A32,'Centre DW14'!$A$7:$N$160,3,FALSE),0)+
IFERROR(VLOOKUP(A32,'Centre WP14'!$A$7:$N$160,3,FALSE),0)+
IFERROR(VLOOKUP(A32,'Centre WR14'!$A$7:$N$160,3,FALSE),0)</f>
        <v>2.1</v>
      </c>
      <c r="D32" s="10">
        <f>IFERROR(VLOOKUP(A32,'Centre DW14'!$A$7:$N$160,4,FALSE),0)+
IFERROR(VLOOKUP(A32,'Centre WP14'!$A$7:$N$160,4,FALSE),0)+
IFERROR(VLOOKUP(A32,'Centre WR14'!$A$7:$N$160,4,FALSE),0)</f>
        <v>1.1000000000000001</v>
      </c>
      <c r="E32" s="10">
        <f>IFERROR(VLOOKUP(A32,'Centre DW14'!$A$7:$N$160,5,FALSE),0)+
IFERROR(VLOOKUP(A32,'Centre WP14'!$A$7:$N$160,5,FALSE),0)+
IFERROR(VLOOKUP(A32,'Centre WR14'!$A$7:$N$160,5,FALSE),0)</f>
        <v>2.1</v>
      </c>
      <c r="F32" s="10">
        <f>IFERROR(VLOOKUP(A32,'Centre DW14'!$A$7:$N$160,6,FALSE),0)+
IFERROR(VLOOKUP(A32,'Centre WP14'!$A$7:$N$160,6,FALSE),0)+
IFERROR(VLOOKUP(A32,'Centre WR14'!$A$7:$N$160,6,FALSE),0)</f>
        <v>7.1</v>
      </c>
      <c r="G32" s="10">
        <f>IFERROR(VLOOKUP(A32,'Centre DW14'!$A$7:$N$160,7,FALSE),0)+
IFERROR(VLOOKUP(A32,'Centre WP14'!$A$7:$N$160,7,FALSE),0)+
IFERROR(VLOOKUP(A32,'Centre WR14'!$A$7:$N$160,7,FALSE),0)</f>
        <v>5.2</v>
      </c>
      <c r="H32" s="10">
        <f>IFERROR(VLOOKUP(A32,'Centre DW14'!$A$7:$N$160,8,FALSE),0)+
IFERROR(VLOOKUP(A32,'Centre WP14'!$A$7:$N$160,8,FALSE),0)+
IFERROR(VLOOKUP(A32,'Centre WR14'!$A$7:$N$160,8,FALSE),0)</f>
        <v>6</v>
      </c>
      <c r="I32" s="10">
        <f>IFERROR(VLOOKUP(A32,'Centre DW14'!$A$7:$N$160,9,FALSE),0)+
IFERROR(VLOOKUP(A32,'Centre WP14'!$A$7:$N$160,9,FALSE),0)+
IFERROR(VLOOKUP(A32,'Centre WR14'!$A$7:$N$160,9,FALSE),0)</f>
        <v>5.8</v>
      </c>
      <c r="J32" s="28">
        <f>IFERROR(VLOOKUP(A32,'Centre DW14'!$A$7:$N$160,10,FALSE),0)+
IFERROR(VLOOKUP(A32,'Centre WP14'!$A$7:$N$160,10,FALSE),0)+
IFERROR(VLOOKUP(A32,'Centre WR14'!$A$7:$N$160,10,FALSE),0)</f>
        <v>7.1</v>
      </c>
      <c r="K32" s="10">
        <f>IFERROR(VLOOKUP(A32,'Centre DW14'!$A$7:$N$160,11,FALSE),0)+
IFERROR(VLOOKUP(A32,'Centre WP14'!$A$7:$N$160,11,FALSE),0)+
IFERROR(VLOOKUP(A32,'Centre WR14'!$A$7:$N$160,11,FALSE),0)</f>
        <v>5.2</v>
      </c>
      <c r="L32" s="10">
        <f>IFERROR(VLOOKUP(A32,'Centre DW14'!$A$7:$N$160,12,FALSE),0)+
IFERROR(VLOOKUP(A32,'Centre WP14'!$A$7:$N$160,12,FALSE),0)+
IFERROR(VLOOKUP(A32,'Centre WR14'!$A$7:$N$160,12,FALSE),0)</f>
        <v>7.1</v>
      </c>
      <c r="M32" s="10">
        <f>IFERROR(VLOOKUP(A32,'Centre DW14'!$A$7:$N$160,13,FALSE),0)+
IFERROR(VLOOKUP(A32,'Centre WP14'!$A$7:$N$160,13,FALSE),0)+
IFERROR(VLOOKUP(A32,'Centre WR14'!$A$7:$N$160,13,FALSE),0)</f>
        <v>5.2</v>
      </c>
      <c r="N32" s="10">
        <f>IFERROR(VLOOKUP(A32,'Centre DW14'!$A$7:$N$160,14,FALSE),0)+
IFERROR(VLOOKUP(A32,'Centre WP14'!$A$7:$N$160,14,FALSE),0)+
IFERROR(VLOOKUP(A32,'Centre WR14'!$A$7:$N$160,14,FALSE),0)</f>
        <v>6</v>
      </c>
    </row>
    <row r="33" spans="1:14" hidden="1" outlineLevel="1" x14ac:dyDescent="0.2">
      <c r="A33" s="9" t="s">
        <v>79</v>
      </c>
      <c r="B33" s="1" t="s">
        <v>80</v>
      </c>
      <c r="C33" s="10">
        <f>IFERROR(VLOOKUP(A33,'Centre DW14'!$A$7:$N$160,3,FALSE),0)+
IFERROR(VLOOKUP(A33,'Centre WP14'!$A$7:$N$160,3,FALSE),0)+
IFERROR(VLOOKUP(A33,'Centre WR14'!$A$7:$N$160,3,FALSE),0)</f>
        <v>0</v>
      </c>
      <c r="D33" s="10">
        <f>IFERROR(VLOOKUP(A33,'Centre DW14'!$A$7:$N$160,4,FALSE),0)+
IFERROR(VLOOKUP(A33,'Centre WP14'!$A$7:$N$160,4,FALSE),0)+
IFERROR(VLOOKUP(A33,'Centre WR14'!$A$7:$N$160,4,FALSE),0)</f>
        <v>0</v>
      </c>
      <c r="E33" s="10">
        <f>IFERROR(VLOOKUP(A33,'Centre DW14'!$A$7:$N$160,5,FALSE),0)+
IFERROR(VLOOKUP(A33,'Centre WP14'!$A$7:$N$160,5,FALSE),0)+
IFERROR(VLOOKUP(A33,'Centre WR14'!$A$7:$N$160,5,FALSE),0)</f>
        <v>0</v>
      </c>
      <c r="F33" s="10">
        <f>IFERROR(VLOOKUP(A33,'Centre DW14'!$A$7:$N$160,6,FALSE),0)+
IFERROR(VLOOKUP(A33,'Centre WP14'!$A$7:$N$160,6,FALSE),0)+
IFERROR(VLOOKUP(A33,'Centre WR14'!$A$7:$N$160,6,FALSE),0)</f>
        <v>0.4</v>
      </c>
      <c r="G33" s="10">
        <f>IFERROR(VLOOKUP(A33,'Centre DW14'!$A$7:$N$160,7,FALSE),0)+
IFERROR(VLOOKUP(A33,'Centre WP14'!$A$7:$N$160,7,FALSE),0)+
IFERROR(VLOOKUP(A33,'Centre WR14'!$A$7:$N$160,7,FALSE),0)</f>
        <v>0.2</v>
      </c>
      <c r="H33" s="10">
        <f>IFERROR(VLOOKUP(A33,'Centre DW14'!$A$7:$N$160,8,FALSE),0)+
IFERROR(VLOOKUP(A33,'Centre WP14'!$A$7:$N$160,8,FALSE),0)+
IFERROR(VLOOKUP(A33,'Centre WR14'!$A$7:$N$160,8,FALSE),0)</f>
        <v>0.2</v>
      </c>
      <c r="I33" s="10">
        <f>IFERROR(VLOOKUP(A33,'Centre DW14'!$A$7:$N$160,9,FALSE),0)+
IFERROR(VLOOKUP(A33,'Centre WP14'!$A$7:$N$160,9,FALSE),0)+
IFERROR(VLOOKUP(A33,'Centre WR14'!$A$7:$N$160,9,FALSE),0)</f>
        <v>0.1</v>
      </c>
      <c r="J33" s="28">
        <f>IFERROR(VLOOKUP(A33,'Centre DW14'!$A$7:$N$160,10,FALSE),0)+
IFERROR(VLOOKUP(A33,'Centre WP14'!$A$7:$N$160,10,FALSE),0)+
IFERROR(VLOOKUP(A33,'Centre WR14'!$A$7:$N$160,10,FALSE),0)</f>
        <v>0.4</v>
      </c>
      <c r="K33" s="10">
        <f>IFERROR(VLOOKUP(A33,'Centre DW14'!$A$7:$N$160,11,FALSE),0)+
IFERROR(VLOOKUP(A33,'Centre WP14'!$A$7:$N$160,11,FALSE),0)+
IFERROR(VLOOKUP(A33,'Centre WR14'!$A$7:$N$160,11,FALSE),0)</f>
        <v>0.2</v>
      </c>
      <c r="L33" s="10">
        <f>IFERROR(VLOOKUP(A33,'Centre DW14'!$A$7:$N$160,12,FALSE),0)+
IFERROR(VLOOKUP(A33,'Centre WP14'!$A$7:$N$160,12,FALSE),0)+
IFERROR(VLOOKUP(A33,'Centre WR14'!$A$7:$N$160,12,FALSE),0)</f>
        <v>0.4</v>
      </c>
      <c r="M33" s="10">
        <f>IFERROR(VLOOKUP(A33,'Centre DW14'!$A$7:$N$160,13,FALSE),0)+
IFERROR(VLOOKUP(A33,'Centre WP14'!$A$7:$N$160,13,FALSE),0)+
IFERROR(VLOOKUP(A33,'Centre WR14'!$A$7:$N$160,13,FALSE),0)</f>
        <v>0.2</v>
      </c>
      <c r="N33" s="10">
        <f>IFERROR(VLOOKUP(A33,'Centre DW14'!$A$7:$N$160,14,FALSE),0)+
IFERROR(VLOOKUP(A33,'Centre WP14'!$A$7:$N$160,14,FALSE),0)+
IFERROR(VLOOKUP(A33,'Centre WR14'!$A$7:$N$160,14,FALSE),0)</f>
        <v>0.2</v>
      </c>
    </row>
    <row r="34" spans="1:14" hidden="1" outlineLevel="1" x14ac:dyDescent="0.2">
      <c r="A34" s="9" t="s">
        <v>81</v>
      </c>
      <c r="B34" s="1" t="s">
        <v>82</v>
      </c>
      <c r="C34" s="10">
        <f>IFERROR(VLOOKUP(A34,'Centre DW14'!$A$7:$N$160,3,FALSE),0)+
IFERROR(VLOOKUP(A34,'Centre WP14'!$A$7:$N$160,3,FALSE),0)+
IFERROR(VLOOKUP(A34,'Centre WR14'!$A$7:$N$160,3,FALSE),0)</f>
        <v>0.4</v>
      </c>
      <c r="D34" s="10">
        <f>IFERROR(VLOOKUP(A34,'Centre DW14'!$A$7:$N$160,4,FALSE),0)+
IFERROR(VLOOKUP(A34,'Centre WP14'!$A$7:$N$160,4,FALSE),0)+
IFERROR(VLOOKUP(A34,'Centre WR14'!$A$7:$N$160,4,FALSE),0)</f>
        <v>0.4</v>
      </c>
      <c r="E34" s="10">
        <f>IFERROR(VLOOKUP(A34,'Centre DW14'!$A$7:$N$160,5,FALSE),0)+
IFERROR(VLOOKUP(A34,'Centre WP14'!$A$7:$N$160,5,FALSE),0)+
IFERROR(VLOOKUP(A34,'Centre WR14'!$A$7:$N$160,5,FALSE),0)</f>
        <v>0.4</v>
      </c>
      <c r="F34" s="10">
        <f>IFERROR(VLOOKUP(A34,'Centre DW14'!$A$7:$N$160,6,FALSE),0)+
IFERROR(VLOOKUP(A34,'Centre WP14'!$A$7:$N$160,6,FALSE),0)+
IFERROR(VLOOKUP(A34,'Centre WR14'!$A$7:$N$160,6,FALSE),0)</f>
        <v>1.7</v>
      </c>
      <c r="G34" s="10">
        <f>IFERROR(VLOOKUP(A34,'Centre DW14'!$A$7:$N$160,7,FALSE),0)+
IFERROR(VLOOKUP(A34,'Centre WP14'!$A$7:$N$160,7,FALSE),0)+
IFERROR(VLOOKUP(A34,'Centre WR14'!$A$7:$N$160,7,FALSE),0)</f>
        <v>0.9</v>
      </c>
      <c r="H34" s="10">
        <f>IFERROR(VLOOKUP(A34,'Centre DW14'!$A$7:$N$160,8,FALSE),0)+
IFERROR(VLOOKUP(A34,'Centre WP14'!$A$7:$N$160,8,FALSE),0)+
IFERROR(VLOOKUP(A34,'Centre WR14'!$A$7:$N$160,8,FALSE),0)</f>
        <v>1.1000000000000001</v>
      </c>
      <c r="I34" s="10">
        <f>IFERROR(VLOOKUP(A34,'Centre DW14'!$A$7:$N$160,9,FALSE),0)+
IFERROR(VLOOKUP(A34,'Centre WP14'!$A$7:$N$160,9,FALSE),0)+
IFERROR(VLOOKUP(A34,'Centre WR14'!$A$7:$N$160,9,FALSE),0)</f>
        <v>1.1000000000000001</v>
      </c>
      <c r="J34" s="28">
        <f>IFERROR(VLOOKUP(A34,'Centre DW14'!$A$7:$N$160,10,FALSE),0)+
IFERROR(VLOOKUP(A34,'Centre WP14'!$A$7:$N$160,10,FALSE),0)+
IFERROR(VLOOKUP(A34,'Centre WR14'!$A$7:$N$160,10,FALSE),0)</f>
        <v>1.7</v>
      </c>
      <c r="K34" s="10">
        <f>IFERROR(VLOOKUP(A34,'Centre DW14'!$A$7:$N$160,11,FALSE),0)+
IFERROR(VLOOKUP(A34,'Centre WP14'!$A$7:$N$160,11,FALSE),0)+
IFERROR(VLOOKUP(A34,'Centre WR14'!$A$7:$N$160,11,FALSE),0)</f>
        <v>0.9</v>
      </c>
      <c r="L34" s="10">
        <f>IFERROR(VLOOKUP(A34,'Centre DW14'!$A$7:$N$160,12,FALSE),0)+
IFERROR(VLOOKUP(A34,'Centre WP14'!$A$7:$N$160,12,FALSE),0)+
IFERROR(VLOOKUP(A34,'Centre WR14'!$A$7:$N$160,12,FALSE),0)</f>
        <v>1.7</v>
      </c>
      <c r="M34" s="10">
        <f>IFERROR(VLOOKUP(A34,'Centre DW14'!$A$7:$N$160,13,FALSE),0)+
IFERROR(VLOOKUP(A34,'Centre WP14'!$A$7:$N$160,13,FALSE),0)+
IFERROR(VLOOKUP(A34,'Centre WR14'!$A$7:$N$160,13,FALSE),0)</f>
        <v>0.9</v>
      </c>
      <c r="N34" s="10">
        <f>IFERROR(VLOOKUP(A34,'Centre DW14'!$A$7:$N$160,14,FALSE),0)+
IFERROR(VLOOKUP(A34,'Centre WP14'!$A$7:$N$160,14,FALSE),0)+
IFERROR(VLOOKUP(A34,'Centre WR14'!$A$7:$N$160,14,FALSE),0)</f>
        <v>1.1000000000000001</v>
      </c>
    </row>
    <row r="35" spans="1:14" hidden="1" outlineLevel="1" x14ac:dyDescent="0.2">
      <c r="A35" s="9" t="s">
        <v>83</v>
      </c>
      <c r="B35" s="1" t="s">
        <v>84</v>
      </c>
      <c r="C35" s="10">
        <f>IFERROR(VLOOKUP(A35,'Centre DW14'!$A$7:$N$160,3,FALSE),0)+
IFERROR(VLOOKUP(A35,'Centre WP14'!$A$7:$N$160,3,FALSE),0)+
IFERROR(VLOOKUP(A35,'Centre WR14'!$A$7:$N$160,3,FALSE),0)</f>
        <v>0</v>
      </c>
      <c r="D35" s="10">
        <f>IFERROR(VLOOKUP(A35,'Centre DW14'!$A$7:$N$160,4,FALSE),0)+
IFERROR(VLOOKUP(A35,'Centre WP14'!$A$7:$N$160,4,FALSE),0)+
IFERROR(VLOOKUP(A35,'Centre WR14'!$A$7:$N$160,4,FALSE),0)</f>
        <v>0</v>
      </c>
      <c r="E35" s="10">
        <f>IFERROR(VLOOKUP(A35,'Centre DW14'!$A$7:$N$160,5,FALSE),0)+
IFERROR(VLOOKUP(A35,'Centre WP14'!$A$7:$N$160,5,FALSE),0)+
IFERROR(VLOOKUP(A35,'Centre WR14'!$A$7:$N$160,5,FALSE),0)</f>
        <v>0</v>
      </c>
      <c r="F35" s="10">
        <f>IFERROR(VLOOKUP(A35,'Centre DW14'!$A$7:$N$160,6,FALSE),0)+
IFERROR(VLOOKUP(A35,'Centre WP14'!$A$7:$N$160,6,FALSE),0)+
IFERROR(VLOOKUP(A35,'Centre WR14'!$A$7:$N$160,6,FALSE),0)</f>
        <v>0</v>
      </c>
      <c r="G35" s="10">
        <f>IFERROR(VLOOKUP(A35,'Centre DW14'!$A$7:$N$160,7,FALSE),0)+
IFERROR(VLOOKUP(A35,'Centre WP14'!$A$7:$N$160,7,FALSE),0)+
IFERROR(VLOOKUP(A35,'Centre WR14'!$A$7:$N$160,7,FALSE),0)</f>
        <v>0</v>
      </c>
      <c r="H35" s="10">
        <f>IFERROR(VLOOKUP(A35,'Centre DW14'!$A$7:$N$160,8,FALSE),0)+
IFERROR(VLOOKUP(A35,'Centre WP14'!$A$7:$N$160,8,FALSE),0)+
IFERROR(VLOOKUP(A35,'Centre WR14'!$A$7:$N$160,8,FALSE),0)</f>
        <v>0</v>
      </c>
      <c r="I35" s="10">
        <f>IFERROR(VLOOKUP(A35,'Centre DW14'!$A$7:$N$160,9,FALSE),0)+
IFERROR(VLOOKUP(A35,'Centre WP14'!$A$7:$N$160,9,FALSE),0)+
IFERROR(VLOOKUP(A35,'Centre WR14'!$A$7:$N$160,9,FALSE),0)</f>
        <v>0</v>
      </c>
      <c r="J35" s="28">
        <f>IFERROR(VLOOKUP(A35,'Centre DW14'!$A$7:$N$160,10,FALSE),0)+
IFERROR(VLOOKUP(A35,'Centre WP14'!$A$7:$N$160,10,FALSE),0)+
IFERROR(VLOOKUP(A35,'Centre WR14'!$A$7:$N$160,10,FALSE),0)</f>
        <v>0</v>
      </c>
      <c r="K35" s="10">
        <f>IFERROR(VLOOKUP(A35,'Centre DW14'!$A$7:$N$160,11,FALSE),0)+
IFERROR(VLOOKUP(A35,'Centre WP14'!$A$7:$N$160,11,FALSE),0)+
IFERROR(VLOOKUP(A35,'Centre WR14'!$A$7:$N$160,11,FALSE),0)</f>
        <v>0</v>
      </c>
      <c r="L35" s="10">
        <f>IFERROR(VLOOKUP(A35,'Centre DW14'!$A$7:$N$160,12,FALSE),0)+
IFERROR(VLOOKUP(A35,'Centre WP14'!$A$7:$N$160,12,FALSE),0)+
IFERROR(VLOOKUP(A35,'Centre WR14'!$A$7:$N$160,12,FALSE),0)</f>
        <v>0</v>
      </c>
      <c r="M35" s="10">
        <f>IFERROR(VLOOKUP(A35,'Centre DW14'!$A$7:$N$160,13,FALSE),0)+
IFERROR(VLOOKUP(A35,'Centre WP14'!$A$7:$N$160,13,FALSE),0)+
IFERROR(VLOOKUP(A35,'Centre WR14'!$A$7:$N$160,13,FALSE),0)</f>
        <v>0</v>
      </c>
      <c r="N35" s="10">
        <f>IFERROR(VLOOKUP(A35,'Centre DW14'!$A$7:$N$160,14,FALSE),0)+
IFERROR(VLOOKUP(A35,'Centre WP14'!$A$7:$N$160,14,FALSE),0)+
IFERROR(VLOOKUP(A35,'Centre WR14'!$A$7:$N$160,14,FALSE),0)</f>
        <v>0</v>
      </c>
    </row>
    <row r="36" spans="1:14" hidden="1" outlineLevel="1" x14ac:dyDescent="0.2">
      <c r="A36" s="9" t="s">
        <v>85</v>
      </c>
      <c r="B36" s="1" t="s">
        <v>86</v>
      </c>
      <c r="C36" s="10">
        <f>IFERROR(VLOOKUP(A36,'Centre DW14'!$A$7:$N$160,3,FALSE),0)+
IFERROR(VLOOKUP(A36,'Centre WP14'!$A$7:$N$160,3,FALSE),0)+
IFERROR(VLOOKUP(A36,'Centre WR14'!$A$7:$N$160,3,FALSE),0)</f>
        <v>0.1</v>
      </c>
      <c r="D36" s="10">
        <f>IFERROR(VLOOKUP(A36,'Centre DW14'!$A$7:$N$160,4,FALSE),0)+
IFERROR(VLOOKUP(A36,'Centre WP14'!$A$7:$N$160,4,FALSE),0)+
IFERROR(VLOOKUP(A36,'Centre WR14'!$A$7:$N$160,4,FALSE),0)</f>
        <v>0</v>
      </c>
      <c r="E36" s="10">
        <f>IFERROR(VLOOKUP(A36,'Centre DW14'!$A$7:$N$160,5,FALSE),0)+
IFERROR(VLOOKUP(A36,'Centre WP14'!$A$7:$N$160,5,FALSE),0)+
IFERROR(VLOOKUP(A36,'Centre WR14'!$A$7:$N$160,5,FALSE),0)</f>
        <v>0.1</v>
      </c>
      <c r="F36" s="10">
        <f>IFERROR(VLOOKUP(A36,'Centre DW14'!$A$7:$N$160,6,FALSE),0)+
IFERROR(VLOOKUP(A36,'Centre WP14'!$A$7:$N$160,6,FALSE),0)+
IFERROR(VLOOKUP(A36,'Centre WR14'!$A$7:$N$160,6,FALSE),0)</f>
        <v>0</v>
      </c>
      <c r="G36" s="10">
        <f>IFERROR(VLOOKUP(A36,'Centre DW14'!$A$7:$N$160,7,FALSE),0)+
IFERROR(VLOOKUP(A36,'Centre WP14'!$A$7:$N$160,7,FALSE),0)+
IFERROR(VLOOKUP(A36,'Centre WR14'!$A$7:$N$160,7,FALSE),0)</f>
        <v>0.1</v>
      </c>
      <c r="H36" s="10">
        <f>IFERROR(VLOOKUP(A36,'Centre DW14'!$A$7:$N$160,8,FALSE),0)+
IFERROR(VLOOKUP(A36,'Centre WP14'!$A$7:$N$160,8,FALSE),0)+
IFERROR(VLOOKUP(A36,'Centre WR14'!$A$7:$N$160,8,FALSE),0)</f>
        <v>0.4</v>
      </c>
      <c r="I36" s="10">
        <f>IFERROR(VLOOKUP(A36,'Centre DW14'!$A$7:$N$160,9,FALSE),0)+
IFERROR(VLOOKUP(A36,'Centre WP14'!$A$7:$N$160,9,FALSE),0)+
IFERROR(VLOOKUP(A36,'Centre WR14'!$A$7:$N$160,9,FALSE),0)</f>
        <v>0.8</v>
      </c>
      <c r="J36" s="28">
        <f>IFERROR(VLOOKUP(A36,'Centre DW14'!$A$7:$N$160,10,FALSE),0)+
IFERROR(VLOOKUP(A36,'Centre WP14'!$A$7:$N$160,10,FALSE),0)+
IFERROR(VLOOKUP(A36,'Centre WR14'!$A$7:$N$160,10,FALSE),0)</f>
        <v>0</v>
      </c>
      <c r="K36" s="10">
        <f>IFERROR(VLOOKUP(A36,'Centre DW14'!$A$7:$N$160,11,FALSE),0)+
IFERROR(VLOOKUP(A36,'Centre WP14'!$A$7:$N$160,11,FALSE),0)+
IFERROR(VLOOKUP(A36,'Centre WR14'!$A$7:$N$160,11,FALSE),0)</f>
        <v>0.1</v>
      </c>
      <c r="L36" s="10">
        <f>IFERROR(VLOOKUP(A36,'Centre DW14'!$A$7:$N$160,12,FALSE),0)+
IFERROR(VLOOKUP(A36,'Centre WP14'!$A$7:$N$160,12,FALSE),0)+
IFERROR(VLOOKUP(A36,'Centre WR14'!$A$7:$N$160,12,FALSE),0)</f>
        <v>0</v>
      </c>
      <c r="M36" s="10">
        <f>IFERROR(VLOOKUP(A36,'Centre DW14'!$A$7:$N$160,13,FALSE),0)+
IFERROR(VLOOKUP(A36,'Centre WP14'!$A$7:$N$160,13,FALSE),0)+
IFERROR(VLOOKUP(A36,'Centre WR14'!$A$7:$N$160,13,FALSE),0)</f>
        <v>0.1</v>
      </c>
      <c r="N36" s="10">
        <f>IFERROR(VLOOKUP(A36,'Centre DW14'!$A$7:$N$160,14,FALSE),0)+
IFERROR(VLOOKUP(A36,'Centre WP14'!$A$7:$N$160,14,FALSE),0)+
IFERROR(VLOOKUP(A36,'Centre WR14'!$A$7:$N$160,14,FALSE),0)</f>
        <v>0.4</v>
      </c>
    </row>
    <row r="37" spans="1:14" hidden="1" outlineLevel="1" x14ac:dyDescent="0.2">
      <c r="A37" s="9" t="s">
        <v>87</v>
      </c>
      <c r="B37" s="1" t="s">
        <v>88</v>
      </c>
      <c r="C37" s="10">
        <f>IFERROR(VLOOKUP(A37,'Centre DW14'!$A$7:$N$160,3,FALSE),0)+
IFERROR(VLOOKUP(A37,'Centre WP14'!$A$7:$N$160,3,FALSE),0)+
IFERROR(VLOOKUP(A37,'Centre WR14'!$A$7:$N$160,3,FALSE),0)</f>
        <v>0.4</v>
      </c>
      <c r="D37" s="10">
        <f>IFERROR(VLOOKUP(A37,'Centre DW14'!$A$7:$N$160,4,FALSE),0)+
IFERROR(VLOOKUP(A37,'Centre WP14'!$A$7:$N$160,4,FALSE),0)+
IFERROR(VLOOKUP(A37,'Centre WR14'!$A$7:$N$160,4,FALSE),0)</f>
        <v>0.2</v>
      </c>
      <c r="E37" s="10">
        <f>IFERROR(VLOOKUP(A37,'Centre DW14'!$A$7:$N$160,5,FALSE),0)+
IFERROR(VLOOKUP(A37,'Centre WP14'!$A$7:$N$160,5,FALSE),0)+
IFERROR(VLOOKUP(A37,'Centre WR14'!$A$7:$N$160,5,FALSE),0)</f>
        <v>0.2</v>
      </c>
      <c r="F37" s="10">
        <f>IFERROR(VLOOKUP(A37,'Centre DW14'!$A$7:$N$160,6,FALSE),0)+
IFERROR(VLOOKUP(A37,'Centre WP14'!$A$7:$N$160,6,FALSE),0)+
IFERROR(VLOOKUP(A37,'Centre WR14'!$A$7:$N$160,6,FALSE),0)</f>
        <v>0.6</v>
      </c>
      <c r="G37" s="10">
        <f>IFERROR(VLOOKUP(A37,'Centre DW14'!$A$7:$N$160,7,FALSE),0)+
IFERROR(VLOOKUP(A37,'Centre WP14'!$A$7:$N$160,7,FALSE),0)+
IFERROR(VLOOKUP(A37,'Centre WR14'!$A$7:$N$160,7,FALSE),0)</f>
        <v>0.4</v>
      </c>
      <c r="H37" s="10">
        <f>IFERROR(VLOOKUP(A37,'Centre DW14'!$A$7:$N$160,8,FALSE),0)+
IFERROR(VLOOKUP(A37,'Centre WP14'!$A$7:$N$160,8,FALSE),0)+
IFERROR(VLOOKUP(A37,'Centre WR14'!$A$7:$N$160,8,FALSE),0)</f>
        <v>0.5</v>
      </c>
      <c r="I37" s="10">
        <f>IFERROR(VLOOKUP(A37,'Centre DW14'!$A$7:$N$160,9,FALSE),0)+
IFERROR(VLOOKUP(A37,'Centre WP14'!$A$7:$N$160,9,FALSE),0)+
IFERROR(VLOOKUP(A37,'Centre WR14'!$A$7:$N$160,9,FALSE),0)</f>
        <v>0.5</v>
      </c>
      <c r="J37" s="28">
        <f>IFERROR(VLOOKUP(A37,'Centre DW14'!$A$7:$N$160,10,FALSE),0)+
IFERROR(VLOOKUP(A37,'Centre WP14'!$A$7:$N$160,10,FALSE),0)+
IFERROR(VLOOKUP(A37,'Centre WR14'!$A$7:$N$160,10,FALSE),0)</f>
        <v>0.6</v>
      </c>
      <c r="K37" s="10">
        <f>IFERROR(VLOOKUP(A37,'Centre DW14'!$A$7:$N$160,11,FALSE),0)+
IFERROR(VLOOKUP(A37,'Centre WP14'!$A$7:$N$160,11,FALSE),0)+
IFERROR(VLOOKUP(A37,'Centre WR14'!$A$7:$N$160,11,FALSE),0)</f>
        <v>0.4</v>
      </c>
      <c r="L37" s="10">
        <f>IFERROR(VLOOKUP(A37,'Centre DW14'!$A$7:$N$160,12,FALSE),0)+
IFERROR(VLOOKUP(A37,'Centre WP14'!$A$7:$N$160,12,FALSE),0)+
IFERROR(VLOOKUP(A37,'Centre WR14'!$A$7:$N$160,12,FALSE),0)</f>
        <v>0.6</v>
      </c>
      <c r="M37" s="10">
        <f>IFERROR(VLOOKUP(A37,'Centre DW14'!$A$7:$N$160,13,FALSE),0)+
IFERROR(VLOOKUP(A37,'Centre WP14'!$A$7:$N$160,13,FALSE),0)+
IFERROR(VLOOKUP(A37,'Centre WR14'!$A$7:$N$160,13,FALSE),0)</f>
        <v>0.4</v>
      </c>
      <c r="N37" s="10">
        <f>IFERROR(VLOOKUP(A37,'Centre DW14'!$A$7:$N$160,14,FALSE),0)+
IFERROR(VLOOKUP(A37,'Centre WP14'!$A$7:$N$160,14,FALSE),0)+
IFERROR(VLOOKUP(A37,'Centre WR14'!$A$7:$N$160,14,FALSE),0)</f>
        <v>0.5</v>
      </c>
    </row>
    <row r="38" spans="1:14" hidden="1" outlineLevel="1" x14ac:dyDescent="0.2">
      <c r="A38" s="9" t="s">
        <v>89</v>
      </c>
      <c r="B38" s="1" t="s">
        <v>90</v>
      </c>
      <c r="C38" s="10">
        <f>IFERROR(VLOOKUP(A38,'Centre DW14'!$A$7:$N$160,3,FALSE),0)+
IFERROR(VLOOKUP(A38,'Centre WP14'!$A$7:$N$160,3,FALSE),0)+
IFERROR(VLOOKUP(A38,'Centre WR14'!$A$7:$N$160,3,FALSE),0)</f>
        <v>0.2</v>
      </c>
      <c r="D38" s="10">
        <f>IFERROR(VLOOKUP(A38,'Centre DW14'!$A$7:$N$160,4,FALSE),0)+
IFERROR(VLOOKUP(A38,'Centre WP14'!$A$7:$N$160,4,FALSE),0)+
IFERROR(VLOOKUP(A38,'Centre WR14'!$A$7:$N$160,4,FALSE),0)</f>
        <v>0.2</v>
      </c>
      <c r="E38" s="10">
        <f>IFERROR(VLOOKUP(A38,'Centre DW14'!$A$7:$N$160,5,FALSE),0)+
IFERROR(VLOOKUP(A38,'Centre WP14'!$A$7:$N$160,5,FALSE),0)+
IFERROR(VLOOKUP(A38,'Centre WR14'!$A$7:$N$160,5,FALSE),0)</f>
        <v>0.2</v>
      </c>
      <c r="F38" s="10">
        <f>IFERROR(VLOOKUP(A38,'Centre DW14'!$A$7:$N$160,6,FALSE),0)+
IFERROR(VLOOKUP(A38,'Centre WP14'!$A$7:$N$160,6,FALSE),0)+
IFERROR(VLOOKUP(A38,'Centre WR14'!$A$7:$N$160,6,FALSE),0)</f>
        <v>0.6</v>
      </c>
      <c r="G38" s="10">
        <f>IFERROR(VLOOKUP(A38,'Centre DW14'!$A$7:$N$160,7,FALSE),0)+
IFERROR(VLOOKUP(A38,'Centre WP14'!$A$7:$N$160,7,FALSE),0)+
IFERROR(VLOOKUP(A38,'Centre WR14'!$A$7:$N$160,7,FALSE),0)</f>
        <v>0.6</v>
      </c>
      <c r="H38" s="10">
        <f>IFERROR(VLOOKUP(A38,'Centre DW14'!$A$7:$N$160,8,FALSE),0)+
IFERROR(VLOOKUP(A38,'Centre WP14'!$A$7:$N$160,8,FALSE),0)+
IFERROR(VLOOKUP(A38,'Centre WR14'!$A$7:$N$160,8,FALSE),0)</f>
        <v>0.6</v>
      </c>
      <c r="I38" s="10">
        <f>IFERROR(VLOOKUP(A38,'Centre DW14'!$A$7:$N$160,9,FALSE),0)+
IFERROR(VLOOKUP(A38,'Centre WP14'!$A$7:$N$160,9,FALSE),0)+
IFERROR(VLOOKUP(A38,'Centre WR14'!$A$7:$N$160,9,FALSE),0)</f>
        <v>0.6</v>
      </c>
      <c r="J38" s="28">
        <f>IFERROR(VLOOKUP(A38,'Centre DW14'!$A$7:$N$160,10,FALSE),0)+
IFERROR(VLOOKUP(A38,'Centre WP14'!$A$7:$N$160,10,FALSE),0)+
IFERROR(VLOOKUP(A38,'Centre WR14'!$A$7:$N$160,10,FALSE),0)</f>
        <v>0.6</v>
      </c>
      <c r="K38" s="10">
        <f>IFERROR(VLOOKUP(A38,'Centre DW14'!$A$7:$N$160,11,FALSE),0)+
IFERROR(VLOOKUP(A38,'Centre WP14'!$A$7:$N$160,11,FALSE),0)+
IFERROR(VLOOKUP(A38,'Centre WR14'!$A$7:$N$160,11,FALSE),0)</f>
        <v>0.6</v>
      </c>
      <c r="L38" s="10">
        <f>IFERROR(VLOOKUP(A38,'Centre DW14'!$A$7:$N$160,12,FALSE),0)+
IFERROR(VLOOKUP(A38,'Centre WP14'!$A$7:$N$160,12,FALSE),0)+
IFERROR(VLOOKUP(A38,'Centre WR14'!$A$7:$N$160,12,FALSE),0)</f>
        <v>0.6</v>
      </c>
      <c r="M38" s="10">
        <f>IFERROR(VLOOKUP(A38,'Centre DW14'!$A$7:$N$160,13,FALSE),0)+
IFERROR(VLOOKUP(A38,'Centre WP14'!$A$7:$N$160,13,FALSE),0)+
IFERROR(VLOOKUP(A38,'Centre WR14'!$A$7:$N$160,13,FALSE),0)</f>
        <v>0.6</v>
      </c>
      <c r="N38" s="10">
        <f>IFERROR(VLOOKUP(A38,'Centre DW14'!$A$7:$N$160,14,FALSE),0)+
IFERROR(VLOOKUP(A38,'Centre WP14'!$A$7:$N$160,14,FALSE),0)+
IFERROR(VLOOKUP(A38,'Centre WR14'!$A$7:$N$160,14,FALSE),0)</f>
        <v>0.6</v>
      </c>
    </row>
    <row r="39" spans="1:14" hidden="1" outlineLevel="1" x14ac:dyDescent="0.2">
      <c r="A39" s="9" t="s">
        <v>93</v>
      </c>
      <c r="B39" s="1" t="s">
        <v>94</v>
      </c>
      <c r="C39" s="10">
        <f>IFERROR(VLOOKUP(A39,'Centre DW14'!$A$7:$N$160,3,FALSE),0)+
IFERROR(VLOOKUP(A39,'Centre WP14'!$A$7:$N$160,3,FALSE),0)+
IFERROR(VLOOKUP(A39,'Centre WR14'!$A$7:$N$160,3,FALSE),0)</f>
        <v>0.3</v>
      </c>
      <c r="D39" s="10">
        <f>IFERROR(VLOOKUP(A39,'Centre DW14'!$A$7:$N$160,4,FALSE),0)+
IFERROR(VLOOKUP(A39,'Centre WP14'!$A$7:$N$160,4,FALSE),0)+
IFERROR(VLOOKUP(A39,'Centre WR14'!$A$7:$N$160,4,FALSE),0)</f>
        <v>0.2</v>
      </c>
      <c r="E39" s="10">
        <f>IFERROR(VLOOKUP(A39,'Centre DW14'!$A$7:$N$160,5,FALSE),0)+
IFERROR(VLOOKUP(A39,'Centre WP14'!$A$7:$N$160,5,FALSE),0)+
IFERROR(VLOOKUP(A39,'Centre WR14'!$A$7:$N$160,5,FALSE),0)</f>
        <v>0.2</v>
      </c>
      <c r="F39" s="10">
        <f>IFERROR(VLOOKUP(A39,'Centre DW14'!$A$7:$N$160,6,FALSE),0)+
IFERROR(VLOOKUP(A39,'Centre WP14'!$A$7:$N$160,6,FALSE),0)+
IFERROR(VLOOKUP(A39,'Centre WR14'!$A$7:$N$160,6,FALSE),0)</f>
        <v>1</v>
      </c>
      <c r="G39" s="10">
        <f>IFERROR(VLOOKUP(A39,'Centre DW14'!$A$7:$N$160,7,FALSE),0)+
IFERROR(VLOOKUP(A39,'Centre WP14'!$A$7:$N$160,7,FALSE),0)+
IFERROR(VLOOKUP(A39,'Centre WR14'!$A$7:$N$160,7,FALSE),0)</f>
        <v>0.4</v>
      </c>
      <c r="H39" s="10">
        <f>IFERROR(VLOOKUP(A39,'Centre DW14'!$A$7:$N$160,8,FALSE),0)+
IFERROR(VLOOKUP(A39,'Centre WP14'!$A$7:$N$160,8,FALSE),0)+
IFERROR(VLOOKUP(A39,'Centre WR14'!$A$7:$N$160,8,FALSE),0)</f>
        <v>0.5</v>
      </c>
      <c r="I39" s="10">
        <f>IFERROR(VLOOKUP(A39,'Centre DW14'!$A$7:$N$160,9,FALSE),0)+
IFERROR(VLOOKUP(A39,'Centre WP14'!$A$7:$N$160,9,FALSE),0)+
IFERROR(VLOOKUP(A39,'Centre WR14'!$A$7:$N$160,9,FALSE),0)</f>
        <v>0.9</v>
      </c>
      <c r="J39" s="28">
        <f>IFERROR(VLOOKUP(A39,'Centre DW14'!$A$7:$N$160,10,FALSE),0)+
IFERROR(VLOOKUP(A39,'Centre WP14'!$A$7:$N$160,10,FALSE),0)+
IFERROR(VLOOKUP(A39,'Centre WR14'!$A$7:$N$160,10,FALSE),0)</f>
        <v>1</v>
      </c>
      <c r="K39" s="10">
        <f>IFERROR(VLOOKUP(A39,'Centre DW14'!$A$7:$N$160,11,FALSE),0)+
IFERROR(VLOOKUP(A39,'Centre WP14'!$A$7:$N$160,11,FALSE),0)+
IFERROR(VLOOKUP(A39,'Centre WR14'!$A$7:$N$160,11,FALSE),0)</f>
        <v>0.4</v>
      </c>
      <c r="L39" s="10">
        <f>IFERROR(VLOOKUP(A39,'Centre DW14'!$A$7:$N$160,12,FALSE),0)+
IFERROR(VLOOKUP(A39,'Centre WP14'!$A$7:$N$160,12,FALSE),0)+
IFERROR(VLOOKUP(A39,'Centre WR14'!$A$7:$N$160,12,FALSE),0)</f>
        <v>1</v>
      </c>
      <c r="M39" s="10">
        <f>IFERROR(VLOOKUP(A39,'Centre DW14'!$A$7:$N$160,13,FALSE),0)+
IFERROR(VLOOKUP(A39,'Centre WP14'!$A$7:$N$160,13,FALSE),0)+
IFERROR(VLOOKUP(A39,'Centre WR14'!$A$7:$N$160,13,FALSE),0)</f>
        <v>0.4</v>
      </c>
      <c r="N39" s="10">
        <f>IFERROR(VLOOKUP(A39,'Centre DW14'!$A$7:$N$160,14,FALSE),0)+
IFERROR(VLOOKUP(A39,'Centre WP14'!$A$7:$N$160,14,FALSE),0)+
IFERROR(VLOOKUP(A39,'Centre WR14'!$A$7:$N$160,14,FALSE),0)</f>
        <v>0.5</v>
      </c>
    </row>
    <row r="40" spans="1:14" hidden="1" outlineLevel="1" x14ac:dyDescent="0.2">
      <c r="A40" s="9" t="s">
        <v>95</v>
      </c>
      <c r="B40" s="1" t="s">
        <v>96</v>
      </c>
      <c r="C40" s="10">
        <f>IFERROR(VLOOKUP(A40,'Centre DW14'!$A$7:$N$160,3,FALSE),0)+
IFERROR(VLOOKUP(A40,'Centre WP14'!$A$7:$N$160,3,FALSE),0)+
IFERROR(VLOOKUP(A40,'Centre WR14'!$A$7:$N$160,3,FALSE),0)</f>
        <v>0</v>
      </c>
      <c r="D40" s="10">
        <f>IFERROR(VLOOKUP(A40,'Centre DW14'!$A$7:$N$160,4,FALSE),0)+
IFERROR(VLOOKUP(A40,'Centre WP14'!$A$7:$N$160,4,FALSE),0)+
IFERROR(VLOOKUP(A40,'Centre WR14'!$A$7:$N$160,4,FALSE),0)</f>
        <v>0</v>
      </c>
      <c r="E40" s="10">
        <f>IFERROR(VLOOKUP(A40,'Centre DW14'!$A$7:$N$160,5,FALSE),0)+
IFERROR(VLOOKUP(A40,'Centre WP14'!$A$7:$N$160,5,FALSE),0)+
IFERROR(VLOOKUP(A40,'Centre WR14'!$A$7:$N$160,5,FALSE),0)</f>
        <v>0</v>
      </c>
      <c r="F40" s="10">
        <f>IFERROR(VLOOKUP(A40,'Centre DW14'!$A$7:$N$160,6,FALSE),0)+
IFERROR(VLOOKUP(A40,'Centre WP14'!$A$7:$N$160,6,FALSE),0)+
IFERROR(VLOOKUP(A40,'Centre WR14'!$A$7:$N$160,6,FALSE),0)</f>
        <v>0.2</v>
      </c>
      <c r="G40" s="10">
        <f>IFERROR(VLOOKUP(A40,'Centre DW14'!$A$7:$N$160,7,FALSE),0)+
IFERROR(VLOOKUP(A40,'Centre WP14'!$A$7:$N$160,7,FALSE),0)+
IFERROR(VLOOKUP(A40,'Centre WR14'!$A$7:$N$160,7,FALSE),0)</f>
        <v>0.1</v>
      </c>
      <c r="H40" s="10">
        <f>IFERROR(VLOOKUP(A40,'Centre DW14'!$A$7:$N$160,8,FALSE),0)+
IFERROR(VLOOKUP(A40,'Centre WP14'!$A$7:$N$160,8,FALSE),0)+
IFERROR(VLOOKUP(A40,'Centre WR14'!$A$7:$N$160,8,FALSE),0)</f>
        <v>0</v>
      </c>
      <c r="I40" s="10">
        <f>IFERROR(VLOOKUP(A40,'Centre DW14'!$A$7:$N$160,9,FALSE),0)+
IFERROR(VLOOKUP(A40,'Centre WP14'!$A$7:$N$160,9,FALSE),0)+
IFERROR(VLOOKUP(A40,'Centre WR14'!$A$7:$N$160,9,FALSE),0)</f>
        <v>0.1</v>
      </c>
      <c r="J40" s="28">
        <f>IFERROR(VLOOKUP(A40,'Centre DW14'!$A$7:$N$160,10,FALSE),0)+
IFERROR(VLOOKUP(A40,'Centre WP14'!$A$7:$N$160,10,FALSE),0)+
IFERROR(VLOOKUP(A40,'Centre WR14'!$A$7:$N$160,10,FALSE),0)</f>
        <v>0.2</v>
      </c>
      <c r="K40" s="10">
        <f>IFERROR(VLOOKUP(A40,'Centre DW14'!$A$7:$N$160,11,FALSE),0)+
IFERROR(VLOOKUP(A40,'Centre WP14'!$A$7:$N$160,11,FALSE),0)+
IFERROR(VLOOKUP(A40,'Centre WR14'!$A$7:$N$160,11,FALSE),0)</f>
        <v>0.1</v>
      </c>
      <c r="L40" s="10">
        <f>IFERROR(VLOOKUP(A40,'Centre DW14'!$A$7:$N$160,12,FALSE),0)+
IFERROR(VLOOKUP(A40,'Centre WP14'!$A$7:$N$160,12,FALSE),0)+
IFERROR(VLOOKUP(A40,'Centre WR14'!$A$7:$N$160,12,FALSE),0)</f>
        <v>0.2</v>
      </c>
      <c r="M40" s="10">
        <f>IFERROR(VLOOKUP(A40,'Centre DW14'!$A$7:$N$160,13,FALSE),0)+
IFERROR(VLOOKUP(A40,'Centre WP14'!$A$7:$N$160,13,FALSE),0)+
IFERROR(VLOOKUP(A40,'Centre WR14'!$A$7:$N$160,13,FALSE),0)</f>
        <v>0.1</v>
      </c>
      <c r="N40" s="10">
        <f>IFERROR(VLOOKUP(A40,'Centre DW14'!$A$7:$N$160,14,FALSE),0)+
IFERROR(VLOOKUP(A40,'Centre WP14'!$A$7:$N$160,14,FALSE),0)+
IFERROR(VLOOKUP(A40,'Centre WR14'!$A$7:$N$160,14,FALSE),0)</f>
        <v>0</v>
      </c>
    </row>
    <row r="41" spans="1:14" hidden="1" outlineLevel="1" x14ac:dyDescent="0.2">
      <c r="A41" s="9" t="s">
        <v>97</v>
      </c>
      <c r="B41" s="1" t="s">
        <v>98</v>
      </c>
      <c r="C41" s="10">
        <f>IFERROR(VLOOKUP(A41,'Centre DW14'!$A$7:$N$160,3,FALSE),0)+
IFERROR(VLOOKUP(A41,'Centre WP14'!$A$7:$N$160,3,FALSE),0)+
IFERROR(VLOOKUP(A41,'Centre WR14'!$A$7:$N$160,3,FALSE),0)</f>
        <v>0.30000000000000004</v>
      </c>
      <c r="D41" s="10">
        <f>IFERROR(VLOOKUP(A41,'Centre DW14'!$A$7:$N$160,4,FALSE),0)+
IFERROR(VLOOKUP(A41,'Centre WP14'!$A$7:$N$160,4,FALSE),0)+
IFERROR(VLOOKUP(A41,'Centre WR14'!$A$7:$N$160,4,FALSE),0)</f>
        <v>1.1000000000000001</v>
      </c>
      <c r="E41" s="10">
        <f>IFERROR(VLOOKUP(A41,'Centre DW14'!$A$7:$N$160,5,FALSE),0)+
IFERROR(VLOOKUP(A41,'Centre WP14'!$A$7:$N$160,5,FALSE),0)+
IFERROR(VLOOKUP(A41,'Centre WR14'!$A$7:$N$160,5,FALSE),0)</f>
        <v>-0.19999999999999998</v>
      </c>
      <c r="F41" s="10">
        <f>IFERROR(VLOOKUP(A41,'Centre DW14'!$A$7:$N$160,6,FALSE),0)+
IFERROR(VLOOKUP(A41,'Centre WP14'!$A$7:$N$160,6,FALSE),0)+
IFERROR(VLOOKUP(A41,'Centre WR14'!$A$7:$N$160,6,FALSE),0)</f>
        <v>-0.6</v>
      </c>
      <c r="G41" s="10">
        <f>IFERROR(VLOOKUP(A41,'Centre DW14'!$A$7:$N$160,7,FALSE),0)+
IFERROR(VLOOKUP(A41,'Centre WP14'!$A$7:$N$160,7,FALSE),0)+
IFERROR(VLOOKUP(A41,'Centre WR14'!$A$7:$N$160,7,FALSE),0)</f>
        <v>0.79999999999999993</v>
      </c>
      <c r="H41" s="10">
        <f>IFERROR(VLOOKUP(A41,'Centre DW14'!$A$7:$N$160,8,FALSE),0)+
IFERROR(VLOOKUP(A41,'Centre WP14'!$A$7:$N$160,8,FALSE),0)+
IFERROR(VLOOKUP(A41,'Centre WR14'!$A$7:$N$160,8,FALSE),0)</f>
        <v>1.2000000000000002</v>
      </c>
      <c r="I41" s="10">
        <f>IFERROR(VLOOKUP(A41,'Centre DW14'!$A$7:$N$160,9,FALSE),0)+
IFERROR(VLOOKUP(A41,'Centre WP14'!$A$7:$N$160,9,FALSE),0)+
IFERROR(VLOOKUP(A41,'Centre WR14'!$A$7:$N$160,9,FALSE),0)</f>
        <v>0.7</v>
      </c>
      <c r="J41" s="28">
        <f>IFERROR(VLOOKUP(A41,'Centre DW14'!$A$7:$N$160,10,FALSE),0)+
IFERROR(VLOOKUP(A41,'Centre WP14'!$A$7:$N$160,10,FALSE),0)+
IFERROR(VLOOKUP(A41,'Centre WR14'!$A$7:$N$160,10,FALSE),0)</f>
        <v>-0.6</v>
      </c>
      <c r="K41" s="10">
        <f>IFERROR(VLOOKUP(A41,'Centre DW14'!$A$7:$N$160,11,FALSE),0)+
IFERROR(VLOOKUP(A41,'Centre WP14'!$A$7:$N$160,11,FALSE),0)+
IFERROR(VLOOKUP(A41,'Centre WR14'!$A$7:$N$160,11,FALSE),0)</f>
        <v>0.79999999999999993</v>
      </c>
      <c r="L41" s="10">
        <f>IFERROR(VLOOKUP(A41,'Centre DW14'!$A$7:$N$160,12,FALSE),0)+
IFERROR(VLOOKUP(A41,'Centre WP14'!$A$7:$N$160,12,FALSE),0)+
IFERROR(VLOOKUP(A41,'Centre WR14'!$A$7:$N$160,12,FALSE),0)</f>
        <v>-0.7</v>
      </c>
      <c r="M41" s="10">
        <f>IFERROR(VLOOKUP(A41,'Centre DW14'!$A$7:$N$160,13,FALSE),0)+
IFERROR(VLOOKUP(A41,'Centre WP14'!$A$7:$N$160,13,FALSE),0)+
IFERROR(VLOOKUP(A41,'Centre WR14'!$A$7:$N$160,13,FALSE),0)</f>
        <v>0.79999999999999993</v>
      </c>
      <c r="N41" s="10">
        <f>IFERROR(VLOOKUP(A41,'Centre DW14'!$A$7:$N$160,14,FALSE),0)+
IFERROR(VLOOKUP(A41,'Centre WP14'!$A$7:$N$160,14,FALSE),0)+
IFERROR(VLOOKUP(A41,'Centre WR14'!$A$7:$N$160,14,FALSE),0)</f>
        <v>1.25</v>
      </c>
    </row>
    <row r="42" spans="1:14" hidden="1" outlineLevel="1" x14ac:dyDescent="0.2">
      <c r="A42" s="9" t="s">
        <v>99</v>
      </c>
      <c r="B42" s="1" t="s">
        <v>100</v>
      </c>
      <c r="C42" s="10">
        <f>IFERROR(VLOOKUP(A42,'Centre DW14'!$A$7:$N$160,3,FALSE),0)+
IFERROR(VLOOKUP(A42,'Centre WP14'!$A$7:$N$160,3,FALSE),0)+
IFERROR(VLOOKUP(A42,'Centre WR14'!$A$7:$N$160,3,FALSE),0)</f>
        <v>0</v>
      </c>
      <c r="D42" s="10">
        <f>IFERROR(VLOOKUP(A42,'Centre DW14'!$A$7:$N$160,4,FALSE),0)+
IFERROR(VLOOKUP(A42,'Centre WP14'!$A$7:$N$160,4,FALSE),0)+
IFERROR(VLOOKUP(A42,'Centre WR14'!$A$7:$N$160,4,FALSE),0)</f>
        <v>0</v>
      </c>
      <c r="E42" s="10">
        <f>IFERROR(VLOOKUP(A42,'Centre DW14'!$A$7:$N$160,5,FALSE),0)+
IFERROR(VLOOKUP(A42,'Centre WP14'!$A$7:$N$160,5,FALSE),0)+
IFERROR(VLOOKUP(A42,'Centre WR14'!$A$7:$N$160,5,FALSE),0)</f>
        <v>0</v>
      </c>
      <c r="F42" s="10">
        <f>IFERROR(VLOOKUP(A42,'Centre DW14'!$A$7:$N$160,6,FALSE),0)+
IFERROR(VLOOKUP(A42,'Centre WP14'!$A$7:$N$160,6,FALSE),0)+
IFERROR(VLOOKUP(A42,'Centre WR14'!$A$7:$N$160,6,FALSE),0)</f>
        <v>0</v>
      </c>
      <c r="G42" s="10">
        <f>IFERROR(VLOOKUP(A42,'Centre DW14'!$A$7:$N$160,7,FALSE),0)+
IFERROR(VLOOKUP(A42,'Centre WP14'!$A$7:$N$160,7,FALSE),0)+
IFERROR(VLOOKUP(A42,'Centre WR14'!$A$7:$N$160,7,FALSE),0)</f>
        <v>0</v>
      </c>
      <c r="H42" s="10">
        <f>IFERROR(VLOOKUP(A42,'Centre DW14'!$A$7:$N$160,8,FALSE),0)+
IFERROR(VLOOKUP(A42,'Centre WP14'!$A$7:$N$160,8,FALSE),0)+
IFERROR(VLOOKUP(A42,'Centre WR14'!$A$7:$N$160,8,FALSE),0)</f>
        <v>0</v>
      </c>
      <c r="I42" s="10">
        <f>IFERROR(VLOOKUP(A42,'Centre DW14'!$A$7:$N$160,9,FALSE),0)+
IFERROR(VLOOKUP(A42,'Centre WP14'!$A$7:$N$160,9,FALSE),0)+
IFERROR(VLOOKUP(A42,'Centre WR14'!$A$7:$N$160,9,FALSE),0)</f>
        <v>0</v>
      </c>
      <c r="J42" s="28">
        <f>IFERROR(VLOOKUP(A42,'Centre DW14'!$A$7:$N$160,10,FALSE),0)+
IFERROR(VLOOKUP(A42,'Centre WP14'!$A$7:$N$160,10,FALSE),0)+
IFERROR(VLOOKUP(A42,'Centre WR14'!$A$7:$N$160,10,FALSE),0)</f>
        <v>0</v>
      </c>
      <c r="K42" s="10">
        <f>IFERROR(VLOOKUP(A42,'Centre DW14'!$A$7:$N$160,11,FALSE),0)+
IFERROR(VLOOKUP(A42,'Centre WP14'!$A$7:$N$160,11,FALSE),0)+
IFERROR(VLOOKUP(A42,'Centre WR14'!$A$7:$N$160,11,FALSE),0)</f>
        <v>0</v>
      </c>
      <c r="L42" s="10">
        <f>IFERROR(VLOOKUP(A42,'Centre DW14'!$A$7:$N$160,12,FALSE),0)+
IFERROR(VLOOKUP(A42,'Centre WP14'!$A$7:$N$160,12,FALSE),0)+
IFERROR(VLOOKUP(A42,'Centre WR14'!$A$7:$N$160,12,FALSE),0)</f>
        <v>0</v>
      </c>
      <c r="M42" s="10">
        <f>IFERROR(VLOOKUP(A42,'Centre DW14'!$A$7:$N$160,13,FALSE),0)+
IFERROR(VLOOKUP(A42,'Centre WP14'!$A$7:$N$160,13,FALSE),0)+
IFERROR(VLOOKUP(A42,'Centre WR14'!$A$7:$N$160,13,FALSE),0)</f>
        <v>0</v>
      </c>
      <c r="N42" s="10">
        <f>IFERROR(VLOOKUP(A42,'Centre DW14'!$A$7:$N$160,14,FALSE),0)+
IFERROR(VLOOKUP(A42,'Centre WP14'!$A$7:$N$160,14,FALSE),0)+
IFERROR(VLOOKUP(A42,'Centre WR14'!$A$7:$N$160,14,FALSE),0)</f>
        <v>0</v>
      </c>
    </row>
    <row r="43" spans="1:14" hidden="1" outlineLevel="1" x14ac:dyDescent="0.2">
      <c r="A43" s="9" t="s">
        <v>101</v>
      </c>
      <c r="B43" s="1" t="s">
        <v>102</v>
      </c>
      <c r="C43" s="10">
        <f>IFERROR(VLOOKUP(A43,'Centre DW14'!$A$7:$N$160,3,FALSE),0)+
IFERROR(VLOOKUP(A43,'Centre WP14'!$A$7:$N$160,3,FALSE),0)+
IFERROR(VLOOKUP(A43,'Centre WR14'!$A$7:$N$160,3,FALSE),0)</f>
        <v>0</v>
      </c>
      <c r="D43" s="10">
        <f>IFERROR(VLOOKUP(A43,'Centre DW14'!$A$7:$N$160,4,FALSE),0)+
IFERROR(VLOOKUP(A43,'Centre WP14'!$A$7:$N$160,4,FALSE),0)+
IFERROR(VLOOKUP(A43,'Centre WR14'!$A$7:$N$160,4,FALSE),0)</f>
        <v>0</v>
      </c>
      <c r="E43" s="10">
        <f>IFERROR(VLOOKUP(A43,'Centre DW14'!$A$7:$N$160,5,FALSE),0)+
IFERROR(VLOOKUP(A43,'Centre WP14'!$A$7:$N$160,5,FALSE),0)+
IFERROR(VLOOKUP(A43,'Centre WR14'!$A$7:$N$160,5,FALSE),0)</f>
        <v>0</v>
      </c>
      <c r="F43" s="10">
        <f>IFERROR(VLOOKUP(A43,'Centre DW14'!$A$7:$N$160,6,FALSE),0)+
IFERROR(VLOOKUP(A43,'Centre WP14'!$A$7:$N$160,6,FALSE),0)+
IFERROR(VLOOKUP(A43,'Centre WR14'!$A$7:$N$160,6,FALSE),0)</f>
        <v>0</v>
      </c>
      <c r="G43" s="10">
        <f>IFERROR(VLOOKUP(A43,'Centre DW14'!$A$7:$N$160,7,FALSE),0)+
IFERROR(VLOOKUP(A43,'Centre WP14'!$A$7:$N$160,7,FALSE),0)+
IFERROR(VLOOKUP(A43,'Centre WR14'!$A$7:$N$160,7,FALSE),0)</f>
        <v>0.1</v>
      </c>
      <c r="H43" s="10">
        <f>IFERROR(VLOOKUP(A43,'Centre DW14'!$A$7:$N$160,8,FALSE),0)+
IFERROR(VLOOKUP(A43,'Centre WP14'!$A$7:$N$160,8,FALSE),0)+
IFERROR(VLOOKUP(A43,'Centre WR14'!$A$7:$N$160,8,FALSE),0)</f>
        <v>0</v>
      </c>
      <c r="I43" s="10">
        <f>IFERROR(VLOOKUP(A43,'Centre DW14'!$A$7:$N$160,9,FALSE),0)+
IFERROR(VLOOKUP(A43,'Centre WP14'!$A$7:$N$160,9,FALSE),0)+
IFERROR(VLOOKUP(A43,'Centre WR14'!$A$7:$N$160,9,FALSE),0)</f>
        <v>0</v>
      </c>
      <c r="J43" s="28">
        <f>IFERROR(VLOOKUP(A43,'Centre DW14'!$A$7:$N$160,10,FALSE),0)+
IFERROR(VLOOKUP(A43,'Centre WP14'!$A$7:$N$160,10,FALSE),0)+
IFERROR(VLOOKUP(A43,'Centre WR14'!$A$7:$N$160,10,FALSE),0)</f>
        <v>0</v>
      </c>
      <c r="K43" s="10">
        <f>IFERROR(VLOOKUP(A43,'Centre DW14'!$A$7:$N$160,11,FALSE),0)+
IFERROR(VLOOKUP(A43,'Centre WP14'!$A$7:$N$160,11,FALSE),0)+
IFERROR(VLOOKUP(A43,'Centre WR14'!$A$7:$N$160,11,FALSE),0)</f>
        <v>0.1</v>
      </c>
      <c r="L43" s="10">
        <f>IFERROR(VLOOKUP(A43,'Centre DW14'!$A$7:$N$160,12,FALSE),0)+
IFERROR(VLOOKUP(A43,'Centre WP14'!$A$7:$N$160,12,FALSE),0)+
IFERROR(VLOOKUP(A43,'Centre WR14'!$A$7:$N$160,12,FALSE),0)</f>
        <v>0</v>
      </c>
      <c r="M43" s="10">
        <f>IFERROR(VLOOKUP(A43,'Centre DW14'!$A$7:$N$160,13,FALSE),0)+
IFERROR(VLOOKUP(A43,'Centre WP14'!$A$7:$N$160,13,FALSE),0)+
IFERROR(VLOOKUP(A43,'Centre WR14'!$A$7:$N$160,13,FALSE),0)</f>
        <v>0.1</v>
      </c>
      <c r="N43" s="10">
        <f>IFERROR(VLOOKUP(A43,'Centre DW14'!$A$7:$N$160,14,FALSE),0)+
IFERROR(VLOOKUP(A43,'Centre WP14'!$A$7:$N$160,14,FALSE),0)+
IFERROR(VLOOKUP(A43,'Centre WR14'!$A$7:$N$160,14,FALSE),0)</f>
        <v>0</v>
      </c>
    </row>
    <row r="44" spans="1:14" hidden="1" outlineLevel="1" x14ac:dyDescent="0.2">
      <c r="A44" s="9" t="s">
        <v>103</v>
      </c>
      <c r="B44" s="1" t="s">
        <v>104</v>
      </c>
      <c r="C44" s="10">
        <f>IFERROR(VLOOKUP(A44,'Centre DW14'!$A$7:$N$160,3,FALSE),0)+
IFERROR(VLOOKUP(A44,'Centre WP14'!$A$7:$N$160,3,FALSE),0)+
IFERROR(VLOOKUP(A44,'Centre WR14'!$A$7:$N$160,3,FALSE),0)</f>
        <v>0</v>
      </c>
      <c r="D44" s="10">
        <f>IFERROR(VLOOKUP(A44,'Centre DW14'!$A$7:$N$160,4,FALSE),0)+
IFERROR(VLOOKUP(A44,'Centre WP14'!$A$7:$N$160,4,FALSE),0)+
IFERROR(VLOOKUP(A44,'Centre WR14'!$A$7:$N$160,4,FALSE),0)</f>
        <v>0.2</v>
      </c>
      <c r="E44" s="10">
        <f>IFERROR(VLOOKUP(A44,'Centre DW14'!$A$7:$N$160,5,FALSE),0)+
IFERROR(VLOOKUP(A44,'Centre WP14'!$A$7:$N$160,5,FALSE),0)+
IFERROR(VLOOKUP(A44,'Centre WR14'!$A$7:$N$160,5,FALSE),0)</f>
        <v>0.2</v>
      </c>
      <c r="F44" s="10">
        <f>IFERROR(VLOOKUP(A44,'Centre DW14'!$A$7:$N$160,6,FALSE),0)+
IFERROR(VLOOKUP(A44,'Centre WP14'!$A$7:$N$160,6,FALSE),0)+
IFERROR(VLOOKUP(A44,'Centre WR14'!$A$7:$N$160,6,FALSE),0)</f>
        <v>0.2</v>
      </c>
      <c r="G44" s="10">
        <f>IFERROR(VLOOKUP(A44,'Centre DW14'!$A$7:$N$160,7,FALSE),0)+
IFERROR(VLOOKUP(A44,'Centre WP14'!$A$7:$N$160,7,FALSE),0)+
IFERROR(VLOOKUP(A44,'Centre WR14'!$A$7:$N$160,7,FALSE),0)</f>
        <v>0.2</v>
      </c>
      <c r="H44" s="10">
        <f>IFERROR(VLOOKUP(A44,'Centre DW14'!$A$7:$N$160,8,FALSE),0)+
IFERROR(VLOOKUP(A44,'Centre WP14'!$A$7:$N$160,8,FALSE),0)+
IFERROR(VLOOKUP(A44,'Centre WR14'!$A$7:$N$160,8,FALSE),0)</f>
        <v>0.5</v>
      </c>
      <c r="I44" s="10">
        <f>IFERROR(VLOOKUP(A44,'Centre DW14'!$A$7:$N$160,9,FALSE),0)+
IFERROR(VLOOKUP(A44,'Centre WP14'!$A$7:$N$160,9,FALSE),0)+
IFERROR(VLOOKUP(A44,'Centre WR14'!$A$7:$N$160,9,FALSE),0)</f>
        <v>0.5</v>
      </c>
      <c r="J44" s="28">
        <f>IFERROR(VLOOKUP(A44,'Centre DW14'!$A$7:$N$160,10,FALSE),0)+
IFERROR(VLOOKUP(A44,'Centre WP14'!$A$7:$N$160,10,FALSE),0)+
IFERROR(VLOOKUP(A44,'Centre WR14'!$A$7:$N$160,10,FALSE),0)</f>
        <v>0.2</v>
      </c>
      <c r="K44" s="10">
        <f>IFERROR(VLOOKUP(A44,'Centre DW14'!$A$7:$N$160,11,FALSE),0)+
IFERROR(VLOOKUP(A44,'Centre WP14'!$A$7:$N$160,11,FALSE),0)+
IFERROR(VLOOKUP(A44,'Centre WR14'!$A$7:$N$160,11,FALSE),0)</f>
        <v>0.2</v>
      </c>
      <c r="L44" s="10">
        <f>IFERROR(VLOOKUP(A44,'Centre DW14'!$A$7:$N$160,12,FALSE),0)+
IFERROR(VLOOKUP(A44,'Centre WP14'!$A$7:$N$160,12,FALSE),0)+
IFERROR(VLOOKUP(A44,'Centre WR14'!$A$7:$N$160,12,FALSE),0)</f>
        <v>0.2</v>
      </c>
      <c r="M44" s="10">
        <f>IFERROR(VLOOKUP(A44,'Centre DW14'!$A$7:$N$160,13,FALSE),0)+
IFERROR(VLOOKUP(A44,'Centre WP14'!$A$7:$N$160,13,FALSE),0)+
IFERROR(VLOOKUP(A44,'Centre WR14'!$A$7:$N$160,13,FALSE),0)</f>
        <v>0.2</v>
      </c>
      <c r="N44" s="10">
        <f>IFERROR(VLOOKUP(A44,'Centre DW14'!$A$7:$N$160,14,FALSE),0)+
IFERROR(VLOOKUP(A44,'Centre WP14'!$A$7:$N$160,14,FALSE),0)+
IFERROR(VLOOKUP(A44,'Centre WR14'!$A$7:$N$160,14,FALSE),0)</f>
        <v>0.5</v>
      </c>
    </row>
    <row r="45" spans="1:14" hidden="1" outlineLevel="1" x14ac:dyDescent="0.2">
      <c r="A45" s="9" t="s">
        <v>105</v>
      </c>
      <c r="B45" s="1" t="s">
        <v>106</v>
      </c>
      <c r="C45" s="10">
        <f>IFERROR(VLOOKUP(A45,'Centre DW14'!$A$7:$N$160,3,FALSE),0)+
IFERROR(VLOOKUP(A45,'Centre WP14'!$A$7:$N$160,3,FALSE),0)+
IFERROR(VLOOKUP(A45,'Centre WR14'!$A$7:$N$160,3,FALSE),0)</f>
        <v>4.3</v>
      </c>
      <c r="D45" s="10">
        <f>IFERROR(VLOOKUP(A45,'Centre DW14'!$A$7:$N$160,4,FALSE),0)+
IFERROR(VLOOKUP(A45,'Centre WP14'!$A$7:$N$160,4,FALSE),0)+
IFERROR(VLOOKUP(A45,'Centre WR14'!$A$7:$N$160,4,FALSE),0)</f>
        <v>2</v>
      </c>
      <c r="E45" s="10">
        <f>IFERROR(VLOOKUP(A45,'Centre DW14'!$A$7:$N$160,5,FALSE),0)+
IFERROR(VLOOKUP(A45,'Centre WP14'!$A$7:$N$160,5,FALSE),0)+
IFERROR(VLOOKUP(A45,'Centre WR14'!$A$7:$N$160,5,FALSE),0)</f>
        <v>7.6</v>
      </c>
      <c r="F45" s="10">
        <f>IFERROR(VLOOKUP(A45,'Centre DW14'!$A$7:$N$160,6,FALSE),0)+
IFERROR(VLOOKUP(A45,'Centre WP14'!$A$7:$N$160,6,FALSE),0)+
IFERROR(VLOOKUP(A45,'Centre WR14'!$A$7:$N$160,6,FALSE),0)</f>
        <v>-2.9</v>
      </c>
      <c r="G45" s="10">
        <f>IFERROR(VLOOKUP(A45,'Centre DW14'!$A$7:$N$160,7,FALSE),0)+
IFERROR(VLOOKUP(A45,'Centre WP14'!$A$7:$N$160,7,FALSE),0)+
IFERROR(VLOOKUP(A45,'Centre WR14'!$A$7:$N$160,7,FALSE),0)</f>
        <v>-0.1</v>
      </c>
      <c r="H45" s="10">
        <f>IFERROR(VLOOKUP(A45,'Centre DW14'!$A$7:$N$160,8,FALSE),0)+
IFERROR(VLOOKUP(A45,'Centre WP14'!$A$7:$N$160,8,FALSE),0)+
IFERROR(VLOOKUP(A45,'Centre WR14'!$A$7:$N$160,8,FALSE),0)</f>
        <v>6.8</v>
      </c>
      <c r="I45" s="10">
        <f>IFERROR(VLOOKUP(A45,'Centre DW14'!$A$7:$N$160,9,FALSE),0)+
IFERROR(VLOOKUP(A45,'Centre WP14'!$A$7:$N$160,9,FALSE),0)+
IFERROR(VLOOKUP(A45,'Centre WR14'!$A$7:$N$160,9,FALSE),0)</f>
        <v>8.8000000000000007</v>
      </c>
      <c r="J45" s="28">
        <f>IFERROR(VLOOKUP(A45,'Centre DW14'!$A$7:$N$160,10,FALSE),0)+
IFERROR(VLOOKUP(A45,'Centre WP14'!$A$7:$N$160,10,FALSE),0)+
IFERROR(VLOOKUP(A45,'Centre WR14'!$A$7:$N$160,10,FALSE),0)</f>
        <v>-2.9</v>
      </c>
      <c r="K45" s="10">
        <f>IFERROR(VLOOKUP(A45,'Centre DW14'!$A$7:$N$160,11,FALSE),0)+
IFERROR(VLOOKUP(A45,'Centre WP14'!$A$7:$N$160,11,FALSE),0)+
IFERROR(VLOOKUP(A45,'Centre WR14'!$A$7:$N$160,11,FALSE),0)</f>
        <v>-0.1</v>
      </c>
      <c r="L45" s="10">
        <f>IFERROR(VLOOKUP(A45,'Centre DW14'!$A$7:$N$160,12,FALSE),0)+
IFERROR(VLOOKUP(A45,'Centre WP14'!$A$7:$N$160,12,FALSE),0)+
IFERROR(VLOOKUP(A45,'Centre WR14'!$A$7:$N$160,12,FALSE),0)</f>
        <v>-2.9</v>
      </c>
      <c r="M45" s="10">
        <f>IFERROR(VLOOKUP(A45,'Centre DW14'!$A$7:$N$160,13,FALSE),0)+
IFERROR(VLOOKUP(A45,'Centre WP14'!$A$7:$N$160,13,FALSE),0)+
IFERROR(VLOOKUP(A45,'Centre WR14'!$A$7:$N$160,13,FALSE),0)</f>
        <v>-0.1</v>
      </c>
      <c r="N45" s="10">
        <f>IFERROR(VLOOKUP(A45,'Centre DW14'!$A$7:$N$160,14,FALSE),0)+
IFERROR(VLOOKUP(A45,'Centre WP14'!$A$7:$N$160,14,FALSE),0)+
IFERROR(VLOOKUP(A45,'Centre WR14'!$A$7:$N$160,14,FALSE),0)</f>
        <v>6.8</v>
      </c>
    </row>
    <row r="46" spans="1:14" hidden="1" outlineLevel="1" x14ac:dyDescent="0.2">
      <c r="A46" s="9" t="s">
        <v>107</v>
      </c>
      <c r="B46" s="1" t="s">
        <v>108</v>
      </c>
      <c r="C46" s="10">
        <f>IFERROR(VLOOKUP(A46,'Centre DW14'!$A$7:$N$160,3,FALSE),0)+
IFERROR(VLOOKUP(A46,'Centre WP14'!$A$7:$N$160,3,FALSE),0)+
IFERROR(VLOOKUP(A46,'Centre WR14'!$A$7:$N$160,3,FALSE),0)</f>
        <v>0.2</v>
      </c>
      <c r="D46" s="10">
        <f>IFERROR(VLOOKUP(A46,'Centre DW14'!$A$7:$N$160,4,FALSE),0)+
IFERROR(VLOOKUP(A46,'Centre WP14'!$A$7:$N$160,4,FALSE),0)+
IFERROR(VLOOKUP(A46,'Centre WR14'!$A$7:$N$160,4,FALSE),0)</f>
        <v>0.1</v>
      </c>
      <c r="E46" s="10">
        <f>IFERROR(VLOOKUP(A46,'Centre DW14'!$A$7:$N$160,5,FALSE),0)+
IFERROR(VLOOKUP(A46,'Centre WP14'!$A$7:$N$160,5,FALSE),0)+
IFERROR(VLOOKUP(A46,'Centre WR14'!$A$7:$N$160,5,FALSE),0)</f>
        <v>0</v>
      </c>
      <c r="F46" s="10">
        <f>IFERROR(VLOOKUP(A46,'Centre DW14'!$A$7:$N$160,6,FALSE),0)+
IFERROR(VLOOKUP(A46,'Centre WP14'!$A$7:$N$160,6,FALSE),0)+
IFERROR(VLOOKUP(A46,'Centre WR14'!$A$7:$N$160,6,FALSE),0)</f>
        <v>0.1</v>
      </c>
      <c r="G46" s="10">
        <f>IFERROR(VLOOKUP(A46,'Centre DW14'!$A$7:$N$160,7,FALSE),0)+
IFERROR(VLOOKUP(A46,'Centre WP14'!$A$7:$N$160,7,FALSE),0)+
IFERROR(VLOOKUP(A46,'Centre WR14'!$A$7:$N$160,7,FALSE),0)</f>
        <v>0.1</v>
      </c>
      <c r="H46" s="10">
        <f>IFERROR(VLOOKUP(A46,'Centre DW14'!$A$7:$N$160,8,FALSE),0)+
IFERROR(VLOOKUP(A46,'Centre WP14'!$A$7:$N$160,8,FALSE),0)+
IFERROR(VLOOKUP(A46,'Centre WR14'!$A$7:$N$160,8,FALSE),0)</f>
        <v>0.5</v>
      </c>
      <c r="I46" s="10">
        <f>IFERROR(VLOOKUP(A46,'Centre DW14'!$A$7:$N$160,9,FALSE),0)+
IFERROR(VLOOKUP(A46,'Centre WP14'!$A$7:$N$160,9,FALSE),0)+
IFERROR(VLOOKUP(A46,'Centre WR14'!$A$7:$N$160,9,FALSE),0)</f>
        <v>0.5</v>
      </c>
      <c r="J46" s="28">
        <f>IFERROR(VLOOKUP(A46,'Centre DW14'!$A$7:$N$160,10,FALSE),0)+
IFERROR(VLOOKUP(A46,'Centre WP14'!$A$7:$N$160,10,FALSE),0)+
IFERROR(VLOOKUP(A46,'Centre WR14'!$A$7:$N$160,10,FALSE),0)</f>
        <v>0.1</v>
      </c>
      <c r="K46" s="10">
        <f>IFERROR(VLOOKUP(A46,'Centre DW14'!$A$7:$N$160,11,FALSE),0)+
IFERROR(VLOOKUP(A46,'Centre WP14'!$A$7:$N$160,11,FALSE),0)+
IFERROR(VLOOKUP(A46,'Centre WR14'!$A$7:$N$160,11,FALSE),0)</f>
        <v>0.1</v>
      </c>
      <c r="L46" s="10">
        <f>IFERROR(VLOOKUP(A46,'Centre DW14'!$A$7:$N$160,12,FALSE),0)+
IFERROR(VLOOKUP(A46,'Centre WP14'!$A$7:$N$160,12,FALSE),0)+
IFERROR(VLOOKUP(A46,'Centre WR14'!$A$7:$N$160,12,FALSE),0)</f>
        <v>0.1</v>
      </c>
      <c r="M46" s="10">
        <f>IFERROR(VLOOKUP(A46,'Centre DW14'!$A$7:$N$160,13,FALSE),0)+
IFERROR(VLOOKUP(A46,'Centre WP14'!$A$7:$N$160,13,FALSE),0)+
IFERROR(VLOOKUP(A46,'Centre WR14'!$A$7:$N$160,13,FALSE),0)</f>
        <v>0.1</v>
      </c>
      <c r="N46" s="10">
        <f>IFERROR(VLOOKUP(A46,'Centre DW14'!$A$7:$N$160,14,FALSE),0)+
IFERROR(VLOOKUP(A46,'Centre WP14'!$A$7:$N$160,14,FALSE),0)+
IFERROR(VLOOKUP(A46,'Centre WR14'!$A$7:$N$160,14,FALSE),0)</f>
        <v>0.5</v>
      </c>
    </row>
    <row r="47" spans="1:14" collapsed="1" x14ac:dyDescent="0.2">
      <c r="A47" s="33" t="s">
        <v>111</v>
      </c>
      <c r="B47" s="34" t="s">
        <v>112</v>
      </c>
      <c r="C47" s="44">
        <f t="shared" ref="C47:N47" si="11">+SUM(C48:C50)</f>
        <v>0</v>
      </c>
      <c r="D47" s="44">
        <f t="shared" si="11"/>
        <v>0.1</v>
      </c>
      <c r="E47" s="44">
        <f>+SUM(E48:E50)</f>
        <v>0</v>
      </c>
      <c r="F47" s="44">
        <f t="shared" si="11"/>
        <v>0</v>
      </c>
      <c r="G47" s="44">
        <f t="shared" si="11"/>
        <v>0</v>
      </c>
      <c r="H47" s="44">
        <f t="shared" si="11"/>
        <v>0.1</v>
      </c>
      <c r="I47" s="44">
        <f t="shared" si="11"/>
        <v>0</v>
      </c>
      <c r="J47" s="44">
        <f t="shared" si="11"/>
        <v>0.1</v>
      </c>
      <c r="K47" s="44">
        <f t="shared" si="11"/>
        <v>0</v>
      </c>
      <c r="L47" s="44">
        <f t="shared" si="11"/>
        <v>0.1</v>
      </c>
      <c r="M47" s="44">
        <f t="shared" si="11"/>
        <v>0.1</v>
      </c>
      <c r="N47" s="44">
        <f t="shared" si="11"/>
        <v>0</v>
      </c>
    </row>
    <row r="48" spans="1:14" hidden="1" outlineLevel="1" x14ac:dyDescent="0.2">
      <c r="A48" s="9" t="s">
        <v>113</v>
      </c>
      <c r="B48" s="1" t="s">
        <v>114</v>
      </c>
      <c r="C48" s="10">
        <f>IFERROR(VLOOKUP(A48,'Centre DW14'!$A$7:$N$160,3,FALSE),0)+
IFERROR(VLOOKUP(A48,'Centre WP14'!$A$7:$N$160,3,FALSE),0)+
IFERROR(VLOOKUP(A48,'Centre WR14'!$A$7:$N$160,3,FALSE),0)</f>
        <v>0</v>
      </c>
      <c r="D48" s="10">
        <f>IFERROR(VLOOKUP(A48,'Centre DW14'!$A$7:$N$160,4,FALSE),0)+
IFERROR(VLOOKUP(A48,'Centre WP14'!$A$7:$N$160,4,FALSE),0)+
IFERROR(VLOOKUP(A48,'Centre WR14'!$A$7:$N$160,4,FALSE),0)</f>
        <v>0</v>
      </c>
      <c r="E48" s="10">
        <f>IFERROR(VLOOKUP(A48,'Centre DW14'!$A$7:$N$160,5,FALSE),0)+
IFERROR(VLOOKUP(A48,'Centre WP14'!$A$7:$N$160,5,FALSE),0)+
IFERROR(VLOOKUP(A48,'Centre WR14'!$A$7:$N$160,5,FALSE),0)</f>
        <v>0</v>
      </c>
      <c r="F48" s="10">
        <f>IFERROR(VLOOKUP(A48,'Centre DW14'!$A$7:$N$160,6,FALSE),0)+
IFERROR(VLOOKUP(A48,'Centre WP14'!$A$7:$N$160,6,FALSE),0)+
IFERROR(VLOOKUP(A48,'Centre WR14'!$A$7:$N$160,6,FALSE),0)</f>
        <v>0</v>
      </c>
      <c r="G48" s="10">
        <f>IFERROR(VLOOKUP(A48,'Centre DW14'!$A$7:$N$160,7,FALSE),0)+
IFERROR(VLOOKUP(A48,'Centre WP14'!$A$7:$N$160,7,FALSE),0)+
IFERROR(VLOOKUP(A48,'Centre WR14'!$A$7:$N$160,7,FALSE),0)</f>
        <v>0</v>
      </c>
      <c r="H48" s="10">
        <f>IFERROR(VLOOKUP(A48,'Centre DW14'!$A$7:$N$160,8,FALSE),0)+
IFERROR(VLOOKUP(A48,'Centre WP14'!$A$7:$N$160,8,FALSE),0)+
IFERROR(VLOOKUP(A48,'Centre WR14'!$A$7:$N$160,8,FALSE),0)</f>
        <v>0.1</v>
      </c>
      <c r="I48" s="10">
        <f>IFERROR(VLOOKUP(A48,'Centre DW14'!$A$7:$N$160,9,FALSE),0)+
IFERROR(VLOOKUP(A48,'Centre WP14'!$A$7:$N$160,9,FALSE),0)+
IFERROR(VLOOKUP(A48,'Centre WR14'!$A$7:$N$160,9,FALSE),0)</f>
        <v>0</v>
      </c>
      <c r="J48" s="28">
        <f>IFERROR(VLOOKUP(A48,'Centre DW14'!$A$7:$N$160,10,FALSE),0)+
IFERROR(VLOOKUP(A48,'Centre WP14'!$A$7:$N$160,10,FALSE),0)+
IFERROR(VLOOKUP(A48,'Centre WR14'!$A$7:$N$160,10,FALSE),0)</f>
        <v>0.1</v>
      </c>
      <c r="K48" s="10">
        <f>IFERROR(VLOOKUP(A48,'Centre DW14'!$A$7:$N$160,11,FALSE),0)+
IFERROR(VLOOKUP(A48,'Centre WP14'!$A$7:$N$160,11,FALSE),0)+
IFERROR(VLOOKUP(A48,'Centre WR14'!$A$7:$N$160,11,FALSE),0)</f>
        <v>0</v>
      </c>
      <c r="L48" s="10">
        <f>IFERROR(VLOOKUP(A48,'Centre DW14'!$A$7:$N$160,12,FALSE),0)+
IFERROR(VLOOKUP(A48,'Centre WP14'!$A$7:$N$160,12,FALSE),0)+
IFERROR(VLOOKUP(A48,'Centre WR14'!$A$7:$N$160,12,FALSE),0)</f>
        <v>0.1</v>
      </c>
      <c r="M48" s="10">
        <f>IFERROR(VLOOKUP(A48,'Centre DW14'!$A$7:$N$160,13,FALSE),0)+
IFERROR(VLOOKUP(A48,'Centre WP14'!$A$7:$N$160,13,FALSE),0)+
IFERROR(VLOOKUP(A48,'Centre WR14'!$A$7:$N$160,13,FALSE),0)</f>
        <v>0.1</v>
      </c>
      <c r="N48" s="10">
        <f>IFERROR(VLOOKUP(A48,'Centre DW14'!$A$7:$N$160,14,FALSE),0)+
IFERROR(VLOOKUP(A48,'Centre WP14'!$A$7:$N$160,14,FALSE),0)+
IFERROR(VLOOKUP(A48,'Centre WR14'!$A$7:$N$160,14,FALSE),0)</f>
        <v>0</v>
      </c>
    </row>
    <row r="49" spans="1:14" hidden="1" outlineLevel="1" x14ac:dyDescent="0.2">
      <c r="A49" s="9" t="s">
        <v>311</v>
      </c>
      <c r="B49" s="1" t="s">
        <v>312</v>
      </c>
      <c r="C49" s="10">
        <f>IFERROR(VLOOKUP(A49,'Centre DW14'!$A$7:$N$160,3,FALSE),0)+
IFERROR(VLOOKUP(A49,'Centre WP14'!$A$7:$N$160,3,FALSE),0)+
IFERROR(VLOOKUP(A49,'Centre WR14'!$A$7:$N$160,3,FALSE),0)</f>
        <v>0</v>
      </c>
      <c r="D49" s="10">
        <f>IFERROR(VLOOKUP(A49,'Centre DW14'!$A$7:$N$160,4,FALSE),0)+
IFERROR(VLOOKUP(A49,'Centre WP14'!$A$7:$N$160,4,FALSE),0)+
IFERROR(VLOOKUP(A49,'Centre WR14'!$A$7:$N$160,4,FALSE),0)</f>
        <v>0</v>
      </c>
      <c r="E49" s="10">
        <f>IFERROR(VLOOKUP(A49,'Centre DW14'!$A$7:$N$160,5,FALSE),0)+
IFERROR(VLOOKUP(A49,'Centre WP14'!$A$7:$N$160,5,FALSE),0)+
IFERROR(VLOOKUP(A49,'Centre WR14'!$A$7:$N$160,5,FALSE),0)</f>
        <v>0</v>
      </c>
      <c r="F49" s="10">
        <f>IFERROR(VLOOKUP(A49,'Centre DW14'!$A$7:$N$160,6,FALSE),0)+
IFERROR(VLOOKUP(A49,'Centre WP14'!$A$7:$N$160,6,FALSE),0)+
IFERROR(VLOOKUP(A49,'Centre WR14'!$A$7:$N$160,6,FALSE),0)</f>
        <v>0</v>
      </c>
      <c r="G49" s="10">
        <f>IFERROR(VLOOKUP(A49,'Centre DW14'!$A$7:$N$160,7,FALSE),0)+
IFERROR(VLOOKUP(A49,'Centre WP14'!$A$7:$N$160,7,FALSE),0)+
IFERROR(VLOOKUP(A49,'Centre WR14'!$A$7:$N$160,7,FALSE),0)</f>
        <v>0</v>
      </c>
      <c r="H49" s="10">
        <f>IFERROR(VLOOKUP(A49,'Centre DW14'!$A$7:$N$160,8,FALSE),0)+
IFERROR(VLOOKUP(A49,'Centre WP14'!$A$7:$N$160,8,FALSE),0)+
IFERROR(VLOOKUP(A49,'Centre WR14'!$A$7:$N$160,8,FALSE),0)</f>
        <v>0</v>
      </c>
      <c r="I49" s="10">
        <f>IFERROR(VLOOKUP(A49,'Centre DW14'!$A$7:$N$160,9,FALSE),0)+
IFERROR(VLOOKUP(A49,'Centre WP14'!$A$7:$N$160,9,FALSE),0)+
IFERROR(VLOOKUP(A49,'Centre WR14'!$A$7:$N$160,9,FALSE),0)</f>
        <v>0</v>
      </c>
      <c r="J49" s="28">
        <f>IFERROR(VLOOKUP(A49,'Centre DW14'!$A$7:$N$160,10,FALSE),0)+
IFERROR(VLOOKUP(A49,'Centre WP14'!$A$7:$N$160,10,FALSE),0)+
IFERROR(VLOOKUP(A49,'Centre WR14'!$A$7:$N$160,10,FALSE),0)</f>
        <v>0</v>
      </c>
      <c r="K49" s="10">
        <f>IFERROR(VLOOKUP(A49,'Centre DW14'!$A$7:$N$160,11,FALSE),0)+
IFERROR(VLOOKUP(A49,'Centre WP14'!$A$7:$N$160,11,FALSE),0)+
IFERROR(VLOOKUP(A49,'Centre WR14'!$A$7:$N$160,11,FALSE),0)</f>
        <v>0</v>
      </c>
      <c r="L49" s="10">
        <f>IFERROR(VLOOKUP(A49,'Centre DW14'!$A$7:$N$160,12,FALSE),0)+
IFERROR(VLOOKUP(A49,'Centre WP14'!$A$7:$N$160,12,FALSE),0)+
IFERROR(VLOOKUP(A49,'Centre WR14'!$A$7:$N$160,12,FALSE),0)</f>
        <v>0</v>
      </c>
      <c r="M49" s="10">
        <f>IFERROR(VLOOKUP(A49,'Centre DW14'!$A$7:$N$160,13,FALSE),0)+
IFERROR(VLOOKUP(A49,'Centre WP14'!$A$7:$N$160,13,FALSE),0)+
IFERROR(VLOOKUP(A49,'Centre WR14'!$A$7:$N$160,13,FALSE),0)</f>
        <v>0</v>
      </c>
      <c r="N49" s="10">
        <f>IFERROR(VLOOKUP(A49,'Centre DW14'!$A$7:$N$160,14,FALSE),0)+
IFERROR(VLOOKUP(A49,'Centre WP14'!$A$7:$N$160,14,FALSE),0)+
IFERROR(VLOOKUP(A49,'Centre WR14'!$A$7:$N$160,14,FALSE),0)</f>
        <v>0</v>
      </c>
    </row>
    <row r="50" spans="1:14" hidden="1" outlineLevel="1" x14ac:dyDescent="0.2">
      <c r="A50" s="9" t="s">
        <v>117</v>
      </c>
      <c r="B50" s="1" t="s">
        <v>118</v>
      </c>
      <c r="C50" s="10">
        <f>IFERROR(VLOOKUP(A50,'Centre DW14'!$A$7:$N$160,3,FALSE),0)+
IFERROR(VLOOKUP(A50,'Centre WP14'!$A$7:$N$160,3,FALSE),0)+
IFERROR(VLOOKUP(A50,'Centre WR14'!$A$7:$N$160,3,FALSE),0)</f>
        <v>0</v>
      </c>
      <c r="D50" s="10">
        <f>IFERROR(VLOOKUP(A50,'Centre DW14'!$A$7:$N$160,4,FALSE),0)+
IFERROR(VLOOKUP(A50,'Centre WP14'!$A$7:$N$160,4,FALSE),0)+
IFERROR(VLOOKUP(A50,'Centre WR14'!$A$7:$N$160,4,FALSE),0)</f>
        <v>0.1</v>
      </c>
      <c r="E50" s="10">
        <f>IFERROR(VLOOKUP(A50,'Centre DW14'!$A$7:$N$160,5,FALSE),0)+
IFERROR(VLOOKUP(A50,'Centre WP14'!$A$7:$N$160,5,FALSE),0)+
IFERROR(VLOOKUP(A50,'Centre WR14'!$A$7:$N$160,5,FALSE),0)</f>
        <v>0</v>
      </c>
      <c r="F50" s="10">
        <f>IFERROR(VLOOKUP(A50,'Centre DW14'!$A$7:$N$160,6,FALSE),0)+
IFERROR(VLOOKUP(A50,'Centre WP14'!$A$7:$N$160,6,FALSE),0)+
IFERROR(VLOOKUP(A50,'Centre WR14'!$A$7:$N$160,6,FALSE),0)</f>
        <v>0</v>
      </c>
      <c r="G50" s="10">
        <f>IFERROR(VLOOKUP(A50,'Centre DW14'!$A$7:$N$160,7,FALSE),0)+
IFERROR(VLOOKUP(A50,'Centre WP14'!$A$7:$N$160,7,FALSE),0)+
IFERROR(VLOOKUP(A50,'Centre WR14'!$A$7:$N$160,7,FALSE),0)</f>
        <v>0</v>
      </c>
      <c r="H50" s="10">
        <f>IFERROR(VLOOKUP(A50,'Centre DW14'!$A$7:$N$160,8,FALSE),0)+
IFERROR(VLOOKUP(A50,'Centre WP14'!$A$7:$N$160,8,FALSE),0)+
IFERROR(VLOOKUP(A50,'Centre WR14'!$A$7:$N$160,8,FALSE),0)</f>
        <v>0</v>
      </c>
      <c r="I50" s="10">
        <f>IFERROR(VLOOKUP(A50,'Centre DW14'!$A$7:$N$160,9,FALSE),0)+
IFERROR(VLOOKUP(A50,'Centre WP14'!$A$7:$N$160,9,FALSE),0)+
IFERROR(VLOOKUP(A50,'Centre WR14'!$A$7:$N$160,9,FALSE),0)</f>
        <v>0</v>
      </c>
      <c r="J50" s="28">
        <f>IFERROR(VLOOKUP(A50,'Centre DW14'!$A$7:$N$160,10,FALSE),0)+
IFERROR(VLOOKUP(A50,'Centre WP14'!$A$7:$N$160,10,FALSE),0)+
IFERROR(VLOOKUP(A50,'Centre WR14'!$A$7:$N$160,10,FALSE),0)</f>
        <v>0</v>
      </c>
      <c r="K50" s="10">
        <f>IFERROR(VLOOKUP(A50,'Centre DW14'!$A$7:$N$160,11,FALSE),0)+
IFERROR(VLOOKUP(A50,'Centre WP14'!$A$7:$N$160,11,FALSE),0)+
IFERROR(VLOOKUP(A50,'Centre WR14'!$A$7:$N$160,11,FALSE),0)</f>
        <v>0</v>
      </c>
      <c r="L50" s="10">
        <f>IFERROR(VLOOKUP(A50,'Centre DW14'!$A$7:$N$160,12,FALSE),0)+
IFERROR(VLOOKUP(A50,'Centre WP14'!$A$7:$N$160,12,FALSE),0)+
IFERROR(VLOOKUP(A50,'Centre WR14'!$A$7:$N$160,12,FALSE),0)</f>
        <v>0</v>
      </c>
      <c r="M50" s="10">
        <f>IFERROR(VLOOKUP(A50,'Centre DW14'!$A$7:$N$160,13,FALSE),0)+
IFERROR(VLOOKUP(A50,'Centre WP14'!$A$7:$N$160,13,FALSE),0)+
IFERROR(VLOOKUP(A50,'Centre WR14'!$A$7:$N$160,13,FALSE),0)</f>
        <v>0</v>
      </c>
      <c r="N50" s="10">
        <f>IFERROR(VLOOKUP(A50,'Centre DW14'!$A$7:$N$160,14,FALSE),0)+
IFERROR(VLOOKUP(A50,'Centre WP14'!$A$7:$N$160,14,FALSE),0)+
IFERROR(VLOOKUP(A50,'Centre WR14'!$A$7:$N$160,14,FALSE),0)</f>
        <v>0</v>
      </c>
    </row>
    <row r="51" spans="1:14" collapsed="1" x14ac:dyDescent="0.2">
      <c r="A51" s="33" t="s">
        <v>119</v>
      </c>
      <c r="B51" s="34" t="s">
        <v>120</v>
      </c>
      <c r="C51" s="44">
        <f t="shared" ref="C51:N51" si="12">SUM(C52:C53)</f>
        <v>0.1</v>
      </c>
      <c r="D51" s="44">
        <f t="shared" si="12"/>
        <v>0.1</v>
      </c>
      <c r="E51" s="44">
        <f t="shared" si="12"/>
        <v>0.1</v>
      </c>
      <c r="F51" s="44">
        <f t="shared" si="12"/>
        <v>0.1</v>
      </c>
      <c r="G51" s="44">
        <f t="shared" si="12"/>
        <v>0.1</v>
      </c>
      <c r="H51" s="44">
        <f t="shared" si="12"/>
        <v>0.1</v>
      </c>
      <c r="I51" s="44">
        <f t="shared" si="12"/>
        <v>0.1</v>
      </c>
      <c r="J51" s="44">
        <f t="shared" si="12"/>
        <v>0.1</v>
      </c>
      <c r="K51" s="44">
        <f t="shared" si="12"/>
        <v>0.1</v>
      </c>
      <c r="L51" s="44">
        <f t="shared" si="12"/>
        <v>0.1</v>
      </c>
      <c r="M51" s="44">
        <f t="shared" si="12"/>
        <v>0.1</v>
      </c>
      <c r="N51" s="44">
        <f t="shared" si="12"/>
        <v>0.1</v>
      </c>
    </row>
    <row r="52" spans="1:14" hidden="1" outlineLevel="1" x14ac:dyDescent="0.2">
      <c r="A52" s="9" t="s">
        <v>123</v>
      </c>
      <c r="B52" s="1" t="s">
        <v>124</v>
      </c>
      <c r="C52" s="10">
        <f>IFERROR(VLOOKUP(A52,'Centre DW14'!$A$7:$N$160,3,FALSE),0)+
IFERROR(VLOOKUP(A52,'Centre WP14'!$A$7:$N$160,3,FALSE),0)+
IFERROR(VLOOKUP(A52,'Centre WR14'!$A$7:$N$160,3,FALSE),0)</f>
        <v>0.1</v>
      </c>
      <c r="D52" s="10">
        <f>IFERROR(VLOOKUP(A52,'Centre DW14'!$A$7:$N$160,4,FALSE),0)+
IFERROR(VLOOKUP(A52,'Centre WP14'!$A$7:$N$160,4,FALSE),0)+
IFERROR(VLOOKUP(A52,'Centre WR14'!$A$7:$N$160,4,FALSE),0)</f>
        <v>0.1</v>
      </c>
      <c r="E52" s="10">
        <f>IFERROR(VLOOKUP(A52,'Centre DW14'!$A$7:$N$160,5,FALSE),0)+
IFERROR(VLOOKUP(A52,'Centre WP14'!$A$7:$N$160,5,FALSE),0)+
IFERROR(VLOOKUP(A52,'Centre WR14'!$A$7:$N$160,5,FALSE),0)</f>
        <v>0.1</v>
      </c>
      <c r="F52" s="10">
        <f>IFERROR(VLOOKUP(A52,'Centre DW14'!$A$7:$N$160,6,FALSE),0)+
IFERROR(VLOOKUP(A52,'Centre WP14'!$A$7:$N$160,6,FALSE),0)+
IFERROR(VLOOKUP(A52,'Centre WR14'!$A$7:$N$160,6,FALSE),0)</f>
        <v>0.1</v>
      </c>
      <c r="G52" s="10">
        <f>IFERROR(VLOOKUP(A52,'Centre DW14'!$A$7:$N$160,7,FALSE),0)+
IFERROR(VLOOKUP(A52,'Centre WP14'!$A$7:$N$160,7,FALSE),0)+
IFERROR(VLOOKUP(A52,'Centre WR14'!$A$7:$N$160,7,FALSE),0)</f>
        <v>0.1</v>
      </c>
      <c r="H52" s="10">
        <f>IFERROR(VLOOKUP(A52,'Centre DW14'!$A$7:$N$160,8,FALSE),0)+
IFERROR(VLOOKUP(A52,'Centre WP14'!$A$7:$N$160,8,FALSE),0)+
IFERROR(VLOOKUP(A52,'Centre WR14'!$A$7:$N$160,8,FALSE),0)</f>
        <v>0.1</v>
      </c>
      <c r="I52" s="10">
        <f>IFERROR(VLOOKUP(A52,'Centre DW14'!$A$7:$N$160,9,FALSE),0)+
IFERROR(VLOOKUP(A52,'Centre WP14'!$A$7:$N$160,9,FALSE),0)+
IFERROR(VLOOKUP(A52,'Centre WR14'!$A$7:$N$160,9,FALSE),0)</f>
        <v>0.1</v>
      </c>
      <c r="J52" s="28">
        <f>IFERROR(VLOOKUP(A52,'Centre DW14'!$A$7:$N$160,10,FALSE),0)+
IFERROR(VLOOKUP(A52,'Centre WP14'!$A$7:$N$160,10,FALSE),0)+
IFERROR(VLOOKUP(A52,'Centre WR14'!$A$7:$N$160,10,FALSE),0)</f>
        <v>0.1</v>
      </c>
      <c r="K52" s="10">
        <f>IFERROR(VLOOKUP(A52,'Centre DW14'!$A$7:$N$160,11,FALSE),0)+
IFERROR(VLOOKUP(A52,'Centre WP14'!$A$7:$N$160,11,FALSE),0)+
IFERROR(VLOOKUP(A52,'Centre WR14'!$A$7:$N$160,11,FALSE),0)</f>
        <v>0.1</v>
      </c>
      <c r="L52" s="10">
        <f>IFERROR(VLOOKUP(A52,'Centre DW14'!$A$7:$N$160,12,FALSE),0)+
IFERROR(VLOOKUP(A52,'Centre WP14'!$A$7:$N$160,12,FALSE),0)+
IFERROR(VLOOKUP(A52,'Centre WR14'!$A$7:$N$160,12,FALSE),0)</f>
        <v>0.1</v>
      </c>
      <c r="M52" s="10">
        <f>IFERROR(VLOOKUP(A52,'Centre DW14'!$A$7:$N$160,13,FALSE),0)+
IFERROR(VLOOKUP(A52,'Centre WP14'!$A$7:$N$160,13,FALSE),0)+
IFERROR(VLOOKUP(A52,'Centre WR14'!$A$7:$N$160,13,FALSE),0)</f>
        <v>0.1</v>
      </c>
      <c r="N52" s="10">
        <f>IFERROR(VLOOKUP(A52,'Centre DW14'!$A$7:$N$160,14,FALSE),0)+
IFERROR(VLOOKUP(A52,'Centre WP14'!$A$7:$N$160,14,FALSE),0)+
IFERROR(VLOOKUP(A52,'Centre WR14'!$A$7:$N$160,14,FALSE),0)</f>
        <v>0.1</v>
      </c>
    </row>
    <row r="53" spans="1:14" hidden="1" outlineLevel="1" x14ac:dyDescent="0.2">
      <c r="A53" s="9" t="s">
        <v>125</v>
      </c>
      <c r="B53" s="1" t="s">
        <v>126</v>
      </c>
      <c r="C53" s="10">
        <f>IFERROR(VLOOKUP(A53,'Centre DW14'!$A$7:$N$160,3,FALSE),0)+
IFERROR(VLOOKUP(A53,'Centre WP14'!$A$7:$N$160,3,FALSE),0)+
IFERROR(VLOOKUP(A53,'Centre WR14'!$A$7:$N$160,3,FALSE),0)</f>
        <v>0</v>
      </c>
      <c r="D53" s="10">
        <f>IFERROR(VLOOKUP(A53,'Centre DW14'!$A$7:$N$160,4,FALSE),0)+
IFERROR(VLOOKUP(A53,'Centre WP14'!$A$7:$N$160,4,FALSE),0)+
IFERROR(VLOOKUP(A53,'Centre WR14'!$A$7:$N$160,4,FALSE),0)</f>
        <v>0</v>
      </c>
      <c r="E53" s="10">
        <f>IFERROR(VLOOKUP(A53,'Centre DW14'!$A$7:$N$160,5,FALSE),0)+
IFERROR(VLOOKUP(A53,'Centre WP14'!$A$7:$N$160,5,FALSE),0)+
IFERROR(VLOOKUP(A53,'Centre WR14'!$A$7:$N$160,5,FALSE),0)</f>
        <v>0</v>
      </c>
      <c r="F53" s="10">
        <f>IFERROR(VLOOKUP(A53,'Centre DW14'!$A$7:$N$160,6,FALSE),0)+
IFERROR(VLOOKUP(A53,'Centre WP14'!$A$7:$N$160,6,FALSE),0)+
IFERROR(VLOOKUP(A53,'Centre WR14'!$A$7:$N$160,6,FALSE),0)</f>
        <v>0</v>
      </c>
      <c r="G53" s="10">
        <f>IFERROR(VLOOKUP(A53,'Centre DW14'!$A$7:$N$160,7,FALSE),0)+
IFERROR(VLOOKUP(A53,'Centre WP14'!$A$7:$N$160,7,FALSE),0)+
IFERROR(VLOOKUP(A53,'Centre WR14'!$A$7:$N$160,7,FALSE),0)</f>
        <v>0</v>
      </c>
      <c r="H53" s="10">
        <f>IFERROR(VLOOKUP(A53,'Centre DW14'!$A$7:$N$160,8,FALSE),0)+
IFERROR(VLOOKUP(A53,'Centre WP14'!$A$7:$N$160,8,FALSE),0)+
IFERROR(VLOOKUP(A53,'Centre WR14'!$A$7:$N$160,8,FALSE),0)</f>
        <v>0</v>
      </c>
      <c r="I53" s="10">
        <f>IFERROR(VLOOKUP(A53,'Centre DW14'!$A$7:$N$160,9,FALSE),0)+
IFERROR(VLOOKUP(A53,'Centre WP14'!$A$7:$N$160,9,FALSE),0)+
IFERROR(VLOOKUP(A53,'Centre WR14'!$A$7:$N$160,9,FALSE),0)</f>
        <v>0</v>
      </c>
      <c r="J53" s="28">
        <f>IFERROR(VLOOKUP(A53,'Centre DW14'!$A$7:$N$160,10,FALSE),0)+
IFERROR(VLOOKUP(A53,'Centre WP14'!$A$7:$N$160,10,FALSE),0)+
IFERROR(VLOOKUP(A53,'Centre WR14'!$A$7:$N$160,10,FALSE),0)</f>
        <v>0</v>
      </c>
      <c r="K53" s="10">
        <f>IFERROR(VLOOKUP(A53,'Centre DW14'!$A$7:$N$160,11,FALSE),0)+
IFERROR(VLOOKUP(A53,'Centre WP14'!$A$7:$N$160,11,FALSE),0)+
IFERROR(VLOOKUP(A53,'Centre WR14'!$A$7:$N$160,11,FALSE),0)</f>
        <v>0</v>
      </c>
      <c r="L53" s="10">
        <f>IFERROR(VLOOKUP(A53,'Centre DW14'!$A$7:$N$160,12,FALSE),0)+
IFERROR(VLOOKUP(A53,'Centre WP14'!$A$7:$N$160,12,FALSE),0)+
IFERROR(VLOOKUP(A53,'Centre WR14'!$A$7:$N$160,12,FALSE),0)</f>
        <v>0</v>
      </c>
      <c r="M53" s="10">
        <f>IFERROR(VLOOKUP(A53,'Centre DW14'!$A$7:$N$160,13,FALSE),0)+
IFERROR(VLOOKUP(A53,'Centre WP14'!$A$7:$N$160,13,FALSE),0)+
IFERROR(VLOOKUP(A53,'Centre WR14'!$A$7:$N$160,13,FALSE),0)</f>
        <v>0</v>
      </c>
      <c r="N53" s="10">
        <f>IFERROR(VLOOKUP(A53,'Centre DW14'!$A$7:$N$160,14,FALSE),0)+
IFERROR(VLOOKUP(A53,'Centre WP14'!$A$7:$N$160,14,FALSE),0)+
IFERROR(VLOOKUP(A53,'Centre WR14'!$A$7:$N$160,14,FALSE),0)</f>
        <v>0</v>
      </c>
    </row>
    <row r="54" spans="1:14" collapsed="1" x14ac:dyDescent="0.2">
      <c r="A54" s="33" t="s">
        <v>127</v>
      </c>
      <c r="B54" s="34" t="s">
        <v>128</v>
      </c>
      <c r="C54" s="44">
        <f t="shared" ref="C54:N54" si="13">SUM(C55:C57)</f>
        <v>0</v>
      </c>
      <c r="D54" s="44">
        <f t="shared" si="13"/>
        <v>0.1</v>
      </c>
      <c r="E54" s="44">
        <f t="shared" si="13"/>
        <v>0.3</v>
      </c>
      <c r="F54" s="44">
        <f t="shared" si="13"/>
        <v>-0.19999999999999998</v>
      </c>
      <c r="G54" s="44">
        <f t="shared" si="13"/>
        <v>0</v>
      </c>
      <c r="H54" s="44">
        <f t="shared" si="13"/>
        <v>0.89999999999999991</v>
      </c>
      <c r="I54" s="44">
        <f t="shared" si="13"/>
        <v>0.7</v>
      </c>
      <c r="J54" s="44">
        <f t="shared" si="13"/>
        <v>0.2</v>
      </c>
      <c r="K54" s="44">
        <f t="shared" si="13"/>
        <v>0.60000000000000009</v>
      </c>
      <c r="L54" s="44">
        <f t="shared" si="13"/>
        <v>0.2</v>
      </c>
      <c r="M54" s="44">
        <f t="shared" si="13"/>
        <v>0.2</v>
      </c>
      <c r="N54" s="44">
        <f t="shared" si="13"/>
        <v>0.60000000000000009</v>
      </c>
    </row>
    <row r="55" spans="1:14" hidden="1" outlineLevel="1" x14ac:dyDescent="0.2">
      <c r="A55" s="9" t="s">
        <v>317</v>
      </c>
      <c r="B55" s="1" t="s">
        <v>318</v>
      </c>
      <c r="C55" s="10">
        <f>IFERROR(VLOOKUP(A55,'Centre DW14'!$A$7:$N$160,3,FALSE),0)+
IFERROR(VLOOKUP(A55,'Centre WP14'!$A$7:$N$160,3,FALSE),0)+
IFERROR(VLOOKUP(A55,'Centre WR14'!$A$7:$N$160,3,FALSE),0)</f>
        <v>0</v>
      </c>
      <c r="D55" s="10">
        <f>IFERROR(VLOOKUP(A55,'Centre DW14'!$A$7:$N$160,4,FALSE),0)+
IFERROR(VLOOKUP(A55,'Centre WP14'!$A$7:$N$160,4,FALSE),0)+
IFERROR(VLOOKUP(A55,'Centre WR14'!$A$7:$N$160,4,FALSE),0)</f>
        <v>0</v>
      </c>
      <c r="E55" s="10">
        <f>IFERROR(VLOOKUP(A55,'Centre DW14'!$A$7:$N$160,5,FALSE),0)+
IFERROR(VLOOKUP(A55,'Centre WP14'!$A$7:$N$160,5,FALSE),0)+
IFERROR(VLOOKUP(A55,'Centre WR14'!$A$7:$N$160,5,FALSE),0)</f>
        <v>0</v>
      </c>
      <c r="F55" s="10">
        <f>IFERROR(VLOOKUP(A55,'Centre DW14'!$A$7:$N$160,6,FALSE),0)+
IFERROR(VLOOKUP(A55,'Centre WP14'!$A$7:$N$160,6,FALSE),0)+
IFERROR(VLOOKUP(A55,'Centre WR14'!$A$7:$N$160,6,FALSE),0)</f>
        <v>0.1</v>
      </c>
      <c r="G55" s="10">
        <f>IFERROR(VLOOKUP(A55,'Centre DW14'!$A$7:$N$160,7,FALSE),0)+
IFERROR(VLOOKUP(A55,'Centre WP14'!$A$7:$N$160,7,FALSE),0)+
IFERROR(VLOOKUP(A55,'Centre WR14'!$A$7:$N$160,7,FALSE),0)</f>
        <v>0</v>
      </c>
      <c r="H55" s="10">
        <f>IFERROR(VLOOKUP(A55,'Centre DW14'!$A$7:$N$160,8,FALSE),0)+
IFERROR(VLOOKUP(A55,'Centre WP14'!$A$7:$N$160,8,FALSE),0)+
IFERROR(VLOOKUP(A55,'Centre WR14'!$A$7:$N$160,8,FALSE),0)</f>
        <v>0</v>
      </c>
      <c r="I55" s="10">
        <f>IFERROR(VLOOKUP(A55,'Centre DW14'!$A$7:$N$160,9,FALSE),0)+
IFERROR(VLOOKUP(A55,'Centre WP14'!$A$7:$N$160,9,FALSE),0)+
IFERROR(VLOOKUP(A55,'Centre WR14'!$A$7:$N$160,9,FALSE),0)</f>
        <v>0</v>
      </c>
      <c r="J55" s="28">
        <f>IFERROR(VLOOKUP(A55,'Centre DW14'!$A$7:$N$160,10,FALSE),0)+
IFERROR(VLOOKUP(A55,'Centre WP14'!$A$7:$N$160,10,FALSE),0)+
IFERROR(VLOOKUP(A55,'Centre WR14'!$A$7:$N$160,10,FALSE),0)</f>
        <v>0</v>
      </c>
      <c r="K55" s="10">
        <f>IFERROR(VLOOKUP(A55,'Centre DW14'!$A$7:$N$160,11,FALSE),0)+
IFERROR(VLOOKUP(A55,'Centre WP14'!$A$7:$N$160,11,FALSE),0)+
IFERROR(VLOOKUP(A55,'Centre WR14'!$A$7:$N$160,11,FALSE),0)</f>
        <v>0</v>
      </c>
      <c r="L55" s="10">
        <f>IFERROR(VLOOKUP(A55,'Centre DW14'!$A$7:$N$160,12,FALSE),0)+
IFERROR(VLOOKUP(A55,'Centre WP14'!$A$7:$N$160,12,FALSE),0)+
IFERROR(VLOOKUP(A55,'Centre WR14'!$A$7:$N$160,12,FALSE),0)</f>
        <v>0</v>
      </c>
      <c r="M55" s="10">
        <f>IFERROR(VLOOKUP(A55,'Centre DW14'!$A$7:$N$160,13,FALSE),0)+
IFERROR(VLOOKUP(A55,'Centre WP14'!$A$7:$N$160,13,FALSE),0)+
IFERROR(VLOOKUP(A55,'Centre WR14'!$A$7:$N$160,13,FALSE),0)</f>
        <v>0</v>
      </c>
      <c r="N55" s="10">
        <f>IFERROR(VLOOKUP(A55,'Centre DW14'!$A$7:$N$160,14,FALSE),0)+
IFERROR(VLOOKUP(A55,'Centre WP14'!$A$7:$N$160,14,FALSE),0)+
IFERROR(VLOOKUP(A55,'Centre WR14'!$A$7:$N$160,14,FALSE),0)</f>
        <v>0</v>
      </c>
    </row>
    <row r="56" spans="1:14" hidden="1" outlineLevel="1" x14ac:dyDescent="0.2">
      <c r="A56" s="9" t="s">
        <v>129</v>
      </c>
      <c r="B56" s="1" t="s">
        <v>130</v>
      </c>
      <c r="C56" s="10">
        <f>IFERROR(VLOOKUP(A56,'Centre DW14'!$A$7:$N$160,3,FALSE),0)+
IFERROR(VLOOKUP(A56,'Centre WP14'!$A$7:$N$160,3,FALSE),0)+
IFERROR(VLOOKUP(A56,'Centre WR14'!$A$7:$N$160,3,FALSE),0)</f>
        <v>0</v>
      </c>
      <c r="D56" s="10">
        <f>IFERROR(VLOOKUP(A56,'Centre DW14'!$A$7:$N$160,4,FALSE),0)+
IFERROR(VLOOKUP(A56,'Centre WP14'!$A$7:$N$160,4,FALSE),0)+
IFERROR(VLOOKUP(A56,'Centre WR14'!$A$7:$N$160,4,FALSE),0)</f>
        <v>0.1</v>
      </c>
      <c r="E56" s="10">
        <f>IFERROR(VLOOKUP(A56,'Centre DW14'!$A$7:$N$160,5,FALSE),0)+
IFERROR(VLOOKUP(A56,'Centre WP14'!$A$7:$N$160,5,FALSE),0)+
IFERROR(VLOOKUP(A56,'Centre WR14'!$A$7:$N$160,5,FALSE),0)</f>
        <v>0.3</v>
      </c>
      <c r="F56" s="10">
        <f>IFERROR(VLOOKUP(A56,'Centre DW14'!$A$7:$N$160,6,FALSE),0)+
IFERROR(VLOOKUP(A56,'Centre WP14'!$A$7:$N$160,6,FALSE),0)+
IFERROR(VLOOKUP(A56,'Centre WR14'!$A$7:$N$160,6,FALSE),0)</f>
        <v>-0.3</v>
      </c>
      <c r="G56" s="10">
        <f>IFERROR(VLOOKUP(A56,'Centre DW14'!$A$7:$N$160,7,FALSE),0)+
IFERROR(VLOOKUP(A56,'Centre WP14'!$A$7:$N$160,7,FALSE),0)+
IFERROR(VLOOKUP(A56,'Centre WR14'!$A$7:$N$160,7,FALSE),0)</f>
        <v>0</v>
      </c>
      <c r="H56" s="10">
        <f>IFERROR(VLOOKUP(A56,'Centre DW14'!$A$7:$N$160,8,FALSE),0)+
IFERROR(VLOOKUP(A56,'Centre WP14'!$A$7:$N$160,8,FALSE),0)+
IFERROR(VLOOKUP(A56,'Centre WR14'!$A$7:$N$160,8,FALSE),0)</f>
        <v>0.89999999999999991</v>
      </c>
      <c r="I56" s="10">
        <f>IFERROR(VLOOKUP(A56,'Centre DW14'!$A$7:$N$160,9,FALSE),0)+
IFERROR(VLOOKUP(A56,'Centre WP14'!$A$7:$N$160,9,FALSE),0)+
IFERROR(VLOOKUP(A56,'Centre WR14'!$A$7:$N$160,9,FALSE),0)</f>
        <v>0.5</v>
      </c>
      <c r="J56" s="28">
        <f>IFERROR(VLOOKUP(A56,'Centre DW14'!$A$7:$N$160,10,FALSE),0)+
IFERROR(VLOOKUP(A56,'Centre WP14'!$A$7:$N$160,10,FALSE),0)+
IFERROR(VLOOKUP(A56,'Centre WR14'!$A$7:$N$160,10,FALSE),0)</f>
        <v>0.2</v>
      </c>
      <c r="K56" s="10">
        <f>IFERROR(VLOOKUP(A56,'Centre DW14'!$A$7:$N$160,11,FALSE),0)+
IFERROR(VLOOKUP(A56,'Centre WP14'!$A$7:$N$160,11,FALSE),0)+
IFERROR(VLOOKUP(A56,'Centre WR14'!$A$7:$N$160,11,FALSE),0)</f>
        <v>0.4</v>
      </c>
      <c r="L56" s="10">
        <f>IFERROR(VLOOKUP(A56,'Centre DW14'!$A$7:$N$160,12,FALSE),0)+
IFERROR(VLOOKUP(A56,'Centre WP14'!$A$7:$N$160,12,FALSE),0)+
IFERROR(VLOOKUP(A56,'Centre WR14'!$A$7:$N$160,12,FALSE),0)</f>
        <v>0.2</v>
      </c>
      <c r="M56" s="10">
        <f>IFERROR(VLOOKUP(A56,'Centre DW14'!$A$7:$N$160,13,FALSE),0)+
IFERROR(VLOOKUP(A56,'Centre WP14'!$A$7:$N$160,13,FALSE),0)+
IFERROR(VLOOKUP(A56,'Centre WR14'!$A$7:$N$160,13,FALSE),0)</f>
        <v>0.2</v>
      </c>
      <c r="N56" s="10">
        <f>IFERROR(VLOOKUP(A56,'Centre DW14'!$A$7:$N$160,14,FALSE),0)+
IFERROR(VLOOKUP(A56,'Centre WP14'!$A$7:$N$160,14,FALSE),0)+
IFERROR(VLOOKUP(A56,'Centre WR14'!$A$7:$N$160,14,FALSE),0)</f>
        <v>0.4</v>
      </c>
    </row>
    <row r="57" spans="1:14" hidden="1" outlineLevel="1" x14ac:dyDescent="0.2">
      <c r="A57" s="9" t="s">
        <v>319</v>
      </c>
      <c r="B57" s="1" t="s">
        <v>320</v>
      </c>
      <c r="C57" s="10">
        <f>IFERROR(VLOOKUP(A57,'Centre DW14'!$A$7:$N$160,3,FALSE),0)+
IFERROR(VLOOKUP(A57,'Centre WP14'!$A$7:$N$160,3,FALSE),0)+
IFERROR(VLOOKUP(A57,'Centre WR14'!$A$7:$N$160,3,FALSE),0)</f>
        <v>0</v>
      </c>
      <c r="D57" s="10">
        <f>IFERROR(VLOOKUP(A57,'Centre DW14'!$A$7:$N$160,4,FALSE),0)+
IFERROR(VLOOKUP(A57,'Centre WP14'!$A$7:$N$160,4,FALSE),0)+
IFERROR(VLOOKUP(A57,'Centre WR14'!$A$7:$N$160,4,FALSE),0)</f>
        <v>0</v>
      </c>
      <c r="E57" s="10">
        <f>IFERROR(VLOOKUP(A57,'Centre DW14'!$A$7:$N$160,5,FALSE),0)+
IFERROR(VLOOKUP(A57,'Centre WP14'!$A$7:$N$160,5,FALSE),0)+
IFERROR(VLOOKUP(A57,'Centre WR14'!$A$7:$N$160,5,FALSE),0)</f>
        <v>0</v>
      </c>
      <c r="F57" s="10">
        <f>IFERROR(VLOOKUP(A57,'Centre DW14'!$A$7:$N$160,6,FALSE),0)+
IFERROR(VLOOKUP(A57,'Centre WP14'!$A$7:$N$160,6,FALSE),0)+
IFERROR(VLOOKUP(A57,'Centre WR14'!$A$7:$N$160,6,FALSE),0)</f>
        <v>0</v>
      </c>
      <c r="G57" s="10">
        <f>IFERROR(VLOOKUP(A57,'Centre DW14'!$A$7:$N$160,7,FALSE),0)+
IFERROR(VLOOKUP(A57,'Centre WP14'!$A$7:$N$160,7,FALSE),0)+
IFERROR(VLOOKUP(A57,'Centre WR14'!$A$7:$N$160,7,FALSE),0)</f>
        <v>0</v>
      </c>
      <c r="H57" s="10">
        <f>IFERROR(VLOOKUP(A57,'Centre DW14'!$A$7:$N$160,8,FALSE),0)+
IFERROR(VLOOKUP(A57,'Centre WP14'!$A$7:$N$160,8,FALSE),0)+
IFERROR(VLOOKUP(A57,'Centre WR14'!$A$7:$N$160,8,FALSE),0)</f>
        <v>0</v>
      </c>
      <c r="I57" s="10">
        <f>IFERROR(VLOOKUP(A57,'Centre DW14'!$A$7:$N$160,9,FALSE),0)+
IFERROR(VLOOKUP(A57,'Centre WP14'!$A$7:$N$160,9,FALSE),0)+
IFERROR(VLOOKUP(A57,'Centre WR14'!$A$7:$N$160,9,FALSE),0)</f>
        <v>0.2</v>
      </c>
      <c r="J57" s="28">
        <f>IFERROR(VLOOKUP(A57,'Centre DW14'!$A$7:$N$160,10,FALSE),0)+
IFERROR(VLOOKUP(A57,'Centre WP14'!$A$7:$N$160,10,FALSE),0)+
IFERROR(VLOOKUP(A57,'Centre WR14'!$A$7:$N$160,10,FALSE),0)</f>
        <v>0</v>
      </c>
      <c r="K57" s="10">
        <f>IFERROR(VLOOKUP(A57,'Centre DW14'!$A$7:$N$160,11,FALSE),0)+
IFERROR(VLOOKUP(A57,'Centre WP14'!$A$7:$N$160,11,FALSE),0)+
IFERROR(VLOOKUP(A57,'Centre WR14'!$A$7:$N$160,11,FALSE),0)</f>
        <v>0.2</v>
      </c>
      <c r="L57" s="10">
        <f>IFERROR(VLOOKUP(A57,'Centre DW14'!$A$7:$N$160,12,FALSE),0)+
IFERROR(VLOOKUP(A57,'Centre WP14'!$A$7:$N$160,12,FALSE),0)+
IFERROR(VLOOKUP(A57,'Centre WR14'!$A$7:$N$160,12,FALSE),0)</f>
        <v>0</v>
      </c>
      <c r="M57" s="10">
        <f>IFERROR(VLOOKUP(A57,'Centre DW14'!$A$7:$N$160,13,FALSE),0)+
IFERROR(VLOOKUP(A57,'Centre WP14'!$A$7:$N$160,13,FALSE),0)+
IFERROR(VLOOKUP(A57,'Centre WR14'!$A$7:$N$160,13,FALSE),0)</f>
        <v>0</v>
      </c>
      <c r="N57" s="10">
        <f>IFERROR(VLOOKUP(A57,'Centre DW14'!$A$7:$N$160,14,FALSE),0)+
IFERROR(VLOOKUP(A57,'Centre WP14'!$A$7:$N$160,14,FALSE),0)+
IFERROR(VLOOKUP(A57,'Centre WR14'!$A$7:$N$160,14,FALSE),0)</f>
        <v>0.2</v>
      </c>
    </row>
    <row r="58" spans="1:14" collapsed="1" x14ac:dyDescent="0.2">
      <c r="A58" s="33" t="s">
        <v>133</v>
      </c>
      <c r="B58" s="34" t="s">
        <v>134</v>
      </c>
      <c r="C58" s="44">
        <f t="shared" ref="C58:N58" si="14">SUM(C59:C61)</f>
        <v>0.7</v>
      </c>
      <c r="D58" s="44">
        <f t="shared" si="14"/>
        <v>1.1000000000000001</v>
      </c>
      <c r="E58" s="44">
        <f t="shared" si="14"/>
        <v>-1.1000000000000001</v>
      </c>
      <c r="F58" s="44">
        <f t="shared" si="14"/>
        <v>1</v>
      </c>
      <c r="G58" s="44">
        <f t="shared" si="14"/>
        <v>1.8</v>
      </c>
      <c r="H58" s="44">
        <f t="shared" si="14"/>
        <v>3.2</v>
      </c>
      <c r="I58" s="44">
        <f t="shared" si="14"/>
        <v>3.7</v>
      </c>
      <c r="J58" s="44">
        <f t="shared" si="14"/>
        <v>1</v>
      </c>
      <c r="K58" s="44">
        <f t="shared" si="14"/>
        <v>1</v>
      </c>
      <c r="L58" s="44">
        <f t="shared" si="14"/>
        <v>1</v>
      </c>
      <c r="M58" s="44">
        <f t="shared" si="14"/>
        <v>1</v>
      </c>
      <c r="N58" s="44">
        <f t="shared" si="14"/>
        <v>1</v>
      </c>
    </row>
    <row r="59" spans="1:14" hidden="1" outlineLevel="1" x14ac:dyDescent="0.2">
      <c r="A59" s="9" t="s">
        <v>327</v>
      </c>
      <c r="B59" s="1" t="s">
        <v>328</v>
      </c>
      <c r="C59" s="10">
        <f>IFERROR(VLOOKUP(A59,'Centre DW14'!$A$7:$N$160,3,FALSE),0)+
IFERROR(VLOOKUP(A59,'Centre WP14'!$A$7:$N$160,3,FALSE),0)+
IFERROR(VLOOKUP(A59,'Centre WR14'!$A$7:$N$160,3,FALSE),0)</f>
        <v>0</v>
      </c>
      <c r="D59" s="10">
        <f>IFERROR(VLOOKUP(A59,'Centre DW14'!$A$7:$N$160,4,FALSE),0)+
IFERROR(VLOOKUP(A59,'Centre WP14'!$A$7:$N$160,4,FALSE),0)+
IFERROR(VLOOKUP(A59,'Centre WR14'!$A$7:$N$160,4,FALSE),0)</f>
        <v>0</v>
      </c>
      <c r="E59" s="10">
        <f>IFERROR(VLOOKUP(A59,'Centre DW14'!$A$7:$N$160,5,FALSE),0)+
IFERROR(VLOOKUP(A59,'Centre WP14'!$A$7:$N$160,5,FALSE),0)+
IFERROR(VLOOKUP(A59,'Centre WR14'!$A$7:$N$160,5,FALSE),0)</f>
        <v>0</v>
      </c>
      <c r="F59" s="10">
        <f>IFERROR(VLOOKUP(A59,'Centre DW14'!$A$7:$N$160,6,FALSE),0)+
IFERROR(VLOOKUP(A59,'Centre WP14'!$A$7:$N$160,6,FALSE),0)+
IFERROR(VLOOKUP(A59,'Centre WR14'!$A$7:$N$160,6,FALSE),0)</f>
        <v>1</v>
      </c>
      <c r="G59" s="10">
        <f>IFERROR(VLOOKUP(A59,'Centre DW14'!$A$7:$N$160,7,FALSE),0)+
IFERROR(VLOOKUP(A59,'Centre WP14'!$A$7:$N$160,7,FALSE),0)+
IFERROR(VLOOKUP(A59,'Centre WR14'!$A$7:$N$160,7,FALSE),0)</f>
        <v>1</v>
      </c>
      <c r="H59" s="10">
        <f>IFERROR(VLOOKUP(A59,'Centre DW14'!$A$7:$N$160,8,FALSE),0)+
IFERROR(VLOOKUP(A59,'Centre WP14'!$A$7:$N$160,8,FALSE),0)+
IFERROR(VLOOKUP(A59,'Centre WR14'!$A$7:$N$160,8,FALSE),0)</f>
        <v>1.4</v>
      </c>
      <c r="I59" s="10">
        <f>IFERROR(VLOOKUP(A59,'Centre DW14'!$A$7:$N$160,9,FALSE),0)+
IFERROR(VLOOKUP(A59,'Centre WP14'!$A$7:$N$160,9,FALSE),0)+
IFERROR(VLOOKUP(A59,'Centre WR14'!$A$7:$N$160,9,FALSE),0)</f>
        <v>2</v>
      </c>
      <c r="J59" s="28">
        <f>IFERROR(VLOOKUP(A59,'Centre DW14'!$A$7:$N$160,10,FALSE),0)+
IFERROR(VLOOKUP(A59,'Centre WP14'!$A$7:$N$160,10,FALSE),0)+
IFERROR(VLOOKUP(A59,'Centre WR14'!$A$7:$N$160,10,FALSE),0)</f>
        <v>0</v>
      </c>
      <c r="K59" s="10">
        <f>IFERROR(VLOOKUP(A59,'Centre DW14'!$A$7:$N$160,11,FALSE),0)+
IFERROR(VLOOKUP(A59,'Centre WP14'!$A$7:$N$160,11,FALSE),0)+
IFERROR(VLOOKUP(A59,'Centre WR14'!$A$7:$N$160,11,FALSE),0)</f>
        <v>0</v>
      </c>
      <c r="L59" s="10">
        <f>IFERROR(VLOOKUP(A59,'Centre DW14'!$A$7:$N$160,12,FALSE),0)+
IFERROR(VLOOKUP(A59,'Centre WP14'!$A$7:$N$160,12,FALSE),0)+
IFERROR(VLOOKUP(A59,'Centre WR14'!$A$7:$N$160,12,FALSE),0)</f>
        <v>0</v>
      </c>
      <c r="M59" s="10">
        <f>IFERROR(VLOOKUP(A59,'Centre DW14'!$A$7:$N$160,13,FALSE),0)+
IFERROR(VLOOKUP(A59,'Centre WP14'!$A$7:$N$160,13,FALSE),0)+
IFERROR(VLOOKUP(A59,'Centre WR14'!$A$7:$N$160,13,FALSE),0)</f>
        <v>0</v>
      </c>
      <c r="N59" s="10">
        <f>IFERROR(VLOOKUP(A59,'Centre DW14'!$A$7:$N$160,14,FALSE),0)+
IFERROR(VLOOKUP(A59,'Centre WP14'!$A$7:$N$160,14,FALSE),0)+
IFERROR(VLOOKUP(A59,'Centre WR14'!$A$7:$N$160,14,FALSE),0)</f>
        <v>0</v>
      </c>
    </row>
    <row r="60" spans="1:14" hidden="1" outlineLevel="1" x14ac:dyDescent="0.2">
      <c r="A60" s="9" t="s">
        <v>329</v>
      </c>
      <c r="B60" s="1" t="s">
        <v>330</v>
      </c>
      <c r="C60" s="10">
        <f>IFERROR(VLOOKUP(A60,'Centre DW14'!$A$7:$N$160,3,FALSE),0)+
IFERROR(VLOOKUP(A60,'Centre WP14'!$A$7:$N$160,3,FALSE),0)+
IFERROR(VLOOKUP(A60,'Centre WR14'!$A$7:$N$160,3,FALSE),0)</f>
        <v>0</v>
      </c>
      <c r="D60" s="10">
        <f>IFERROR(VLOOKUP(A60,'Centre DW14'!$A$7:$N$160,4,FALSE),0)+
IFERROR(VLOOKUP(A60,'Centre WP14'!$A$7:$N$160,4,FALSE),0)+
IFERROR(VLOOKUP(A60,'Centre WR14'!$A$7:$N$160,4,FALSE),0)</f>
        <v>0</v>
      </c>
      <c r="E60" s="10">
        <f>IFERROR(VLOOKUP(A60,'Centre DW14'!$A$7:$N$160,5,FALSE),0)+
IFERROR(VLOOKUP(A60,'Centre WP14'!$A$7:$N$160,5,FALSE),0)+
IFERROR(VLOOKUP(A60,'Centre WR14'!$A$7:$N$160,5,FALSE),0)</f>
        <v>0</v>
      </c>
      <c r="F60" s="10">
        <f>IFERROR(VLOOKUP(A60,'Centre DW14'!$A$7:$N$160,6,FALSE),0)+
IFERROR(VLOOKUP(A60,'Centre WP14'!$A$7:$N$160,6,FALSE),0)+
IFERROR(VLOOKUP(A60,'Centre WR14'!$A$7:$N$160,6,FALSE),0)</f>
        <v>0</v>
      </c>
      <c r="G60" s="10">
        <f>IFERROR(VLOOKUP(A60,'Centre DW14'!$A$7:$N$160,7,FALSE),0)+
IFERROR(VLOOKUP(A60,'Centre WP14'!$A$7:$N$160,7,FALSE),0)+
IFERROR(VLOOKUP(A60,'Centre WR14'!$A$7:$N$160,7,FALSE),0)</f>
        <v>0.8</v>
      </c>
      <c r="H60" s="10">
        <f>IFERROR(VLOOKUP(A60,'Centre DW14'!$A$7:$N$160,8,FALSE),0)+
IFERROR(VLOOKUP(A60,'Centre WP14'!$A$7:$N$160,8,FALSE),0)+
IFERROR(VLOOKUP(A60,'Centre WR14'!$A$7:$N$160,8,FALSE),0)</f>
        <v>0.8</v>
      </c>
      <c r="I60" s="10">
        <f>IFERROR(VLOOKUP(A60,'Centre DW14'!$A$7:$N$160,9,FALSE),0)+
IFERROR(VLOOKUP(A60,'Centre WP14'!$A$7:$N$160,9,FALSE),0)+
IFERROR(VLOOKUP(A60,'Centre WR14'!$A$7:$N$160,9,FALSE),0)</f>
        <v>0.7</v>
      </c>
      <c r="J60" s="28">
        <f>IFERROR(VLOOKUP(A60,'Centre DW14'!$A$7:$N$160,10,FALSE),0)+
IFERROR(VLOOKUP(A60,'Centre WP14'!$A$7:$N$160,10,FALSE),0)+
IFERROR(VLOOKUP(A60,'Centre WR14'!$A$7:$N$160,10,FALSE),0)</f>
        <v>0</v>
      </c>
      <c r="K60" s="10">
        <f>IFERROR(VLOOKUP(A60,'Centre DW14'!$A$7:$N$160,11,FALSE),0)+
IFERROR(VLOOKUP(A60,'Centre WP14'!$A$7:$N$160,11,FALSE),0)+
IFERROR(VLOOKUP(A60,'Centre WR14'!$A$7:$N$160,11,FALSE),0)</f>
        <v>0</v>
      </c>
      <c r="L60" s="10">
        <f>IFERROR(VLOOKUP(A60,'Centre DW14'!$A$7:$N$160,12,FALSE),0)+
IFERROR(VLOOKUP(A60,'Centre WP14'!$A$7:$N$160,12,FALSE),0)+
IFERROR(VLOOKUP(A60,'Centre WR14'!$A$7:$N$160,12,FALSE),0)</f>
        <v>0</v>
      </c>
      <c r="M60" s="10">
        <f>IFERROR(VLOOKUP(A60,'Centre DW14'!$A$7:$N$160,13,FALSE),0)+
IFERROR(VLOOKUP(A60,'Centre WP14'!$A$7:$N$160,13,FALSE),0)+
IFERROR(VLOOKUP(A60,'Centre WR14'!$A$7:$N$160,13,FALSE),0)</f>
        <v>0</v>
      </c>
      <c r="N60" s="10">
        <f>IFERROR(VLOOKUP(A60,'Centre DW14'!$A$7:$N$160,14,FALSE),0)+
IFERROR(VLOOKUP(A60,'Centre WP14'!$A$7:$N$160,14,FALSE),0)+
IFERROR(VLOOKUP(A60,'Centre WR14'!$A$7:$N$160,14,FALSE),0)</f>
        <v>0</v>
      </c>
    </row>
    <row r="61" spans="1:14" hidden="1" outlineLevel="1" x14ac:dyDescent="0.2">
      <c r="A61" s="9" t="s">
        <v>335</v>
      </c>
      <c r="B61" s="1" t="s">
        <v>336</v>
      </c>
      <c r="C61" s="10">
        <f>IFERROR(VLOOKUP(A61,'Centre DW14'!$A$7:$N$160,3,FALSE),0)+
IFERROR(VLOOKUP(A61,'Centre WP14'!$A$7:$N$160,3,FALSE),0)+
IFERROR(VLOOKUP(A61,'Centre WR14'!$A$7:$N$160,3,FALSE),0)</f>
        <v>0.7</v>
      </c>
      <c r="D61" s="10">
        <f>IFERROR(VLOOKUP(A61,'Centre DW14'!$A$7:$N$160,4,FALSE),0)+
IFERROR(VLOOKUP(A61,'Centre WP14'!$A$7:$N$160,4,FALSE),0)+
IFERROR(VLOOKUP(A61,'Centre WR14'!$A$7:$N$160,4,FALSE),0)</f>
        <v>1.1000000000000001</v>
      </c>
      <c r="E61" s="10">
        <f>IFERROR(VLOOKUP(A61,'Centre DW14'!$A$7:$N$160,5,FALSE),0)+
IFERROR(VLOOKUP(A61,'Centre WP14'!$A$7:$N$160,5,FALSE),0)+
IFERROR(VLOOKUP(A61,'Centre WR14'!$A$7:$N$160,5,FALSE),0)</f>
        <v>-1.1000000000000001</v>
      </c>
      <c r="F61" s="10">
        <f>IFERROR(VLOOKUP(A61,'Centre DW14'!$A$7:$N$160,6,FALSE),0)+
IFERROR(VLOOKUP(A61,'Centre WP14'!$A$7:$N$160,6,FALSE),0)+
IFERROR(VLOOKUP(A61,'Centre WR14'!$A$7:$N$160,6,FALSE),0)</f>
        <v>0</v>
      </c>
      <c r="G61" s="10">
        <f>IFERROR(VLOOKUP(A61,'Centre DW14'!$A$7:$N$160,7,FALSE),0)+
IFERROR(VLOOKUP(A61,'Centre WP14'!$A$7:$N$160,7,FALSE),0)+
IFERROR(VLOOKUP(A61,'Centre WR14'!$A$7:$N$160,7,FALSE),0)</f>
        <v>0</v>
      </c>
      <c r="H61" s="10">
        <f>IFERROR(VLOOKUP(A61,'Centre DW14'!$A$7:$N$160,8,FALSE),0)+
IFERROR(VLOOKUP(A61,'Centre WP14'!$A$7:$N$160,8,FALSE),0)+
IFERROR(VLOOKUP(A61,'Centre WR14'!$A$7:$N$160,8,FALSE),0)</f>
        <v>1</v>
      </c>
      <c r="I61" s="10">
        <f>IFERROR(VLOOKUP(A61,'Centre DW14'!$A$7:$N$160,9,FALSE),0)+
IFERROR(VLOOKUP(A61,'Centre WP14'!$A$7:$N$160,9,FALSE),0)+
IFERROR(VLOOKUP(A61,'Centre WR14'!$A$7:$N$160,9,FALSE),0)</f>
        <v>1</v>
      </c>
      <c r="J61" s="28">
        <f>IFERROR(VLOOKUP(A61,'Centre DW14'!$A$7:$N$160,10,FALSE),0)+
IFERROR(VLOOKUP(A61,'Centre WP14'!$A$7:$N$160,10,FALSE),0)+
IFERROR(VLOOKUP(A61,'Centre WR14'!$A$7:$N$160,10,FALSE),0)</f>
        <v>1</v>
      </c>
      <c r="K61" s="10">
        <f>IFERROR(VLOOKUP(A61,'Centre DW14'!$A$7:$N$160,11,FALSE),0)+
IFERROR(VLOOKUP(A61,'Centre WP14'!$A$7:$N$160,11,FALSE),0)+
IFERROR(VLOOKUP(A61,'Centre WR14'!$A$7:$N$160,11,FALSE),0)</f>
        <v>1</v>
      </c>
      <c r="L61" s="10">
        <f>IFERROR(VLOOKUP(A61,'Centre DW14'!$A$7:$N$160,12,FALSE),0)+
IFERROR(VLOOKUP(A61,'Centre WP14'!$A$7:$N$160,12,FALSE),0)+
IFERROR(VLOOKUP(A61,'Centre WR14'!$A$7:$N$160,12,FALSE),0)</f>
        <v>1</v>
      </c>
      <c r="M61" s="10">
        <f>IFERROR(VLOOKUP(A61,'Centre DW14'!$A$7:$N$160,13,FALSE),0)+
IFERROR(VLOOKUP(A61,'Centre WP14'!$A$7:$N$160,13,FALSE),0)+
IFERROR(VLOOKUP(A61,'Centre WR14'!$A$7:$N$160,13,FALSE),0)</f>
        <v>1</v>
      </c>
      <c r="N61" s="10">
        <f>IFERROR(VLOOKUP(A61,'Centre DW14'!$A$7:$N$160,14,FALSE),0)+
IFERROR(VLOOKUP(A61,'Centre WP14'!$A$7:$N$160,14,FALSE),0)+
IFERROR(VLOOKUP(A61,'Centre WR14'!$A$7:$N$160,14,FALSE),0)</f>
        <v>1</v>
      </c>
    </row>
    <row r="62" spans="1:14" collapsed="1" x14ac:dyDescent="0.2">
      <c r="A62" s="33" t="s">
        <v>137</v>
      </c>
      <c r="B62" s="34" t="s">
        <v>138</v>
      </c>
      <c r="C62" s="44">
        <f>IFERROR(VLOOKUP(A62,'Centre DW14'!$A$7:$N$160,3,FALSE),0)+
IFERROR(VLOOKUP(A62,'Centre WP14'!$A$7:$N$160,3,FALSE),0)+
IFERROR(VLOOKUP(A62,'Centre WR14'!$A$7:$N$160,3,FALSE),0)</f>
        <v>0</v>
      </c>
      <c r="D62" s="44">
        <f>IFERROR(VLOOKUP(A62,'Centre DW14'!$A$7:$N$160,4,FALSE),0)+
IFERROR(VLOOKUP(A62,'Centre WP14'!$A$7:$N$160,4,FALSE),0)+
IFERROR(VLOOKUP(A62,'Centre WR14'!$A$7:$N$160,4,FALSE),0)</f>
        <v>0</v>
      </c>
      <c r="E62" s="44">
        <f>IFERROR(VLOOKUP(A62,'Centre DW14'!$A$7:$N$160,5,FALSE),0)+
IFERROR(VLOOKUP(A62,'Centre WP14'!$A$7:$N$160,5,FALSE),0)+
IFERROR(VLOOKUP(A62,'Centre WR14'!$A$7:$N$160,5,FALSE),0)</f>
        <v>0</v>
      </c>
      <c r="F62" s="44">
        <f>IFERROR(VLOOKUP(A62,'Centre DW14'!$A$7:$N$160,6,FALSE),0)+
IFERROR(VLOOKUP(A62,'Centre WP14'!$A$7:$N$160,6,FALSE),0)+
IFERROR(VLOOKUP(A62,'Centre WR14'!$A$7:$N$160,6,FALSE),0)</f>
        <v>0</v>
      </c>
      <c r="G62" s="44">
        <f>IFERROR(VLOOKUP(A62,'Centre DW14'!$A$7:$N$160,7,FALSE),0)+
IFERROR(VLOOKUP(A62,'Centre WP14'!$A$7:$N$160,7,FALSE),0)+
IFERROR(VLOOKUP(A62,'Centre WR14'!$A$7:$N$160,7,FALSE),0)</f>
        <v>0</v>
      </c>
      <c r="H62" s="44">
        <f>IFERROR(VLOOKUP(A62,'Centre DW14'!$A$7:$N$160,8,FALSE),0)+
IFERROR(VLOOKUP(A62,'Centre WP14'!$A$7:$N$160,8,FALSE),0)+
IFERROR(VLOOKUP(A62,'Centre WR14'!$A$7:$N$160,8,FALSE),0)</f>
        <v>0</v>
      </c>
      <c r="I62" s="44">
        <f>IFERROR(VLOOKUP(A62,'Centre DW14'!$A$7:$N$160,9,FALSE),0)+
IFERROR(VLOOKUP(A62,'Centre WP14'!$A$7:$N$160,9,FALSE),0)+
IFERROR(VLOOKUP(A62,'Centre WR14'!$A$7:$N$160,9,FALSE),0)</f>
        <v>0</v>
      </c>
      <c r="J62" s="44">
        <f>IFERROR(VLOOKUP(A62,'Centre DW14'!$A$7:$N$160,10,FALSE),0)+
IFERROR(VLOOKUP(A62,'Centre WP14'!$A$7:$N$160,10,FALSE),0)+
IFERROR(VLOOKUP(A62,'Centre WR14'!$A$7:$N$160,10,FALSE),0)</f>
        <v>0</v>
      </c>
      <c r="K62" s="44">
        <f>IFERROR(VLOOKUP(A62,'Centre DW14'!$A$7:$N$160,11,FALSE),0)+
IFERROR(VLOOKUP(A62,'Centre WP14'!$A$7:$N$160,11,FALSE),0)+
IFERROR(VLOOKUP(A62,'Centre WR14'!$A$7:$N$160,11,FALSE),0)</f>
        <v>0</v>
      </c>
      <c r="L62" s="44">
        <f>IFERROR(VLOOKUP(A62,'Centre DW14'!$A$7:$N$160,12,FALSE),0)+
IFERROR(VLOOKUP(A62,'Centre WP14'!$A$7:$N$160,12,FALSE),0)+
IFERROR(VLOOKUP(A62,'Centre WR14'!$A$7:$N$160,12,FALSE),0)</f>
        <v>0</v>
      </c>
      <c r="M62" s="44">
        <f>IFERROR(VLOOKUP(A62,'Centre DW14'!$A$7:$N$160,13,FALSE),0)+
IFERROR(VLOOKUP(A62,'Centre WP14'!$A$7:$N$160,13,FALSE),0)+
IFERROR(VLOOKUP(A62,'Centre WR14'!$A$7:$N$160,13,FALSE),0)</f>
        <v>0</v>
      </c>
      <c r="N62" s="44">
        <f>IFERROR(VLOOKUP(A62,'Centre DW14'!$A$7:$N$160,14,FALSE),0)+
IFERROR(VLOOKUP(A62,'Centre WP14'!$A$7:$N$160,14,FALSE),0)+
IFERROR(VLOOKUP(A62,'Centre WR14'!$A$7:$N$160,14,FALSE),0)</f>
        <v>0</v>
      </c>
    </row>
    <row r="63" spans="1:14" x14ac:dyDescent="0.2">
      <c r="A63" s="33" t="s">
        <v>139</v>
      </c>
      <c r="B63" s="34" t="s">
        <v>140</v>
      </c>
      <c r="C63" s="44">
        <f>IFERROR(VLOOKUP(A63,'Centre DW14'!$A$7:$N$160,3,FALSE),0)+
IFERROR(VLOOKUP(A63,'Centre WP14'!$A$7:$N$160,3,FALSE),0)+
IFERROR(VLOOKUP(A63,'Centre WR14'!$A$7:$N$160,3,FALSE),0)</f>
        <v>0</v>
      </c>
      <c r="D63" s="44">
        <f>IFERROR(VLOOKUP(A63,'Centre DW14'!$A$7:$N$160,4,FALSE),0)+
IFERROR(VLOOKUP(A63,'Centre WP14'!$A$7:$N$160,4,FALSE),0)+
IFERROR(VLOOKUP(A63,'Centre WR14'!$A$7:$N$160,4,FALSE),0)</f>
        <v>0</v>
      </c>
      <c r="E63" s="44">
        <f>IFERROR(VLOOKUP(A63,'Centre DW14'!$A$7:$N$160,5,FALSE),0)+
IFERROR(VLOOKUP(A63,'Centre WP14'!$A$7:$N$160,5,FALSE),0)+
IFERROR(VLOOKUP(A63,'Centre WR14'!$A$7:$N$160,5,FALSE),0)</f>
        <v>0</v>
      </c>
      <c r="F63" s="44">
        <f>IFERROR(VLOOKUP(A63,'Centre DW14'!$A$7:$N$160,6,FALSE),0)+
IFERROR(VLOOKUP(A63,'Centre WP14'!$A$7:$N$160,6,FALSE),0)+
IFERROR(VLOOKUP(A63,'Centre WR14'!$A$7:$N$160,6,FALSE),0)</f>
        <v>0</v>
      </c>
      <c r="G63" s="44">
        <f>IFERROR(VLOOKUP(A63,'Centre DW14'!$A$7:$N$160,7,FALSE),0)+
IFERROR(VLOOKUP(A63,'Centre WP14'!$A$7:$N$160,7,FALSE),0)+
IFERROR(VLOOKUP(A63,'Centre WR14'!$A$7:$N$160,7,FALSE),0)</f>
        <v>0</v>
      </c>
      <c r="H63" s="44">
        <f>IFERROR(VLOOKUP(A63,'Centre DW14'!$A$7:$N$160,8,FALSE),0)+
IFERROR(VLOOKUP(A63,'Centre WP14'!$A$7:$N$160,8,FALSE),0)+
IFERROR(VLOOKUP(A63,'Centre WR14'!$A$7:$N$160,8,FALSE),0)</f>
        <v>0</v>
      </c>
      <c r="I63" s="44">
        <f>IFERROR(VLOOKUP(A63,'Centre DW14'!$A$7:$N$160,9,FALSE),0)+
IFERROR(VLOOKUP(A63,'Centre WP14'!$A$7:$N$160,9,FALSE),0)+
IFERROR(VLOOKUP(A63,'Centre WR14'!$A$7:$N$160,9,FALSE),0)</f>
        <v>0</v>
      </c>
      <c r="J63" s="44">
        <f>IFERROR(VLOOKUP(A63,'Centre DW14'!$A$7:$N$160,10,FALSE),0)+
IFERROR(VLOOKUP(A63,'Centre WP14'!$A$7:$N$160,10,FALSE),0)+
IFERROR(VLOOKUP(A63,'Centre WR14'!$A$7:$N$160,10,FALSE),0)</f>
        <v>0</v>
      </c>
      <c r="K63" s="44">
        <f>IFERROR(VLOOKUP(A63,'Centre DW14'!$A$7:$N$160,11,FALSE),0)+
IFERROR(VLOOKUP(A63,'Centre WP14'!$A$7:$N$160,11,FALSE),0)+
IFERROR(VLOOKUP(A63,'Centre WR14'!$A$7:$N$160,11,FALSE),0)</f>
        <v>0</v>
      </c>
      <c r="L63" s="44">
        <f>IFERROR(VLOOKUP(A63,'Centre DW14'!$A$7:$N$160,12,FALSE),0)+
IFERROR(VLOOKUP(A63,'Centre WP14'!$A$7:$N$160,12,FALSE),0)+
IFERROR(VLOOKUP(A63,'Centre WR14'!$A$7:$N$160,12,FALSE),0)</f>
        <v>0</v>
      </c>
      <c r="M63" s="44">
        <f>IFERROR(VLOOKUP(A63,'Centre DW14'!$A$7:$N$160,13,FALSE),0)+
IFERROR(VLOOKUP(A63,'Centre WP14'!$A$7:$N$160,13,FALSE),0)+
IFERROR(VLOOKUP(A63,'Centre WR14'!$A$7:$N$160,13,FALSE),0)</f>
        <v>0</v>
      </c>
      <c r="N63" s="44">
        <f>IFERROR(VLOOKUP(A63,'Centre DW14'!$A$7:$N$160,14,FALSE),0)+
IFERROR(VLOOKUP(A63,'Centre WP14'!$A$7:$N$160,14,FALSE),0)+
IFERROR(VLOOKUP(A63,'Centre WR14'!$A$7:$N$160,14,FALSE),0)</f>
        <v>0</v>
      </c>
    </row>
    <row r="64" spans="1:14" x14ac:dyDescent="0.2">
      <c r="A64" s="33" t="s">
        <v>141</v>
      </c>
      <c r="B64" s="34" t="s">
        <v>142</v>
      </c>
      <c r="C64" s="44">
        <f>IFERROR(VLOOKUP(A64,'Centre DW14'!$A$7:$N$160,3,FALSE),0)+
IFERROR(VLOOKUP(A64,'Centre WP14'!$A$7:$N$160,3,FALSE),0)+
IFERROR(VLOOKUP(A64,'Centre WR14'!$A$7:$N$160,3,FALSE),0)</f>
        <v>0</v>
      </c>
      <c r="D64" s="44">
        <f>IFERROR(VLOOKUP(A64,'Centre DW14'!$A$7:$N$160,4,FALSE),0)+
IFERROR(VLOOKUP(A64,'Centre WP14'!$A$7:$N$160,4,FALSE),0)+
IFERROR(VLOOKUP(A64,'Centre WR14'!$A$7:$N$160,4,FALSE),0)</f>
        <v>0</v>
      </c>
      <c r="E64" s="44">
        <f>IFERROR(VLOOKUP(A64,'Centre DW14'!$A$7:$N$160,5,FALSE),0)+
IFERROR(VLOOKUP(A64,'Centre WP14'!$A$7:$N$160,5,FALSE),0)+
IFERROR(VLOOKUP(A64,'Centre WR14'!$A$7:$N$160,5,FALSE),0)</f>
        <v>0</v>
      </c>
      <c r="F64" s="44">
        <f>IFERROR(VLOOKUP(A64,'Centre DW14'!$A$7:$N$160,6,FALSE),0)+
IFERROR(VLOOKUP(A64,'Centre WP14'!$A$7:$N$160,6,FALSE),0)+
IFERROR(VLOOKUP(A64,'Centre WR14'!$A$7:$N$160,6,FALSE),0)</f>
        <v>0</v>
      </c>
      <c r="G64" s="44">
        <f>IFERROR(VLOOKUP(A64,'Centre DW14'!$A$7:$N$160,7,FALSE),0)+
IFERROR(VLOOKUP(A64,'Centre WP14'!$A$7:$N$160,7,FALSE),0)+
IFERROR(VLOOKUP(A64,'Centre WR14'!$A$7:$N$160,7,FALSE),0)</f>
        <v>0</v>
      </c>
      <c r="H64" s="44">
        <f>IFERROR(VLOOKUP(A64,'Centre DW14'!$A$7:$N$160,8,FALSE),0)+
IFERROR(VLOOKUP(A64,'Centre WP14'!$A$7:$N$160,8,FALSE),0)+
IFERROR(VLOOKUP(A64,'Centre WR14'!$A$7:$N$160,8,FALSE),0)</f>
        <v>0</v>
      </c>
      <c r="I64" s="44">
        <f>IFERROR(VLOOKUP(A64,'Centre DW14'!$A$7:$N$160,9,FALSE),0)+
IFERROR(VLOOKUP(A64,'Centre WP14'!$A$7:$N$160,9,FALSE),0)+
IFERROR(VLOOKUP(A64,'Centre WR14'!$A$7:$N$160,9,FALSE),0)</f>
        <v>0</v>
      </c>
      <c r="J64" s="44">
        <f>IFERROR(VLOOKUP(A64,'Centre DW14'!$A$7:$N$160,10,FALSE),0)+
IFERROR(VLOOKUP(A64,'Centre WP14'!$A$7:$N$160,10,FALSE),0)+
IFERROR(VLOOKUP(A64,'Centre WR14'!$A$7:$N$160,10,FALSE),0)</f>
        <v>0</v>
      </c>
      <c r="K64" s="44">
        <f>IFERROR(VLOOKUP(A64,'Centre DW14'!$A$7:$N$160,11,FALSE),0)+
IFERROR(VLOOKUP(A64,'Centre WP14'!$A$7:$N$160,11,FALSE),0)+
IFERROR(VLOOKUP(A64,'Centre WR14'!$A$7:$N$160,11,FALSE),0)</f>
        <v>0</v>
      </c>
      <c r="L64" s="44">
        <f>IFERROR(VLOOKUP(A64,'Centre DW14'!$A$7:$N$160,12,FALSE),0)+
IFERROR(VLOOKUP(A64,'Centre WP14'!$A$7:$N$160,12,FALSE),0)+
IFERROR(VLOOKUP(A64,'Centre WR14'!$A$7:$N$160,12,FALSE),0)</f>
        <v>0</v>
      </c>
      <c r="M64" s="44">
        <f>IFERROR(VLOOKUP(A64,'Centre DW14'!$A$7:$N$160,13,FALSE),0)+
IFERROR(VLOOKUP(A64,'Centre WP14'!$A$7:$N$160,13,FALSE),0)+
IFERROR(VLOOKUP(A64,'Centre WR14'!$A$7:$N$160,13,FALSE),0)</f>
        <v>0</v>
      </c>
      <c r="N64" s="44">
        <f>IFERROR(VLOOKUP(A64,'Centre DW14'!$A$7:$N$160,14,FALSE),0)+
IFERROR(VLOOKUP(A64,'Centre WP14'!$A$7:$N$160,14,FALSE),0)+
IFERROR(VLOOKUP(A64,'Centre WR14'!$A$7:$N$160,14,FALSE),0)</f>
        <v>0</v>
      </c>
    </row>
    <row r="65" spans="1:14" x14ac:dyDescent="0.2">
      <c r="A65" s="33" t="s">
        <v>143</v>
      </c>
      <c r="B65" s="34" t="s">
        <v>144</v>
      </c>
      <c r="C65" s="44">
        <f t="shared" ref="C65:N65" si="15">SUM(C66:C72)</f>
        <v>0</v>
      </c>
      <c r="D65" s="44">
        <f t="shared" si="15"/>
        <v>0</v>
      </c>
      <c r="E65" s="44">
        <f t="shared" si="15"/>
        <v>0</v>
      </c>
      <c r="F65" s="44">
        <f t="shared" si="15"/>
        <v>16</v>
      </c>
      <c r="G65" s="44">
        <f t="shared" si="15"/>
        <v>9.8999999999999986</v>
      </c>
      <c r="H65" s="44">
        <f t="shared" si="15"/>
        <v>17.900000000000002</v>
      </c>
      <c r="I65" s="44">
        <f t="shared" si="15"/>
        <v>18.100000000000001</v>
      </c>
      <c r="J65" s="44">
        <f t="shared" si="15"/>
        <v>16.100000000000001</v>
      </c>
      <c r="K65" s="44">
        <f t="shared" si="15"/>
        <v>16</v>
      </c>
      <c r="L65" s="44">
        <f t="shared" si="15"/>
        <v>9.8999999999999986</v>
      </c>
      <c r="M65" s="44">
        <f t="shared" si="15"/>
        <v>17.900000000000002</v>
      </c>
      <c r="N65" s="44">
        <f t="shared" si="15"/>
        <v>17.399999999999999</v>
      </c>
    </row>
    <row r="66" spans="1:14" hidden="1" outlineLevel="1" x14ac:dyDescent="0.2">
      <c r="A66" s="9" t="s">
        <v>145</v>
      </c>
      <c r="B66" s="1" t="s">
        <v>146</v>
      </c>
      <c r="C66" s="10">
        <f>IFERROR(VLOOKUP(A66,'Centre DW14'!$A$7:$N$160,3,FALSE),0)+
IFERROR(VLOOKUP(A66,'Centre WP14'!$A$7:$N$160,3,FALSE),0)+
IFERROR(VLOOKUP(A66,'Centre WR14'!$A$7:$N$160,3,FALSE),0)</f>
        <v>0</v>
      </c>
      <c r="D66" s="10">
        <f>IFERROR(VLOOKUP(A66,'Centre DW14'!$A$7:$N$160,4,FALSE),0)+
IFERROR(VLOOKUP(A66,'Centre WP14'!$A$7:$N$160,4,FALSE),0)+
IFERROR(VLOOKUP(A66,'Centre WR14'!$A$7:$N$160,4,FALSE),0)</f>
        <v>0</v>
      </c>
      <c r="E66" s="10">
        <f>IFERROR(VLOOKUP(A66,'Centre DW14'!$A$7:$N$160,5,FALSE),0)+
IFERROR(VLOOKUP(A66,'Centre WP14'!$A$7:$N$160,5,FALSE),0)+
IFERROR(VLOOKUP(A66,'Centre WR14'!$A$7:$N$160,5,FALSE),0)</f>
        <v>0</v>
      </c>
      <c r="F66" s="10">
        <f>IFERROR(VLOOKUP(A66,'Centre DW14'!$A$7:$N$160,6,FALSE),0)+
IFERROR(VLOOKUP(A66,'Centre WP14'!$A$7:$N$160,6,FALSE),0)+
IFERROR(VLOOKUP(A66,'Centre WR14'!$A$7:$N$160,6,FALSE),0)</f>
        <v>13.9</v>
      </c>
      <c r="G66" s="10">
        <f>IFERROR(VLOOKUP(A66,'Centre DW14'!$A$7:$N$160,7,FALSE),0)+
IFERROR(VLOOKUP(A66,'Centre WP14'!$A$7:$N$160,7,FALSE),0)+
IFERROR(VLOOKUP(A66,'Centre WR14'!$A$7:$N$160,7,FALSE),0)</f>
        <v>7.3</v>
      </c>
      <c r="H66" s="10">
        <f>IFERROR(VLOOKUP(A66,'Centre DW14'!$A$7:$N$160,8,FALSE),0)+
IFERROR(VLOOKUP(A66,'Centre WP14'!$A$7:$N$160,8,FALSE),0)+
IFERROR(VLOOKUP(A66,'Centre WR14'!$A$7:$N$160,8,FALSE),0)</f>
        <v>13.8</v>
      </c>
      <c r="I66" s="10">
        <f>IFERROR(VLOOKUP(A66,'Centre DW14'!$A$7:$N$160,9,FALSE),0)+
IFERROR(VLOOKUP(A66,'Centre WP14'!$A$7:$N$160,9,FALSE),0)+
IFERROR(VLOOKUP(A66,'Centre WR14'!$A$7:$N$160,9,FALSE),0)</f>
        <v>6.3</v>
      </c>
      <c r="J66" s="28">
        <f>IFERROR(VLOOKUP(A66,'Centre DW14'!$A$7:$N$160,10,FALSE),0)+
IFERROR(VLOOKUP(A66,'Centre WP14'!$A$7:$N$160,10,FALSE),0)+
IFERROR(VLOOKUP(A66,'Centre WR14'!$A$7:$N$160,10,FALSE),0)</f>
        <v>13.9</v>
      </c>
      <c r="K66" s="10">
        <f>IFERROR(VLOOKUP(A66,'Centre DW14'!$A$7:$N$160,11,FALSE),0)+
IFERROR(VLOOKUP(A66,'Centre WP14'!$A$7:$N$160,11,FALSE),0)+
IFERROR(VLOOKUP(A66,'Centre WR14'!$A$7:$N$160,11,FALSE),0)</f>
        <v>13.9</v>
      </c>
      <c r="L66" s="10">
        <f>IFERROR(VLOOKUP(A66,'Centre DW14'!$A$7:$N$160,12,FALSE),0)+
IFERROR(VLOOKUP(A66,'Centre WP14'!$A$7:$N$160,12,FALSE),0)+
IFERROR(VLOOKUP(A66,'Centre WR14'!$A$7:$N$160,12,FALSE),0)</f>
        <v>7.3</v>
      </c>
      <c r="M66" s="10">
        <f>IFERROR(VLOOKUP(A66,'Centre DW14'!$A$7:$N$160,13,FALSE),0)+
IFERROR(VLOOKUP(A66,'Centre WP14'!$A$7:$N$160,13,FALSE),0)+
IFERROR(VLOOKUP(A66,'Centre WR14'!$A$7:$N$160,13,FALSE),0)</f>
        <v>13.8</v>
      </c>
      <c r="N66" s="10">
        <f>IFERROR(VLOOKUP(A66,'Centre DW14'!$A$7:$N$160,14,FALSE),0)+
IFERROR(VLOOKUP(A66,'Centre WP14'!$A$7:$N$160,14,FALSE),0)+
IFERROR(VLOOKUP(A66,'Centre WR14'!$A$7:$N$160,14,FALSE),0)</f>
        <v>5.6</v>
      </c>
    </row>
    <row r="67" spans="1:14" hidden="1" outlineLevel="1" x14ac:dyDescent="0.2">
      <c r="A67" s="9" t="s">
        <v>147</v>
      </c>
      <c r="B67" s="1" t="s">
        <v>148</v>
      </c>
      <c r="C67" s="10">
        <f>IFERROR(VLOOKUP(A67,'Centre DW14'!$A$7:$N$160,3,FALSE),0)+
IFERROR(VLOOKUP(A67,'Centre WP14'!$A$7:$N$160,3,FALSE),0)+
IFERROR(VLOOKUP(A67,'Centre WR14'!$A$7:$N$160,3,FALSE),0)</f>
        <v>0</v>
      </c>
      <c r="D67" s="10">
        <f>IFERROR(VLOOKUP(A67,'Centre DW14'!$A$7:$N$160,4,FALSE),0)+
IFERROR(VLOOKUP(A67,'Centre WP14'!$A$7:$N$160,4,FALSE),0)+
IFERROR(VLOOKUP(A67,'Centre WR14'!$A$7:$N$160,4,FALSE),0)</f>
        <v>0</v>
      </c>
      <c r="E67" s="10">
        <f>IFERROR(VLOOKUP(A67,'Centre DW14'!$A$7:$N$160,5,FALSE),0)+
IFERROR(VLOOKUP(A67,'Centre WP14'!$A$7:$N$160,5,FALSE),0)+
IFERROR(VLOOKUP(A67,'Centre WR14'!$A$7:$N$160,5,FALSE),0)</f>
        <v>0</v>
      </c>
      <c r="F67" s="10">
        <f>IFERROR(VLOOKUP(A67,'Centre DW14'!$A$7:$N$160,6,FALSE),0)+
IFERROR(VLOOKUP(A67,'Centre WP14'!$A$7:$N$160,6,FALSE),0)+
IFERROR(VLOOKUP(A67,'Centre WR14'!$A$7:$N$160,6,FALSE),0)</f>
        <v>0</v>
      </c>
      <c r="G67" s="10">
        <f>IFERROR(VLOOKUP(A67,'Centre DW14'!$A$7:$N$160,7,FALSE),0)+
IFERROR(VLOOKUP(A67,'Centre WP14'!$A$7:$N$160,7,FALSE),0)+
IFERROR(VLOOKUP(A67,'Centre WR14'!$A$7:$N$160,7,FALSE),0)</f>
        <v>0</v>
      </c>
      <c r="H67" s="10">
        <f>IFERROR(VLOOKUP(A67,'Centre DW14'!$A$7:$N$160,8,FALSE),0)+
IFERROR(VLOOKUP(A67,'Centre WP14'!$A$7:$N$160,8,FALSE),0)+
IFERROR(VLOOKUP(A67,'Centre WR14'!$A$7:$N$160,8,FALSE),0)</f>
        <v>0.2</v>
      </c>
      <c r="I67" s="10">
        <f>IFERROR(VLOOKUP(A67,'Centre DW14'!$A$7:$N$160,9,FALSE),0)+
IFERROR(VLOOKUP(A67,'Centre WP14'!$A$7:$N$160,9,FALSE),0)+
IFERROR(VLOOKUP(A67,'Centre WR14'!$A$7:$N$160,9,FALSE),0)</f>
        <v>0</v>
      </c>
      <c r="J67" s="28">
        <f>IFERROR(VLOOKUP(A67,'Centre DW14'!$A$7:$N$160,10,FALSE),0)+
IFERROR(VLOOKUP(A67,'Centre WP14'!$A$7:$N$160,10,FALSE),0)+
IFERROR(VLOOKUP(A67,'Centre WR14'!$A$7:$N$160,10,FALSE),0)</f>
        <v>0</v>
      </c>
      <c r="K67" s="10">
        <f>IFERROR(VLOOKUP(A67,'Centre DW14'!$A$7:$N$160,11,FALSE),0)+
IFERROR(VLOOKUP(A67,'Centre WP14'!$A$7:$N$160,11,FALSE),0)+
IFERROR(VLOOKUP(A67,'Centre WR14'!$A$7:$N$160,11,FALSE),0)</f>
        <v>0</v>
      </c>
      <c r="L67" s="10">
        <f>IFERROR(VLOOKUP(A67,'Centre DW14'!$A$7:$N$160,12,FALSE),0)+
IFERROR(VLOOKUP(A67,'Centre WP14'!$A$7:$N$160,12,FALSE),0)+
IFERROR(VLOOKUP(A67,'Centre WR14'!$A$7:$N$160,12,FALSE),0)</f>
        <v>0</v>
      </c>
      <c r="M67" s="10">
        <f>IFERROR(VLOOKUP(A67,'Centre DW14'!$A$7:$N$160,13,FALSE),0)+
IFERROR(VLOOKUP(A67,'Centre WP14'!$A$7:$N$160,13,FALSE),0)+
IFERROR(VLOOKUP(A67,'Centre WR14'!$A$7:$N$160,13,FALSE),0)</f>
        <v>0.2</v>
      </c>
      <c r="N67" s="10">
        <f>IFERROR(VLOOKUP(A67,'Centre DW14'!$A$7:$N$160,14,FALSE),0)+
IFERROR(VLOOKUP(A67,'Centre WP14'!$A$7:$N$160,14,FALSE),0)+
IFERROR(VLOOKUP(A67,'Centre WR14'!$A$7:$N$160,14,FALSE),0)</f>
        <v>0</v>
      </c>
    </row>
    <row r="68" spans="1:14" hidden="1" outlineLevel="1" x14ac:dyDescent="0.2">
      <c r="A68" s="9" t="s">
        <v>149</v>
      </c>
      <c r="B68" s="1" t="s">
        <v>150</v>
      </c>
      <c r="C68" s="10">
        <f>IFERROR(VLOOKUP(A68,'Centre DW14'!$A$7:$N$160,3,FALSE),0)+
IFERROR(VLOOKUP(A68,'Centre WP14'!$A$7:$N$160,3,FALSE),0)+
IFERROR(VLOOKUP(A68,'Centre WR14'!$A$7:$N$160,3,FALSE),0)</f>
        <v>0</v>
      </c>
      <c r="D68" s="10">
        <f>IFERROR(VLOOKUP(A68,'Centre DW14'!$A$7:$N$160,4,FALSE),0)+
IFERROR(VLOOKUP(A68,'Centre WP14'!$A$7:$N$160,4,FALSE),0)+
IFERROR(VLOOKUP(A68,'Centre WR14'!$A$7:$N$160,4,FALSE),0)</f>
        <v>0</v>
      </c>
      <c r="E68" s="10">
        <f>IFERROR(VLOOKUP(A68,'Centre DW14'!$A$7:$N$160,5,FALSE),0)+
IFERROR(VLOOKUP(A68,'Centre WP14'!$A$7:$N$160,5,FALSE),0)+
IFERROR(VLOOKUP(A68,'Centre WR14'!$A$7:$N$160,5,FALSE),0)</f>
        <v>0</v>
      </c>
      <c r="F68" s="10">
        <f>IFERROR(VLOOKUP(A68,'Centre DW14'!$A$7:$N$160,6,FALSE),0)+
IFERROR(VLOOKUP(A68,'Centre WP14'!$A$7:$N$160,6,FALSE),0)+
IFERROR(VLOOKUP(A68,'Centre WR14'!$A$7:$N$160,6,FALSE),0)</f>
        <v>0.9</v>
      </c>
      <c r="G68" s="10">
        <f>IFERROR(VLOOKUP(A68,'Centre DW14'!$A$7:$N$160,7,FALSE),0)+
IFERROR(VLOOKUP(A68,'Centre WP14'!$A$7:$N$160,7,FALSE),0)+
IFERROR(VLOOKUP(A68,'Centre WR14'!$A$7:$N$160,7,FALSE),0)</f>
        <v>1.1000000000000001</v>
      </c>
      <c r="H68" s="10">
        <f>IFERROR(VLOOKUP(A68,'Centre DW14'!$A$7:$N$160,8,FALSE),0)+
IFERROR(VLOOKUP(A68,'Centre WP14'!$A$7:$N$160,8,FALSE),0)+
IFERROR(VLOOKUP(A68,'Centre WR14'!$A$7:$N$160,8,FALSE),0)</f>
        <v>1</v>
      </c>
      <c r="I68" s="10">
        <f>IFERROR(VLOOKUP(A68,'Centre DW14'!$A$7:$N$160,9,FALSE),0)+
IFERROR(VLOOKUP(A68,'Centre WP14'!$A$7:$N$160,9,FALSE),0)+
IFERROR(VLOOKUP(A68,'Centre WR14'!$A$7:$N$160,9,FALSE),0)</f>
        <v>0.9</v>
      </c>
      <c r="J68" s="28">
        <f>IFERROR(VLOOKUP(A68,'Centre DW14'!$A$7:$N$160,10,FALSE),0)+
IFERROR(VLOOKUP(A68,'Centre WP14'!$A$7:$N$160,10,FALSE),0)+
IFERROR(VLOOKUP(A68,'Centre WR14'!$A$7:$N$160,10,FALSE),0)</f>
        <v>0.9</v>
      </c>
      <c r="K68" s="10">
        <f>IFERROR(VLOOKUP(A68,'Centre DW14'!$A$7:$N$160,11,FALSE),0)+
IFERROR(VLOOKUP(A68,'Centre WP14'!$A$7:$N$160,11,FALSE),0)+
IFERROR(VLOOKUP(A68,'Centre WR14'!$A$7:$N$160,11,FALSE),0)</f>
        <v>0.9</v>
      </c>
      <c r="L68" s="10">
        <f>IFERROR(VLOOKUP(A68,'Centre DW14'!$A$7:$N$160,12,FALSE),0)+
IFERROR(VLOOKUP(A68,'Centre WP14'!$A$7:$N$160,12,FALSE),0)+
IFERROR(VLOOKUP(A68,'Centre WR14'!$A$7:$N$160,12,FALSE),0)</f>
        <v>1.1000000000000001</v>
      </c>
      <c r="M68" s="10">
        <f>IFERROR(VLOOKUP(A68,'Centre DW14'!$A$7:$N$160,13,FALSE),0)+
IFERROR(VLOOKUP(A68,'Centre WP14'!$A$7:$N$160,13,FALSE),0)+
IFERROR(VLOOKUP(A68,'Centre WR14'!$A$7:$N$160,13,FALSE),0)</f>
        <v>1</v>
      </c>
      <c r="N68" s="10">
        <f>IFERROR(VLOOKUP(A68,'Centre DW14'!$A$7:$N$160,14,FALSE),0)+
IFERROR(VLOOKUP(A68,'Centre WP14'!$A$7:$N$160,14,FALSE),0)+
IFERROR(VLOOKUP(A68,'Centre WR14'!$A$7:$N$160,14,FALSE),0)</f>
        <v>0.9</v>
      </c>
    </row>
    <row r="69" spans="1:14" hidden="1" outlineLevel="1" x14ac:dyDescent="0.2">
      <c r="A69" s="9" t="s">
        <v>151</v>
      </c>
      <c r="B69" s="1" t="s">
        <v>152</v>
      </c>
      <c r="C69" s="10">
        <f>IFERROR(VLOOKUP(A69,'Centre DW14'!$A$7:$N$160,3,FALSE),0)+
IFERROR(VLOOKUP(A69,'Centre WP14'!$A$7:$N$160,3,FALSE),0)+
IFERROR(VLOOKUP(A69,'Centre WR14'!$A$7:$N$160,3,FALSE),0)</f>
        <v>0</v>
      </c>
      <c r="D69" s="10">
        <f>IFERROR(VLOOKUP(A69,'Centre DW14'!$A$7:$N$160,4,FALSE),0)+
IFERROR(VLOOKUP(A69,'Centre WP14'!$A$7:$N$160,4,FALSE),0)+
IFERROR(VLOOKUP(A69,'Centre WR14'!$A$7:$N$160,4,FALSE),0)</f>
        <v>0</v>
      </c>
      <c r="E69" s="10">
        <f>IFERROR(VLOOKUP(A69,'Centre DW14'!$A$7:$N$160,5,FALSE),0)+
IFERROR(VLOOKUP(A69,'Centre WP14'!$A$7:$N$160,5,FALSE),0)+
IFERROR(VLOOKUP(A69,'Centre WR14'!$A$7:$N$160,5,FALSE),0)</f>
        <v>0</v>
      </c>
      <c r="F69" s="10">
        <f>IFERROR(VLOOKUP(A69,'Centre DW14'!$A$7:$N$160,6,FALSE),0)+
IFERROR(VLOOKUP(A69,'Centre WP14'!$A$7:$N$160,6,FALSE),0)+
IFERROR(VLOOKUP(A69,'Centre WR14'!$A$7:$N$160,6,FALSE),0)</f>
        <v>0</v>
      </c>
      <c r="G69" s="10">
        <f>IFERROR(VLOOKUP(A69,'Centre DW14'!$A$7:$N$160,7,FALSE),0)+
IFERROR(VLOOKUP(A69,'Centre WP14'!$A$7:$N$160,7,FALSE),0)+
IFERROR(VLOOKUP(A69,'Centre WR14'!$A$7:$N$160,7,FALSE),0)</f>
        <v>0.1</v>
      </c>
      <c r="H69" s="10">
        <f>IFERROR(VLOOKUP(A69,'Centre DW14'!$A$7:$N$160,8,FALSE),0)+
IFERROR(VLOOKUP(A69,'Centre WP14'!$A$7:$N$160,8,FALSE),0)+
IFERROR(VLOOKUP(A69,'Centre WR14'!$A$7:$N$160,8,FALSE),0)</f>
        <v>0.1</v>
      </c>
      <c r="I69" s="10">
        <f>IFERROR(VLOOKUP(A69,'Centre DW14'!$A$7:$N$160,9,FALSE),0)+
IFERROR(VLOOKUP(A69,'Centre WP14'!$A$7:$N$160,9,FALSE),0)+
IFERROR(VLOOKUP(A69,'Centre WR14'!$A$7:$N$160,9,FALSE),0)</f>
        <v>0.1</v>
      </c>
      <c r="J69" s="28">
        <f>IFERROR(VLOOKUP(A69,'Centre DW14'!$A$7:$N$160,10,FALSE),0)+
IFERROR(VLOOKUP(A69,'Centre WP14'!$A$7:$N$160,10,FALSE),0)+
IFERROR(VLOOKUP(A69,'Centre WR14'!$A$7:$N$160,10,FALSE),0)</f>
        <v>0</v>
      </c>
      <c r="K69" s="10">
        <f>IFERROR(VLOOKUP(A69,'Centre DW14'!$A$7:$N$160,11,FALSE),0)+
IFERROR(VLOOKUP(A69,'Centre WP14'!$A$7:$N$160,11,FALSE),0)+
IFERROR(VLOOKUP(A69,'Centre WR14'!$A$7:$N$160,11,FALSE),0)</f>
        <v>0</v>
      </c>
      <c r="L69" s="10">
        <f>IFERROR(VLOOKUP(A69,'Centre DW14'!$A$7:$N$160,12,FALSE),0)+
IFERROR(VLOOKUP(A69,'Centre WP14'!$A$7:$N$160,12,FALSE),0)+
IFERROR(VLOOKUP(A69,'Centre WR14'!$A$7:$N$160,12,FALSE),0)</f>
        <v>0.1</v>
      </c>
      <c r="M69" s="10">
        <f>IFERROR(VLOOKUP(A69,'Centre DW14'!$A$7:$N$160,13,FALSE),0)+
IFERROR(VLOOKUP(A69,'Centre WP14'!$A$7:$N$160,13,FALSE),0)+
IFERROR(VLOOKUP(A69,'Centre WR14'!$A$7:$N$160,13,FALSE),0)</f>
        <v>0.1</v>
      </c>
      <c r="N69" s="10">
        <f>IFERROR(VLOOKUP(A69,'Centre DW14'!$A$7:$N$160,14,FALSE),0)+
IFERROR(VLOOKUP(A69,'Centre WP14'!$A$7:$N$160,14,FALSE),0)+
IFERROR(VLOOKUP(A69,'Centre WR14'!$A$7:$N$160,14,FALSE),0)</f>
        <v>0.1</v>
      </c>
    </row>
    <row r="70" spans="1:14" hidden="1" outlineLevel="1" x14ac:dyDescent="0.2">
      <c r="A70" s="9" t="s">
        <v>355</v>
      </c>
      <c r="B70" s="1" t="s">
        <v>356</v>
      </c>
      <c r="C70" s="10">
        <f>IFERROR(VLOOKUP(A70,'Centre DW14'!$A$7:$N$160,3,FALSE),0)+
IFERROR(VLOOKUP(A70,'Centre WP14'!$A$7:$N$160,3,FALSE),0)+
IFERROR(VLOOKUP(A70,'Centre WR14'!$A$7:$N$160,3,FALSE),0)</f>
        <v>0</v>
      </c>
      <c r="D70" s="10">
        <f>IFERROR(VLOOKUP(A70,'Centre DW14'!$A$7:$N$160,4,FALSE),0)+
IFERROR(VLOOKUP(A70,'Centre WP14'!$A$7:$N$160,4,FALSE),0)+
IFERROR(VLOOKUP(A70,'Centre WR14'!$A$7:$N$160,4,FALSE),0)</f>
        <v>0</v>
      </c>
      <c r="E70" s="10">
        <f>IFERROR(VLOOKUP(A70,'Centre DW14'!$A$7:$N$160,5,FALSE),0)+
IFERROR(VLOOKUP(A70,'Centre WP14'!$A$7:$N$160,5,FALSE),0)+
IFERROR(VLOOKUP(A70,'Centre WR14'!$A$7:$N$160,5,FALSE),0)</f>
        <v>0</v>
      </c>
      <c r="F70" s="10">
        <f>IFERROR(VLOOKUP(A70,'Centre DW14'!$A$7:$N$160,6,FALSE),0)+
IFERROR(VLOOKUP(A70,'Centre WP14'!$A$7:$N$160,6,FALSE),0)+
IFERROR(VLOOKUP(A70,'Centre WR14'!$A$7:$N$160,6,FALSE),0)</f>
        <v>0</v>
      </c>
      <c r="G70" s="10">
        <f>IFERROR(VLOOKUP(A70,'Centre DW14'!$A$7:$N$160,7,FALSE),0)+
IFERROR(VLOOKUP(A70,'Centre WP14'!$A$7:$N$160,7,FALSE),0)+
IFERROR(VLOOKUP(A70,'Centre WR14'!$A$7:$N$160,7,FALSE),0)</f>
        <v>0.2</v>
      </c>
      <c r="H70" s="10">
        <f>IFERROR(VLOOKUP(A70,'Centre DW14'!$A$7:$N$160,8,FALSE),0)+
IFERROR(VLOOKUP(A70,'Centre WP14'!$A$7:$N$160,8,FALSE),0)+
IFERROR(VLOOKUP(A70,'Centre WR14'!$A$7:$N$160,8,FALSE),0)</f>
        <v>0.1</v>
      </c>
      <c r="I70" s="10">
        <f>IFERROR(VLOOKUP(A70,'Centre DW14'!$A$7:$N$160,9,FALSE),0)+
IFERROR(VLOOKUP(A70,'Centre WP14'!$A$7:$N$160,9,FALSE),0)+
IFERROR(VLOOKUP(A70,'Centre WR14'!$A$7:$N$160,9,FALSE),0)</f>
        <v>0.1</v>
      </c>
      <c r="J70" s="28">
        <f>IFERROR(VLOOKUP(A70,'Centre DW14'!$A$7:$N$160,10,FALSE),0)+
IFERROR(VLOOKUP(A70,'Centre WP14'!$A$7:$N$160,10,FALSE),0)+
IFERROR(VLOOKUP(A70,'Centre WR14'!$A$7:$N$160,10,FALSE),0)</f>
        <v>0.1</v>
      </c>
      <c r="K70" s="10">
        <f>IFERROR(VLOOKUP(A70,'Centre DW14'!$A$7:$N$160,11,FALSE),0)+
IFERROR(VLOOKUP(A70,'Centre WP14'!$A$7:$N$160,11,FALSE),0)+
IFERROR(VLOOKUP(A70,'Centre WR14'!$A$7:$N$160,11,FALSE),0)</f>
        <v>0</v>
      </c>
      <c r="L70" s="10">
        <f>IFERROR(VLOOKUP(A70,'Centre DW14'!$A$7:$N$160,12,FALSE),0)+
IFERROR(VLOOKUP(A70,'Centre WP14'!$A$7:$N$160,12,FALSE),0)+
IFERROR(VLOOKUP(A70,'Centre WR14'!$A$7:$N$160,12,FALSE),0)</f>
        <v>0.2</v>
      </c>
      <c r="M70" s="10">
        <f>IFERROR(VLOOKUP(A70,'Centre DW14'!$A$7:$N$160,13,FALSE),0)+
IFERROR(VLOOKUP(A70,'Centre WP14'!$A$7:$N$160,13,FALSE),0)+
IFERROR(VLOOKUP(A70,'Centre WR14'!$A$7:$N$160,13,FALSE),0)</f>
        <v>0.1</v>
      </c>
      <c r="N70" s="10">
        <f>IFERROR(VLOOKUP(A70,'Centre DW14'!$A$7:$N$160,14,FALSE),0)+
IFERROR(VLOOKUP(A70,'Centre WP14'!$A$7:$N$160,14,FALSE),0)+
IFERROR(VLOOKUP(A70,'Centre WR14'!$A$7:$N$160,14,FALSE),0)</f>
        <v>0.1</v>
      </c>
    </row>
    <row r="71" spans="1:14" hidden="1" outlineLevel="1" x14ac:dyDescent="0.2">
      <c r="A71" s="9" t="s">
        <v>153</v>
      </c>
      <c r="B71" s="1" t="s">
        <v>154</v>
      </c>
      <c r="C71" s="10">
        <f>IFERROR(VLOOKUP(A71,'Centre DW14'!$A$7:$N$160,3,FALSE),0)+
IFERROR(VLOOKUP(A71,'Centre WP14'!$A$7:$N$160,3,FALSE),0)+
IFERROR(VLOOKUP(A71,'Centre WR14'!$A$7:$N$160,3,FALSE),0)</f>
        <v>0</v>
      </c>
      <c r="D71" s="10">
        <f>IFERROR(VLOOKUP(A71,'Centre DW14'!$A$7:$N$160,4,FALSE),0)+
IFERROR(VLOOKUP(A71,'Centre WP14'!$A$7:$N$160,4,FALSE),0)+
IFERROR(VLOOKUP(A71,'Centre WR14'!$A$7:$N$160,4,FALSE),0)</f>
        <v>0</v>
      </c>
      <c r="E71" s="10">
        <f>IFERROR(VLOOKUP(A71,'Centre DW14'!$A$7:$N$160,5,FALSE),0)+
IFERROR(VLOOKUP(A71,'Centre WP14'!$A$7:$N$160,5,FALSE),0)+
IFERROR(VLOOKUP(A71,'Centre WR14'!$A$7:$N$160,5,FALSE),0)</f>
        <v>0</v>
      </c>
      <c r="F71" s="10">
        <f>IFERROR(VLOOKUP(A71,'Centre DW14'!$A$7:$N$160,6,FALSE),0)+
IFERROR(VLOOKUP(A71,'Centre WP14'!$A$7:$N$160,6,FALSE),0)+
IFERROR(VLOOKUP(A71,'Centre WR14'!$A$7:$N$160,6,FALSE),0)</f>
        <v>0.6</v>
      </c>
      <c r="G71" s="10">
        <f>IFERROR(VLOOKUP(A71,'Centre DW14'!$A$7:$N$160,7,FALSE),0)+
IFERROR(VLOOKUP(A71,'Centre WP14'!$A$7:$N$160,7,FALSE),0)+
IFERROR(VLOOKUP(A71,'Centre WR14'!$A$7:$N$160,7,FALSE),0)</f>
        <v>0.6</v>
      </c>
      <c r="H71" s="10">
        <f>IFERROR(VLOOKUP(A71,'Centre DW14'!$A$7:$N$160,8,FALSE),0)+
IFERROR(VLOOKUP(A71,'Centre WP14'!$A$7:$N$160,8,FALSE),0)+
IFERROR(VLOOKUP(A71,'Centre WR14'!$A$7:$N$160,8,FALSE),0)</f>
        <v>2.1</v>
      </c>
      <c r="I71" s="10">
        <f>IFERROR(VLOOKUP(A71,'Centre DW14'!$A$7:$N$160,9,FALSE),0)+
IFERROR(VLOOKUP(A71,'Centre WP14'!$A$7:$N$160,9,FALSE),0)+
IFERROR(VLOOKUP(A71,'Centre WR14'!$A$7:$N$160,9,FALSE),0)</f>
        <v>1.7</v>
      </c>
      <c r="J71" s="28">
        <f>IFERROR(VLOOKUP(A71,'Centre DW14'!$A$7:$N$160,10,FALSE),0)+
IFERROR(VLOOKUP(A71,'Centre WP14'!$A$7:$N$160,10,FALSE),0)+
IFERROR(VLOOKUP(A71,'Centre WR14'!$A$7:$N$160,10,FALSE),0)</f>
        <v>0.6</v>
      </c>
      <c r="K71" s="10">
        <f>IFERROR(VLOOKUP(A71,'Centre DW14'!$A$7:$N$160,11,FALSE),0)+
IFERROR(VLOOKUP(A71,'Centre WP14'!$A$7:$N$160,11,FALSE),0)+
IFERROR(VLOOKUP(A71,'Centre WR14'!$A$7:$N$160,11,FALSE),0)</f>
        <v>0.6</v>
      </c>
      <c r="L71" s="10">
        <f>IFERROR(VLOOKUP(A71,'Centre DW14'!$A$7:$N$160,12,FALSE),0)+
IFERROR(VLOOKUP(A71,'Centre WP14'!$A$7:$N$160,12,FALSE),0)+
IFERROR(VLOOKUP(A71,'Centre WR14'!$A$7:$N$160,12,FALSE),0)</f>
        <v>0.6</v>
      </c>
      <c r="M71" s="10">
        <f>IFERROR(VLOOKUP(A71,'Centre DW14'!$A$7:$N$160,13,FALSE),0)+
IFERROR(VLOOKUP(A71,'Centre WP14'!$A$7:$N$160,13,FALSE),0)+
IFERROR(VLOOKUP(A71,'Centre WR14'!$A$7:$N$160,13,FALSE),0)</f>
        <v>2.1</v>
      </c>
      <c r="N71" s="10">
        <f>IFERROR(VLOOKUP(A71,'Centre DW14'!$A$7:$N$160,14,FALSE),0)+
IFERROR(VLOOKUP(A71,'Centre WP14'!$A$7:$N$160,14,FALSE),0)+
IFERROR(VLOOKUP(A71,'Centre WR14'!$A$7:$N$160,14,FALSE),0)</f>
        <v>1.7</v>
      </c>
    </row>
    <row r="72" spans="1:14" hidden="1" outlineLevel="1" x14ac:dyDescent="0.2">
      <c r="A72" s="9" t="s">
        <v>155</v>
      </c>
      <c r="B72" s="1" t="s">
        <v>156</v>
      </c>
      <c r="C72" s="10">
        <f>IFERROR(VLOOKUP(A72,'Centre DW14'!$A$7:$N$160,3,FALSE),0)+
IFERROR(VLOOKUP(A72,'Centre WP14'!$A$7:$N$160,3,FALSE),0)+
IFERROR(VLOOKUP(A72,'Centre WR14'!$A$7:$N$160,3,FALSE),0)</f>
        <v>0</v>
      </c>
      <c r="D72" s="10">
        <f>IFERROR(VLOOKUP(A72,'Centre DW14'!$A$7:$N$160,4,FALSE),0)+
IFERROR(VLOOKUP(A72,'Centre WP14'!$A$7:$N$160,4,FALSE),0)+
IFERROR(VLOOKUP(A72,'Centre WR14'!$A$7:$N$160,4,FALSE),0)</f>
        <v>0</v>
      </c>
      <c r="E72" s="10">
        <f>IFERROR(VLOOKUP(A72,'Centre DW14'!$A$7:$N$160,5,FALSE),0)+
IFERROR(VLOOKUP(A72,'Centre WP14'!$A$7:$N$160,5,FALSE),0)+
IFERROR(VLOOKUP(A72,'Centre WR14'!$A$7:$N$160,5,FALSE),0)</f>
        <v>0</v>
      </c>
      <c r="F72" s="10">
        <f>IFERROR(VLOOKUP(A72,'Centre DW14'!$A$7:$N$160,6,FALSE),0)+
IFERROR(VLOOKUP(A72,'Centre WP14'!$A$7:$N$160,6,FALSE),0)+
IFERROR(VLOOKUP(A72,'Centre WR14'!$A$7:$N$160,6,FALSE),0)</f>
        <v>0.6</v>
      </c>
      <c r="G72" s="10">
        <f>IFERROR(VLOOKUP(A72,'Centre DW14'!$A$7:$N$160,7,FALSE),0)+
IFERROR(VLOOKUP(A72,'Centre WP14'!$A$7:$N$160,7,FALSE),0)+
IFERROR(VLOOKUP(A72,'Centre WR14'!$A$7:$N$160,7,FALSE),0)</f>
        <v>0.6</v>
      </c>
      <c r="H72" s="10">
        <f>IFERROR(VLOOKUP(A72,'Centre DW14'!$A$7:$N$160,8,FALSE),0)+
IFERROR(VLOOKUP(A72,'Centre WP14'!$A$7:$N$160,8,FALSE),0)+
IFERROR(VLOOKUP(A72,'Centre WR14'!$A$7:$N$160,8,FALSE),0)</f>
        <v>0.6</v>
      </c>
      <c r="I72" s="10">
        <f>IFERROR(VLOOKUP(A72,'Centre DW14'!$A$7:$N$160,9,FALSE),0)+
IFERROR(VLOOKUP(A72,'Centre WP14'!$A$7:$N$160,9,FALSE),0)+
IFERROR(VLOOKUP(A72,'Centre WR14'!$A$7:$N$160,9,FALSE),0)</f>
        <v>9</v>
      </c>
      <c r="J72" s="28">
        <f>IFERROR(VLOOKUP(A72,'Centre DW14'!$A$7:$N$160,10,FALSE),0)+
IFERROR(VLOOKUP(A72,'Centre WP14'!$A$7:$N$160,10,FALSE),0)+
IFERROR(VLOOKUP(A72,'Centre WR14'!$A$7:$N$160,10,FALSE),0)</f>
        <v>0.6</v>
      </c>
      <c r="K72" s="10">
        <f>IFERROR(VLOOKUP(A72,'Centre DW14'!$A$7:$N$160,11,FALSE),0)+
IFERROR(VLOOKUP(A72,'Centre WP14'!$A$7:$N$160,11,FALSE),0)+
IFERROR(VLOOKUP(A72,'Centre WR14'!$A$7:$N$160,11,FALSE),0)</f>
        <v>0.6</v>
      </c>
      <c r="L72" s="10">
        <f>IFERROR(VLOOKUP(A72,'Centre DW14'!$A$7:$N$160,12,FALSE),0)+
IFERROR(VLOOKUP(A72,'Centre WP14'!$A$7:$N$160,12,FALSE),0)+
IFERROR(VLOOKUP(A72,'Centre WR14'!$A$7:$N$160,12,FALSE),0)</f>
        <v>0.6</v>
      </c>
      <c r="M72" s="10">
        <f>IFERROR(VLOOKUP(A72,'Centre DW14'!$A$7:$N$160,13,FALSE),0)+
IFERROR(VLOOKUP(A72,'Centre WP14'!$A$7:$N$160,13,FALSE),0)+
IFERROR(VLOOKUP(A72,'Centre WR14'!$A$7:$N$160,13,FALSE),0)</f>
        <v>0.6</v>
      </c>
      <c r="N72" s="10">
        <f>IFERROR(VLOOKUP(A72,'Centre DW14'!$A$7:$N$160,14,FALSE),0)+
IFERROR(VLOOKUP(A72,'Centre WP14'!$A$7:$N$160,14,FALSE),0)+
IFERROR(VLOOKUP(A72,'Centre WR14'!$A$7:$N$160,14,FALSE),0)</f>
        <v>9</v>
      </c>
    </row>
    <row r="73" spans="1:14" collapsed="1" x14ac:dyDescent="0.2">
      <c r="A73" s="33" t="s">
        <v>157</v>
      </c>
      <c r="B73" s="34" t="s">
        <v>158</v>
      </c>
      <c r="C73" s="44">
        <f t="shared" ref="C73:N73" si="16">+C74</f>
        <v>1.2999999999999998</v>
      </c>
      <c r="D73" s="44">
        <f t="shared" si="16"/>
        <v>1.7999999999999998</v>
      </c>
      <c r="E73" s="44">
        <f t="shared" si="16"/>
        <v>-0.3</v>
      </c>
      <c r="F73" s="44">
        <f t="shared" si="16"/>
        <v>-0.7</v>
      </c>
      <c r="G73" s="44">
        <f t="shared" si="16"/>
        <v>0.89999999999999991</v>
      </c>
      <c r="H73" s="44">
        <f t="shared" si="16"/>
        <v>-1</v>
      </c>
      <c r="I73" s="44">
        <f t="shared" si="16"/>
        <v>1.9</v>
      </c>
      <c r="J73" s="44">
        <f t="shared" si="16"/>
        <v>0.6</v>
      </c>
      <c r="K73" s="44">
        <f t="shared" si="16"/>
        <v>-1.1000000000000001</v>
      </c>
      <c r="L73" s="44">
        <f t="shared" si="16"/>
        <v>0.6</v>
      </c>
      <c r="M73" s="44">
        <f t="shared" si="16"/>
        <v>-0.5</v>
      </c>
      <c r="N73" s="44">
        <f t="shared" si="16"/>
        <v>1.4</v>
      </c>
    </row>
    <row r="74" spans="1:14" hidden="1" outlineLevel="1" x14ac:dyDescent="0.2">
      <c r="A74" s="9" t="s">
        <v>159</v>
      </c>
      <c r="B74" s="1" t="s">
        <v>160</v>
      </c>
      <c r="C74" s="10">
        <f>IFERROR(VLOOKUP(A74,'Centre DW14'!$A$7:$N$160,3,FALSE),0)+
IFERROR(VLOOKUP(A74,'Centre WP14'!$A$7:$N$160,3,FALSE),0)+
IFERROR(VLOOKUP(A74,'Centre WR14'!$A$7:$N$160,3,FALSE),0)</f>
        <v>1.2999999999999998</v>
      </c>
      <c r="D74" s="10">
        <f>IFERROR(VLOOKUP(A74,'Centre DW14'!$A$7:$N$160,4,FALSE),0)+
IFERROR(VLOOKUP(A74,'Centre WP14'!$A$7:$N$160,4,FALSE),0)+
IFERROR(VLOOKUP(A74,'Centre WR14'!$A$7:$N$160,4,FALSE),0)</f>
        <v>1.7999999999999998</v>
      </c>
      <c r="E74" s="10">
        <f>IFERROR(VLOOKUP(A74,'Centre DW14'!$A$7:$N$160,5,FALSE),0)+
IFERROR(VLOOKUP(A74,'Centre WP14'!$A$7:$N$160,5,FALSE),0)+
IFERROR(VLOOKUP(A74,'Centre WR14'!$A$7:$N$160,5,FALSE),0)</f>
        <v>-0.3</v>
      </c>
      <c r="F74" s="10">
        <f>IFERROR(VLOOKUP(A74,'Centre DW14'!$A$7:$N$160,6,FALSE),0)+
IFERROR(VLOOKUP(A74,'Centre WP14'!$A$7:$N$160,6,FALSE),0)+
IFERROR(VLOOKUP(A74,'Centre WR14'!$A$7:$N$160,6,FALSE),0)</f>
        <v>-0.7</v>
      </c>
      <c r="G74" s="10">
        <f>IFERROR(VLOOKUP(A74,'Centre DW14'!$A$7:$N$160,7,FALSE),0)+
IFERROR(VLOOKUP(A74,'Centre WP14'!$A$7:$N$160,7,FALSE),0)+
IFERROR(VLOOKUP(A74,'Centre WR14'!$A$7:$N$160,7,FALSE),0)</f>
        <v>0.89999999999999991</v>
      </c>
      <c r="H74" s="10">
        <f>IFERROR(VLOOKUP(A74,'Centre DW14'!$A$7:$N$160,8,FALSE),0)+
IFERROR(VLOOKUP(A74,'Centre WP14'!$A$7:$N$160,8,FALSE),0)+
IFERROR(VLOOKUP(A74,'Centre WR14'!$A$7:$N$160,8,FALSE),0)</f>
        <v>-1</v>
      </c>
      <c r="I74" s="10">
        <f>IFERROR(VLOOKUP(A74,'Centre DW14'!$A$7:$N$160,9,FALSE),0)+
IFERROR(VLOOKUP(A74,'Centre WP14'!$A$7:$N$160,9,FALSE),0)+
IFERROR(VLOOKUP(A74,'Centre WR14'!$A$7:$N$160,9,FALSE),0)</f>
        <v>1.9</v>
      </c>
      <c r="J74" s="28">
        <f>IFERROR(VLOOKUP(A74,'Centre DW14'!$A$7:$N$160,10,FALSE),0)+
IFERROR(VLOOKUP(A74,'Centre WP14'!$A$7:$N$160,10,FALSE),0)+
IFERROR(VLOOKUP(A74,'Centre WR14'!$A$7:$N$160,10,FALSE),0)</f>
        <v>0.6</v>
      </c>
      <c r="K74" s="10">
        <f>IFERROR(VLOOKUP(A74,'Centre DW14'!$A$7:$N$160,11,FALSE),0)+
IFERROR(VLOOKUP(A74,'Centre WP14'!$A$7:$N$160,11,FALSE),0)+
IFERROR(VLOOKUP(A74,'Centre WR14'!$A$7:$N$160,11,FALSE),0)</f>
        <v>-1.1000000000000001</v>
      </c>
      <c r="L74" s="10">
        <f>IFERROR(VLOOKUP(A74,'Centre DW14'!$A$7:$N$160,12,FALSE),0)+
IFERROR(VLOOKUP(A74,'Centre WP14'!$A$7:$N$160,12,FALSE),0)+
IFERROR(VLOOKUP(A74,'Centre WR14'!$A$7:$N$160,12,FALSE),0)</f>
        <v>0.6</v>
      </c>
      <c r="M74" s="10">
        <f>IFERROR(VLOOKUP(A74,'Centre DW14'!$A$7:$N$160,13,FALSE),0)+
IFERROR(VLOOKUP(A74,'Centre WP14'!$A$7:$N$160,13,FALSE),0)+
IFERROR(VLOOKUP(A74,'Centre WR14'!$A$7:$N$160,13,FALSE),0)</f>
        <v>-0.5</v>
      </c>
      <c r="N74" s="10">
        <f>IFERROR(VLOOKUP(A74,'Centre DW14'!$A$7:$N$160,14,FALSE),0)+
IFERROR(VLOOKUP(A74,'Centre WP14'!$A$7:$N$160,14,FALSE),0)+
IFERROR(VLOOKUP(A74,'Centre WR14'!$A$7:$N$160,14,FALSE),0)</f>
        <v>1.4</v>
      </c>
    </row>
    <row r="75" spans="1:14" collapsed="1" x14ac:dyDescent="0.2">
      <c r="A75" s="36"/>
      <c r="B75" s="36" t="s">
        <v>165</v>
      </c>
      <c r="C75" s="45">
        <f t="shared" ref="C75:I75" si="17">+C31+C47+C51+C54+C58+C62+C63+C64+C65+C73</f>
        <v>10.399999999999999</v>
      </c>
      <c r="D75" s="45">
        <f t="shared" si="17"/>
        <v>8.6999999999999993</v>
      </c>
      <c r="E75" s="45">
        <f t="shared" si="17"/>
        <v>9.8000000000000007</v>
      </c>
      <c r="F75" s="45">
        <f t="shared" si="17"/>
        <v>24.599999999999998</v>
      </c>
      <c r="G75" s="45">
        <f t="shared" si="17"/>
        <v>21.699999999999996</v>
      </c>
      <c r="H75" s="45">
        <f t="shared" si="17"/>
        <v>39.5</v>
      </c>
      <c r="I75" s="45">
        <f t="shared" si="17"/>
        <v>44.9</v>
      </c>
      <c r="J75" s="45">
        <f>+J31+J47+J51+J54+J58+J62+J63+J64+J65+J73</f>
        <v>26.5</v>
      </c>
      <c r="K75" s="45">
        <f t="shared" ref="K75:N75" si="18">+K31+K47+K51+K54+K58+K62+K63+K64+K65+K73</f>
        <v>25.599999999999998</v>
      </c>
      <c r="L75" s="45">
        <f t="shared" si="18"/>
        <v>20.199999999999996</v>
      </c>
      <c r="M75" s="45">
        <f t="shared" si="18"/>
        <v>27.8</v>
      </c>
      <c r="N75" s="45">
        <f t="shared" si="18"/>
        <v>38.85</v>
      </c>
    </row>
    <row r="76" spans="1:14" x14ac:dyDescent="0.2">
      <c r="A76" s="35"/>
      <c r="B76" s="35" t="s">
        <v>166</v>
      </c>
      <c r="C76" s="21">
        <f t="shared" ref="C76:I76" si="19">+C29-C75</f>
        <v>49.9</v>
      </c>
      <c r="D76" s="21">
        <f t="shared" si="19"/>
        <v>66.8</v>
      </c>
      <c r="E76" s="21">
        <f t="shared" si="19"/>
        <v>51.399999999999991</v>
      </c>
      <c r="F76" s="21">
        <f t="shared" si="19"/>
        <v>44.3</v>
      </c>
      <c r="G76" s="21">
        <f t="shared" si="19"/>
        <v>44.999999999999993</v>
      </c>
      <c r="H76" s="21">
        <f t="shared" si="19"/>
        <v>37</v>
      </c>
      <c r="I76" s="21">
        <f t="shared" si="19"/>
        <v>37.000000000000007</v>
      </c>
      <c r="J76" s="21">
        <f>+J29-J75</f>
        <v>35.1</v>
      </c>
      <c r="K76" s="21">
        <f t="shared" ref="K76:N76" si="20">+K29-K75</f>
        <v>34.700000000000003</v>
      </c>
      <c r="L76" s="21">
        <f t="shared" si="20"/>
        <v>50.4</v>
      </c>
      <c r="M76" s="21">
        <f t="shared" si="20"/>
        <v>52.900000000000006</v>
      </c>
      <c r="N76" s="21">
        <f t="shared" si="20"/>
        <v>23.35</v>
      </c>
    </row>
    <row r="77" spans="1:14" x14ac:dyDescent="0.2">
      <c r="A77" s="33" t="s">
        <v>167</v>
      </c>
      <c r="B77" s="34" t="s">
        <v>168</v>
      </c>
      <c r="C77" s="44">
        <f t="shared" ref="C77:N77" si="21">SUM(C78:C83)</f>
        <v>0</v>
      </c>
      <c r="D77" s="44">
        <f t="shared" si="21"/>
        <v>0</v>
      </c>
      <c r="E77" s="44">
        <f t="shared" si="21"/>
        <v>0</v>
      </c>
      <c r="F77" s="44">
        <f t="shared" si="21"/>
        <v>0</v>
      </c>
      <c r="G77" s="44">
        <f t="shared" si="21"/>
        <v>0</v>
      </c>
      <c r="H77" s="44">
        <f t="shared" si="21"/>
        <v>12.6</v>
      </c>
      <c r="I77" s="44">
        <f t="shared" si="21"/>
        <v>19.8</v>
      </c>
      <c r="J77" s="44">
        <f t="shared" si="21"/>
        <v>12.6</v>
      </c>
      <c r="K77" s="44">
        <f t="shared" si="21"/>
        <v>19.8</v>
      </c>
      <c r="L77" s="44">
        <f t="shared" si="21"/>
        <v>12.6</v>
      </c>
      <c r="M77" s="44">
        <f t="shared" si="21"/>
        <v>19.8</v>
      </c>
      <c r="N77" s="44">
        <f t="shared" si="21"/>
        <v>19.8</v>
      </c>
    </row>
    <row r="78" spans="1:14" hidden="1" outlineLevel="1" x14ac:dyDescent="0.2">
      <c r="A78" s="9" t="s">
        <v>169</v>
      </c>
      <c r="B78" s="1" t="s">
        <v>170</v>
      </c>
      <c r="C78" s="10">
        <f>IFERROR(VLOOKUP(A78,'Centre DW14'!$A$7:$N$160,3,FALSE),0)+
IFERROR(VLOOKUP(A78,'Centre WP14'!$A$7:$N$160,3,FALSE),0)+
IFERROR(VLOOKUP(A78,'Centre WR14'!$A$7:$N$160,3,FALSE),0)</f>
        <v>0</v>
      </c>
      <c r="D78" s="10">
        <f>IFERROR(VLOOKUP(A78,'Centre DW14'!$A$7:$N$160,4,FALSE),0)+
IFERROR(VLOOKUP(A78,'Centre WP14'!$A$7:$N$160,4,FALSE),0)+
IFERROR(VLOOKUP(A78,'Centre WR14'!$A$7:$N$160,4,FALSE),0)</f>
        <v>0</v>
      </c>
      <c r="E78" s="10">
        <f>IFERROR(VLOOKUP(A78,'Centre DW14'!$A$7:$N$160,5,FALSE),0)+
IFERROR(VLOOKUP(A78,'Centre WP14'!$A$7:$N$160,5,FALSE),0)+
IFERROR(VLOOKUP(A78,'Centre WR14'!$A$7:$N$160,5,FALSE),0)</f>
        <v>0</v>
      </c>
      <c r="F78" s="10">
        <f>IFERROR(VLOOKUP(A78,'Centre DW14'!$A$7:$N$160,6,FALSE),0)+
IFERROR(VLOOKUP(A78,'Centre WP14'!$A$7:$N$160,6,FALSE),0)+
IFERROR(VLOOKUP(A78,'Centre WR14'!$A$7:$N$160,6,FALSE),0)</f>
        <v>0</v>
      </c>
      <c r="G78" s="10">
        <f>IFERROR(VLOOKUP(A78,'Centre DW14'!$A$7:$N$160,7,FALSE),0)+
IFERROR(VLOOKUP(A78,'Centre WP14'!$A$7:$N$160,7,FALSE),0)+
IFERROR(VLOOKUP(A78,'Centre WR14'!$A$7:$N$160,7,FALSE),0)</f>
        <v>0</v>
      </c>
      <c r="H78" s="10">
        <f>IFERROR(VLOOKUP(A78,'Centre DW14'!$A$7:$N$160,8,FALSE),0)+
IFERROR(VLOOKUP(A78,'Centre WP14'!$A$7:$N$160,8,FALSE),0)+
IFERROR(VLOOKUP(A78,'Centre WR14'!$A$7:$N$160,8,FALSE),0)</f>
        <v>0.6</v>
      </c>
      <c r="I78" s="10">
        <f>IFERROR(VLOOKUP(A78,'Centre DW14'!$A$7:$N$160,9,FALSE),0)+
IFERROR(VLOOKUP(A78,'Centre WP14'!$A$7:$N$160,9,FALSE),0)+
IFERROR(VLOOKUP(A78,'Centre WR14'!$A$7:$N$160,9,FALSE),0)</f>
        <v>1.3</v>
      </c>
      <c r="J78" s="28">
        <f>IFERROR(VLOOKUP(A78,'Centre DW14'!$A$7:$N$160,10,FALSE),0)+
IFERROR(VLOOKUP(A78,'Centre WP14'!$A$7:$N$160,10,FALSE),0)+
IFERROR(VLOOKUP(A78,'Centre WR14'!$A$7:$N$160,10,FALSE),0)</f>
        <v>0.6</v>
      </c>
      <c r="K78" s="10">
        <f>IFERROR(VLOOKUP(A78,'Centre DW14'!$A$7:$N$160,11,FALSE),0)+
IFERROR(VLOOKUP(A78,'Centre WP14'!$A$7:$N$160,11,FALSE),0)+
IFERROR(VLOOKUP(A78,'Centre WR14'!$A$7:$N$160,11,FALSE),0)</f>
        <v>1.3</v>
      </c>
      <c r="L78" s="10">
        <f>IFERROR(VLOOKUP(A78,'Centre DW14'!$A$7:$N$160,12,FALSE),0)+
IFERROR(VLOOKUP(A78,'Centre WP14'!$A$7:$N$160,12,FALSE),0)+
IFERROR(VLOOKUP(A78,'Centre WR14'!$A$7:$N$160,12,FALSE),0)</f>
        <v>0.6</v>
      </c>
      <c r="M78" s="10">
        <f>IFERROR(VLOOKUP(A78,'Centre DW14'!$A$7:$N$160,13,FALSE),0)+
IFERROR(VLOOKUP(A78,'Centre WP14'!$A$7:$N$160,13,FALSE),0)+
IFERROR(VLOOKUP(A78,'Centre WR14'!$A$7:$N$160,13,FALSE),0)</f>
        <v>1.3</v>
      </c>
      <c r="N78" s="10">
        <f>IFERROR(VLOOKUP(A78,'Centre DW14'!$A$7:$N$160,14,FALSE),0)+
IFERROR(VLOOKUP(A78,'Centre WP14'!$A$7:$N$160,14,FALSE),0)+
IFERROR(VLOOKUP(A78,'Centre WR14'!$A$7:$N$160,14,FALSE),0)</f>
        <v>1.3</v>
      </c>
    </row>
    <row r="79" spans="1:14" hidden="1" outlineLevel="1" x14ac:dyDescent="0.2">
      <c r="A79" s="9" t="s">
        <v>171</v>
      </c>
      <c r="B79" s="1" t="s">
        <v>172</v>
      </c>
      <c r="C79" s="10">
        <f>IFERROR(VLOOKUP(A79,'Centre DW14'!$A$7:$N$160,3,FALSE),0)+
IFERROR(VLOOKUP(A79,'Centre WP14'!$A$7:$N$160,3,FALSE),0)+
IFERROR(VLOOKUP(A79,'Centre WR14'!$A$7:$N$160,3,FALSE),0)</f>
        <v>0</v>
      </c>
      <c r="D79" s="10">
        <f>IFERROR(VLOOKUP(A79,'Centre DW14'!$A$7:$N$160,4,FALSE),0)+
IFERROR(VLOOKUP(A79,'Centre WP14'!$A$7:$N$160,4,FALSE),0)+
IFERROR(VLOOKUP(A79,'Centre WR14'!$A$7:$N$160,4,FALSE),0)</f>
        <v>0</v>
      </c>
      <c r="E79" s="10">
        <f>IFERROR(VLOOKUP(A79,'Centre DW14'!$A$7:$N$160,5,FALSE),0)+
IFERROR(VLOOKUP(A79,'Centre WP14'!$A$7:$N$160,5,FALSE),0)+
IFERROR(VLOOKUP(A79,'Centre WR14'!$A$7:$N$160,5,FALSE),0)</f>
        <v>0</v>
      </c>
      <c r="F79" s="10">
        <f>IFERROR(VLOOKUP(A79,'Centre DW14'!$A$7:$N$160,6,FALSE),0)+
IFERROR(VLOOKUP(A79,'Centre WP14'!$A$7:$N$160,6,FALSE),0)+
IFERROR(VLOOKUP(A79,'Centre WR14'!$A$7:$N$160,6,FALSE),0)</f>
        <v>0</v>
      </c>
      <c r="G79" s="10">
        <f>IFERROR(VLOOKUP(A79,'Centre DW14'!$A$7:$N$160,7,FALSE),0)+
IFERROR(VLOOKUP(A79,'Centre WP14'!$A$7:$N$160,7,FALSE),0)+
IFERROR(VLOOKUP(A79,'Centre WR14'!$A$7:$N$160,7,FALSE),0)</f>
        <v>0</v>
      </c>
      <c r="H79" s="10">
        <f>IFERROR(VLOOKUP(A79,'Centre DW14'!$A$7:$N$160,8,FALSE),0)+
IFERROR(VLOOKUP(A79,'Centre WP14'!$A$7:$N$160,8,FALSE),0)+
IFERROR(VLOOKUP(A79,'Centre WR14'!$A$7:$N$160,8,FALSE),0)</f>
        <v>1</v>
      </c>
      <c r="I79" s="10">
        <f>IFERROR(VLOOKUP(A79,'Centre DW14'!$A$7:$N$160,9,FALSE),0)+
IFERROR(VLOOKUP(A79,'Centre WP14'!$A$7:$N$160,9,FALSE),0)+
IFERROR(VLOOKUP(A79,'Centre WR14'!$A$7:$N$160,9,FALSE),0)</f>
        <v>4.9000000000000004</v>
      </c>
      <c r="J79" s="28">
        <f>IFERROR(VLOOKUP(A79,'Centre DW14'!$A$7:$N$160,10,FALSE),0)+
IFERROR(VLOOKUP(A79,'Centre WP14'!$A$7:$N$160,10,FALSE),0)+
IFERROR(VLOOKUP(A79,'Centre WR14'!$A$7:$N$160,10,FALSE),0)</f>
        <v>1</v>
      </c>
      <c r="K79" s="10">
        <f>IFERROR(VLOOKUP(A79,'Centre DW14'!$A$7:$N$160,11,FALSE),0)+
IFERROR(VLOOKUP(A79,'Centre WP14'!$A$7:$N$160,11,FALSE),0)+
IFERROR(VLOOKUP(A79,'Centre WR14'!$A$7:$N$160,11,FALSE),0)</f>
        <v>4.9000000000000004</v>
      </c>
      <c r="L79" s="10">
        <f>IFERROR(VLOOKUP(A79,'Centre DW14'!$A$7:$N$160,12,FALSE),0)+
IFERROR(VLOOKUP(A79,'Centre WP14'!$A$7:$N$160,12,FALSE),0)+
IFERROR(VLOOKUP(A79,'Centre WR14'!$A$7:$N$160,12,FALSE),0)</f>
        <v>1</v>
      </c>
      <c r="M79" s="10">
        <f>IFERROR(VLOOKUP(A79,'Centre DW14'!$A$7:$N$160,13,FALSE),0)+
IFERROR(VLOOKUP(A79,'Centre WP14'!$A$7:$N$160,13,FALSE),0)+
IFERROR(VLOOKUP(A79,'Centre WR14'!$A$7:$N$160,13,FALSE),0)</f>
        <v>4.9000000000000004</v>
      </c>
      <c r="N79" s="10">
        <f>IFERROR(VLOOKUP(A79,'Centre DW14'!$A$7:$N$160,14,FALSE),0)+
IFERROR(VLOOKUP(A79,'Centre WP14'!$A$7:$N$160,14,FALSE),0)+
IFERROR(VLOOKUP(A79,'Centre WR14'!$A$7:$N$160,14,FALSE),0)</f>
        <v>4.9000000000000004</v>
      </c>
    </row>
    <row r="80" spans="1:14" hidden="1" outlineLevel="1" x14ac:dyDescent="0.2">
      <c r="A80" s="9" t="s">
        <v>173</v>
      </c>
      <c r="B80" s="1" t="s">
        <v>174</v>
      </c>
      <c r="C80" s="10">
        <f>IFERROR(VLOOKUP(A80,'Centre DW14'!$A$7:$N$160,3,FALSE),0)+
IFERROR(VLOOKUP(A80,'Centre WP14'!$A$7:$N$160,3,FALSE),0)+
IFERROR(VLOOKUP(A80,'Centre WR14'!$A$7:$N$160,3,FALSE),0)</f>
        <v>0</v>
      </c>
      <c r="D80" s="10">
        <f>IFERROR(VLOOKUP(A80,'Centre DW14'!$A$7:$N$160,4,FALSE),0)+
IFERROR(VLOOKUP(A80,'Centre WP14'!$A$7:$N$160,4,FALSE),0)+
IFERROR(VLOOKUP(A80,'Centre WR14'!$A$7:$N$160,4,FALSE),0)</f>
        <v>0</v>
      </c>
      <c r="E80" s="10">
        <f>IFERROR(VLOOKUP(A80,'Centre DW14'!$A$7:$N$160,5,FALSE),0)+
IFERROR(VLOOKUP(A80,'Centre WP14'!$A$7:$N$160,5,FALSE),0)+
IFERROR(VLOOKUP(A80,'Centre WR14'!$A$7:$N$160,5,FALSE),0)</f>
        <v>0</v>
      </c>
      <c r="F80" s="10">
        <f>IFERROR(VLOOKUP(A80,'Centre DW14'!$A$7:$N$160,6,FALSE),0)+
IFERROR(VLOOKUP(A80,'Centre WP14'!$A$7:$N$160,6,FALSE),0)+
IFERROR(VLOOKUP(A80,'Centre WR14'!$A$7:$N$160,6,FALSE),0)</f>
        <v>0</v>
      </c>
      <c r="G80" s="10">
        <f>IFERROR(VLOOKUP(A80,'Centre DW14'!$A$7:$N$160,7,FALSE),0)+
IFERROR(VLOOKUP(A80,'Centre WP14'!$A$7:$N$160,7,FALSE),0)+
IFERROR(VLOOKUP(A80,'Centre WR14'!$A$7:$N$160,7,FALSE),0)</f>
        <v>0</v>
      </c>
      <c r="H80" s="10">
        <f>IFERROR(VLOOKUP(A80,'Centre DW14'!$A$7:$N$160,8,FALSE),0)+
IFERROR(VLOOKUP(A80,'Centre WP14'!$A$7:$N$160,8,FALSE),0)+
IFERROR(VLOOKUP(A80,'Centre WR14'!$A$7:$N$160,8,FALSE),0)</f>
        <v>0</v>
      </c>
      <c r="I80" s="10">
        <f>IFERROR(VLOOKUP(A80,'Centre DW14'!$A$7:$N$160,9,FALSE),0)+
IFERROR(VLOOKUP(A80,'Centre WP14'!$A$7:$N$160,9,FALSE),0)+
IFERROR(VLOOKUP(A80,'Centre WR14'!$A$7:$N$160,9,FALSE),0)</f>
        <v>0</v>
      </c>
      <c r="J80" s="28">
        <f>IFERROR(VLOOKUP(A80,'Centre DW14'!$A$7:$N$160,10,FALSE),0)+
IFERROR(VLOOKUP(A80,'Centre WP14'!$A$7:$N$160,10,FALSE),0)+
IFERROR(VLOOKUP(A80,'Centre WR14'!$A$7:$N$160,10,FALSE),0)</f>
        <v>0</v>
      </c>
      <c r="K80" s="10">
        <f>IFERROR(VLOOKUP(A80,'Centre DW14'!$A$7:$N$160,11,FALSE),0)+
IFERROR(VLOOKUP(A80,'Centre WP14'!$A$7:$N$160,11,FALSE),0)+
IFERROR(VLOOKUP(A80,'Centre WR14'!$A$7:$N$160,11,FALSE),0)</f>
        <v>0</v>
      </c>
      <c r="L80" s="10">
        <f>IFERROR(VLOOKUP(A80,'Centre DW14'!$A$7:$N$160,12,FALSE),0)+
IFERROR(VLOOKUP(A80,'Centre WP14'!$A$7:$N$160,12,FALSE),0)+
IFERROR(VLOOKUP(A80,'Centre WR14'!$A$7:$N$160,12,FALSE),0)</f>
        <v>0</v>
      </c>
      <c r="M80" s="10">
        <f>IFERROR(VLOOKUP(A80,'Centre DW14'!$A$7:$N$160,13,FALSE),0)+
IFERROR(VLOOKUP(A80,'Centre WP14'!$A$7:$N$160,13,FALSE),0)+
IFERROR(VLOOKUP(A80,'Centre WR14'!$A$7:$N$160,13,FALSE),0)</f>
        <v>0</v>
      </c>
      <c r="N80" s="10">
        <f>IFERROR(VLOOKUP(A80,'Centre DW14'!$A$7:$N$160,14,FALSE),0)+
IFERROR(VLOOKUP(A80,'Centre WP14'!$A$7:$N$160,14,FALSE),0)+
IFERROR(VLOOKUP(A80,'Centre WR14'!$A$7:$N$160,14,FALSE),0)</f>
        <v>0</v>
      </c>
    </row>
    <row r="81" spans="1:14" hidden="1" outlineLevel="1" x14ac:dyDescent="0.2">
      <c r="A81" s="9" t="s">
        <v>175</v>
      </c>
      <c r="B81" s="1" t="s">
        <v>176</v>
      </c>
      <c r="C81" s="10">
        <f>IFERROR(VLOOKUP(A81,'Centre DW14'!$A$7:$N$160,3,FALSE),0)+
IFERROR(VLOOKUP(A81,'Centre WP14'!$A$7:$N$160,3,FALSE),0)+
IFERROR(VLOOKUP(A81,'Centre WR14'!$A$7:$N$160,3,FALSE),0)</f>
        <v>0</v>
      </c>
      <c r="D81" s="10">
        <f>IFERROR(VLOOKUP(A81,'Centre DW14'!$A$7:$N$160,4,FALSE),0)+
IFERROR(VLOOKUP(A81,'Centre WP14'!$A$7:$N$160,4,FALSE),0)+
IFERROR(VLOOKUP(A81,'Centre WR14'!$A$7:$N$160,4,FALSE),0)</f>
        <v>0</v>
      </c>
      <c r="E81" s="10">
        <f>IFERROR(VLOOKUP(A81,'Centre DW14'!$A$7:$N$160,5,FALSE),0)+
IFERROR(VLOOKUP(A81,'Centre WP14'!$A$7:$N$160,5,FALSE),0)+
IFERROR(VLOOKUP(A81,'Centre WR14'!$A$7:$N$160,5,FALSE),0)</f>
        <v>0</v>
      </c>
      <c r="F81" s="10">
        <f>IFERROR(VLOOKUP(A81,'Centre DW14'!$A$7:$N$160,6,FALSE),0)+
IFERROR(VLOOKUP(A81,'Centre WP14'!$A$7:$N$160,6,FALSE),0)+
IFERROR(VLOOKUP(A81,'Centre WR14'!$A$7:$N$160,6,FALSE),0)</f>
        <v>0</v>
      </c>
      <c r="G81" s="10">
        <f>IFERROR(VLOOKUP(A81,'Centre DW14'!$A$7:$N$160,7,FALSE),0)+
IFERROR(VLOOKUP(A81,'Centre WP14'!$A$7:$N$160,7,FALSE),0)+
IFERROR(VLOOKUP(A81,'Centre WR14'!$A$7:$N$160,7,FALSE),0)</f>
        <v>0</v>
      </c>
      <c r="H81" s="10">
        <f>IFERROR(VLOOKUP(A81,'Centre DW14'!$A$7:$N$160,8,FALSE),0)+
IFERROR(VLOOKUP(A81,'Centre WP14'!$A$7:$N$160,8,FALSE),0)+
IFERROR(VLOOKUP(A81,'Centre WR14'!$A$7:$N$160,8,FALSE),0)</f>
        <v>10.3</v>
      </c>
      <c r="I81" s="10">
        <f>IFERROR(VLOOKUP(A81,'Centre DW14'!$A$7:$N$160,9,FALSE),0)+
IFERROR(VLOOKUP(A81,'Centre WP14'!$A$7:$N$160,9,FALSE),0)+
IFERROR(VLOOKUP(A81,'Centre WR14'!$A$7:$N$160,9,FALSE),0)</f>
        <v>12.8</v>
      </c>
      <c r="J81" s="28">
        <f>IFERROR(VLOOKUP(A81,'Centre DW14'!$A$7:$N$160,10,FALSE),0)+
IFERROR(VLOOKUP(A81,'Centre WP14'!$A$7:$N$160,10,FALSE),0)+
IFERROR(VLOOKUP(A81,'Centre WR14'!$A$7:$N$160,10,FALSE),0)</f>
        <v>10.3</v>
      </c>
      <c r="K81" s="10">
        <f>IFERROR(VLOOKUP(A81,'Centre DW14'!$A$7:$N$160,11,FALSE),0)+
IFERROR(VLOOKUP(A81,'Centre WP14'!$A$7:$N$160,11,FALSE),0)+
IFERROR(VLOOKUP(A81,'Centre WR14'!$A$7:$N$160,11,FALSE),0)</f>
        <v>12.8</v>
      </c>
      <c r="L81" s="10">
        <f>IFERROR(VLOOKUP(A81,'Centre DW14'!$A$7:$N$160,12,FALSE),0)+
IFERROR(VLOOKUP(A81,'Centre WP14'!$A$7:$N$160,12,FALSE),0)+
IFERROR(VLOOKUP(A81,'Centre WR14'!$A$7:$N$160,12,FALSE),0)</f>
        <v>10.3</v>
      </c>
      <c r="M81" s="10">
        <f>IFERROR(VLOOKUP(A81,'Centre DW14'!$A$7:$N$160,13,FALSE),0)+
IFERROR(VLOOKUP(A81,'Centre WP14'!$A$7:$N$160,13,FALSE),0)+
IFERROR(VLOOKUP(A81,'Centre WR14'!$A$7:$N$160,13,FALSE),0)</f>
        <v>12.8</v>
      </c>
      <c r="N81" s="10">
        <f>IFERROR(VLOOKUP(A81,'Centre DW14'!$A$7:$N$160,14,FALSE),0)+
IFERROR(VLOOKUP(A81,'Centre WP14'!$A$7:$N$160,14,FALSE),0)+
IFERROR(VLOOKUP(A81,'Centre WR14'!$A$7:$N$160,14,FALSE),0)</f>
        <v>12.8</v>
      </c>
    </row>
    <row r="82" spans="1:14" hidden="1" outlineLevel="1" x14ac:dyDescent="0.2">
      <c r="A82" s="9" t="s">
        <v>177</v>
      </c>
      <c r="B82" s="1" t="s">
        <v>178</v>
      </c>
      <c r="C82" s="10">
        <f>IFERROR(VLOOKUP(A82,'Centre DW14'!$A$7:$N$160,3,FALSE),0)+
IFERROR(VLOOKUP(A82,'Centre WP14'!$A$7:$N$160,3,FALSE),0)+
IFERROR(VLOOKUP(A82,'Centre WR14'!$A$7:$N$160,3,FALSE),0)</f>
        <v>0</v>
      </c>
      <c r="D82" s="10">
        <f>IFERROR(VLOOKUP(A82,'Centre DW14'!$A$7:$N$160,4,FALSE),0)+
IFERROR(VLOOKUP(A82,'Centre WP14'!$A$7:$N$160,4,FALSE),0)+
IFERROR(VLOOKUP(A82,'Centre WR14'!$A$7:$N$160,4,FALSE),0)</f>
        <v>0</v>
      </c>
      <c r="E82" s="10">
        <f>IFERROR(VLOOKUP(A82,'Centre DW14'!$A$7:$N$160,5,FALSE),0)+
IFERROR(VLOOKUP(A82,'Centre WP14'!$A$7:$N$160,5,FALSE),0)+
IFERROR(VLOOKUP(A82,'Centre WR14'!$A$7:$N$160,5,FALSE),0)</f>
        <v>0</v>
      </c>
      <c r="F82" s="10">
        <f>IFERROR(VLOOKUP(A82,'Centre DW14'!$A$7:$N$160,6,FALSE),0)+
IFERROR(VLOOKUP(A82,'Centre WP14'!$A$7:$N$160,6,FALSE),0)+
IFERROR(VLOOKUP(A82,'Centre WR14'!$A$7:$N$160,6,FALSE),0)</f>
        <v>0</v>
      </c>
      <c r="G82" s="10">
        <f>IFERROR(VLOOKUP(A82,'Centre DW14'!$A$7:$N$160,7,FALSE),0)+
IFERROR(VLOOKUP(A82,'Centre WP14'!$A$7:$N$160,7,FALSE),0)+
IFERROR(VLOOKUP(A82,'Centre WR14'!$A$7:$N$160,7,FALSE),0)</f>
        <v>0</v>
      </c>
      <c r="H82" s="10">
        <f>IFERROR(VLOOKUP(A82,'Centre DW14'!$A$7:$N$160,8,FALSE),0)+
IFERROR(VLOOKUP(A82,'Centre WP14'!$A$7:$N$160,8,FALSE),0)+
IFERROR(VLOOKUP(A82,'Centre WR14'!$A$7:$N$160,8,FALSE),0)</f>
        <v>0.7</v>
      </c>
      <c r="I82" s="10">
        <f>IFERROR(VLOOKUP(A82,'Centre DW14'!$A$7:$N$160,9,FALSE),0)+
IFERROR(VLOOKUP(A82,'Centre WP14'!$A$7:$N$160,9,FALSE),0)+
IFERROR(VLOOKUP(A82,'Centre WR14'!$A$7:$N$160,9,FALSE),0)</f>
        <v>0.8</v>
      </c>
      <c r="J82" s="28">
        <f>IFERROR(VLOOKUP(A82,'Centre DW14'!$A$7:$N$160,10,FALSE),0)+
IFERROR(VLOOKUP(A82,'Centre WP14'!$A$7:$N$160,10,FALSE),0)+
IFERROR(VLOOKUP(A82,'Centre WR14'!$A$7:$N$160,10,FALSE),0)</f>
        <v>0.7</v>
      </c>
      <c r="K82" s="10">
        <f>IFERROR(VLOOKUP(A82,'Centre DW14'!$A$7:$N$160,11,FALSE),0)+
IFERROR(VLOOKUP(A82,'Centre WP14'!$A$7:$N$160,11,FALSE),0)+
IFERROR(VLOOKUP(A82,'Centre WR14'!$A$7:$N$160,11,FALSE),0)</f>
        <v>0.8</v>
      </c>
      <c r="L82" s="10">
        <f>IFERROR(VLOOKUP(A82,'Centre DW14'!$A$7:$N$160,12,FALSE),0)+
IFERROR(VLOOKUP(A82,'Centre WP14'!$A$7:$N$160,12,FALSE),0)+
IFERROR(VLOOKUP(A82,'Centre WR14'!$A$7:$N$160,12,FALSE),0)</f>
        <v>0.7</v>
      </c>
      <c r="M82" s="10">
        <f>IFERROR(VLOOKUP(A82,'Centre DW14'!$A$7:$N$160,13,FALSE),0)+
IFERROR(VLOOKUP(A82,'Centre WP14'!$A$7:$N$160,13,FALSE),0)+
IFERROR(VLOOKUP(A82,'Centre WR14'!$A$7:$N$160,13,FALSE),0)</f>
        <v>0.8</v>
      </c>
      <c r="N82" s="10">
        <f>IFERROR(VLOOKUP(A82,'Centre DW14'!$A$7:$N$160,14,FALSE),0)+
IFERROR(VLOOKUP(A82,'Centre WP14'!$A$7:$N$160,14,FALSE),0)+
IFERROR(VLOOKUP(A82,'Centre WR14'!$A$7:$N$160,14,FALSE),0)</f>
        <v>0.8</v>
      </c>
    </row>
    <row r="83" spans="1:14" hidden="1" outlineLevel="1" x14ac:dyDescent="0.2">
      <c r="A83" s="9" t="s">
        <v>179</v>
      </c>
      <c r="B83" s="1" t="s">
        <v>180</v>
      </c>
      <c r="C83" s="10">
        <f>IFERROR(VLOOKUP(A83,'Centre DW14'!$A$7:$N$160,3,FALSE),0)+
IFERROR(VLOOKUP(A83,'Centre WP14'!$A$7:$N$160,3,FALSE),0)+
IFERROR(VLOOKUP(A83,'Centre WR14'!$A$7:$N$160,3,FALSE),0)</f>
        <v>0</v>
      </c>
      <c r="D83" s="10">
        <f>IFERROR(VLOOKUP(A83,'Centre DW14'!$A$7:$N$160,4,FALSE),0)+
IFERROR(VLOOKUP(A83,'Centre WP14'!$A$7:$N$160,4,FALSE),0)+
IFERROR(VLOOKUP(A83,'Centre WR14'!$A$7:$N$160,4,FALSE),0)</f>
        <v>0</v>
      </c>
      <c r="E83" s="10">
        <f>IFERROR(VLOOKUP(A83,'Centre DW14'!$A$7:$N$160,5,FALSE),0)+
IFERROR(VLOOKUP(A83,'Centre WP14'!$A$7:$N$160,5,FALSE),0)+
IFERROR(VLOOKUP(A83,'Centre WR14'!$A$7:$N$160,5,FALSE),0)</f>
        <v>0</v>
      </c>
      <c r="F83" s="10">
        <f>IFERROR(VLOOKUP(A83,'Centre DW14'!$A$7:$N$160,6,FALSE),0)+
IFERROR(VLOOKUP(A83,'Centre WP14'!$A$7:$N$160,6,FALSE),0)+
IFERROR(VLOOKUP(A83,'Centre WR14'!$A$7:$N$160,6,FALSE),0)</f>
        <v>0</v>
      </c>
      <c r="G83" s="10">
        <f>IFERROR(VLOOKUP(A83,'Centre DW14'!$A$7:$N$160,7,FALSE),0)+
IFERROR(VLOOKUP(A83,'Centre WP14'!$A$7:$N$160,7,FALSE),0)+
IFERROR(VLOOKUP(A83,'Centre WR14'!$A$7:$N$160,7,FALSE),0)</f>
        <v>0</v>
      </c>
      <c r="H83" s="10">
        <f>IFERROR(VLOOKUP(A83,'Centre DW14'!$A$7:$N$160,8,FALSE),0)+
IFERROR(VLOOKUP(A83,'Centre WP14'!$A$7:$N$160,8,FALSE),0)+
IFERROR(VLOOKUP(A83,'Centre WR14'!$A$7:$N$160,8,FALSE),0)</f>
        <v>0</v>
      </c>
      <c r="I83" s="10">
        <f>IFERROR(VLOOKUP(A83,'Centre DW14'!$A$7:$N$160,9,FALSE),0)+
IFERROR(VLOOKUP(A83,'Centre WP14'!$A$7:$N$160,9,FALSE),0)+
IFERROR(VLOOKUP(A83,'Centre WR14'!$A$7:$N$160,9,FALSE),0)</f>
        <v>0</v>
      </c>
      <c r="J83" s="28">
        <f>IFERROR(VLOOKUP(A83,'Centre DW14'!$A$7:$N$160,10,FALSE),0)+
IFERROR(VLOOKUP(A83,'Centre WP14'!$A$7:$N$160,10,FALSE),0)+
IFERROR(VLOOKUP(A83,'Centre WR14'!$A$7:$N$160,10,FALSE),0)</f>
        <v>0</v>
      </c>
      <c r="K83" s="10">
        <f>IFERROR(VLOOKUP(A83,'Centre DW14'!$A$7:$N$160,11,FALSE),0)+
IFERROR(VLOOKUP(A83,'Centre WP14'!$A$7:$N$160,11,FALSE),0)+
IFERROR(VLOOKUP(A83,'Centre WR14'!$A$7:$N$160,11,FALSE),0)</f>
        <v>0</v>
      </c>
      <c r="L83" s="10">
        <f>IFERROR(VLOOKUP(A83,'Centre DW14'!$A$7:$N$160,12,FALSE),0)+
IFERROR(VLOOKUP(A83,'Centre WP14'!$A$7:$N$160,12,FALSE),0)+
IFERROR(VLOOKUP(A83,'Centre WR14'!$A$7:$N$160,12,FALSE),0)</f>
        <v>0</v>
      </c>
      <c r="M83" s="10">
        <f>IFERROR(VLOOKUP(A83,'Centre DW14'!$A$7:$N$160,13,FALSE),0)+
IFERROR(VLOOKUP(A83,'Centre WP14'!$A$7:$N$160,13,FALSE),0)+
IFERROR(VLOOKUP(A83,'Centre WR14'!$A$7:$N$160,13,FALSE),0)</f>
        <v>0</v>
      </c>
      <c r="N83" s="10">
        <f>IFERROR(VLOOKUP(A83,'Centre DW14'!$A$7:$N$160,14,FALSE),0)+
IFERROR(VLOOKUP(A83,'Centre WP14'!$A$7:$N$160,14,FALSE),0)+
IFERROR(VLOOKUP(A83,'Centre WR14'!$A$7:$N$160,14,FALSE),0)</f>
        <v>0</v>
      </c>
    </row>
    <row r="84" spans="1:14" collapsed="1" x14ac:dyDescent="0.2">
      <c r="A84" s="33" t="s">
        <v>200</v>
      </c>
      <c r="B84" s="34" t="s">
        <v>201</v>
      </c>
      <c r="C84" s="44">
        <f t="shared" ref="C84:N84" si="22">SUM(C85:C88)</f>
        <v>0</v>
      </c>
      <c r="D84" s="44">
        <f t="shared" si="22"/>
        <v>0</v>
      </c>
      <c r="E84" s="44">
        <f t="shared" si="22"/>
        <v>0</v>
      </c>
      <c r="F84" s="44">
        <f t="shared" si="22"/>
        <v>1.2</v>
      </c>
      <c r="G84" s="44">
        <f t="shared" si="22"/>
        <v>0.9</v>
      </c>
      <c r="H84" s="44">
        <f t="shared" si="22"/>
        <v>0.9</v>
      </c>
      <c r="I84" s="44">
        <f t="shared" si="22"/>
        <v>1.1000000000000001</v>
      </c>
      <c r="J84" s="44">
        <f t="shared" si="22"/>
        <v>1.2</v>
      </c>
      <c r="K84" s="44">
        <f t="shared" si="22"/>
        <v>1.2</v>
      </c>
      <c r="L84" s="44">
        <f t="shared" si="22"/>
        <v>0.9</v>
      </c>
      <c r="M84" s="44">
        <f t="shared" si="22"/>
        <v>0.9</v>
      </c>
      <c r="N84" s="44">
        <f t="shared" si="22"/>
        <v>1.1000000000000001</v>
      </c>
    </row>
    <row r="85" spans="1:14" hidden="1" outlineLevel="1" x14ac:dyDescent="0.2">
      <c r="A85" s="9" t="s">
        <v>218</v>
      </c>
      <c r="B85" s="1" t="s">
        <v>219</v>
      </c>
      <c r="C85" s="10">
        <f>IFERROR(VLOOKUP(A85,'Centre DW14'!$A$7:$N$160,3,FALSE),0)+
IFERROR(VLOOKUP(A85,'Centre WP14'!$A$7:$N$160,3,FALSE),0)+
IFERROR(VLOOKUP(A85,'Centre WR14'!$A$7:$N$160,3,FALSE),0)</f>
        <v>0</v>
      </c>
      <c r="D85" s="10">
        <f>IFERROR(VLOOKUP(A85,'Centre DW14'!$A$7:$N$160,4,FALSE),0)+
IFERROR(VLOOKUP(A85,'Centre WP14'!$A$7:$N$160,4,FALSE),0)+
IFERROR(VLOOKUP(A85,'Centre WR14'!$A$7:$N$160,4,FALSE),0)</f>
        <v>0</v>
      </c>
      <c r="E85" s="10">
        <f>IFERROR(VLOOKUP(A85,'Centre DW14'!$A$7:$N$160,5,FALSE),0)+
IFERROR(VLOOKUP(A85,'Centre WP14'!$A$7:$N$160,5,FALSE),0)+
IFERROR(VLOOKUP(A85,'Centre WR14'!$A$7:$N$160,5,FALSE),0)</f>
        <v>0</v>
      </c>
      <c r="F85" s="10">
        <f>IFERROR(VLOOKUP(A85,'Centre DW14'!$A$7:$N$160,6,FALSE),0)+
IFERROR(VLOOKUP(A85,'Centre WP14'!$A$7:$N$160,6,FALSE),0)+
IFERROR(VLOOKUP(A85,'Centre WR14'!$A$7:$N$160,6,FALSE),0)</f>
        <v>1.2</v>
      </c>
      <c r="G85" s="10">
        <f>IFERROR(VLOOKUP(A85,'Centre DW14'!$A$7:$N$160,7,FALSE),0)+
IFERROR(VLOOKUP(A85,'Centre WP14'!$A$7:$N$160,7,FALSE),0)+
IFERROR(VLOOKUP(A85,'Centre WR14'!$A$7:$N$160,7,FALSE),0)</f>
        <v>0.9</v>
      </c>
      <c r="H85" s="10">
        <f>IFERROR(VLOOKUP(A85,'Centre DW14'!$A$7:$N$160,8,FALSE),0)+
IFERROR(VLOOKUP(A85,'Centre WP14'!$A$7:$N$160,8,FALSE),0)+
IFERROR(VLOOKUP(A85,'Centre WR14'!$A$7:$N$160,8,FALSE),0)</f>
        <v>0.9</v>
      </c>
      <c r="I85" s="10">
        <f>IFERROR(VLOOKUP(A85,'Centre DW14'!$A$7:$N$160,9,FALSE),0)+
IFERROR(VLOOKUP(A85,'Centre WP14'!$A$7:$N$160,9,FALSE),0)+
IFERROR(VLOOKUP(A85,'Centre WR14'!$A$7:$N$160,9,FALSE),0)</f>
        <v>1.1000000000000001</v>
      </c>
      <c r="J85" s="28">
        <f>IFERROR(VLOOKUP(A85,'Centre DW14'!$A$7:$N$160,10,FALSE),0)+
IFERROR(VLOOKUP(A85,'Centre WP14'!$A$7:$N$160,10,FALSE),0)+
IFERROR(VLOOKUP(A85,'Centre WR14'!$A$7:$N$160,10,FALSE),0)</f>
        <v>1.2</v>
      </c>
      <c r="K85" s="10">
        <f>IFERROR(VLOOKUP(A85,'Centre DW14'!$A$7:$N$160,11,FALSE),0)+
IFERROR(VLOOKUP(A85,'Centre WP14'!$A$7:$N$160,11,FALSE),0)+
IFERROR(VLOOKUP(A85,'Centre WR14'!$A$7:$N$160,11,FALSE),0)</f>
        <v>1.2</v>
      </c>
      <c r="L85" s="10">
        <f>IFERROR(VLOOKUP(A85,'Centre DW14'!$A$7:$N$160,12,FALSE),0)+
IFERROR(VLOOKUP(A85,'Centre WP14'!$A$7:$N$160,12,FALSE),0)+
IFERROR(VLOOKUP(A85,'Centre WR14'!$A$7:$N$160,12,FALSE),0)</f>
        <v>0.9</v>
      </c>
      <c r="M85" s="10">
        <f>IFERROR(VLOOKUP(A85,'Centre DW14'!$A$7:$N$160,13,FALSE),0)+
IFERROR(VLOOKUP(A85,'Centre WP14'!$A$7:$N$160,13,FALSE),0)+
IFERROR(VLOOKUP(A85,'Centre WR14'!$A$7:$N$160,13,FALSE),0)</f>
        <v>0.9</v>
      </c>
      <c r="N85" s="10">
        <f>IFERROR(VLOOKUP(A85,'Centre DW14'!$A$7:$N$160,14,FALSE),0)+
IFERROR(VLOOKUP(A85,'Centre WP14'!$A$7:$N$160,14,FALSE),0)+
IFERROR(VLOOKUP(A85,'Centre WR14'!$A$7:$N$160,14,FALSE),0)</f>
        <v>1.1000000000000001</v>
      </c>
    </row>
    <row r="86" spans="1:14" hidden="1" outlineLevel="1" x14ac:dyDescent="0.2">
      <c r="A86" s="9" t="s">
        <v>220</v>
      </c>
      <c r="B86" s="1" t="s">
        <v>221</v>
      </c>
      <c r="C86" s="10">
        <f>IFERROR(VLOOKUP(A86,'Centre DW14'!$A$7:$N$160,3,FALSE),0)+
IFERROR(VLOOKUP(A86,'Centre WP14'!$A$7:$N$160,3,FALSE),0)+
IFERROR(VLOOKUP(A86,'Centre WR14'!$A$7:$N$160,3,FALSE),0)</f>
        <v>0</v>
      </c>
      <c r="D86" s="10">
        <f>IFERROR(VLOOKUP(A86,'Centre DW14'!$A$7:$N$160,4,FALSE),0)+
IFERROR(VLOOKUP(A86,'Centre WP14'!$A$7:$N$160,4,FALSE),0)+
IFERROR(VLOOKUP(A86,'Centre WR14'!$A$7:$N$160,4,FALSE),0)</f>
        <v>0</v>
      </c>
      <c r="E86" s="10">
        <f>IFERROR(VLOOKUP(A86,'Centre DW14'!$A$7:$N$160,5,FALSE),0)+
IFERROR(VLOOKUP(A86,'Centre WP14'!$A$7:$N$160,5,FALSE),0)+
IFERROR(VLOOKUP(A86,'Centre WR14'!$A$7:$N$160,5,FALSE),0)</f>
        <v>0</v>
      </c>
      <c r="F86" s="10">
        <f>IFERROR(VLOOKUP(A86,'Centre DW14'!$A$7:$N$160,6,FALSE),0)+
IFERROR(VLOOKUP(A86,'Centre WP14'!$A$7:$N$160,6,FALSE),0)+
IFERROR(VLOOKUP(A86,'Centre WR14'!$A$7:$N$160,6,FALSE),0)</f>
        <v>0</v>
      </c>
      <c r="G86" s="10">
        <f>IFERROR(VLOOKUP(A86,'Centre DW14'!$A$7:$N$160,7,FALSE),0)+
IFERROR(VLOOKUP(A86,'Centre WP14'!$A$7:$N$160,7,FALSE),0)+
IFERROR(VLOOKUP(A86,'Centre WR14'!$A$7:$N$160,7,FALSE),0)</f>
        <v>0</v>
      </c>
      <c r="H86" s="10">
        <f>IFERROR(VLOOKUP(A86,'Centre DW14'!$A$7:$N$160,8,FALSE),0)+
IFERROR(VLOOKUP(A86,'Centre WP14'!$A$7:$N$160,8,FALSE),0)+
IFERROR(VLOOKUP(A86,'Centre WR14'!$A$7:$N$160,8,FALSE),0)</f>
        <v>0</v>
      </c>
      <c r="I86" s="10">
        <f>IFERROR(VLOOKUP(A86,'Centre DW14'!$A$7:$N$160,9,FALSE),0)+
IFERROR(VLOOKUP(A86,'Centre WP14'!$A$7:$N$160,9,FALSE),0)+
IFERROR(VLOOKUP(A86,'Centre WR14'!$A$7:$N$160,9,FALSE),0)</f>
        <v>0</v>
      </c>
      <c r="J86" s="28">
        <f>IFERROR(VLOOKUP(A86,'Centre DW14'!$A$7:$N$160,10,FALSE),0)+
IFERROR(VLOOKUP(A86,'Centre WP14'!$A$7:$N$160,10,FALSE),0)+
IFERROR(VLOOKUP(A86,'Centre WR14'!$A$7:$N$160,10,FALSE),0)</f>
        <v>0</v>
      </c>
      <c r="K86" s="10">
        <f>IFERROR(VLOOKUP(A86,'Centre DW14'!$A$7:$N$160,11,FALSE),0)+
IFERROR(VLOOKUP(A86,'Centre WP14'!$A$7:$N$160,11,FALSE),0)+
IFERROR(VLOOKUP(A86,'Centre WR14'!$A$7:$N$160,11,FALSE),0)</f>
        <v>0</v>
      </c>
      <c r="L86" s="10">
        <f>IFERROR(VLOOKUP(A86,'Centre DW14'!$A$7:$N$160,12,FALSE),0)+
IFERROR(VLOOKUP(A86,'Centre WP14'!$A$7:$N$160,12,FALSE),0)+
IFERROR(VLOOKUP(A86,'Centre WR14'!$A$7:$N$160,12,FALSE),0)</f>
        <v>0</v>
      </c>
      <c r="M86" s="10">
        <f>IFERROR(VLOOKUP(A86,'Centre DW14'!$A$7:$N$160,13,FALSE),0)+
IFERROR(VLOOKUP(A86,'Centre WP14'!$A$7:$N$160,13,FALSE),0)+
IFERROR(VLOOKUP(A86,'Centre WR14'!$A$7:$N$160,13,FALSE),0)</f>
        <v>0</v>
      </c>
      <c r="N86" s="10">
        <f>IFERROR(VLOOKUP(A86,'Centre DW14'!$A$7:$N$160,14,FALSE),0)+
IFERROR(VLOOKUP(A86,'Centre WP14'!$A$7:$N$160,14,FALSE),0)+
IFERROR(VLOOKUP(A86,'Centre WR14'!$A$7:$N$160,14,FALSE),0)</f>
        <v>0</v>
      </c>
    </row>
    <row r="87" spans="1:14" hidden="1" outlineLevel="1" x14ac:dyDescent="0.2">
      <c r="A87" s="9" t="s">
        <v>222</v>
      </c>
      <c r="B87" s="1" t="s">
        <v>223</v>
      </c>
      <c r="C87" s="10">
        <f>IFERROR(VLOOKUP(A87,'Centre DW14'!$A$7:$N$160,3,FALSE),0)+
IFERROR(VLOOKUP(A87,'Centre WP14'!$A$7:$N$160,3,FALSE),0)+
IFERROR(VLOOKUP(A87,'Centre WR14'!$A$7:$N$160,3,FALSE),0)</f>
        <v>0</v>
      </c>
      <c r="D87" s="10">
        <f>IFERROR(VLOOKUP(A87,'Centre DW14'!$A$7:$N$160,4,FALSE),0)+
IFERROR(VLOOKUP(A87,'Centre WP14'!$A$7:$N$160,4,FALSE),0)+
IFERROR(VLOOKUP(A87,'Centre WR14'!$A$7:$N$160,4,FALSE),0)</f>
        <v>0</v>
      </c>
      <c r="E87" s="10">
        <f>IFERROR(VLOOKUP(A87,'Centre DW14'!$A$7:$N$160,5,FALSE),0)+
IFERROR(VLOOKUP(A87,'Centre WP14'!$A$7:$N$160,5,FALSE),0)+
IFERROR(VLOOKUP(A87,'Centre WR14'!$A$7:$N$160,5,FALSE),0)</f>
        <v>0</v>
      </c>
      <c r="F87" s="10">
        <f>IFERROR(VLOOKUP(A87,'Centre DW14'!$A$7:$N$160,6,FALSE),0)+
IFERROR(VLOOKUP(A87,'Centre WP14'!$A$7:$N$160,6,FALSE),0)+
IFERROR(VLOOKUP(A87,'Centre WR14'!$A$7:$N$160,6,FALSE),0)</f>
        <v>0</v>
      </c>
      <c r="G87" s="10">
        <f>IFERROR(VLOOKUP(A87,'Centre DW14'!$A$7:$N$160,7,FALSE),0)+
IFERROR(VLOOKUP(A87,'Centre WP14'!$A$7:$N$160,7,FALSE),0)+
IFERROR(VLOOKUP(A87,'Centre WR14'!$A$7:$N$160,7,FALSE),0)</f>
        <v>0</v>
      </c>
      <c r="H87" s="10">
        <f>IFERROR(VLOOKUP(A87,'Centre DW14'!$A$7:$N$160,8,FALSE),0)+
IFERROR(VLOOKUP(A87,'Centre WP14'!$A$7:$N$160,8,FALSE),0)+
IFERROR(VLOOKUP(A87,'Centre WR14'!$A$7:$N$160,8,FALSE),0)</f>
        <v>0</v>
      </c>
      <c r="I87" s="10">
        <f>IFERROR(VLOOKUP(A87,'Centre DW14'!$A$7:$N$160,9,FALSE),0)+
IFERROR(VLOOKUP(A87,'Centre WP14'!$A$7:$N$160,9,FALSE),0)+
IFERROR(VLOOKUP(A87,'Centre WR14'!$A$7:$N$160,9,FALSE),0)</f>
        <v>0</v>
      </c>
      <c r="J87" s="28">
        <f>IFERROR(VLOOKUP(A87,'Centre DW14'!$A$7:$N$160,10,FALSE),0)+
IFERROR(VLOOKUP(A87,'Centre WP14'!$A$7:$N$160,10,FALSE),0)+
IFERROR(VLOOKUP(A87,'Centre WR14'!$A$7:$N$160,10,FALSE),0)</f>
        <v>0</v>
      </c>
      <c r="K87" s="10">
        <f>IFERROR(VLOOKUP(A87,'Centre DW14'!$A$7:$N$160,11,FALSE),0)+
IFERROR(VLOOKUP(A87,'Centre WP14'!$A$7:$N$160,11,FALSE),0)+
IFERROR(VLOOKUP(A87,'Centre WR14'!$A$7:$N$160,11,FALSE),0)</f>
        <v>0</v>
      </c>
      <c r="L87" s="10">
        <f>IFERROR(VLOOKUP(A87,'Centre DW14'!$A$7:$N$160,12,FALSE),0)+
IFERROR(VLOOKUP(A87,'Centre WP14'!$A$7:$N$160,12,FALSE),0)+
IFERROR(VLOOKUP(A87,'Centre WR14'!$A$7:$N$160,12,FALSE),0)</f>
        <v>0</v>
      </c>
      <c r="M87" s="10">
        <f>IFERROR(VLOOKUP(A87,'Centre DW14'!$A$7:$N$160,13,FALSE),0)+
IFERROR(VLOOKUP(A87,'Centre WP14'!$A$7:$N$160,13,FALSE),0)+
IFERROR(VLOOKUP(A87,'Centre WR14'!$A$7:$N$160,13,FALSE),0)</f>
        <v>0</v>
      </c>
      <c r="N87" s="10">
        <f>IFERROR(VLOOKUP(A87,'Centre DW14'!$A$7:$N$160,14,FALSE),0)+
IFERROR(VLOOKUP(A87,'Centre WP14'!$A$7:$N$160,14,FALSE),0)+
IFERROR(VLOOKUP(A87,'Centre WR14'!$A$7:$N$160,14,FALSE),0)</f>
        <v>0</v>
      </c>
    </row>
    <row r="88" spans="1:14" hidden="1" outlineLevel="1" x14ac:dyDescent="0.2">
      <c r="A88" s="9" t="s">
        <v>224</v>
      </c>
      <c r="B88" s="1" t="s">
        <v>225</v>
      </c>
      <c r="C88" s="10">
        <f>IFERROR(VLOOKUP(A88,'Centre DW14'!$A$7:$N$160,3,FALSE),0)+
IFERROR(VLOOKUP(A88,'Centre WP14'!$A$7:$N$160,3,FALSE),0)+
IFERROR(VLOOKUP(A88,'Centre WR14'!$A$7:$N$160,3,FALSE),0)</f>
        <v>0</v>
      </c>
      <c r="D88" s="10">
        <f>IFERROR(VLOOKUP(A88,'Centre DW14'!$A$7:$N$160,4,FALSE),0)+
IFERROR(VLOOKUP(A88,'Centre WP14'!$A$7:$N$160,4,FALSE),0)+
IFERROR(VLOOKUP(A88,'Centre WR14'!$A$7:$N$160,4,FALSE),0)</f>
        <v>0</v>
      </c>
      <c r="E88" s="10">
        <f>IFERROR(VLOOKUP(A88,'Centre DW14'!$A$7:$N$160,5,FALSE),0)+
IFERROR(VLOOKUP(A88,'Centre WP14'!$A$7:$N$160,5,FALSE),0)+
IFERROR(VLOOKUP(A88,'Centre WR14'!$A$7:$N$160,5,FALSE),0)</f>
        <v>0</v>
      </c>
      <c r="F88" s="10">
        <f>IFERROR(VLOOKUP(A88,'Centre DW14'!$A$7:$N$160,6,FALSE),0)+
IFERROR(VLOOKUP(A88,'Centre WP14'!$A$7:$N$160,6,FALSE),0)+
IFERROR(VLOOKUP(A88,'Centre WR14'!$A$7:$N$160,6,FALSE),0)</f>
        <v>0</v>
      </c>
      <c r="G88" s="10">
        <f>IFERROR(VLOOKUP(A88,'Centre DW14'!$A$7:$N$160,7,FALSE),0)+
IFERROR(VLOOKUP(A88,'Centre WP14'!$A$7:$N$160,7,FALSE),0)+
IFERROR(VLOOKUP(A88,'Centre WR14'!$A$7:$N$160,7,FALSE),0)</f>
        <v>0</v>
      </c>
      <c r="H88" s="10">
        <f>IFERROR(VLOOKUP(A88,'Centre DW14'!$A$7:$N$160,8,FALSE),0)+
IFERROR(VLOOKUP(A88,'Centre WP14'!$A$7:$N$160,8,FALSE),0)+
IFERROR(VLOOKUP(A88,'Centre WR14'!$A$7:$N$160,8,FALSE),0)</f>
        <v>0</v>
      </c>
      <c r="I88" s="10">
        <f>IFERROR(VLOOKUP(A88,'Centre DW14'!$A$7:$N$160,9,FALSE),0)+
IFERROR(VLOOKUP(A88,'Centre WP14'!$A$7:$N$160,9,FALSE),0)+
IFERROR(VLOOKUP(A88,'Centre WR14'!$A$7:$N$160,9,FALSE),0)</f>
        <v>0</v>
      </c>
      <c r="J88" s="28">
        <f>IFERROR(VLOOKUP(A88,'Centre DW14'!$A$7:$N$160,10,FALSE),0)+
IFERROR(VLOOKUP(A88,'Centre WP14'!$A$7:$N$160,10,FALSE),0)+
IFERROR(VLOOKUP(A88,'Centre WR14'!$A$7:$N$160,10,FALSE),0)</f>
        <v>0</v>
      </c>
      <c r="K88" s="10">
        <f>IFERROR(VLOOKUP(A88,'Centre DW14'!$A$7:$N$160,11,FALSE),0)+
IFERROR(VLOOKUP(A88,'Centre WP14'!$A$7:$N$160,11,FALSE),0)+
IFERROR(VLOOKUP(A88,'Centre WR14'!$A$7:$N$160,11,FALSE),0)</f>
        <v>0</v>
      </c>
      <c r="L88" s="10">
        <f>IFERROR(VLOOKUP(A88,'Centre DW14'!$A$7:$N$160,12,FALSE),0)+
IFERROR(VLOOKUP(A88,'Centre WP14'!$A$7:$N$160,12,FALSE),0)+
IFERROR(VLOOKUP(A88,'Centre WR14'!$A$7:$N$160,12,FALSE),0)</f>
        <v>0</v>
      </c>
      <c r="M88" s="10">
        <f>IFERROR(VLOOKUP(A88,'Centre DW14'!$A$7:$N$160,13,FALSE),0)+
IFERROR(VLOOKUP(A88,'Centre WP14'!$A$7:$N$160,13,FALSE),0)+
IFERROR(VLOOKUP(A88,'Centre WR14'!$A$7:$N$160,13,FALSE),0)</f>
        <v>0</v>
      </c>
      <c r="N88" s="10">
        <f>IFERROR(VLOOKUP(A88,'Centre DW14'!$A$7:$N$160,14,FALSE),0)+
IFERROR(VLOOKUP(A88,'Centre WP14'!$A$7:$N$160,14,FALSE),0)+
IFERROR(VLOOKUP(A88,'Centre WR14'!$A$7:$N$160,14,FALSE),0)</f>
        <v>0</v>
      </c>
    </row>
    <row r="89" spans="1:14" collapsed="1" x14ac:dyDescent="0.2">
      <c r="A89" s="33" t="s">
        <v>226</v>
      </c>
      <c r="B89" s="34" t="s">
        <v>227</v>
      </c>
      <c r="C89" s="44">
        <f>IFERROR(VLOOKUP(A89,'Centre DW14'!$A$7:$N$160,3,FALSE),0)+
IFERROR(VLOOKUP(A89,'Centre WP14'!$A$7:$N$160,3,FALSE),0)+
IFERROR(VLOOKUP(A89,'Centre WR14'!$A$7:$N$160,3,FALSE),0)</f>
        <v>0</v>
      </c>
      <c r="D89" s="44">
        <f>IFERROR(VLOOKUP(A89,'Centre DW14'!$A$7:$N$160,4,FALSE),0)+
IFERROR(VLOOKUP(A89,'Centre WP14'!$A$7:$N$160,4,FALSE),0)+
IFERROR(VLOOKUP(A89,'Centre WR14'!$A$7:$N$160,4,FALSE),0)</f>
        <v>0</v>
      </c>
      <c r="E89" s="44">
        <f>IFERROR(VLOOKUP(A89,'Centre DW14'!$A$7:$N$160,5,FALSE),0)+
IFERROR(VLOOKUP(A89,'Centre WP14'!$A$7:$N$160,5,FALSE),0)+
IFERROR(VLOOKUP(A89,'Centre WR14'!$A$7:$N$160,5,FALSE),0)</f>
        <v>0</v>
      </c>
      <c r="F89" s="44">
        <f>IFERROR(VLOOKUP(A89,'Centre DW14'!$A$7:$N$160,6,FALSE),0)+
IFERROR(VLOOKUP(A89,'Centre WP14'!$A$7:$N$160,6,FALSE),0)+
IFERROR(VLOOKUP(A89,'Centre WR14'!$A$7:$N$160,6,FALSE),0)</f>
        <v>0</v>
      </c>
      <c r="G89" s="44">
        <f>IFERROR(VLOOKUP(A89,'Centre DW14'!$A$7:$N$160,7,FALSE),0)+
IFERROR(VLOOKUP(A89,'Centre WP14'!$A$7:$N$160,7,FALSE),0)+
IFERROR(VLOOKUP(A89,'Centre WR14'!$A$7:$N$160,7,FALSE),0)</f>
        <v>0</v>
      </c>
      <c r="H89" s="44">
        <f>IFERROR(VLOOKUP(A89,'Centre DW14'!$A$7:$N$160,8,FALSE),0)+
IFERROR(VLOOKUP(A89,'Centre WP14'!$A$7:$N$160,8,FALSE),0)+
IFERROR(VLOOKUP(A89,'Centre WR14'!$A$7:$N$160,8,FALSE),0)</f>
        <v>0</v>
      </c>
      <c r="I89" s="44">
        <f>IFERROR(VLOOKUP(A89,'Centre DW14'!$A$7:$N$160,9,FALSE),0)+
IFERROR(VLOOKUP(A89,'Centre WP14'!$A$7:$N$160,9,FALSE),0)+
IFERROR(VLOOKUP(A89,'Centre WR14'!$A$7:$N$160,9,FALSE),0)</f>
        <v>0</v>
      </c>
      <c r="J89" s="44">
        <f>IFERROR(VLOOKUP(A89,'Centre DW14'!$A$7:$N$160,10,FALSE),0)+
IFERROR(VLOOKUP(A89,'Centre WP14'!$A$7:$N$160,10,FALSE),0)+
IFERROR(VLOOKUP(A89,'Centre WR14'!$A$7:$N$160,10,FALSE),0)</f>
        <v>0</v>
      </c>
      <c r="K89" s="44">
        <f>IFERROR(VLOOKUP(A89,'Centre DW14'!$A$7:$N$160,11,FALSE),0)+
IFERROR(VLOOKUP(A89,'Centre WP14'!$A$7:$N$160,11,FALSE),0)+
IFERROR(VLOOKUP(A89,'Centre WR14'!$A$7:$N$160,11,FALSE),0)</f>
        <v>0</v>
      </c>
      <c r="L89" s="44">
        <f>IFERROR(VLOOKUP(A89,'Centre DW14'!$A$7:$N$160,12,FALSE),0)+
IFERROR(VLOOKUP(A89,'Centre WP14'!$A$7:$N$160,12,FALSE),0)+
IFERROR(VLOOKUP(A89,'Centre WR14'!$A$7:$N$160,12,FALSE),0)</f>
        <v>0</v>
      </c>
      <c r="M89" s="44">
        <f>IFERROR(VLOOKUP(A89,'Centre DW14'!$A$7:$N$160,13,FALSE),0)+
IFERROR(VLOOKUP(A89,'Centre WP14'!$A$7:$N$160,13,FALSE),0)+
IFERROR(VLOOKUP(A89,'Centre WR14'!$A$7:$N$160,13,FALSE),0)</f>
        <v>0</v>
      </c>
      <c r="N89" s="44">
        <f>IFERROR(VLOOKUP(A89,'Centre DW14'!$A$7:$N$160,14,FALSE),0)+
IFERROR(VLOOKUP(A89,'Centre WP14'!$A$7:$N$160,14,FALSE),0)+
IFERROR(VLOOKUP(A89,'Centre WR14'!$A$7:$N$160,14,FALSE),0)</f>
        <v>0</v>
      </c>
    </row>
    <row r="90" spans="1:14" x14ac:dyDescent="0.2">
      <c r="A90" s="33" t="s">
        <v>228</v>
      </c>
      <c r="B90" s="34" t="s">
        <v>229</v>
      </c>
      <c r="C90" s="44">
        <f>IFERROR(VLOOKUP(A90,'Centre DW14'!$A$7:$N$160,3,FALSE),0)+
IFERROR(VLOOKUP(A90,'Centre WP14'!$A$7:$N$160,3,FALSE),0)+
IFERROR(VLOOKUP(A90,'Centre WR14'!$A$7:$N$160,3,FALSE),0)</f>
        <v>0</v>
      </c>
      <c r="D90" s="44">
        <f>IFERROR(VLOOKUP(A90,'Centre DW14'!$A$7:$N$160,4,FALSE),0)+
IFERROR(VLOOKUP(A90,'Centre WP14'!$A$7:$N$160,4,FALSE),0)+
IFERROR(VLOOKUP(A90,'Centre WR14'!$A$7:$N$160,4,FALSE),0)</f>
        <v>0</v>
      </c>
      <c r="E90" s="44">
        <f>IFERROR(VLOOKUP(A90,'Centre DW14'!$A$7:$N$160,5,FALSE),0)+
IFERROR(VLOOKUP(A90,'Centre WP14'!$A$7:$N$160,5,FALSE),0)+
IFERROR(VLOOKUP(A90,'Centre WR14'!$A$7:$N$160,5,FALSE),0)</f>
        <v>0</v>
      </c>
      <c r="F90" s="44">
        <f>IFERROR(VLOOKUP(A90,'Centre DW14'!$A$7:$N$160,6,FALSE),0)+
IFERROR(VLOOKUP(A90,'Centre WP14'!$A$7:$N$160,6,FALSE),0)+
IFERROR(VLOOKUP(A90,'Centre WR14'!$A$7:$N$160,6,FALSE),0)</f>
        <v>0</v>
      </c>
      <c r="G90" s="44">
        <f>IFERROR(VLOOKUP(A90,'Centre DW14'!$A$7:$N$160,7,FALSE),0)+
IFERROR(VLOOKUP(A90,'Centre WP14'!$A$7:$N$160,7,FALSE),0)+
IFERROR(VLOOKUP(A90,'Centre WR14'!$A$7:$N$160,7,FALSE),0)</f>
        <v>0</v>
      </c>
      <c r="H90" s="44">
        <f>IFERROR(VLOOKUP(A90,'Centre DW14'!$A$7:$N$160,8,FALSE),0)+
IFERROR(VLOOKUP(A90,'Centre WP14'!$A$7:$N$160,8,FALSE),0)+
IFERROR(VLOOKUP(A90,'Centre WR14'!$A$7:$N$160,8,FALSE),0)</f>
        <v>0</v>
      </c>
      <c r="I90" s="44">
        <f>IFERROR(VLOOKUP(A90,'Centre DW14'!$A$7:$N$160,9,FALSE),0)+
IFERROR(VLOOKUP(A90,'Centre WP14'!$A$7:$N$160,9,FALSE),0)+
IFERROR(VLOOKUP(A90,'Centre WR14'!$A$7:$N$160,9,FALSE),0)</f>
        <v>0</v>
      </c>
      <c r="J90" s="44">
        <f>IFERROR(VLOOKUP(A90,'Centre DW14'!$A$7:$N$160,10,FALSE),0)+
IFERROR(VLOOKUP(A90,'Centre WP14'!$A$7:$N$160,10,FALSE),0)+
IFERROR(VLOOKUP(A90,'Centre WR14'!$A$7:$N$160,10,FALSE),0)</f>
        <v>0</v>
      </c>
      <c r="K90" s="44">
        <f>IFERROR(VLOOKUP(A90,'Centre DW14'!$A$7:$N$160,11,FALSE),0)+
IFERROR(VLOOKUP(A90,'Centre WP14'!$A$7:$N$160,11,FALSE),0)+
IFERROR(VLOOKUP(A90,'Centre WR14'!$A$7:$N$160,11,FALSE),0)</f>
        <v>0</v>
      </c>
      <c r="L90" s="44">
        <f>IFERROR(VLOOKUP(A90,'Centre DW14'!$A$7:$N$160,12,FALSE),0)+
IFERROR(VLOOKUP(A90,'Centre WP14'!$A$7:$N$160,12,FALSE),0)+
IFERROR(VLOOKUP(A90,'Centre WR14'!$A$7:$N$160,12,FALSE),0)</f>
        <v>0</v>
      </c>
      <c r="M90" s="44">
        <f>IFERROR(VLOOKUP(A90,'Centre DW14'!$A$7:$N$160,13,FALSE),0)+
IFERROR(VLOOKUP(A90,'Centre WP14'!$A$7:$N$160,13,FALSE),0)+
IFERROR(VLOOKUP(A90,'Centre WR14'!$A$7:$N$160,13,FALSE),0)</f>
        <v>0</v>
      </c>
      <c r="N90" s="44">
        <f>IFERROR(VLOOKUP(A90,'Centre DW14'!$A$7:$N$160,14,FALSE),0)+
IFERROR(VLOOKUP(A90,'Centre WP14'!$A$7:$N$160,14,FALSE),0)+
IFERROR(VLOOKUP(A90,'Centre WR14'!$A$7:$N$160,14,FALSE),0)</f>
        <v>0</v>
      </c>
    </row>
    <row r="91" spans="1:14" x14ac:dyDescent="0.2">
      <c r="A91" s="33" t="s">
        <v>230</v>
      </c>
      <c r="B91" s="34" t="s">
        <v>231</v>
      </c>
      <c r="C91" s="44">
        <f t="shared" ref="C91:N91" si="23">SUM(C92:C93)</f>
        <v>0</v>
      </c>
      <c r="D91" s="44">
        <f t="shared" si="23"/>
        <v>0</v>
      </c>
      <c r="E91" s="44">
        <f t="shared" si="23"/>
        <v>0</v>
      </c>
      <c r="F91" s="44">
        <f t="shared" si="23"/>
        <v>5.9</v>
      </c>
      <c r="G91" s="44">
        <f t="shared" si="23"/>
        <v>4.3</v>
      </c>
      <c r="H91" s="44">
        <f t="shared" si="23"/>
        <v>4.9000000000000004</v>
      </c>
      <c r="I91" s="44">
        <f t="shared" si="23"/>
        <v>6.2</v>
      </c>
      <c r="J91" s="44">
        <f t="shared" si="23"/>
        <v>5.9</v>
      </c>
      <c r="K91" s="44">
        <f t="shared" si="23"/>
        <v>5.9</v>
      </c>
      <c r="L91" s="44">
        <f t="shared" si="23"/>
        <v>4.3</v>
      </c>
      <c r="M91" s="44">
        <f t="shared" si="23"/>
        <v>4.9000000000000004</v>
      </c>
      <c r="N91" s="44">
        <f t="shared" si="23"/>
        <v>6.2</v>
      </c>
    </row>
    <row r="92" spans="1:14" hidden="1" outlineLevel="1" x14ac:dyDescent="0.2">
      <c r="A92" s="9" t="s">
        <v>232</v>
      </c>
      <c r="B92" s="1" t="s">
        <v>233</v>
      </c>
      <c r="C92" s="10">
        <f>IFERROR(VLOOKUP(A92,'Centre DW14'!$A$7:$N$160,3,FALSE),0)+
IFERROR(VLOOKUP(A92,'Centre WP14'!$A$7:$N$160,3,FALSE),0)+
IFERROR(VLOOKUP(A92,'Centre WR14'!$A$7:$N$160,3,FALSE),0)</f>
        <v>0</v>
      </c>
      <c r="D92" s="10">
        <f>IFERROR(VLOOKUP(A92,'Centre DW14'!$A$7:$N$160,4,FALSE),0)+
IFERROR(VLOOKUP(A92,'Centre WP14'!$A$7:$N$160,4,FALSE),0)+
IFERROR(VLOOKUP(A92,'Centre WR14'!$A$7:$N$160,4,FALSE),0)</f>
        <v>0</v>
      </c>
      <c r="E92" s="10">
        <f>IFERROR(VLOOKUP(A92,'Centre DW14'!$A$7:$N$160,5,FALSE),0)+
IFERROR(VLOOKUP(A92,'Centre WP14'!$A$7:$N$160,5,FALSE),0)+
IFERROR(VLOOKUP(A92,'Centre WR14'!$A$7:$N$160,5,FALSE),0)</f>
        <v>0</v>
      </c>
      <c r="F92" s="10">
        <f>IFERROR(VLOOKUP(A92,'Centre DW14'!$A$7:$N$160,6,FALSE),0)+
IFERROR(VLOOKUP(A92,'Centre WP14'!$A$7:$N$160,6,FALSE),0)+
IFERROR(VLOOKUP(A92,'Centre WR14'!$A$7:$N$160,6,FALSE),0)</f>
        <v>5.9</v>
      </c>
      <c r="G92" s="10">
        <f>IFERROR(VLOOKUP(A92,'Centre DW14'!$A$7:$N$160,7,FALSE),0)+
IFERROR(VLOOKUP(A92,'Centre WP14'!$A$7:$N$160,7,FALSE),0)+
IFERROR(VLOOKUP(A92,'Centre WR14'!$A$7:$N$160,7,FALSE),0)</f>
        <v>4.7</v>
      </c>
      <c r="H92" s="10">
        <f>IFERROR(VLOOKUP(A92,'Centre DW14'!$A$7:$N$160,8,FALSE),0)+
IFERROR(VLOOKUP(A92,'Centre WP14'!$A$7:$N$160,8,FALSE),0)+
IFERROR(VLOOKUP(A92,'Centre WR14'!$A$7:$N$160,8,FALSE),0)</f>
        <v>4.9000000000000004</v>
      </c>
      <c r="I92" s="10">
        <f>IFERROR(VLOOKUP(A92,'Centre DW14'!$A$7:$N$160,9,FALSE),0)+
IFERROR(VLOOKUP(A92,'Centre WP14'!$A$7:$N$160,9,FALSE),0)+
IFERROR(VLOOKUP(A92,'Centre WR14'!$A$7:$N$160,9,FALSE),0)</f>
        <v>6.2</v>
      </c>
      <c r="J92" s="28">
        <f>IFERROR(VLOOKUP(A92,'Centre DW14'!$A$7:$N$160,10,FALSE),0)+
IFERROR(VLOOKUP(A92,'Centre WP14'!$A$7:$N$160,10,FALSE),0)+
IFERROR(VLOOKUP(A92,'Centre WR14'!$A$7:$N$160,10,FALSE),0)</f>
        <v>5.9</v>
      </c>
      <c r="K92" s="10">
        <f>IFERROR(VLOOKUP(A92,'Centre DW14'!$A$7:$N$160,11,FALSE),0)+
IFERROR(VLOOKUP(A92,'Centre WP14'!$A$7:$N$160,11,FALSE),0)+
IFERROR(VLOOKUP(A92,'Centre WR14'!$A$7:$N$160,11,FALSE),0)</f>
        <v>5.9</v>
      </c>
      <c r="L92" s="10">
        <f>IFERROR(VLOOKUP(A92,'Centre DW14'!$A$7:$N$160,12,FALSE),0)+
IFERROR(VLOOKUP(A92,'Centre WP14'!$A$7:$N$160,12,FALSE),0)+
IFERROR(VLOOKUP(A92,'Centre WR14'!$A$7:$N$160,12,FALSE),0)</f>
        <v>4.7</v>
      </c>
      <c r="M92" s="10">
        <f>IFERROR(VLOOKUP(A92,'Centre DW14'!$A$7:$N$160,13,FALSE),0)+
IFERROR(VLOOKUP(A92,'Centre WP14'!$A$7:$N$160,13,FALSE),0)+
IFERROR(VLOOKUP(A92,'Centre WR14'!$A$7:$N$160,13,FALSE),0)</f>
        <v>4.9000000000000004</v>
      </c>
      <c r="N92" s="10">
        <f>IFERROR(VLOOKUP(A92,'Centre DW14'!$A$7:$N$160,14,FALSE),0)+
IFERROR(VLOOKUP(A92,'Centre WP14'!$A$7:$N$160,14,FALSE),0)+
IFERROR(VLOOKUP(A92,'Centre WR14'!$A$7:$N$160,14,FALSE),0)</f>
        <v>6.2</v>
      </c>
    </row>
    <row r="93" spans="1:14" hidden="1" outlineLevel="1" x14ac:dyDescent="0.2">
      <c r="A93" s="9" t="s">
        <v>234</v>
      </c>
      <c r="B93" s="1" t="s">
        <v>235</v>
      </c>
      <c r="C93" s="10">
        <f>IFERROR(VLOOKUP(A93,'Centre DW14'!$A$7:$N$160,3,FALSE),0)+
IFERROR(VLOOKUP(A93,'Centre WP14'!$A$7:$N$160,3,FALSE),0)+
IFERROR(VLOOKUP(A93,'Centre WR14'!$A$7:$N$160,3,FALSE),0)</f>
        <v>0</v>
      </c>
      <c r="D93" s="10">
        <f>IFERROR(VLOOKUP(A93,'Centre DW14'!$A$7:$N$160,4,FALSE),0)+
IFERROR(VLOOKUP(A93,'Centre WP14'!$A$7:$N$160,4,FALSE),0)+
IFERROR(VLOOKUP(A93,'Centre WR14'!$A$7:$N$160,4,FALSE),0)</f>
        <v>0</v>
      </c>
      <c r="E93" s="10">
        <f>IFERROR(VLOOKUP(A93,'Centre DW14'!$A$7:$N$160,5,FALSE),0)+
IFERROR(VLOOKUP(A93,'Centre WP14'!$A$7:$N$160,5,FALSE),0)+
IFERROR(VLOOKUP(A93,'Centre WR14'!$A$7:$N$160,5,FALSE),0)</f>
        <v>0</v>
      </c>
      <c r="F93" s="10">
        <f>IFERROR(VLOOKUP(A93,'Centre DW14'!$A$7:$N$160,6,FALSE),0)+
IFERROR(VLOOKUP(A93,'Centre WP14'!$A$7:$N$160,6,FALSE),0)+
IFERROR(VLOOKUP(A93,'Centre WR14'!$A$7:$N$160,6,FALSE),0)</f>
        <v>0</v>
      </c>
      <c r="G93" s="10">
        <f>IFERROR(VLOOKUP(A93,'Centre DW14'!$A$7:$N$160,7,FALSE),0)+
IFERROR(VLOOKUP(A93,'Centre WP14'!$A$7:$N$160,7,FALSE),0)+
IFERROR(VLOOKUP(A93,'Centre WR14'!$A$7:$N$160,7,FALSE),0)</f>
        <v>-0.4</v>
      </c>
      <c r="H93" s="10">
        <f>IFERROR(VLOOKUP(A93,'Centre DW14'!$A$7:$N$160,8,FALSE),0)+
IFERROR(VLOOKUP(A93,'Centre WP14'!$A$7:$N$160,8,FALSE),0)+
IFERROR(VLOOKUP(A93,'Centre WR14'!$A$7:$N$160,8,FALSE),0)</f>
        <v>0</v>
      </c>
      <c r="I93" s="10">
        <f>IFERROR(VLOOKUP(A93,'Centre DW14'!$A$7:$N$160,9,FALSE),0)+
IFERROR(VLOOKUP(A93,'Centre WP14'!$A$7:$N$160,9,FALSE),0)+
IFERROR(VLOOKUP(A93,'Centre WR14'!$A$7:$N$160,9,FALSE),0)</f>
        <v>0</v>
      </c>
      <c r="J93" s="28">
        <f>IFERROR(VLOOKUP(A93,'Centre DW14'!$A$7:$N$160,10,FALSE),0)+
IFERROR(VLOOKUP(A93,'Centre WP14'!$A$7:$N$160,10,FALSE),0)+
IFERROR(VLOOKUP(A93,'Centre WR14'!$A$7:$N$160,10,FALSE),0)</f>
        <v>0</v>
      </c>
      <c r="K93" s="10">
        <f>IFERROR(VLOOKUP(A93,'Centre DW14'!$A$7:$N$160,11,FALSE),0)+
IFERROR(VLOOKUP(A93,'Centre WP14'!$A$7:$N$160,11,FALSE),0)+
IFERROR(VLOOKUP(A93,'Centre WR14'!$A$7:$N$160,11,FALSE),0)</f>
        <v>0</v>
      </c>
      <c r="L93" s="10">
        <f>IFERROR(VLOOKUP(A93,'Centre DW14'!$A$7:$N$160,12,FALSE),0)+
IFERROR(VLOOKUP(A93,'Centre WP14'!$A$7:$N$160,12,FALSE),0)+
IFERROR(VLOOKUP(A93,'Centre WR14'!$A$7:$N$160,12,FALSE),0)</f>
        <v>-0.4</v>
      </c>
      <c r="M93" s="10">
        <f>IFERROR(VLOOKUP(A93,'Centre DW14'!$A$7:$N$160,13,FALSE),0)+
IFERROR(VLOOKUP(A93,'Centre WP14'!$A$7:$N$160,13,FALSE),0)+
IFERROR(VLOOKUP(A93,'Centre WR14'!$A$7:$N$160,13,FALSE),0)</f>
        <v>0</v>
      </c>
      <c r="N93" s="10">
        <f>IFERROR(VLOOKUP(A93,'Centre DW14'!$A$7:$N$160,14,FALSE),0)+
IFERROR(VLOOKUP(A93,'Centre WP14'!$A$7:$N$160,14,FALSE),0)+
IFERROR(VLOOKUP(A93,'Centre WR14'!$A$7:$N$160,14,FALSE),0)</f>
        <v>0</v>
      </c>
    </row>
    <row r="94" spans="1:14" collapsed="1" x14ac:dyDescent="0.2">
      <c r="A94" s="36"/>
      <c r="B94" s="36" t="s">
        <v>236</v>
      </c>
      <c r="C94" s="45">
        <f t="shared" ref="C94:M94" si="24">+C77+C84+C89+C90+C91</f>
        <v>0</v>
      </c>
      <c r="D94" s="45">
        <f t="shared" si="24"/>
        <v>0</v>
      </c>
      <c r="E94" s="45">
        <f t="shared" si="24"/>
        <v>0</v>
      </c>
      <c r="F94" s="45">
        <f t="shared" si="24"/>
        <v>7.1000000000000005</v>
      </c>
      <c r="G94" s="45">
        <f t="shared" si="24"/>
        <v>5.2</v>
      </c>
      <c r="H94" s="45">
        <f t="shared" si="24"/>
        <v>18.399999999999999</v>
      </c>
      <c r="I94" s="45">
        <f t="shared" si="24"/>
        <v>27.1</v>
      </c>
      <c r="J94" s="45">
        <f t="shared" si="24"/>
        <v>19.7</v>
      </c>
      <c r="K94" s="45">
        <f t="shared" si="24"/>
        <v>26.9</v>
      </c>
      <c r="L94" s="45">
        <f t="shared" si="24"/>
        <v>17.8</v>
      </c>
      <c r="M94" s="45">
        <f t="shared" si="24"/>
        <v>25.6</v>
      </c>
      <c r="N94" s="45">
        <f t="shared" ref="N94" si="25">+N77+N84+N89+N90+N91</f>
        <v>27.1</v>
      </c>
    </row>
    <row r="95" spans="1:14" x14ac:dyDescent="0.2">
      <c r="A95" s="35"/>
      <c r="B95" s="35" t="s">
        <v>237</v>
      </c>
      <c r="C95" s="21">
        <f t="shared" ref="C95:M95" si="26">+C76-C94</f>
        <v>49.9</v>
      </c>
      <c r="D95" s="21">
        <f t="shared" si="26"/>
        <v>66.8</v>
      </c>
      <c r="E95" s="21">
        <f t="shared" si="26"/>
        <v>51.399999999999991</v>
      </c>
      <c r="F95" s="21">
        <f t="shared" si="26"/>
        <v>37.199999999999996</v>
      </c>
      <c r="G95" s="21">
        <f t="shared" si="26"/>
        <v>39.79999999999999</v>
      </c>
      <c r="H95" s="21">
        <f t="shared" si="26"/>
        <v>18.600000000000001</v>
      </c>
      <c r="I95" s="21">
        <f t="shared" si="26"/>
        <v>9.9000000000000057</v>
      </c>
      <c r="J95" s="21">
        <f t="shared" si="26"/>
        <v>15.400000000000002</v>
      </c>
      <c r="K95" s="21">
        <f t="shared" si="26"/>
        <v>7.8000000000000043</v>
      </c>
      <c r="L95" s="21">
        <f t="shared" si="26"/>
        <v>32.599999999999994</v>
      </c>
      <c r="M95" s="21">
        <f t="shared" si="26"/>
        <v>27.300000000000004</v>
      </c>
      <c r="N95" s="21">
        <f t="shared" ref="N95" si="27">+N76-N94</f>
        <v>-3.75</v>
      </c>
    </row>
    <row r="96" spans="1:14" x14ac:dyDescent="0.2">
      <c r="A96" s="33" t="s">
        <v>238</v>
      </c>
      <c r="B96" s="34" t="s">
        <v>239</v>
      </c>
      <c r="C96" s="44">
        <f t="shared" ref="C96:N96" si="28">SUM(C97:C100)</f>
        <v>0.2</v>
      </c>
      <c r="D96" s="44">
        <f t="shared" si="28"/>
        <v>0.6</v>
      </c>
      <c r="E96" s="44">
        <f t="shared" si="28"/>
        <v>0.5</v>
      </c>
      <c r="F96" s="44">
        <f t="shared" si="28"/>
        <v>0.4</v>
      </c>
      <c r="G96" s="44">
        <f t="shared" si="28"/>
        <v>0.30000000000000004</v>
      </c>
      <c r="H96" s="44">
        <f t="shared" si="28"/>
        <v>0.2</v>
      </c>
      <c r="I96" s="44">
        <f t="shared" si="28"/>
        <v>0.5</v>
      </c>
      <c r="J96" s="44">
        <f t="shared" si="28"/>
        <v>0.60000000000000009</v>
      </c>
      <c r="K96" s="44">
        <f t="shared" si="28"/>
        <v>0.5</v>
      </c>
      <c r="L96" s="44">
        <f t="shared" si="28"/>
        <v>0.4</v>
      </c>
      <c r="M96" s="44">
        <f t="shared" si="28"/>
        <v>0.2</v>
      </c>
      <c r="N96" s="44">
        <f t="shared" si="28"/>
        <v>0.4</v>
      </c>
    </row>
    <row r="97" spans="1:14" hidden="1" outlineLevel="1" x14ac:dyDescent="0.2">
      <c r="A97" s="9" t="s">
        <v>240</v>
      </c>
      <c r="B97" s="1" t="s">
        <v>241</v>
      </c>
      <c r="C97" s="10">
        <f>IFERROR(VLOOKUP(A97,'Centre DW14'!$A$7:$N$160,3,FALSE),0)+
IFERROR(VLOOKUP(A97,'Centre WP14'!$A$7:$N$160,3,FALSE),0)+
IFERROR(VLOOKUP(A97,'Centre WR14'!$A$7:$N$160,3,FALSE),0)</f>
        <v>0.2</v>
      </c>
      <c r="D97" s="10">
        <f>IFERROR(VLOOKUP(A97,'Centre DW14'!$A$7:$N$160,4,FALSE),0)+
IFERROR(VLOOKUP(A97,'Centre WP14'!$A$7:$N$160,4,FALSE),0)+
IFERROR(VLOOKUP(A97,'Centre WR14'!$A$7:$N$160,4,FALSE),0)</f>
        <v>0.6</v>
      </c>
      <c r="E97" s="10">
        <f>IFERROR(VLOOKUP(A97,'Centre DW14'!$A$7:$N$160,5,FALSE),0)+
IFERROR(VLOOKUP(A97,'Centre WP14'!$A$7:$N$160,5,FALSE),0)+
IFERROR(VLOOKUP(A97,'Centre WR14'!$A$7:$N$160,5,FALSE),0)</f>
        <v>0.5</v>
      </c>
      <c r="F97" s="10">
        <f>IFERROR(VLOOKUP(A97,'Centre DW14'!$A$7:$N$160,6,FALSE),0)+
IFERROR(VLOOKUP(A97,'Centre WP14'!$A$7:$N$160,6,FALSE),0)+
IFERROR(VLOOKUP(A97,'Centre WR14'!$A$7:$N$160,6,FALSE),0)</f>
        <v>0.4</v>
      </c>
      <c r="G97" s="10">
        <f>IFERROR(VLOOKUP(A97,'Centre DW14'!$A$7:$N$160,7,FALSE),0)+
IFERROR(VLOOKUP(A97,'Centre WP14'!$A$7:$N$160,7,FALSE),0)+
IFERROR(VLOOKUP(A97,'Centre WR14'!$A$7:$N$160,7,FALSE),0)</f>
        <v>0.30000000000000004</v>
      </c>
      <c r="H97" s="10">
        <f>IFERROR(VLOOKUP(A97,'Centre DW14'!$A$7:$N$160,8,FALSE),0)+
IFERROR(VLOOKUP(A97,'Centre WP14'!$A$7:$N$160,8,FALSE),0)+
IFERROR(VLOOKUP(A97,'Centre WR14'!$A$7:$N$160,8,FALSE),0)</f>
        <v>0.2</v>
      </c>
      <c r="I97" s="10">
        <f>IFERROR(VLOOKUP(A97,'Centre DW14'!$A$7:$N$160,9,FALSE),0)+
IFERROR(VLOOKUP(A97,'Centre WP14'!$A$7:$N$160,9,FALSE),0)+
IFERROR(VLOOKUP(A97,'Centre WR14'!$A$7:$N$160,9,FALSE),0)</f>
        <v>0.5</v>
      </c>
      <c r="J97" s="28">
        <f>IFERROR(VLOOKUP(A97,'Centre DW14'!$A$7:$N$160,10,FALSE),0)+
IFERROR(VLOOKUP(A97,'Centre WP14'!$A$7:$N$160,10,FALSE),0)+
IFERROR(VLOOKUP(A97,'Centre WR14'!$A$7:$N$160,10,FALSE),0)</f>
        <v>0.60000000000000009</v>
      </c>
      <c r="K97" s="10">
        <f>IFERROR(VLOOKUP(A97,'Centre DW14'!$A$7:$N$160,11,FALSE),0)+
IFERROR(VLOOKUP(A97,'Centre WP14'!$A$7:$N$160,11,FALSE),0)+
IFERROR(VLOOKUP(A97,'Centre WR14'!$A$7:$N$160,11,FALSE),0)</f>
        <v>0.5</v>
      </c>
      <c r="L97" s="10">
        <f>IFERROR(VLOOKUP(A97,'Centre DW14'!$A$7:$N$160,12,FALSE),0)+
IFERROR(VLOOKUP(A97,'Centre WP14'!$A$7:$N$160,12,FALSE),0)+
IFERROR(VLOOKUP(A97,'Centre WR14'!$A$7:$N$160,12,FALSE),0)</f>
        <v>0.4</v>
      </c>
      <c r="M97" s="10">
        <f>IFERROR(VLOOKUP(A97,'Centre DW14'!$A$7:$N$160,13,FALSE),0)+
IFERROR(VLOOKUP(A97,'Centre WP14'!$A$7:$N$160,13,FALSE),0)+
IFERROR(VLOOKUP(A97,'Centre WR14'!$A$7:$N$160,13,FALSE),0)</f>
        <v>0.2</v>
      </c>
      <c r="N97" s="10">
        <f>IFERROR(VLOOKUP(A97,'Centre DW14'!$A$7:$N$160,14,FALSE),0)+
IFERROR(VLOOKUP(A97,'Centre WP14'!$A$7:$N$160,14,FALSE),0)+
IFERROR(VLOOKUP(A97,'Centre WR14'!$A$7:$N$160,14,FALSE),0)</f>
        <v>0.4</v>
      </c>
    </row>
    <row r="98" spans="1:14" hidden="1" outlineLevel="1" x14ac:dyDescent="0.2">
      <c r="A98" s="9" t="s">
        <v>242</v>
      </c>
      <c r="B98" s="1" t="s">
        <v>243</v>
      </c>
      <c r="C98" s="10">
        <f>IFERROR(VLOOKUP(A98,'Centre DW14'!$A$7:$N$160,3,FALSE),0)+
IFERROR(VLOOKUP(A98,'Centre WP14'!$A$7:$N$160,3,FALSE),0)+
IFERROR(VLOOKUP(A98,'Centre WR14'!$A$7:$N$160,3,FALSE),0)</f>
        <v>0</v>
      </c>
      <c r="D98" s="10">
        <f>IFERROR(VLOOKUP(A98,'Centre DW14'!$A$7:$N$160,4,FALSE),0)+
IFERROR(VLOOKUP(A98,'Centre WP14'!$A$7:$N$160,4,FALSE),0)+
IFERROR(VLOOKUP(A98,'Centre WR14'!$A$7:$N$160,4,FALSE),0)</f>
        <v>0</v>
      </c>
      <c r="E98" s="10">
        <f>IFERROR(VLOOKUP(A98,'Centre DW14'!$A$7:$N$160,5,FALSE),0)+
IFERROR(VLOOKUP(A98,'Centre WP14'!$A$7:$N$160,5,FALSE),0)+
IFERROR(VLOOKUP(A98,'Centre WR14'!$A$7:$N$160,5,FALSE),0)</f>
        <v>0</v>
      </c>
      <c r="F98" s="10">
        <f>IFERROR(VLOOKUP(A98,'Centre DW14'!$A$7:$N$160,6,FALSE),0)+
IFERROR(VLOOKUP(A98,'Centre WP14'!$A$7:$N$160,6,FALSE),0)+
IFERROR(VLOOKUP(A98,'Centre WR14'!$A$7:$N$160,6,FALSE),0)</f>
        <v>0</v>
      </c>
      <c r="G98" s="10">
        <f>IFERROR(VLOOKUP(A98,'Centre DW14'!$A$7:$N$160,7,FALSE),0)+
IFERROR(VLOOKUP(A98,'Centre WP14'!$A$7:$N$160,7,FALSE),0)+
IFERROR(VLOOKUP(A98,'Centre WR14'!$A$7:$N$160,7,FALSE),0)</f>
        <v>0</v>
      </c>
      <c r="H98" s="10">
        <f>IFERROR(VLOOKUP(A98,'Centre DW14'!$A$7:$N$160,8,FALSE),0)+
IFERROR(VLOOKUP(A98,'Centre WP14'!$A$7:$N$160,8,FALSE),0)+
IFERROR(VLOOKUP(A98,'Centre WR14'!$A$7:$N$160,8,FALSE),0)</f>
        <v>0</v>
      </c>
      <c r="I98" s="10">
        <f>IFERROR(VLOOKUP(A98,'Centre DW14'!$A$7:$N$160,9,FALSE),0)+
IFERROR(VLOOKUP(A98,'Centre WP14'!$A$7:$N$160,9,FALSE),0)+
IFERROR(VLOOKUP(A98,'Centre WR14'!$A$7:$N$160,9,FALSE),0)</f>
        <v>0</v>
      </c>
      <c r="J98" s="28">
        <f>IFERROR(VLOOKUP(A98,'Centre DW14'!$A$7:$N$160,10,FALSE),0)+
IFERROR(VLOOKUP(A98,'Centre WP14'!$A$7:$N$160,10,FALSE),0)+
IFERROR(VLOOKUP(A98,'Centre WR14'!$A$7:$N$160,10,FALSE),0)</f>
        <v>0</v>
      </c>
      <c r="K98" s="10">
        <f>IFERROR(VLOOKUP(A98,'Centre DW14'!$A$7:$N$160,11,FALSE),0)+
IFERROR(VLOOKUP(A98,'Centre WP14'!$A$7:$N$160,11,FALSE),0)+
IFERROR(VLOOKUP(A98,'Centre WR14'!$A$7:$N$160,11,FALSE),0)</f>
        <v>0</v>
      </c>
      <c r="L98" s="10">
        <f>IFERROR(VLOOKUP(A98,'Centre DW14'!$A$7:$N$160,12,FALSE),0)+
IFERROR(VLOOKUP(A98,'Centre WP14'!$A$7:$N$160,12,FALSE),0)+
IFERROR(VLOOKUP(A98,'Centre WR14'!$A$7:$N$160,12,FALSE),0)</f>
        <v>0</v>
      </c>
      <c r="M98" s="10">
        <f>IFERROR(VLOOKUP(A98,'Centre DW14'!$A$7:$N$160,13,FALSE),0)+
IFERROR(VLOOKUP(A98,'Centre WP14'!$A$7:$N$160,13,FALSE),0)+
IFERROR(VLOOKUP(A98,'Centre WR14'!$A$7:$N$160,13,FALSE),0)</f>
        <v>0</v>
      </c>
      <c r="N98" s="10">
        <f>IFERROR(VLOOKUP(A98,'Centre DW14'!$A$7:$N$160,14,FALSE),0)+
IFERROR(VLOOKUP(A98,'Centre WP14'!$A$7:$N$160,14,FALSE),0)+
IFERROR(VLOOKUP(A98,'Centre WR14'!$A$7:$N$160,14,FALSE),0)</f>
        <v>0</v>
      </c>
    </row>
    <row r="99" spans="1:14" hidden="1" outlineLevel="1" x14ac:dyDescent="0.2">
      <c r="A99" s="9" t="s">
        <v>359</v>
      </c>
      <c r="B99" s="1" t="s">
        <v>360</v>
      </c>
      <c r="C99" s="10">
        <f>IFERROR(VLOOKUP(A99,'Centre DW14'!$A$7:$N$160,3,FALSE),0)+
IFERROR(VLOOKUP(A99,'Centre WP14'!$A$7:$N$160,3,FALSE),0)+
IFERROR(VLOOKUP(A99,'Centre WR14'!$A$7:$N$160,3,FALSE),0)</f>
        <v>0</v>
      </c>
      <c r="D99" s="10">
        <f>IFERROR(VLOOKUP(A99,'Centre DW14'!$A$7:$N$160,4,FALSE),0)+
IFERROR(VLOOKUP(A99,'Centre WP14'!$A$7:$N$160,4,FALSE),0)+
IFERROR(VLOOKUP(A99,'Centre WR14'!$A$7:$N$160,4,FALSE),0)</f>
        <v>0</v>
      </c>
      <c r="E99" s="10">
        <f>IFERROR(VLOOKUP(A99,'Centre DW14'!$A$7:$N$160,5,FALSE),0)+
IFERROR(VLOOKUP(A99,'Centre WP14'!$A$7:$N$160,5,FALSE),0)+
IFERROR(VLOOKUP(A99,'Centre WR14'!$A$7:$N$160,5,FALSE),0)</f>
        <v>0</v>
      </c>
      <c r="F99" s="10">
        <f>IFERROR(VLOOKUP(A99,'Centre DW14'!$A$7:$N$160,6,FALSE),0)+
IFERROR(VLOOKUP(A99,'Centre WP14'!$A$7:$N$160,6,FALSE),0)+
IFERROR(VLOOKUP(A99,'Centre WR14'!$A$7:$N$160,6,FALSE),0)</f>
        <v>0</v>
      </c>
      <c r="G99" s="10">
        <f>IFERROR(VLOOKUP(A99,'Centre DW14'!$A$7:$N$160,7,FALSE),0)+
IFERROR(VLOOKUP(A99,'Centre WP14'!$A$7:$N$160,7,FALSE),0)+
IFERROR(VLOOKUP(A99,'Centre WR14'!$A$7:$N$160,7,FALSE),0)</f>
        <v>0</v>
      </c>
      <c r="H99" s="10">
        <f>IFERROR(VLOOKUP(A99,'Centre DW14'!$A$7:$N$160,8,FALSE),0)+
IFERROR(VLOOKUP(A99,'Centre WP14'!$A$7:$N$160,8,FALSE),0)+
IFERROR(VLOOKUP(A99,'Centre WR14'!$A$7:$N$160,8,FALSE),0)</f>
        <v>0</v>
      </c>
      <c r="I99" s="10">
        <f>IFERROR(VLOOKUP(A99,'Centre DW14'!$A$7:$N$160,9,FALSE),0)+
IFERROR(VLOOKUP(A99,'Centre WP14'!$A$7:$N$160,9,FALSE),0)+
IFERROR(VLOOKUP(A99,'Centre WR14'!$A$7:$N$160,9,FALSE),0)</f>
        <v>0</v>
      </c>
      <c r="J99" s="28">
        <f>IFERROR(VLOOKUP(A99,'Centre DW14'!$A$7:$N$160,10,FALSE),0)+
IFERROR(VLOOKUP(A99,'Centre WP14'!$A$7:$N$160,10,FALSE),0)+
IFERROR(VLOOKUP(A99,'Centre WR14'!$A$7:$N$160,10,FALSE),0)</f>
        <v>0</v>
      </c>
      <c r="K99" s="10">
        <f>IFERROR(VLOOKUP(A99,'Centre DW14'!$A$7:$N$160,11,FALSE),0)+
IFERROR(VLOOKUP(A99,'Centre WP14'!$A$7:$N$160,11,FALSE),0)+
IFERROR(VLOOKUP(A99,'Centre WR14'!$A$7:$N$160,11,FALSE),0)</f>
        <v>0</v>
      </c>
      <c r="L99" s="10">
        <f>IFERROR(VLOOKUP(A99,'Centre DW14'!$A$7:$N$160,12,FALSE),0)+
IFERROR(VLOOKUP(A99,'Centre WP14'!$A$7:$N$160,12,FALSE),0)+
IFERROR(VLOOKUP(A99,'Centre WR14'!$A$7:$N$160,12,FALSE),0)</f>
        <v>0</v>
      </c>
      <c r="M99" s="10">
        <f>IFERROR(VLOOKUP(A99,'Centre DW14'!$A$7:$N$160,13,FALSE),0)+
IFERROR(VLOOKUP(A99,'Centre WP14'!$A$7:$N$160,13,FALSE),0)+
IFERROR(VLOOKUP(A99,'Centre WR14'!$A$7:$N$160,13,FALSE),0)</f>
        <v>0</v>
      </c>
      <c r="N99" s="10">
        <f>IFERROR(VLOOKUP(A99,'Centre DW14'!$A$7:$N$160,14,FALSE),0)+
IFERROR(VLOOKUP(A99,'Centre WP14'!$A$7:$N$160,14,FALSE),0)+
IFERROR(VLOOKUP(A99,'Centre WR14'!$A$7:$N$160,14,FALSE),0)</f>
        <v>0</v>
      </c>
    </row>
    <row r="100" spans="1:14" hidden="1" outlineLevel="1" x14ac:dyDescent="0.2">
      <c r="A100" s="9" t="s">
        <v>361</v>
      </c>
      <c r="B100" s="1" t="s">
        <v>362</v>
      </c>
      <c r="C100" s="10">
        <f>IFERROR(VLOOKUP(A100,'Centre DW14'!$A$7:$N$160,3,FALSE),0)+
IFERROR(VLOOKUP(A100,'Centre WP14'!$A$7:$N$160,3,FALSE),0)+
IFERROR(VLOOKUP(A100,'Centre WR14'!$A$7:$N$160,3,FALSE),0)</f>
        <v>0</v>
      </c>
      <c r="D100" s="10">
        <f>IFERROR(VLOOKUP(A100,'Centre DW14'!$A$7:$N$160,4,FALSE),0)+
IFERROR(VLOOKUP(A100,'Centre WP14'!$A$7:$N$160,4,FALSE),0)+
IFERROR(VLOOKUP(A100,'Centre WR14'!$A$7:$N$160,4,FALSE),0)</f>
        <v>0</v>
      </c>
      <c r="E100" s="10">
        <f>IFERROR(VLOOKUP(A100,'Centre DW14'!$A$7:$N$160,5,FALSE),0)+
IFERROR(VLOOKUP(A100,'Centre WP14'!$A$7:$N$160,5,FALSE),0)+
IFERROR(VLOOKUP(A100,'Centre WR14'!$A$7:$N$160,5,FALSE),0)</f>
        <v>0</v>
      </c>
      <c r="F100" s="10">
        <f>IFERROR(VLOOKUP(A100,'Centre DW14'!$A$7:$N$160,6,FALSE),0)+
IFERROR(VLOOKUP(A100,'Centre WP14'!$A$7:$N$160,6,FALSE),0)+
IFERROR(VLOOKUP(A100,'Centre WR14'!$A$7:$N$160,6,FALSE),0)</f>
        <v>0</v>
      </c>
      <c r="G100" s="10">
        <f>IFERROR(VLOOKUP(A100,'Centre DW14'!$A$7:$N$160,7,FALSE),0)+
IFERROR(VLOOKUP(A100,'Centre WP14'!$A$7:$N$160,7,FALSE),0)+
IFERROR(VLOOKUP(A100,'Centre WR14'!$A$7:$N$160,7,FALSE),0)</f>
        <v>0</v>
      </c>
      <c r="H100" s="10">
        <f>IFERROR(VLOOKUP(A100,'Centre DW14'!$A$7:$N$160,8,FALSE),0)+
IFERROR(VLOOKUP(A100,'Centre WP14'!$A$7:$N$160,8,FALSE),0)+
IFERROR(VLOOKUP(A100,'Centre WR14'!$A$7:$N$160,8,FALSE),0)</f>
        <v>0</v>
      </c>
      <c r="I100" s="10">
        <f>IFERROR(VLOOKUP(A100,'Centre DW14'!$A$7:$N$160,9,FALSE),0)+
IFERROR(VLOOKUP(A100,'Centre WP14'!$A$7:$N$160,9,FALSE),0)+
IFERROR(VLOOKUP(A100,'Centre WR14'!$A$7:$N$160,9,FALSE),0)</f>
        <v>0</v>
      </c>
      <c r="J100" s="28">
        <f>IFERROR(VLOOKUP(A100,'Centre DW14'!$A$7:$N$160,10,FALSE),0)+
IFERROR(VLOOKUP(A100,'Centre WP14'!$A$7:$N$160,10,FALSE),0)+
IFERROR(VLOOKUP(A100,'Centre WR14'!$A$7:$N$160,10,FALSE),0)</f>
        <v>0</v>
      </c>
      <c r="K100" s="10">
        <f>IFERROR(VLOOKUP(A100,'Centre DW14'!$A$7:$N$160,11,FALSE),0)+
IFERROR(VLOOKUP(A100,'Centre WP14'!$A$7:$N$160,11,FALSE),0)+
IFERROR(VLOOKUP(A100,'Centre WR14'!$A$7:$N$160,11,FALSE),0)</f>
        <v>0</v>
      </c>
      <c r="L100" s="10">
        <f>IFERROR(VLOOKUP(A100,'Centre DW14'!$A$7:$N$160,12,FALSE),0)+
IFERROR(VLOOKUP(A100,'Centre WP14'!$A$7:$N$160,12,FALSE),0)+
IFERROR(VLOOKUP(A100,'Centre WR14'!$A$7:$N$160,12,FALSE),0)</f>
        <v>0</v>
      </c>
      <c r="M100" s="10">
        <f>IFERROR(VLOOKUP(A100,'Centre DW14'!$A$7:$N$160,13,FALSE),0)+
IFERROR(VLOOKUP(A100,'Centre WP14'!$A$7:$N$160,13,FALSE),0)+
IFERROR(VLOOKUP(A100,'Centre WR14'!$A$7:$N$160,13,FALSE),0)</f>
        <v>0</v>
      </c>
      <c r="N100" s="10">
        <f>IFERROR(VLOOKUP(A100,'Centre DW14'!$A$7:$N$160,14,FALSE),0)+
IFERROR(VLOOKUP(A100,'Centre WP14'!$A$7:$N$160,14,FALSE),0)+
IFERROR(VLOOKUP(A100,'Centre WR14'!$A$7:$N$160,14,FALSE),0)</f>
        <v>0</v>
      </c>
    </row>
    <row r="101" spans="1:14" collapsed="1" x14ac:dyDescent="0.2">
      <c r="A101" s="33" t="s">
        <v>244</v>
      </c>
      <c r="B101" s="34" t="s">
        <v>245</v>
      </c>
      <c r="C101" s="44">
        <f>IFERROR(VLOOKUP(A101,'Centre DW14'!$A$7:$N$160,3,FALSE),0)+
IFERROR(VLOOKUP(A101,'Centre WP14'!$A$7:$N$160,3,FALSE),0)+
IFERROR(VLOOKUP(A101,'Centre WR14'!$A$7:$N$160,3,FALSE),0)</f>
        <v>0</v>
      </c>
      <c r="D101" s="44">
        <f>IFERROR(VLOOKUP(A101,'Centre DW14'!$A$7:$N$160,4,FALSE),0)+
IFERROR(VLOOKUP(A101,'Centre WP14'!$A$7:$N$160,4,FALSE),0)+
IFERROR(VLOOKUP(A101,'Centre WR14'!$A$7:$N$160,4,FALSE),0)</f>
        <v>0</v>
      </c>
      <c r="E101" s="44">
        <f>IFERROR(VLOOKUP(A101,'Centre DW14'!$A$7:$N$160,5,FALSE),0)+
IFERROR(VLOOKUP(A101,'Centre WP14'!$A$7:$N$160,5,FALSE),0)+
IFERROR(VLOOKUP(A101,'Centre WR14'!$A$7:$N$160,5,FALSE),0)</f>
        <v>0</v>
      </c>
      <c r="F101" s="44">
        <f>IFERROR(VLOOKUP(A101,'Centre DW14'!$A$7:$N$160,6,FALSE),0)+
IFERROR(VLOOKUP(A101,'Centre WP14'!$A$7:$N$160,6,FALSE),0)+
IFERROR(VLOOKUP(A101,'Centre WR14'!$A$7:$N$160,6,FALSE),0)</f>
        <v>0</v>
      </c>
      <c r="G101" s="44">
        <f>IFERROR(VLOOKUP(A101,'Centre DW14'!$A$7:$N$160,7,FALSE),0)+
IFERROR(VLOOKUP(A101,'Centre WP14'!$A$7:$N$160,7,FALSE),0)+
IFERROR(VLOOKUP(A101,'Centre WR14'!$A$7:$N$160,7,FALSE),0)</f>
        <v>0</v>
      </c>
      <c r="H101" s="44">
        <f>IFERROR(VLOOKUP(A101,'Centre DW14'!$A$7:$N$160,8,FALSE),0)+
IFERROR(VLOOKUP(A101,'Centre WP14'!$A$7:$N$160,8,FALSE),0)+
IFERROR(VLOOKUP(A101,'Centre WR14'!$A$7:$N$160,8,FALSE),0)</f>
        <v>0</v>
      </c>
      <c r="I101" s="44">
        <f>IFERROR(VLOOKUP(A101,'Centre DW14'!$A$7:$N$160,9,FALSE),0)+
IFERROR(VLOOKUP(A101,'Centre WP14'!$A$7:$N$160,9,FALSE),0)+
IFERROR(VLOOKUP(A101,'Centre WR14'!$A$7:$N$160,9,FALSE),0)</f>
        <v>0</v>
      </c>
      <c r="J101" s="44">
        <f>IFERROR(VLOOKUP(A101,'Centre DW14'!$A$7:$N$160,10,FALSE),0)+
IFERROR(VLOOKUP(A101,'Centre WP14'!$A$7:$N$160,10,FALSE),0)+
IFERROR(VLOOKUP(A101,'Centre WR14'!$A$7:$N$160,10,FALSE),0)</f>
        <v>0</v>
      </c>
      <c r="K101" s="44">
        <f>IFERROR(VLOOKUP(A101,'Centre DW14'!$A$7:$N$160,11,FALSE),0)+
IFERROR(VLOOKUP(A101,'Centre WP14'!$A$7:$N$160,11,FALSE),0)+
IFERROR(VLOOKUP(A101,'Centre WR14'!$A$7:$N$160,11,FALSE),0)</f>
        <v>0</v>
      </c>
      <c r="L101" s="44">
        <f>IFERROR(VLOOKUP(A101,'Centre DW14'!$A$7:$N$160,12,FALSE),0)+
IFERROR(VLOOKUP(A101,'Centre WP14'!$A$7:$N$160,12,FALSE),0)+
IFERROR(VLOOKUP(A101,'Centre WR14'!$A$7:$N$160,12,FALSE),0)</f>
        <v>0</v>
      </c>
      <c r="M101" s="44">
        <f>IFERROR(VLOOKUP(A101,'Centre DW14'!$A$7:$N$160,13,FALSE),0)+
IFERROR(VLOOKUP(A101,'Centre WP14'!$A$7:$N$160,13,FALSE),0)+
IFERROR(VLOOKUP(A101,'Centre WR14'!$A$7:$N$160,13,FALSE),0)</f>
        <v>0</v>
      </c>
      <c r="N101" s="44">
        <f>IFERROR(VLOOKUP(A101,'Centre DW14'!$A$7:$N$160,14,FALSE),0)+
IFERROR(VLOOKUP(A101,'Centre WP14'!$A$7:$N$160,14,FALSE),0)+
IFERROR(VLOOKUP(A101,'Centre WR14'!$A$7:$N$160,14,FALSE),0)</f>
        <v>0</v>
      </c>
    </row>
    <row r="102" spans="1:14" x14ac:dyDescent="0.2">
      <c r="A102" s="35"/>
      <c r="B102" s="35" t="s">
        <v>246</v>
      </c>
      <c r="C102" s="21">
        <f t="shared" ref="C102:I102" si="29">+C95-(C96+C101)</f>
        <v>49.699999999999996</v>
      </c>
      <c r="D102" s="21">
        <f t="shared" si="29"/>
        <v>66.2</v>
      </c>
      <c r="E102" s="21">
        <f t="shared" si="29"/>
        <v>50.899999999999991</v>
      </c>
      <c r="F102" s="21">
        <f t="shared" si="29"/>
        <v>36.799999999999997</v>
      </c>
      <c r="G102" s="21">
        <f t="shared" si="29"/>
        <v>39.499999999999993</v>
      </c>
      <c r="H102" s="21">
        <f t="shared" si="29"/>
        <v>18.400000000000002</v>
      </c>
      <c r="I102" s="21">
        <f t="shared" si="29"/>
        <v>9.4000000000000057</v>
      </c>
      <c r="J102" s="21">
        <f>+J95-(J96+J101)</f>
        <v>14.800000000000002</v>
      </c>
      <c r="K102" s="21">
        <f t="shared" ref="K102:N102" si="30">+K95-(K96+K101)</f>
        <v>7.3000000000000043</v>
      </c>
      <c r="L102" s="21">
        <f t="shared" si="30"/>
        <v>32.199999999999996</v>
      </c>
      <c r="M102" s="21">
        <f t="shared" si="30"/>
        <v>27.100000000000005</v>
      </c>
      <c r="N102" s="21">
        <f t="shared" si="30"/>
        <v>-4.1500000000000004</v>
      </c>
    </row>
    <row r="103" spans="1:14" x14ac:dyDescent="0.2">
      <c r="A103" s="9" t="s">
        <v>74</v>
      </c>
      <c r="B103" s="1" t="s">
        <v>74</v>
      </c>
      <c r="C103" s="15" t="s">
        <v>74</v>
      </c>
      <c r="D103" s="15" t="s">
        <v>74</v>
      </c>
      <c r="E103" s="15" t="s">
        <v>74</v>
      </c>
      <c r="F103" s="15" t="s">
        <v>74</v>
      </c>
      <c r="G103" s="15" t="s">
        <v>74</v>
      </c>
      <c r="H103" s="15" t="s">
        <v>74</v>
      </c>
      <c r="I103" s="15" t="s">
        <v>74</v>
      </c>
      <c r="J103" s="15" t="s">
        <v>74</v>
      </c>
      <c r="K103" s="15" t="s">
        <v>74</v>
      </c>
      <c r="L103" s="15" t="s">
        <v>74</v>
      </c>
      <c r="M103" s="15" t="s">
        <v>74</v>
      </c>
      <c r="N103" s="15" t="s">
        <v>74</v>
      </c>
    </row>
    <row r="104" spans="1:14" x14ac:dyDescent="0.2">
      <c r="A104" s="12"/>
      <c r="B104" s="12" t="s">
        <v>247</v>
      </c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</row>
    <row r="105" spans="1:14" x14ac:dyDescent="0.2">
      <c r="A105" s="9" t="s">
        <v>248</v>
      </c>
      <c r="B105" s="1" t="s">
        <v>249</v>
      </c>
      <c r="C105" s="15">
        <v>1</v>
      </c>
      <c r="D105" s="15">
        <v>2</v>
      </c>
      <c r="E105" s="15">
        <v>2</v>
      </c>
      <c r="F105" s="15">
        <v>2</v>
      </c>
      <c r="G105" s="15">
        <v>2</v>
      </c>
      <c r="H105" s="15">
        <v>3</v>
      </c>
      <c r="I105" s="15">
        <v>3</v>
      </c>
      <c r="J105" s="15">
        <v>2</v>
      </c>
      <c r="K105" s="15">
        <v>2</v>
      </c>
      <c r="L105" s="15">
        <v>2</v>
      </c>
      <c r="M105" s="15">
        <v>3</v>
      </c>
      <c r="N105" s="15">
        <v>3</v>
      </c>
    </row>
    <row r="106" spans="1:14" hidden="1" outlineLevel="1" x14ac:dyDescent="0.2">
      <c r="A106" s="9" t="s">
        <v>250</v>
      </c>
      <c r="B106" s="1" t="s">
        <v>251</v>
      </c>
      <c r="C106" s="15">
        <v>1</v>
      </c>
      <c r="D106" s="15">
        <v>2</v>
      </c>
      <c r="E106" s="15">
        <v>2</v>
      </c>
      <c r="F106" s="15">
        <v>2</v>
      </c>
      <c r="G106" s="15">
        <v>2</v>
      </c>
      <c r="H106" s="15">
        <v>3</v>
      </c>
      <c r="I106" s="15">
        <v>3</v>
      </c>
      <c r="J106" s="15">
        <v>2</v>
      </c>
      <c r="K106" s="15">
        <v>2</v>
      </c>
      <c r="L106" s="15">
        <v>2</v>
      </c>
      <c r="M106" s="15">
        <v>3</v>
      </c>
      <c r="N106" s="15">
        <v>3</v>
      </c>
    </row>
    <row r="107" spans="1:14" collapsed="1" x14ac:dyDescent="0.2">
      <c r="A107" s="9" t="s">
        <v>252</v>
      </c>
      <c r="B107" s="1" t="s">
        <v>253</v>
      </c>
      <c r="C107" s="15">
        <v>1</v>
      </c>
      <c r="D107" s="15">
        <v>4</v>
      </c>
      <c r="E107" s="15">
        <v>4</v>
      </c>
      <c r="F107" s="15">
        <v>4.5</v>
      </c>
      <c r="G107" s="15">
        <v>4.4000000000000004</v>
      </c>
      <c r="H107" s="15">
        <v>5.4</v>
      </c>
      <c r="I107" s="15">
        <v>5.4</v>
      </c>
      <c r="J107" s="15">
        <v>4</v>
      </c>
      <c r="K107" s="15">
        <v>4.5</v>
      </c>
      <c r="L107" s="15">
        <v>4.4000000000000004</v>
      </c>
      <c r="M107" s="15">
        <v>5.4</v>
      </c>
      <c r="N107" s="15">
        <v>5.4</v>
      </c>
    </row>
    <row r="108" spans="1:14" hidden="1" outlineLevel="1" x14ac:dyDescent="0.2">
      <c r="A108" s="9" t="s">
        <v>254</v>
      </c>
      <c r="B108" s="1" t="s">
        <v>255</v>
      </c>
      <c r="C108" s="15">
        <v>1</v>
      </c>
      <c r="D108" s="15">
        <v>4</v>
      </c>
      <c r="E108" s="15">
        <v>4</v>
      </c>
      <c r="F108" s="15">
        <v>4.5</v>
      </c>
      <c r="G108" s="15">
        <v>4.4000000000000004</v>
      </c>
      <c r="H108" s="15">
        <v>5.4</v>
      </c>
      <c r="I108" s="15">
        <v>5.4</v>
      </c>
      <c r="J108" s="15">
        <v>4</v>
      </c>
      <c r="K108" s="15">
        <v>4.5</v>
      </c>
      <c r="L108" s="15">
        <v>4.4000000000000004</v>
      </c>
      <c r="M108" s="15">
        <v>5.4</v>
      </c>
      <c r="N108" s="15">
        <v>5.4</v>
      </c>
    </row>
    <row r="109" spans="1:14" collapsed="1" x14ac:dyDescent="0.2">
      <c r="A109" s="9" t="s">
        <v>256</v>
      </c>
      <c r="B109" s="1" t="s">
        <v>257</v>
      </c>
      <c r="C109" s="15">
        <v>0</v>
      </c>
      <c r="D109" s="15">
        <v>0</v>
      </c>
      <c r="E109" s="15">
        <v>0</v>
      </c>
      <c r="F109" s="15">
        <v>0.6</v>
      </c>
      <c r="G109" s="15">
        <v>0.4</v>
      </c>
      <c r="H109" s="15">
        <v>0.4</v>
      </c>
      <c r="I109" s="15">
        <v>0.4</v>
      </c>
      <c r="J109" s="15">
        <v>0</v>
      </c>
      <c r="K109" s="15">
        <v>0.6</v>
      </c>
      <c r="L109" s="15">
        <v>0.4</v>
      </c>
      <c r="M109" s="15">
        <v>0.4</v>
      </c>
      <c r="N109" s="15">
        <v>0.4</v>
      </c>
    </row>
    <row r="110" spans="1:14" hidden="1" outlineLevel="1" x14ac:dyDescent="0.2">
      <c r="A110" s="9" t="s">
        <v>258</v>
      </c>
      <c r="B110" s="1" t="s">
        <v>259</v>
      </c>
      <c r="C110" s="15">
        <v>0</v>
      </c>
      <c r="D110" s="15">
        <v>0</v>
      </c>
      <c r="E110" s="15">
        <v>0</v>
      </c>
      <c r="F110" s="15">
        <v>0.6</v>
      </c>
      <c r="G110" s="15">
        <v>0.4</v>
      </c>
      <c r="H110" s="15">
        <v>0.4</v>
      </c>
      <c r="I110" s="15">
        <v>0.4</v>
      </c>
      <c r="J110" s="15">
        <v>0</v>
      </c>
      <c r="K110" s="15">
        <v>0.6</v>
      </c>
      <c r="L110" s="15">
        <v>0.4</v>
      </c>
      <c r="M110" s="15">
        <v>0.4</v>
      </c>
      <c r="N110" s="15">
        <v>0.4</v>
      </c>
    </row>
    <row r="111" spans="1:14" collapsed="1" x14ac:dyDescent="0.2">
      <c r="A111" s="9" t="s">
        <v>260</v>
      </c>
      <c r="B111" s="1" t="s">
        <v>261</v>
      </c>
      <c r="C111" s="15">
        <v>0</v>
      </c>
      <c r="D111" s="15">
        <v>2</v>
      </c>
      <c r="E111" s="15">
        <v>2</v>
      </c>
      <c r="F111" s="15">
        <v>2</v>
      </c>
      <c r="G111" s="15">
        <v>2</v>
      </c>
      <c r="H111" s="15">
        <v>3</v>
      </c>
      <c r="I111" s="15">
        <v>3</v>
      </c>
      <c r="J111" s="15">
        <v>2</v>
      </c>
      <c r="K111" s="15">
        <v>2</v>
      </c>
      <c r="L111" s="15">
        <v>2</v>
      </c>
      <c r="M111" s="15">
        <v>3</v>
      </c>
      <c r="N111" s="15">
        <v>3</v>
      </c>
    </row>
    <row r="112" spans="1:14" hidden="1" outlineLevel="1" x14ac:dyDescent="0.2">
      <c r="A112" s="9" t="s">
        <v>262</v>
      </c>
      <c r="B112" s="1" t="s">
        <v>263</v>
      </c>
      <c r="C112" s="15">
        <v>0</v>
      </c>
      <c r="D112" s="15">
        <v>2</v>
      </c>
      <c r="E112" s="15">
        <v>2</v>
      </c>
      <c r="F112" s="15">
        <v>2</v>
      </c>
      <c r="G112" s="15">
        <v>2</v>
      </c>
      <c r="H112" s="15">
        <v>3</v>
      </c>
      <c r="I112" s="15">
        <v>3</v>
      </c>
      <c r="J112" s="15">
        <v>2</v>
      </c>
      <c r="K112" s="15">
        <v>2</v>
      </c>
      <c r="L112" s="15">
        <v>2</v>
      </c>
      <c r="M112" s="15">
        <v>3</v>
      </c>
      <c r="N112" s="15">
        <v>3</v>
      </c>
    </row>
    <row r="113" spans="1:14" collapsed="1" x14ac:dyDescent="0.2">
      <c r="A113" s="9" t="s">
        <v>264</v>
      </c>
      <c r="B113" s="1" t="s">
        <v>265</v>
      </c>
      <c r="C113" s="15">
        <v>0</v>
      </c>
      <c r="D113" s="15">
        <v>2</v>
      </c>
      <c r="E113" s="15">
        <v>2</v>
      </c>
      <c r="F113" s="15">
        <v>2</v>
      </c>
      <c r="G113" s="15">
        <v>2</v>
      </c>
      <c r="H113" s="15">
        <v>2</v>
      </c>
      <c r="I113" s="15">
        <v>2</v>
      </c>
      <c r="J113" s="15">
        <v>2</v>
      </c>
      <c r="K113" s="15">
        <v>2</v>
      </c>
      <c r="L113" s="15">
        <v>2</v>
      </c>
      <c r="M113" s="15">
        <v>2</v>
      </c>
      <c r="N113" s="15">
        <v>2</v>
      </c>
    </row>
    <row r="114" spans="1:14" hidden="1" outlineLevel="1" x14ac:dyDescent="0.2">
      <c r="A114" s="9" t="s">
        <v>266</v>
      </c>
      <c r="B114" s="1" t="s">
        <v>267</v>
      </c>
      <c r="C114" s="15">
        <v>0</v>
      </c>
      <c r="D114" s="15">
        <v>2</v>
      </c>
      <c r="E114" s="15">
        <v>2</v>
      </c>
      <c r="F114" s="15">
        <v>2</v>
      </c>
      <c r="G114" s="15">
        <v>2</v>
      </c>
      <c r="H114" s="15">
        <v>2</v>
      </c>
      <c r="I114" s="15">
        <v>2</v>
      </c>
      <c r="J114" s="15">
        <v>2</v>
      </c>
      <c r="K114" s="15">
        <v>2</v>
      </c>
      <c r="L114" s="15">
        <v>2</v>
      </c>
      <c r="M114" s="15">
        <v>2</v>
      </c>
      <c r="N114" s="15">
        <v>2</v>
      </c>
    </row>
    <row r="115" spans="1:14" collapsed="1" x14ac:dyDescent="0.2">
      <c r="A115" s="9" t="s">
        <v>268</v>
      </c>
      <c r="B115" s="1" t="s">
        <v>269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">
      <c r="A116" s="9" t="s">
        <v>270</v>
      </c>
      <c r="B116" s="1" t="s">
        <v>271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">
      <c r="A117" s="9" t="s">
        <v>272</v>
      </c>
      <c r="B117" s="1" t="s">
        <v>273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">
      <c r="A118" s="9" t="s">
        <v>274</v>
      </c>
      <c r="B118" s="1" t="s">
        <v>275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">
      <c r="A119" s="9" t="s">
        <v>276</v>
      </c>
      <c r="B119" s="1" t="s">
        <v>277</v>
      </c>
      <c r="C119" s="15">
        <v>500</v>
      </c>
      <c r="D119" s="15">
        <v>500</v>
      </c>
      <c r="E119" s="15">
        <v>500</v>
      </c>
      <c r="F119" s="15">
        <v>500</v>
      </c>
      <c r="G119" s="15">
        <v>500</v>
      </c>
      <c r="H119" s="15">
        <v>500</v>
      </c>
      <c r="I119" s="15">
        <v>500</v>
      </c>
      <c r="J119" s="15">
        <v>500</v>
      </c>
      <c r="K119" s="15">
        <v>500</v>
      </c>
      <c r="L119" s="15">
        <v>500</v>
      </c>
      <c r="M119" s="15">
        <v>500</v>
      </c>
      <c r="N119" s="15">
        <v>500</v>
      </c>
    </row>
    <row r="120" spans="1:14" hidden="1" outlineLevel="1" x14ac:dyDescent="0.2">
      <c r="A120" s="9" t="s">
        <v>278</v>
      </c>
      <c r="B120" s="1" t="s">
        <v>279</v>
      </c>
      <c r="C120" s="15">
        <v>500</v>
      </c>
      <c r="D120" s="15">
        <v>500</v>
      </c>
      <c r="E120" s="15">
        <v>500</v>
      </c>
      <c r="F120" s="15">
        <v>500</v>
      </c>
      <c r="G120" s="15">
        <v>500</v>
      </c>
      <c r="H120" s="15">
        <v>500</v>
      </c>
      <c r="I120" s="15">
        <v>500</v>
      </c>
      <c r="J120" s="15">
        <v>500</v>
      </c>
      <c r="K120" s="15">
        <v>500</v>
      </c>
      <c r="L120" s="15">
        <v>500</v>
      </c>
      <c r="M120" s="15">
        <v>500</v>
      </c>
      <c r="N120" s="15">
        <v>500</v>
      </c>
    </row>
    <row r="121" spans="1:14" collapsed="1" x14ac:dyDescent="0.2">
      <c r="A121" s="9" t="s">
        <v>280</v>
      </c>
      <c r="B121" s="1" t="s">
        <v>281</v>
      </c>
      <c r="C121" s="15">
        <v>500</v>
      </c>
      <c r="D121" s="15">
        <v>500</v>
      </c>
      <c r="E121" s="15">
        <v>500</v>
      </c>
      <c r="F121" s="15">
        <v>500</v>
      </c>
      <c r="G121" s="15">
        <v>500</v>
      </c>
      <c r="H121" s="15">
        <v>500</v>
      </c>
      <c r="I121" s="15">
        <v>500</v>
      </c>
      <c r="J121" s="15">
        <v>500</v>
      </c>
      <c r="K121" s="15">
        <v>500</v>
      </c>
      <c r="L121" s="15">
        <v>500</v>
      </c>
      <c r="M121" s="15">
        <v>500</v>
      </c>
      <c r="N121" s="15">
        <v>500</v>
      </c>
    </row>
    <row r="122" spans="1:14" hidden="1" outlineLevel="1" x14ac:dyDescent="0.2">
      <c r="A122" s="9" t="s">
        <v>282</v>
      </c>
      <c r="B122" s="1" t="s">
        <v>283</v>
      </c>
      <c r="C122" s="15">
        <v>500</v>
      </c>
      <c r="D122" s="15">
        <v>500</v>
      </c>
      <c r="E122" s="15">
        <v>500</v>
      </c>
      <c r="F122" s="15">
        <v>500</v>
      </c>
      <c r="G122" s="15">
        <v>500</v>
      </c>
      <c r="H122" s="15">
        <v>500</v>
      </c>
      <c r="I122" s="15">
        <v>500</v>
      </c>
      <c r="J122" s="15">
        <v>500</v>
      </c>
      <c r="K122" s="15">
        <v>500</v>
      </c>
      <c r="L122" s="15">
        <v>500</v>
      </c>
      <c r="M122" s="15">
        <v>500</v>
      </c>
      <c r="N122" s="15">
        <v>500</v>
      </c>
    </row>
    <row r="123" spans="1:14" collapsed="1" x14ac:dyDescent="0.2">
      <c r="A123" s="9" t="s">
        <v>284</v>
      </c>
      <c r="B123" s="1" t="s">
        <v>285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">
      <c r="A124" s="9" t="s">
        <v>288</v>
      </c>
      <c r="B124" s="1" t="s">
        <v>289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">
      <c r="A125" s="3"/>
      <c r="B125" s="3" t="s">
        <v>290</v>
      </c>
      <c r="C125" s="17">
        <v>60.3</v>
      </c>
      <c r="D125" s="17">
        <v>18.899999999999999</v>
      </c>
      <c r="E125" s="17">
        <v>15.3</v>
      </c>
      <c r="F125" s="17">
        <v>15.3</v>
      </c>
      <c r="G125" s="17">
        <v>15.2</v>
      </c>
      <c r="H125" s="17">
        <v>14.2</v>
      </c>
      <c r="I125" s="17">
        <v>15.2</v>
      </c>
      <c r="J125" s="17">
        <v>15.3</v>
      </c>
      <c r="K125" s="17">
        <v>15.3</v>
      </c>
      <c r="L125" s="17">
        <v>15.2</v>
      </c>
      <c r="M125" s="17">
        <v>14.2</v>
      </c>
      <c r="N125" s="17">
        <v>15.2</v>
      </c>
    </row>
    <row r="126" spans="1:14" x14ac:dyDescent="0.2">
      <c r="A126" s="3"/>
      <c r="B126" s="3" t="s">
        <v>291</v>
      </c>
      <c r="C126" s="17" t="s">
        <v>292</v>
      </c>
      <c r="D126" s="17" t="s">
        <v>292</v>
      </c>
      <c r="E126" s="17" t="s">
        <v>292</v>
      </c>
      <c r="F126" s="17" t="s">
        <v>292</v>
      </c>
      <c r="G126" s="17" t="s">
        <v>292</v>
      </c>
      <c r="H126" s="17" t="s">
        <v>292</v>
      </c>
      <c r="I126" s="17" t="s">
        <v>292</v>
      </c>
      <c r="J126" s="17" t="s">
        <v>292</v>
      </c>
      <c r="K126" s="17" t="s">
        <v>292</v>
      </c>
      <c r="L126" s="17" t="s">
        <v>292</v>
      </c>
      <c r="M126" s="17" t="s">
        <v>292</v>
      </c>
      <c r="N126" s="17" t="s">
        <v>292</v>
      </c>
    </row>
    <row r="127" spans="1:14" x14ac:dyDescent="0.2">
      <c r="A127" s="3"/>
      <c r="B127" s="3" t="s">
        <v>293</v>
      </c>
      <c r="C127" s="17" t="s">
        <v>292</v>
      </c>
      <c r="D127" s="17" t="s">
        <v>292</v>
      </c>
      <c r="E127" s="17" t="s">
        <v>292</v>
      </c>
      <c r="F127" s="17" t="s">
        <v>292</v>
      </c>
      <c r="G127" s="17" t="s">
        <v>292</v>
      </c>
      <c r="H127" s="17" t="s">
        <v>292</v>
      </c>
      <c r="I127" s="17" t="s">
        <v>292</v>
      </c>
      <c r="J127" s="17" t="s">
        <v>292</v>
      </c>
      <c r="K127" s="17" t="s">
        <v>292</v>
      </c>
      <c r="L127" s="17" t="s">
        <v>292</v>
      </c>
      <c r="M127" s="17" t="s">
        <v>292</v>
      </c>
      <c r="N127" s="17" t="s">
        <v>292</v>
      </c>
    </row>
    <row r="128" spans="1:14" x14ac:dyDescent="0.2">
      <c r="A128" s="3"/>
      <c r="B128" s="3" t="s">
        <v>294</v>
      </c>
      <c r="C128" s="17">
        <v>0</v>
      </c>
      <c r="D128" s="17">
        <v>0</v>
      </c>
      <c r="E128" s="17">
        <v>0</v>
      </c>
      <c r="F128" s="17">
        <v>0</v>
      </c>
      <c r="G128" s="17">
        <v>0</v>
      </c>
      <c r="H128" s="17">
        <v>0</v>
      </c>
      <c r="I128" s="17">
        <v>0</v>
      </c>
      <c r="J128" s="17">
        <v>0</v>
      </c>
      <c r="K128" s="17">
        <v>0</v>
      </c>
      <c r="L128" s="17">
        <v>0</v>
      </c>
      <c r="M128" s="17">
        <v>0</v>
      </c>
      <c r="N128" s="17">
        <v>0</v>
      </c>
    </row>
    <row r="129" spans="1:14" x14ac:dyDescent="0.2">
      <c r="A129" s="12"/>
      <c r="B129" s="12" t="s">
        <v>295</v>
      </c>
      <c r="C129" s="16" t="s">
        <v>292</v>
      </c>
      <c r="D129" s="16" t="s">
        <v>292</v>
      </c>
      <c r="E129" s="16" t="s">
        <v>292</v>
      </c>
      <c r="F129" s="16" t="s">
        <v>292</v>
      </c>
      <c r="G129" s="16" t="s">
        <v>292</v>
      </c>
      <c r="H129" s="16" t="s">
        <v>292</v>
      </c>
      <c r="I129" s="16" t="s">
        <v>292</v>
      </c>
      <c r="J129" s="16" t="s">
        <v>292</v>
      </c>
      <c r="K129" s="16" t="s">
        <v>292</v>
      </c>
      <c r="L129" s="16" t="s">
        <v>292</v>
      </c>
      <c r="M129" s="16" t="s">
        <v>292</v>
      </c>
      <c r="N129" s="16" t="s">
        <v>292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7BD4-C866-4024-84C0-C9A040A0E9A9}">
  <sheetPr codeName="Hoja70">
    <tabColor theme="9" tint="-0.249977111117893"/>
  </sheetPr>
  <dimension ref="A1:N85"/>
  <sheetViews>
    <sheetView zoomScale="55" zoomScaleNormal="55" workbookViewId="0">
      <pane ySplit="6" topLeftCell="A32" activePane="bottomLeft" state="frozen"/>
      <selection activeCell="I54" sqref="I54"/>
      <selection pane="bottomLeft" activeCell="I7" sqref="I7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392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:I7" si="0">SUM(C8:C10)</f>
        <v>18.3</v>
      </c>
      <c r="D7" s="28">
        <f t="shared" si="0"/>
        <v>11.9</v>
      </c>
      <c r="E7" s="28">
        <f t="shared" si="0"/>
        <v>11.5</v>
      </c>
      <c r="F7" s="28">
        <f t="shared" si="0"/>
        <v>19</v>
      </c>
      <c r="G7" s="28">
        <f t="shared" si="0"/>
        <v>16.399999999999999</v>
      </c>
      <c r="H7" s="28">
        <f t="shared" si="0"/>
        <v>10.4</v>
      </c>
      <c r="I7" s="28">
        <f t="shared" si="0"/>
        <v>20.399999999999999</v>
      </c>
      <c r="J7" s="28">
        <f>SUM(J8:J10)</f>
        <v>16</v>
      </c>
      <c r="K7" s="28">
        <f t="shared" ref="K7:N7" si="1">SUM(K8:K10)</f>
        <v>14</v>
      </c>
      <c r="L7" s="28">
        <f t="shared" si="1"/>
        <v>18</v>
      </c>
      <c r="M7" s="28">
        <f t="shared" si="1"/>
        <v>17</v>
      </c>
      <c r="N7" s="28">
        <f t="shared" si="1"/>
        <v>17</v>
      </c>
    </row>
    <row r="8" spans="1:14" hidden="1" outlineLevel="1" x14ac:dyDescent="0.2">
      <c r="A8" s="9" t="s">
        <v>29</v>
      </c>
      <c r="B8" s="1" t="s">
        <v>30</v>
      </c>
      <c r="C8" s="10">
        <v>18.3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10.4</v>
      </c>
      <c r="I9" s="10">
        <v>20.399999999999999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33</v>
      </c>
      <c r="B10" s="1" t="s">
        <v>34</v>
      </c>
      <c r="C10" s="10">
        <v>0</v>
      </c>
      <c r="D10" s="10">
        <v>11.9</v>
      </c>
      <c r="E10" s="10">
        <v>11.5</v>
      </c>
      <c r="F10" s="10">
        <v>19</v>
      </c>
      <c r="G10" s="10">
        <v>16.399999999999999</v>
      </c>
      <c r="H10" s="10">
        <v>0</v>
      </c>
      <c r="I10" s="10">
        <v>0</v>
      </c>
      <c r="J10" s="10">
        <v>16</v>
      </c>
      <c r="K10" s="10">
        <v>14</v>
      </c>
      <c r="L10" s="10">
        <v>18</v>
      </c>
      <c r="M10" s="10">
        <v>17</v>
      </c>
      <c r="N10" s="10">
        <v>17</v>
      </c>
    </row>
    <row r="11" spans="1:14" collapsed="1" x14ac:dyDescent="0.2">
      <c r="A11" s="9" t="s">
        <v>37</v>
      </c>
      <c r="B11" s="1" t="s">
        <v>38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28">
        <v>0</v>
      </c>
      <c r="K11" s="28">
        <v>0</v>
      </c>
      <c r="L11" s="28">
        <v>0</v>
      </c>
      <c r="M11" s="28">
        <v>0</v>
      </c>
      <c r="N11" s="28">
        <v>0</v>
      </c>
    </row>
    <row r="12" spans="1:14" x14ac:dyDescent="0.2">
      <c r="A12" s="9" t="s">
        <v>39</v>
      </c>
      <c r="B12" s="1" t="s">
        <v>40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</row>
    <row r="13" spans="1:14" x14ac:dyDescent="0.2">
      <c r="A13" s="9" t="s">
        <v>41</v>
      </c>
      <c r="B13" s="1" t="s">
        <v>42</v>
      </c>
      <c r="C13" s="28">
        <f t="shared" ref="C13:I13" si="2">+C14</f>
        <v>0</v>
      </c>
      <c r="D13" s="28">
        <f t="shared" si="2"/>
        <v>0</v>
      </c>
      <c r="E13" s="28">
        <f t="shared" si="2"/>
        <v>0</v>
      </c>
      <c r="F13" s="28">
        <f t="shared" si="2"/>
        <v>0</v>
      </c>
      <c r="G13" s="28">
        <f t="shared" si="2"/>
        <v>0</v>
      </c>
      <c r="H13" s="28">
        <f t="shared" si="2"/>
        <v>0</v>
      </c>
      <c r="I13" s="28">
        <f t="shared" si="2"/>
        <v>0</v>
      </c>
      <c r="J13" s="28">
        <f>+J14</f>
        <v>0</v>
      </c>
      <c r="K13" s="28">
        <f t="shared" ref="K13:N13" si="3">+K14</f>
        <v>0</v>
      </c>
      <c r="L13" s="28">
        <f t="shared" si="3"/>
        <v>0</v>
      </c>
      <c r="M13" s="28">
        <f t="shared" si="3"/>
        <v>0</v>
      </c>
      <c r="N13" s="28">
        <f t="shared" si="3"/>
        <v>0</v>
      </c>
    </row>
    <row r="14" spans="1:14" hidden="1" outlineLevel="1" x14ac:dyDescent="0.2">
      <c r="A14" s="9" t="s">
        <v>43</v>
      </c>
      <c r="B14" s="1" t="s">
        <v>44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collapsed="1" x14ac:dyDescent="0.2">
      <c r="A15" s="9" t="s">
        <v>45</v>
      </c>
      <c r="B15" s="1" t="s">
        <v>46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28">
        <v>0</v>
      </c>
      <c r="K15" s="28">
        <v>0</v>
      </c>
      <c r="L15" s="28">
        <v>0</v>
      </c>
      <c r="M15" s="28">
        <v>0</v>
      </c>
      <c r="N15" s="28">
        <v>0</v>
      </c>
    </row>
    <row r="16" spans="1:14" x14ac:dyDescent="0.2">
      <c r="A16" s="12"/>
      <c r="B16" s="12" t="s">
        <v>47</v>
      </c>
      <c r="C16" s="29">
        <f t="shared" ref="C16:I16" si="4">+C7+C11+C12+C13+C15</f>
        <v>18.3</v>
      </c>
      <c r="D16" s="29">
        <f t="shared" si="4"/>
        <v>11.9</v>
      </c>
      <c r="E16" s="29">
        <f t="shared" si="4"/>
        <v>11.5</v>
      </c>
      <c r="F16" s="29">
        <f t="shared" si="4"/>
        <v>19</v>
      </c>
      <c r="G16" s="29">
        <f t="shared" si="4"/>
        <v>16.399999999999999</v>
      </c>
      <c r="H16" s="29">
        <f t="shared" si="4"/>
        <v>10.4</v>
      </c>
      <c r="I16" s="29">
        <f t="shared" si="4"/>
        <v>20.399999999999999</v>
      </c>
      <c r="J16" s="29">
        <f>+J7+J11+J12+J13+J15</f>
        <v>16</v>
      </c>
      <c r="K16" s="29">
        <f t="shared" ref="K16:N16" si="5">+K7+K11+K12+K13+K15</f>
        <v>14</v>
      </c>
      <c r="L16" s="29">
        <f t="shared" si="5"/>
        <v>18</v>
      </c>
      <c r="M16" s="29">
        <f t="shared" si="5"/>
        <v>17</v>
      </c>
      <c r="N16" s="29">
        <f t="shared" si="5"/>
        <v>17</v>
      </c>
    </row>
    <row r="17" spans="1:14" x14ac:dyDescent="0.2">
      <c r="A17" s="9" t="s">
        <v>48</v>
      </c>
      <c r="B17" s="1" t="s">
        <v>49</v>
      </c>
      <c r="C17" s="28">
        <f t="shared" ref="C17:I17" si="6">SUM(C18:C20)</f>
        <v>6</v>
      </c>
      <c r="D17" s="28">
        <f t="shared" si="6"/>
        <v>9.5</v>
      </c>
      <c r="E17" s="28">
        <f t="shared" si="6"/>
        <v>9.5</v>
      </c>
      <c r="F17" s="28">
        <f t="shared" si="6"/>
        <v>5.8</v>
      </c>
      <c r="G17" s="28">
        <f t="shared" si="6"/>
        <v>15.8</v>
      </c>
      <c r="H17" s="28">
        <f t="shared" si="6"/>
        <v>9.3000000000000007</v>
      </c>
      <c r="I17" s="28">
        <f t="shared" si="6"/>
        <v>4</v>
      </c>
      <c r="J17" s="28">
        <f>SUM(J18:J20)</f>
        <v>9.5</v>
      </c>
      <c r="K17" s="28">
        <f t="shared" ref="K17:N17" si="7">SUM(K18:K20)</f>
        <v>5.8</v>
      </c>
      <c r="L17" s="28">
        <f t="shared" si="7"/>
        <v>15.8</v>
      </c>
      <c r="M17" s="28">
        <f t="shared" si="7"/>
        <v>9.3000000000000007</v>
      </c>
      <c r="N17" s="28">
        <f t="shared" si="7"/>
        <v>15.8</v>
      </c>
    </row>
    <row r="18" spans="1:14" hidden="1" outlineLevel="1" x14ac:dyDescent="0.2">
      <c r="A18" s="9" t="s">
        <v>54</v>
      </c>
      <c r="B18" s="1" t="s">
        <v>55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9.3000000000000007</v>
      </c>
      <c r="I18" s="10">
        <v>2.5</v>
      </c>
      <c r="J18" s="10">
        <v>0</v>
      </c>
      <c r="K18" s="10">
        <v>0</v>
      </c>
      <c r="L18" s="10">
        <v>0</v>
      </c>
      <c r="M18" s="10">
        <v>9.3000000000000007</v>
      </c>
      <c r="N18" s="10">
        <v>0</v>
      </c>
    </row>
    <row r="19" spans="1:14" hidden="1" outlineLevel="1" x14ac:dyDescent="0.2">
      <c r="A19" s="9" t="s">
        <v>56</v>
      </c>
      <c r="B19" s="1" t="s">
        <v>51</v>
      </c>
      <c r="C19" s="10">
        <v>0</v>
      </c>
      <c r="D19" s="10">
        <v>9.5</v>
      </c>
      <c r="E19" s="10">
        <v>9.5</v>
      </c>
      <c r="F19" s="10">
        <v>5.8</v>
      </c>
      <c r="G19" s="10">
        <v>15.8</v>
      </c>
      <c r="H19" s="10">
        <v>0</v>
      </c>
      <c r="I19" s="10">
        <v>1.5</v>
      </c>
      <c r="J19" s="10">
        <v>9.5</v>
      </c>
      <c r="K19" s="10">
        <v>5.8</v>
      </c>
      <c r="L19" s="10">
        <v>15.8</v>
      </c>
      <c r="M19" s="10">
        <v>0</v>
      </c>
      <c r="N19" s="10">
        <v>15.8</v>
      </c>
    </row>
    <row r="20" spans="1:14" hidden="1" outlineLevel="1" x14ac:dyDescent="0.2">
      <c r="A20" s="9" t="s">
        <v>57</v>
      </c>
      <c r="B20" s="1" t="s">
        <v>58</v>
      </c>
      <c r="C20" s="10">
        <v>6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</row>
    <row r="21" spans="1:14" collapsed="1" x14ac:dyDescent="0.2">
      <c r="A21" s="9" t="s">
        <v>60</v>
      </c>
      <c r="B21" s="1" t="s">
        <v>61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</row>
    <row r="22" spans="1:14" x14ac:dyDescent="0.2">
      <c r="A22" s="9" t="s">
        <v>62</v>
      </c>
      <c r="B22" s="1" t="s">
        <v>63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28">
        <v>0</v>
      </c>
      <c r="K22" s="28">
        <v>0</v>
      </c>
      <c r="L22" s="28">
        <v>0</v>
      </c>
      <c r="M22" s="28">
        <v>0</v>
      </c>
      <c r="N22" s="28">
        <v>0</v>
      </c>
    </row>
    <row r="23" spans="1:14" x14ac:dyDescent="0.2">
      <c r="A23" s="9" t="s">
        <v>64</v>
      </c>
      <c r="B23" s="1" t="s">
        <v>65</v>
      </c>
      <c r="C23" s="28">
        <f t="shared" ref="C23:I23" si="8">+C24</f>
        <v>4.8</v>
      </c>
      <c r="D23" s="28">
        <f t="shared" si="8"/>
        <v>-2.2999999999999998</v>
      </c>
      <c r="E23" s="28">
        <f t="shared" si="8"/>
        <v>-1.1000000000000001</v>
      </c>
      <c r="F23" s="28">
        <f t="shared" si="8"/>
        <v>9.9</v>
      </c>
      <c r="G23" s="28">
        <f t="shared" si="8"/>
        <v>-6.4</v>
      </c>
      <c r="H23" s="28">
        <f t="shared" si="8"/>
        <v>-5</v>
      </c>
      <c r="I23" s="28">
        <f t="shared" si="8"/>
        <v>0</v>
      </c>
      <c r="J23" s="28">
        <f>+J24</f>
        <v>-1.1000000000000001</v>
      </c>
      <c r="K23" s="28">
        <f t="shared" ref="K23:N23" si="9">+K24</f>
        <v>9.9</v>
      </c>
      <c r="L23" s="28">
        <f t="shared" si="9"/>
        <v>-6.4</v>
      </c>
      <c r="M23" s="28">
        <f t="shared" si="9"/>
        <v>-5</v>
      </c>
      <c r="N23" s="28">
        <f t="shared" si="9"/>
        <v>0</v>
      </c>
    </row>
    <row r="24" spans="1:14" hidden="1" outlineLevel="1" x14ac:dyDescent="0.2">
      <c r="A24" s="9" t="s">
        <v>66</v>
      </c>
      <c r="B24" s="1" t="s">
        <v>67</v>
      </c>
      <c r="C24" s="10">
        <v>4.8</v>
      </c>
      <c r="D24" s="10">
        <v>-2.2999999999999998</v>
      </c>
      <c r="E24" s="10">
        <v>-1.1000000000000001</v>
      </c>
      <c r="F24" s="10">
        <v>9.9</v>
      </c>
      <c r="G24" s="10">
        <v>-6.4</v>
      </c>
      <c r="H24" s="10">
        <v>-5</v>
      </c>
      <c r="I24" s="10">
        <v>0</v>
      </c>
      <c r="J24" s="10">
        <v>-1.1000000000000001</v>
      </c>
      <c r="K24" s="10">
        <v>9.9</v>
      </c>
      <c r="L24" s="10">
        <v>-6.4</v>
      </c>
      <c r="M24" s="10">
        <v>-5</v>
      </c>
      <c r="N24" s="10">
        <v>0</v>
      </c>
    </row>
    <row r="25" spans="1:14" collapsed="1" x14ac:dyDescent="0.2">
      <c r="A25" s="9" t="s">
        <v>68</v>
      </c>
      <c r="B25" s="1" t="s">
        <v>69</v>
      </c>
      <c r="C25" s="28">
        <f t="shared" ref="C25:I25" si="10">+C26</f>
        <v>0</v>
      </c>
      <c r="D25" s="28">
        <f t="shared" si="10"/>
        <v>0</v>
      </c>
      <c r="E25" s="28">
        <f t="shared" si="10"/>
        <v>0</v>
      </c>
      <c r="F25" s="28">
        <f t="shared" si="10"/>
        <v>0</v>
      </c>
      <c r="G25" s="28">
        <f t="shared" si="10"/>
        <v>0</v>
      </c>
      <c r="H25" s="28">
        <f t="shared" si="10"/>
        <v>0</v>
      </c>
      <c r="I25" s="28">
        <f t="shared" si="10"/>
        <v>0</v>
      </c>
      <c r="J25" s="28">
        <f>+J26</f>
        <v>0</v>
      </c>
      <c r="K25" s="28">
        <f t="shared" ref="K25:N25" si="11">+K26</f>
        <v>0</v>
      </c>
      <c r="L25" s="28">
        <f t="shared" si="11"/>
        <v>0</v>
      </c>
      <c r="M25" s="28">
        <f t="shared" si="11"/>
        <v>0</v>
      </c>
      <c r="N25" s="28">
        <f t="shared" si="11"/>
        <v>0</v>
      </c>
    </row>
    <row r="26" spans="1:14" hidden="1" outlineLevel="1" x14ac:dyDescent="0.2">
      <c r="A26" s="9" t="s">
        <v>70</v>
      </c>
      <c r="B26" s="1" t="s">
        <v>71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</row>
    <row r="27" spans="1:14" collapsed="1" x14ac:dyDescent="0.2">
      <c r="A27" s="3"/>
      <c r="B27" s="3" t="s">
        <v>72</v>
      </c>
      <c r="C27" s="30">
        <f t="shared" ref="C27:I27" si="12">+C17+C21+C22+C23+C25</f>
        <v>10.8</v>
      </c>
      <c r="D27" s="30">
        <f t="shared" si="12"/>
        <v>7.2</v>
      </c>
      <c r="E27" s="30">
        <f t="shared" si="12"/>
        <v>8.4</v>
      </c>
      <c r="F27" s="30">
        <f t="shared" si="12"/>
        <v>15.7</v>
      </c>
      <c r="G27" s="30">
        <f t="shared" si="12"/>
        <v>9.4</v>
      </c>
      <c r="H27" s="30">
        <f t="shared" si="12"/>
        <v>4.3000000000000007</v>
      </c>
      <c r="I27" s="30">
        <f t="shared" si="12"/>
        <v>4</v>
      </c>
      <c r="J27" s="30">
        <f>+J17+J21+J22+J23+J25</f>
        <v>8.4</v>
      </c>
      <c r="K27" s="30">
        <f t="shared" ref="K27:N27" si="13">+K17+K21+K22+K23+K25</f>
        <v>15.7</v>
      </c>
      <c r="L27" s="30">
        <f t="shared" si="13"/>
        <v>9.4</v>
      </c>
      <c r="M27" s="30">
        <f t="shared" si="13"/>
        <v>4.3000000000000007</v>
      </c>
      <c r="N27" s="30">
        <f t="shared" si="13"/>
        <v>15.8</v>
      </c>
    </row>
    <row r="28" spans="1:14" x14ac:dyDescent="0.2">
      <c r="A28" s="12"/>
      <c r="B28" s="12" t="s">
        <v>73</v>
      </c>
      <c r="C28" s="29">
        <f t="shared" ref="C28:I28" si="14">+C16-C27</f>
        <v>7.5</v>
      </c>
      <c r="D28" s="29">
        <f t="shared" si="14"/>
        <v>4.7</v>
      </c>
      <c r="E28" s="29">
        <f t="shared" si="14"/>
        <v>3.0999999999999996</v>
      </c>
      <c r="F28" s="29">
        <f t="shared" si="14"/>
        <v>3.3000000000000007</v>
      </c>
      <c r="G28" s="29">
        <f t="shared" si="14"/>
        <v>6.9999999999999982</v>
      </c>
      <c r="H28" s="29">
        <f t="shared" si="14"/>
        <v>6.1</v>
      </c>
      <c r="I28" s="29">
        <f t="shared" si="14"/>
        <v>16.399999999999999</v>
      </c>
      <c r="J28" s="29">
        <f>+J16-J27</f>
        <v>7.6</v>
      </c>
      <c r="K28" s="29">
        <f t="shared" ref="K28:N28" si="15">+K16-K27</f>
        <v>-1.6999999999999993</v>
      </c>
      <c r="L28" s="29">
        <f t="shared" si="15"/>
        <v>8.6</v>
      </c>
      <c r="M28" s="29">
        <f t="shared" si="15"/>
        <v>12.7</v>
      </c>
      <c r="N28" s="29">
        <f t="shared" si="15"/>
        <v>1.1999999999999993</v>
      </c>
    </row>
    <row r="29" spans="1:14" x14ac:dyDescent="0.2">
      <c r="A29" s="9" t="s">
        <v>74</v>
      </c>
      <c r="B29" s="1" t="s">
        <v>74</v>
      </c>
      <c r="C29" s="10" t="s">
        <v>74</v>
      </c>
      <c r="D29" s="10" t="s">
        <v>74</v>
      </c>
      <c r="E29" s="10" t="s">
        <v>74</v>
      </c>
      <c r="F29" s="10" t="s">
        <v>74</v>
      </c>
      <c r="G29" s="18"/>
      <c r="H29" s="10" t="s">
        <v>74</v>
      </c>
      <c r="I29" s="10" t="s">
        <v>74</v>
      </c>
      <c r="J29" s="10" t="s">
        <v>74</v>
      </c>
      <c r="K29" s="10" t="s">
        <v>74</v>
      </c>
      <c r="L29" s="10" t="s">
        <v>74</v>
      </c>
      <c r="M29" s="10" t="s">
        <v>74</v>
      </c>
      <c r="N29" s="10" t="s">
        <v>74</v>
      </c>
    </row>
    <row r="30" spans="1:14" x14ac:dyDescent="0.2">
      <c r="A30" s="9" t="s">
        <v>75</v>
      </c>
      <c r="B30" s="1" t="s">
        <v>76</v>
      </c>
      <c r="C30" s="28">
        <f t="shared" ref="C30:I30" si="16">+C31</f>
        <v>0.1</v>
      </c>
      <c r="D30" s="28">
        <f t="shared" si="16"/>
        <v>0.1</v>
      </c>
      <c r="E30" s="28">
        <f t="shared" si="16"/>
        <v>0.1</v>
      </c>
      <c r="F30" s="28">
        <f t="shared" si="16"/>
        <v>0.1</v>
      </c>
      <c r="G30" s="28">
        <f t="shared" si="16"/>
        <v>0.1</v>
      </c>
      <c r="H30" s="28">
        <f t="shared" si="16"/>
        <v>0.1</v>
      </c>
      <c r="I30" s="28">
        <f t="shared" si="16"/>
        <v>0.1</v>
      </c>
      <c r="J30" s="28">
        <f>+J31</f>
        <v>0.1</v>
      </c>
      <c r="K30" s="28">
        <f t="shared" ref="K30:N30" si="17">+K31</f>
        <v>0.1</v>
      </c>
      <c r="L30" s="28">
        <f t="shared" si="17"/>
        <v>0</v>
      </c>
      <c r="M30" s="28">
        <f t="shared" si="17"/>
        <v>0.1</v>
      </c>
      <c r="N30" s="28">
        <f t="shared" si="17"/>
        <v>0.15</v>
      </c>
    </row>
    <row r="31" spans="1:14" hidden="1" outlineLevel="1" x14ac:dyDescent="0.2">
      <c r="A31" s="9" t="s">
        <v>97</v>
      </c>
      <c r="B31" s="1" t="s">
        <v>98</v>
      </c>
      <c r="C31" s="10">
        <v>0.1</v>
      </c>
      <c r="D31" s="10">
        <v>0.1</v>
      </c>
      <c r="E31" s="10">
        <v>0.1</v>
      </c>
      <c r="F31" s="10">
        <v>0.1</v>
      </c>
      <c r="G31" s="10">
        <v>0.1</v>
      </c>
      <c r="H31" s="10">
        <v>0.1</v>
      </c>
      <c r="I31" s="10">
        <v>0.1</v>
      </c>
      <c r="J31" s="10">
        <v>0.1</v>
      </c>
      <c r="K31" s="10">
        <v>0.1</v>
      </c>
      <c r="L31" s="10">
        <v>0</v>
      </c>
      <c r="M31" s="10">
        <v>0.1</v>
      </c>
      <c r="N31" s="10">
        <v>0.15</v>
      </c>
    </row>
    <row r="32" spans="1:14" collapsed="1" x14ac:dyDescent="0.2">
      <c r="A32" s="9" t="s">
        <v>111</v>
      </c>
      <c r="B32" s="1" t="s">
        <v>112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28">
        <v>0</v>
      </c>
      <c r="K32" s="28">
        <v>0</v>
      </c>
      <c r="L32" s="28">
        <v>0</v>
      </c>
      <c r="M32" s="28">
        <v>0</v>
      </c>
      <c r="N32" s="28">
        <v>0</v>
      </c>
    </row>
    <row r="33" spans="1:14" x14ac:dyDescent="0.2">
      <c r="A33" s="9" t="s">
        <v>119</v>
      </c>
      <c r="B33" s="1" t="s">
        <v>120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28">
        <v>0</v>
      </c>
      <c r="K33" s="28">
        <v>0</v>
      </c>
      <c r="L33" s="28">
        <v>0</v>
      </c>
      <c r="M33" s="28">
        <v>0</v>
      </c>
      <c r="N33" s="28">
        <v>0</v>
      </c>
    </row>
    <row r="34" spans="1:14" x14ac:dyDescent="0.2">
      <c r="A34" s="9" t="s">
        <v>127</v>
      </c>
      <c r="B34" s="1" t="s">
        <v>128</v>
      </c>
      <c r="C34" s="28">
        <f t="shared" ref="C34:I34" si="18">+C35</f>
        <v>0</v>
      </c>
      <c r="D34" s="28">
        <f t="shared" si="18"/>
        <v>0</v>
      </c>
      <c r="E34" s="28">
        <f t="shared" si="18"/>
        <v>0</v>
      </c>
      <c r="F34" s="28">
        <f t="shared" si="18"/>
        <v>0</v>
      </c>
      <c r="G34" s="28">
        <f t="shared" si="18"/>
        <v>0</v>
      </c>
      <c r="H34" s="28">
        <f t="shared" si="18"/>
        <v>0</v>
      </c>
      <c r="I34" s="28">
        <f t="shared" si="18"/>
        <v>0.1</v>
      </c>
      <c r="J34" s="28">
        <f>+J35</f>
        <v>0</v>
      </c>
      <c r="K34" s="28">
        <f t="shared" ref="K34:N34" si="19">+K35</f>
        <v>0</v>
      </c>
      <c r="L34" s="28">
        <f t="shared" si="19"/>
        <v>0</v>
      </c>
      <c r="M34" s="28">
        <f t="shared" si="19"/>
        <v>0</v>
      </c>
      <c r="N34" s="28">
        <f t="shared" si="19"/>
        <v>0</v>
      </c>
    </row>
    <row r="35" spans="1:14" hidden="1" outlineLevel="1" x14ac:dyDescent="0.2">
      <c r="A35" s="9" t="s">
        <v>129</v>
      </c>
      <c r="B35" s="1" t="s">
        <v>130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0.1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</row>
    <row r="36" spans="1:14" collapsed="1" x14ac:dyDescent="0.2">
      <c r="A36" s="9" t="s">
        <v>133</v>
      </c>
      <c r="B36" s="1" t="s">
        <v>134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28">
        <v>0</v>
      </c>
      <c r="K36" s="28">
        <v>0</v>
      </c>
      <c r="L36" s="28">
        <v>0</v>
      </c>
      <c r="M36" s="28">
        <v>0</v>
      </c>
      <c r="N36" s="28">
        <v>0</v>
      </c>
    </row>
    <row r="37" spans="1:14" x14ac:dyDescent="0.2">
      <c r="A37" s="9" t="s">
        <v>137</v>
      </c>
      <c r="B37" s="1" t="s">
        <v>138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28">
        <v>0</v>
      </c>
      <c r="K37" s="28">
        <v>0</v>
      </c>
      <c r="L37" s="28">
        <v>0</v>
      </c>
      <c r="M37" s="28">
        <v>0</v>
      </c>
      <c r="N37" s="28">
        <v>0</v>
      </c>
    </row>
    <row r="38" spans="1:14" x14ac:dyDescent="0.2">
      <c r="A38" s="9" t="s">
        <v>139</v>
      </c>
      <c r="B38" s="1" t="s">
        <v>140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28">
        <v>0</v>
      </c>
      <c r="K38" s="28">
        <v>0</v>
      </c>
      <c r="L38" s="28">
        <v>0</v>
      </c>
      <c r="M38" s="28">
        <v>0</v>
      </c>
      <c r="N38" s="28">
        <v>0</v>
      </c>
    </row>
    <row r="39" spans="1:14" x14ac:dyDescent="0.2">
      <c r="A39" s="9" t="s">
        <v>141</v>
      </c>
      <c r="B39" s="1" t="s">
        <v>142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</row>
    <row r="40" spans="1:14" x14ac:dyDescent="0.2">
      <c r="A40" s="9" t="s">
        <v>143</v>
      </c>
      <c r="B40" s="1" t="s">
        <v>144</v>
      </c>
      <c r="C40" s="28">
        <f t="shared" ref="C40:I40" si="20">+C41</f>
        <v>0</v>
      </c>
      <c r="D40" s="28">
        <f t="shared" si="20"/>
        <v>0</v>
      </c>
      <c r="E40" s="28">
        <f t="shared" si="20"/>
        <v>0</v>
      </c>
      <c r="F40" s="28">
        <f t="shared" si="20"/>
        <v>0</v>
      </c>
      <c r="G40" s="28">
        <f t="shared" si="20"/>
        <v>0</v>
      </c>
      <c r="H40" s="28">
        <f t="shared" si="20"/>
        <v>0</v>
      </c>
      <c r="I40" s="28">
        <f t="shared" si="20"/>
        <v>0.7</v>
      </c>
      <c r="J40" s="28">
        <f>+J41</f>
        <v>0</v>
      </c>
      <c r="K40" s="28">
        <f t="shared" ref="K40:N40" si="21">+K41</f>
        <v>0</v>
      </c>
      <c r="L40" s="28">
        <f t="shared" si="21"/>
        <v>0</v>
      </c>
      <c r="M40" s="28">
        <f t="shared" si="21"/>
        <v>0</v>
      </c>
      <c r="N40" s="28">
        <f t="shared" si="21"/>
        <v>0</v>
      </c>
    </row>
    <row r="41" spans="1:14" hidden="1" outlineLevel="1" x14ac:dyDescent="0.2">
      <c r="A41" s="9" t="s">
        <v>145</v>
      </c>
      <c r="B41" s="1" t="s">
        <v>146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0.7</v>
      </c>
      <c r="J41" s="10"/>
      <c r="K41" s="10"/>
      <c r="L41" s="10"/>
      <c r="M41" s="10"/>
      <c r="N41" s="10"/>
    </row>
    <row r="42" spans="1:14" collapsed="1" x14ac:dyDescent="0.2">
      <c r="A42" s="9" t="s">
        <v>157</v>
      </c>
      <c r="B42" s="1" t="s">
        <v>158</v>
      </c>
      <c r="C42" s="28">
        <f t="shared" ref="C42:I42" si="22">+C43</f>
        <v>0</v>
      </c>
      <c r="D42" s="28">
        <f t="shared" si="22"/>
        <v>0.3</v>
      </c>
      <c r="E42" s="28">
        <f t="shared" si="22"/>
        <v>0</v>
      </c>
      <c r="F42" s="28">
        <f t="shared" si="22"/>
        <v>0.2</v>
      </c>
      <c r="G42" s="28">
        <f t="shared" si="22"/>
        <v>0.3</v>
      </c>
      <c r="H42" s="28">
        <f t="shared" si="22"/>
        <v>-0.5</v>
      </c>
      <c r="I42" s="28">
        <f t="shared" si="22"/>
        <v>0.5</v>
      </c>
      <c r="J42" s="28">
        <f>+J43</f>
        <v>0</v>
      </c>
      <c r="K42" s="28">
        <f t="shared" ref="K42:N42" si="23">+K43</f>
        <v>0</v>
      </c>
      <c r="L42" s="28">
        <f t="shared" si="23"/>
        <v>0</v>
      </c>
      <c r="M42" s="28">
        <f t="shared" si="23"/>
        <v>0</v>
      </c>
      <c r="N42" s="28">
        <f t="shared" si="23"/>
        <v>0</v>
      </c>
    </row>
    <row r="43" spans="1:14" hidden="1" outlineLevel="1" x14ac:dyDescent="0.2">
      <c r="A43" s="9" t="s">
        <v>159</v>
      </c>
      <c r="B43" s="1" t="s">
        <v>160</v>
      </c>
      <c r="C43" s="10">
        <v>0</v>
      </c>
      <c r="D43" s="10">
        <v>0.3</v>
      </c>
      <c r="E43" s="10">
        <v>0</v>
      </c>
      <c r="F43" s="10">
        <v>0.2</v>
      </c>
      <c r="G43" s="10">
        <v>0.3</v>
      </c>
      <c r="H43" s="10">
        <v>-0.5</v>
      </c>
      <c r="I43" s="10">
        <v>0.5</v>
      </c>
      <c r="J43" s="10"/>
      <c r="K43" s="10"/>
      <c r="L43" s="10"/>
      <c r="M43" s="10"/>
      <c r="N43" s="10"/>
    </row>
    <row r="44" spans="1:14" collapsed="1" x14ac:dyDescent="0.2">
      <c r="A44" s="3"/>
      <c r="B44" s="3" t="s">
        <v>165</v>
      </c>
      <c r="C44" s="30">
        <f t="shared" ref="C44:I44" si="24">+C30+C32+C33+C34+C36+C37+C38+C39+C40+C42</f>
        <v>0.1</v>
      </c>
      <c r="D44" s="30">
        <f t="shared" si="24"/>
        <v>0.4</v>
      </c>
      <c r="E44" s="30">
        <f t="shared" si="24"/>
        <v>0.1</v>
      </c>
      <c r="F44" s="30">
        <f t="shared" si="24"/>
        <v>0.30000000000000004</v>
      </c>
      <c r="G44" s="30">
        <f t="shared" si="24"/>
        <v>0.4</v>
      </c>
      <c r="H44" s="30">
        <f t="shared" si="24"/>
        <v>-0.4</v>
      </c>
      <c r="I44" s="30">
        <f t="shared" si="24"/>
        <v>1.4</v>
      </c>
      <c r="J44" s="30">
        <f>+J30+J32+J33+J34+J36+J37+J38+J39+J40+J42</f>
        <v>0.1</v>
      </c>
      <c r="K44" s="30">
        <f t="shared" ref="K44:N44" si="25">+K30+K32+K33+K34+K36+K37+K38+K39+K40+K42</f>
        <v>0.1</v>
      </c>
      <c r="L44" s="30">
        <f t="shared" si="25"/>
        <v>0</v>
      </c>
      <c r="M44" s="30">
        <f t="shared" si="25"/>
        <v>0.1</v>
      </c>
      <c r="N44" s="30">
        <f t="shared" si="25"/>
        <v>0.15</v>
      </c>
    </row>
    <row r="45" spans="1:14" x14ac:dyDescent="0.2">
      <c r="A45" s="12"/>
      <c r="B45" s="12" t="s">
        <v>166</v>
      </c>
      <c r="C45" s="29">
        <f t="shared" ref="C45:I45" si="26">+C28-C44</f>
        <v>7.4</v>
      </c>
      <c r="D45" s="29">
        <f t="shared" si="26"/>
        <v>4.3</v>
      </c>
      <c r="E45" s="29">
        <f t="shared" si="26"/>
        <v>2.9999999999999996</v>
      </c>
      <c r="F45" s="29">
        <f t="shared" si="26"/>
        <v>3.0000000000000009</v>
      </c>
      <c r="G45" s="29">
        <f t="shared" si="26"/>
        <v>6.5999999999999979</v>
      </c>
      <c r="H45" s="29">
        <f t="shared" si="26"/>
        <v>6.5</v>
      </c>
      <c r="I45" s="29">
        <f t="shared" si="26"/>
        <v>14.999999999999998</v>
      </c>
      <c r="J45" s="29">
        <f>+J28-J44</f>
        <v>7.5</v>
      </c>
      <c r="K45" s="29">
        <f t="shared" ref="K45:N45" si="27">+K28-K44</f>
        <v>-1.7999999999999994</v>
      </c>
      <c r="L45" s="29">
        <f t="shared" si="27"/>
        <v>8.6</v>
      </c>
      <c r="M45" s="29">
        <f t="shared" si="27"/>
        <v>12.6</v>
      </c>
      <c r="N45" s="29">
        <f t="shared" si="27"/>
        <v>1.0499999999999994</v>
      </c>
    </row>
    <row r="46" spans="1:14" x14ac:dyDescent="0.2">
      <c r="A46" s="9" t="s">
        <v>167</v>
      </c>
      <c r="B46" s="1" t="s">
        <v>168</v>
      </c>
      <c r="C46" s="28">
        <f t="shared" ref="C46:I46" si="28">SUM(C47:C49)</f>
        <v>0</v>
      </c>
      <c r="D46" s="28">
        <f t="shared" si="28"/>
        <v>0</v>
      </c>
      <c r="E46" s="28">
        <f t="shared" si="28"/>
        <v>0</v>
      </c>
      <c r="F46" s="28">
        <f t="shared" si="28"/>
        <v>0</v>
      </c>
      <c r="G46" s="28">
        <f t="shared" si="28"/>
        <v>0</v>
      </c>
      <c r="H46" s="28">
        <f t="shared" si="28"/>
        <v>0</v>
      </c>
      <c r="I46" s="28">
        <f t="shared" si="28"/>
        <v>0</v>
      </c>
      <c r="J46" s="28">
        <f>SUM(J47:J49)</f>
        <v>0</v>
      </c>
      <c r="K46" s="28">
        <f t="shared" ref="K46:N46" si="29">SUM(K47:K49)</f>
        <v>0</v>
      </c>
      <c r="L46" s="28">
        <f t="shared" si="29"/>
        <v>0</v>
      </c>
      <c r="M46" s="28">
        <f t="shared" si="29"/>
        <v>0</v>
      </c>
      <c r="N46" s="28">
        <f t="shared" si="29"/>
        <v>0</v>
      </c>
    </row>
    <row r="47" spans="1:14" hidden="1" outlineLevel="1" x14ac:dyDescent="0.2">
      <c r="A47" s="9" t="s">
        <v>173</v>
      </c>
      <c r="B47" s="1" t="s">
        <v>174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hidden="1" outlineLevel="1" x14ac:dyDescent="0.2">
      <c r="A48" s="9" t="s">
        <v>175</v>
      </c>
      <c r="B48" s="1" t="s">
        <v>176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hidden="1" outlineLevel="1" x14ac:dyDescent="0.2">
      <c r="A49" s="9" t="s">
        <v>179</v>
      </c>
      <c r="B49" s="1" t="s">
        <v>180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collapsed="1" x14ac:dyDescent="0.2">
      <c r="A50" s="9" t="s">
        <v>200</v>
      </c>
      <c r="B50" s="1" t="s">
        <v>201</v>
      </c>
      <c r="C50" s="28">
        <f t="shared" ref="C50:I50" si="30">SUM(C51:C53)</f>
        <v>0</v>
      </c>
      <c r="D50" s="28">
        <f t="shared" si="30"/>
        <v>0</v>
      </c>
      <c r="E50" s="28">
        <f t="shared" si="30"/>
        <v>0</v>
      </c>
      <c r="F50" s="28">
        <f t="shared" si="30"/>
        <v>0</v>
      </c>
      <c r="G50" s="28">
        <f t="shared" si="30"/>
        <v>0</v>
      </c>
      <c r="H50" s="28">
        <f t="shared" si="30"/>
        <v>0</v>
      </c>
      <c r="I50" s="28">
        <f t="shared" si="30"/>
        <v>0</v>
      </c>
      <c r="J50" s="28">
        <f>SUM(J51:J53)</f>
        <v>0</v>
      </c>
      <c r="K50" s="28">
        <f t="shared" ref="K50:N50" si="31">SUM(K51:K53)</f>
        <v>0</v>
      </c>
      <c r="L50" s="28">
        <f t="shared" si="31"/>
        <v>0</v>
      </c>
      <c r="M50" s="28">
        <f t="shared" si="31"/>
        <v>0</v>
      </c>
      <c r="N50" s="28">
        <f t="shared" si="31"/>
        <v>0</v>
      </c>
    </row>
    <row r="51" spans="1:14" hidden="1" outlineLevel="1" x14ac:dyDescent="0.2">
      <c r="A51" s="9" t="s">
        <v>218</v>
      </c>
      <c r="B51" s="1" t="s">
        <v>219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hidden="1" outlineLevel="1" x14ac:dyDescent="0.2">
      <c r="A52" s="9" t="s">
        <v>220</v>
      </c>
      <c r="B52" s="1" t="s">
        <v>221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hidden="1" outlineLevel="1" x14ac:dyDescent="0.2">
      <c r="A53" s="9" t="s">
        <v>224</v>
      </c>
      <c r="B53" s="1" t="s">
        <v>225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</row>
    <row r="54" spans="1:14" collapsed="1" x14ac:dyDescent="0.2">
      <c r="A54" s="9" t="s">
        <v>226</v>
      </c>
      <c r="B54" s="1" t="s">
        <v>227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28">
        <v>0</v>
      </c>
      <c r="K54" s="28">
        <v>0</v>
      </c>
      <c r="L54" s="28">
        <v>0</v>
      </c>
      <c r="M54" s="28">
        <v>0</v>
      </c>
      <c r="N54" s="28">
        <v>0</v>
      </c>
    </row>
    <row r="55" spans="1:14" x14ac:dyDescent="0.2">
      <c r="A55" s="9" t="s">
        <v>228</v>
      </c>
      <c r="B55" s="1" t="s">
        <v>229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28">
        <v>0</v>
      </c>
      <c r="K55" s="28">
        <v>0</v>
      </c>
      <c r="L55" s="28">
        <v>0</v>
      </c>
      <c r="M55" s="28">
        <v>0</v>
      </c>
      <c r="N55" s="28">
        <v>0</v>
      </c>
    </row>
    <row r="56" spans="1:14" x14ac:dyDescent="0.2">
      <c r="A56" s="9" t="s">
        <v>230</v>
      </c>
      <c r="B56" s="1" t="s">
        <v>231</v>
      </c>
      <c r="C56" s="28">
        <f t="shared" ref="C56:I56" si="32">+C57+C58</f>
        <v>0</v>
      </c>
      <c r="D56" s="28">
        <f t="shared" si="32"/>
        <v>0</v>
      </c>
      <c r="E56" s="28">
        <f t="shared" si="32"/>
        <v>0</v>
      </c>
      <c r="F56" s="28">
        <f t="shared" si="32"/>
        <v>0</v>
      </c>
      <c r="G56" s="28">
        <f t="shared" si="32"/>
        <v>0</v>
      </c>
      <c r="H56" s="28">
        <f t="shared" si="32"/>
        <v>0</v>
      </c>
      <c r="I56" s="28">
        <f t="shared" si="32"/>
        <v>0</v>
      </c>
      <c r="J56" s="28">
        <f>+J57+J58</f>
        <v>0</v>
      </c>
      <c r="K56" s="28">
        <f t="shared" ref="K56:N56" si="33">+K57+K58</f>
        <v>0</v>
      </c>
      <c r="L56" s="28">
        <f t="shared" si="33"/>
        <v>0</v>
      </c>
      <c r="M56" s="28">
        <f t="shared" si="33"/>
        <v>0</v>
      </c>
      <c r="N56" s="28">
        <f t="shared" si="33"/>
        <v>0</v>
      </c>
    </row>
    <row r="57" spans="1:14" hidden="1" outlineLevel="1" x14ac:dyDescent="0.2">
      <c r="A57" s="9" t="s">
        <v>232</v>
      </c>
      <c r="B57" s="1" t="s">
        <v>233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hidden="1" outlineLevel="1" x14ac:dyDescent="0.2">
      <c r="A58" s="9" t="s">
        <v>234</v>
      </c>
      <c r="B58" s="1" t="s">
        <v>235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</row>
    <row r="59" spans="1:14" collapsed="1" x14ac:dyDescent="0.2">
      <c r="A59" s="3"/>
      <c r="B59" s="3" t="s">
        <v>236</v>
      </c>
      <c r="C59" s="30">
        <f t="shared" ref="C59:I59" si="34">+C46+C50+C54+C55+C56</f>
        <v>0</v>
      </c>
      <c r="D59" s="30">
        <f t="shared" si="34"/>
        <v>0</v>
      </c>
      <c r="E59" s="30">
        <f t="shared" si="34"/>
        <v>0</v>
      </c>
      <c r="F59" s="30">
        <f t="shared" si="34"/>
        <v>0</v>
      </c>
      <c r="G59" s="30">
        <f t="shared" si="34"/>
        <v>0</v>
      </c>
      <c r="H59" s="30">
        <f t="shared" si="34"/>
        <v>0</v>
      </c>
      <c r="I59" s="30">
        <f t="shared" si="34"/>
        <v>0</v>
      </c>
      <c r="J59" s="30">
        <f>+J46+J50+J54+J55+J56</f>
        <v>0</v>
      </c>
      <c r="K59" s="30">
        <f t="shared" ref="K59:N59" si="35">+K46+K50+K54+K55+K56</f>
        <v>0</v>
      </c>
      <c r="L59" s="30">
        <f t="shared" si="35"/>
        <v>0</v>
      </c>
      <c r="M59" s="30">
        <f t="shared" si="35"/>
        <v>0</v>
      </c>
      <c r="N59" s="30">
        <f t="shared" si="35"/>
        <v>0</v>
      </c>
    </row>
    <row r="60" spans="1:14" x14ac:dyDescent="0.2">
      <c r="A60" s="12"/>
      <c r="B60" s="12" t="s">
        <v>237</v>
      </c>
      <c r="C60" s="29">
        <f t="shared" ref="C60:I60" si="36">+C45-C59</f>
        <v>7.4</v>
      </c>
      <c r="D60" s="29">
        <f t="shared" si="36"/>
        <v>4.3</v>
      </c>
      <c r="E60" s="29">
        <f t="shared" si="36"/>
        <v>2.9999999999999996</v>
      </c>
      <c r="F60" s="29">
        <f t="shared" si="36"/>
        <v>3.0000000000000009</v>
      </c>
      <c r="G60" s="29">
        <f t="shared" si="36"/>
        <v>6.5999999999999979</v>
      </c>
      <c r="H60" s="29">
        <f t="shared" si="36"/>
        <v>6.5</v>
      </c>
      <c r="I60" s="29">
        <f t="shared" si="36"/>
        <v>14.999999999999998</v>
      </c>
      <c r="J60" s="29">
        <f>+J45-J59</f>
        <v>7.5</v>
      </c>
      <c r="K60" s="29">
        <f t="shared" ref="K60:N60" si="37">+K45-K59</f>
        <v>-1.7999999999999994</v>
      </c>
      <c r="L60" s="29">
        <f t="shared" si="37"/>
        <v>8.6</v>
      </c>
      <c r="M60" s="29">
        <f t="shared" si="37"/>
        <v>12.6</v>
      </c>
      <c r="N60" s="29">
        <f t="shared" si="37"/>
        <v>1.0499999999999994</v>
      </c>
    </row>
    <row r="61" spans="1:14" x14ac:dyDescent="0.2">
      <c r="A61" s="9" t="s">
        <v>238</v>
      </c>
      <c r="B61" s="1" t="s">
        <v>239</v>
      </c>
      <c r="C61" s="28">
        <f t="shared" ref="C61:I61" si="38">+C62+C63</f>
        <v>0</v>
      </c>
      <c r="D61" s="28">
        <f t="shared" si="38"/>
        <v>0</v>
      </c>
      <c r="E61" s="28">
        <f t="shared" si="38"/>
        <v>0</v>
      </c>
      <c r="F61" s="28">
        <f t="shared" si="38"/>
        <v>0</v>
      </c>
      <c r="G61" s="28">
        <f t="shared" si="38"/>
        <v>0</v>
      </c>
      <c r="H61" s="28">
        <f t="shared" si="38"/>
        <v>0</v>
      </c>
      <c r="I61" s="28">
        <f t="shared" si="38"/>
        <v>0.1</v>
      </c>
      <c r="J61" s="28">
        <f>+J62+J63</f>
        <v>0.1</v>
      </c>
      <c r="K61" s="28">
        <f t="shared" ref="K61:N61" si="39">+K62+K63</f>
        <v>0.1</v>
      </c>
      <c r="L61" s="28">
        <f t="shared" si="39"/>
        <v>0.1</v>
      </c>
      <c r="M61" s="28">
        <f t="shared" si="39"/>
        <v>0</v>
      </c>
      <c r="N61" s="28">
        <f t="shared" si="39"/>
        <v>0</v>
      </c>
    </row>
    <row r="62" spans="1:14" hidden="1" outlineLevel="1" x14ac:dyDescent="0.2">
      <c r="A62" s="9" t="s">
        <v>240</v>
      </c>
      <c r="B62" s="1" t="s">
        <v>241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0.1</v>
      </c>
      <c r="J62" s="10">
        <v>0.1</v>
      </c>
      <c r="K62" s="10">
        <v>0.1</v>
      </c>
      <c r="L62" s="10">
        <v>0.1</v>
      </c>
      <c r="M62" s="10">
        <v>0</v>
      </c>
      <c r="N62" s="10">
        <v>0</v>
      </c>
    </row>
    <row r="63" spans="1:14" hidden="1" outlineLevel="1" x14ac:dyDescent="0.2">
      <c r="A63" s="9" t="s">
        <v>242</v>
      </c>
      <c r="B63" s="1" t="s">
        <v>243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</row>
    <row r="64" spans="1:14" collapsed="1" x14ac:dyDescent="0.2">
      <c r="A64" s="9" t="s">
        <v>244</v>
      </c>
      <c r="B64" s="1" t="s">
        <v>245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28">
        <v>0</v>
      </c>
      <c r="K64" s="28">
        <v>0</v>
      </c>
      <c r="L64" s="28">
        <v>0</v>
      </c>
      <c r="M64" s="28">
        <v>0</v>
      </c>
      <c r="N64" s="28">
        <v>0</v>
      </c>
    </row>
    <row r="65" spans="1:14" x14ac:dyDescent="0.2">
      <c r="A65" s="12"/>
      <c r="B65" s="12" t="s">
        <v>246</v>
      </c>
      <c r="C65" s="29">
        <f t="shared" ref="C65:I65" si="40">+C60-(C61+C64)</f>
        <v>7.4</v>
      </c>
      <c r="D65" s="29">
        <f t="shared" si="40"/>
        <v>4.3</v>
      </c>
      <c r="E65" s="29">
        <f t="shared" si="40"/>
        <v>2.9999999999999996</v>
      </c>
      <c r="F65" s="29">
        <f t="shared" si="40"/>
        <v>3.0000000000000009</v>
      </c>
      <c r="G65" s="29">
        <f t="shared" si="40"/>
        <v>6.5999999999999979</v>
      </c>
      <c r="H65" s="29">
        <f t="shared" si="40"/>
        <v>6.5</v>
      </c>
      <c r="I65" s="29">
        <f t="shared" si="40"/>
        <v>14.899999999999999</v>
      </c>
      <c r="J65" s="29">
        <f>+J60-(J61+J64)</f>
        <v>7.4</v>
      </c>
      <c r="K65" s="29">
        <f t="shared" ref="K65:N65" si="41">+K60-(K61+K64)</f>
        <v>-1.8999999999999995</v>
      </c>
      <c r="L65" s="29">
        <f t="shared" si="41"/>
        <v>8.5</v>
      </c>
      <c r="M65" s="29">
        <f t="shared" si="41"/>
        <v>12.6</v>
      </c>
      <c r="N65" s="29">
        <f t="shared" si="41"/>
        <v>1.0499999999999994</v>
      </c>
    </row>
    <row r="66" spans="1:14" x14ac:dyDescent="0.2">
      <c r="A66" s="9" t="s">
        <v>74</v>
      </c>
      <c r="B66" s="1" t="s">
        <v>74</v>
      </c>
      <c r="C66" s="15" t="s">
        <v>74</v>
      </c>
      <c r="D66" s="15" t="s">
        <v>74</v>
      </c>
      <c r="E66" s="15" t="s">
        <v>74</v>
      </c>
      <c r="F66" s="15" t="s">
        <v>74</v>
      </c>
      <c r="G66" s="15" t="s">
        <v>74</v>
      </c>
      <c r="H66" s="15" t="s">
        <v>74</v>
      </c>
      <c r="I66" s="15" t="s">
        <v>74</v>
      </c>
      <c r="J66" s="15" t="s">
        <v>74</v>
      </c>
      <c r="K66" s="15" t="s">
        <v>74</v>
      </c>
      <c r="L66" s="15" t="s">
        <v>74</v>
      </c>
      <c r="M66" s="15" t="s">
        <v>74</v>
      </c>
      <c r="N66" s="15" t="s">
        <v>74</v>
      </c>
    </row>
    <row r="67" spans="1:14" x14ac:dyDescent="0.2">
      <c r="A67" s="12"/>
      <c r="B67" s="12" t="s">
        <v>247</v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</row>
    <row r="68" spans="1:14" x14ac:dyDescent="0.2">
      <c r="A68" s="9" t="s">
        <v>248</v>
      </c>
      <c r="B68" s="1" t="s">
        <v>249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">
      <c r="A69" s="9" t="s">
        <v>252</v>
      </c>
      <c r="B69" s="1" t="s">
        <v>253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">
      <c r="A70" s="9" t="s">
        <v>256</v>
      </c>
      <c r="B70" s="1" t="s">
        <v>257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">
      <c r="A71" s="9" t="s">
        <v>260</v>
      </c>
      <c r="B71" s="1" t="s">
        <v>261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">
      <c r="A72" s="9" t="s">
        <v>264</v>
      </c>
      <c r="B72" s="1" t="s">
        <v>265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">
      <c r="A73" s="9" t="s">
        <v>268</v>
      </c>
      <c r="B73" s="1" t="s">
        <v>269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">
      <c r="A74" s="9" t="s">
        <v>270</v>
      </c>
      <c r="B74" s="1" t="s">
        <v>271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">
      <c r="A75" s="9" t="s">
        <v>272</v>
      </c>
      <c r="B75" s="1" t="s">
        <v>273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">
      <c r="A76" s="9" t="s">
        <v>274</v>
      </c>
      <c r="B76" s="1" t="s">
        <v>275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">
      <c r="A77" s="9" t="s">
        <v>276</v>
      </c>
      <c r="B77" s="1" t="s">
        <v>277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">
      <c r="A78" s="9" t="s">
        <v>280</v>
      </c>
      <c r="B78" s="1" t="s">
        <v>281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">
      <c r="A79" s="9" t="s">
        <v>284</v>
      </c>
      <c r="B79" s="1" t="s">
        <v>285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">
      <c r="A80" s="9" t="s">
        <v>288</v>
      </c>
      <c r="B80" s="1" t="s">
        <v>289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">
      <c r="A81" s="3"/>
      <c r="B81" s="3" t="s">
        <v>290</v>
      </c>
      <c r="C81" s="17" t="s">
        <v>292</v>
      </c>
      <c r="D81" s="17" t="s">
        <v>292</v>
      </c>
      <c r="E81" s="17" t="s">
        <v>292</v>
      </c>
      <c r="F81" s="17" t="s">
        <v>292</v>
      </c>
      <c r="G81" s="17" t="s">
        <v>292</v>
      </c>
      <c r="H81" s="17" t="s">
        <v>292</v>
      </c>
      <c r="I81" s="17" t="s">
        <v>292</v>
      </c>
      <c r="J81" s="17" t="s">
        <v>292</v>
      </c>
      <c r="K81" s="17" t="s">
        <v>292</v>
      </c>
      <c r="L81" s="17" t="s">
        <v>292</v>
      </c>
      <c r="M81" s="17" t="s">
        <v>292</v>
      </c>
      <c r="N81" s="17" t="s">
        <v>292</v>
      </c>
    </row>
    <row r="82" spans="1:14" x14ac:dyDescent="0.2">
      <c r="A82" s="3"/>
      <c r="B82" s="3" t="s">
        <v>291</v>
      </c>
      <c r="C82" s="17" t="s">
        <v>292</v>
      </c>
      <c r="D82" s="17" t="s">
        <v>292</v>
      </c>
      <c r="E82" s="17" t="s">
        <v>292</v>
      </c>
      <c r="F82" s="17" t="s">
        <v>292</v>
      </c>
      <c r="G82" s="17" t="s">
        <v>292</v>
      </c>
      <c r="H82" s="17" t="s">
        <v>292</v>
      </c>
      <c r="I82" s="17" t="s">
        <v>292</v>
      </c>
      <c r="J82" s="17" t="s">
        <v>292</v>
      </c>
      <c r="K82" s="17" t="s">
        <v>292</v>
      </c>
      <c r="L82" s="17" t="s">
        <v>292</v>
      </c>
      <c r="M82" s="17" t="s">
        <v>292</v>
      </c>
      <c r="N82" s="17" t="s">
        <v>292</v>
      </c>
    </row>
    <row r="83" spans="1:14" x14ac:dyDescent="0.2">
      <c r="A83" s="3"/>
      <c r="B83" s="3" t="s">
        <v>293</v>
      </c>
      <c r="C83" s="17" t="s">
        <v>292</v>
      </c>
      <c r="D83" s="17" t="s">
        <v>292</v>
      </c>
      <c r="E83" s="17" t="s">
        <v>292</v>
      </c>
      <c r="F83" s="17" t="s">
        <v>292</v>
      </c>
      <c r="G83" s="17" t="s">
        <v>292</v>
      </c>
      <c r="H83" s="17" t="s">
        <v>292</v>
      </c>
      <c r="I83" s="17" t="s">
        <v>292</v>
      </c>
      <c r="J83" s="17" t="s">
        <v>292</v>
      </c>
      <c r="K83" s="17" t="s">
        <v>292</v>
      </c>
      <c r="L83" s="17" t="s">
        <v>292</v>
      </c>
      <c r="M83" s="17" t="s">
        <v>292</v>
      </c>
      <c r="N83" s="17" t="s">
        <v>292</v>
      </c>
    </row>
    <row r="84" spans="1:14" x14ac:dyDescent="0.2">
      <c r="A84" s="3"/>
      <c r="B84" s="3" t="s">
        <v>294</v>
      </c>
      <c r="C84" s="17" t="s">
        <v>292</v>
      </c>
      <c r="D84" s="17" t="s">
        <v>292</v>
      </c>
      <c r="E84" s="17" t="s">
        <v>292</v>
      </c>
      <c r="F84" s="17" t="s">
        <v>292</v>
      </c>
      <c r="G84" s="17" t="s">
        <v>292</v>
      </c>
      <c r="H84" s="17" t="s">
        <v>292</v>
      </c>
      <c r="I84" s="17" t="s">
        <v>292</v>
      </c>
      <c r="J84" s="17" t="s">
        <v>292</v>
      </c>
      <c r="K84" s="17" t="s">
        <v>292</v>
      </c>
      <c r="L84" s="17" t="s">
        <v>292</v>
      </c>
      <c r="M84" s="17" t="s">
        <v>292</v>
      </c>
      <c r="N84" s="17" t="s">
        <v>292</v>
      </c>
    </row>
    <row r="85" spans="1:14" x14ac:dyDescent="0.2">
      <c r="A85" s="12"/>
      <c r="B85" s="12" t="s">
        <v>295</v>
      </c>
      <c r="C85" s="16" t="s">
        <v>292</v>
      </c>
      <c r="D85" s="16" t="s">
        <v>292</v>
      </c>
      <c r="E85" s="16" t="s">
        <v>292</v>
      </c>
      <c r="F85" s="16" t="s">
        <v>292</v>
      </c>
      <c r="G85" s="16" t="s">
        <v>292</v>
      </c>
      <c r="H85" s="16" t="s">
        <v>292</v>
      </c>
      <c r="I85" s="16" t="s">
        <v>292</v>
      </c>
      <c r="J85" s="16" t="s">
        <v>292</v>
      </c>
      <c r="K85" s="16" t="s">
        <v>292</v>
      </c>
      <c r="L85" s="16" t="s">
        <v>292</v>
      </c>
      <c r="M85" s="16" t="s">
        <v>292</v>
      </c>
      <c r="N85" s="16" t="s">
        <v>292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CFD2-8AFF-43C2-BD16-86E83C041C38}">
  <sheetPr codeName="Hoja68">
    <tabColor theme="9" tint="-0.249977111117893"/>
  </sheetPr>
  <dimension ref="A1:N107"/>
  <sheetViews>
    <sheetView zoomScale="55" zoomScaleNormal="55" workbookViewId="0">
      <pane ySplit="6" topLeftCell="A13" activePane="bottomLeft" state="frozen"/>
      <selection activeCell="I54" sqref="I54"/>
      <selection pane="bottomLeft" activeCell="J82" sqref="C82:J82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390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:K7" si="0">SUM(C8:C10)</f>
        <v>24.8</v>
      </c>
      <c r="D7" s="28">
        <f t="shared" si="0"/>
        <v>42.2</v>
      </c>
      <c r="E7" s="28">
        <f t="shared" si="0"/>
        <v>28.8</v>
      </c>
      <c r="F7" s="28">
        <f t="shared" si="0"/>
        <v>32.5</v>
      </c>
      <c r="G7" s="28">
        <f t="shared" si="0"/>
        <v>27</v>
      </c>
      <c r="H7" s="28">
        <f t="shared" si="0"/>
        <v>31.4</v>
      </c>
      <c r="I7" s="28">
        <f t="shared" si="0"/>
        <v>31</v>
      </c>
      <c r="J7" s="28">
        <f t="shared" si="0"/>
        <v>28</v>
      </c>
      <c r="K7" s="28">
        <f t="shared" si="0"/>
        <v>30</v>
      </c>
      <c r="L7" s="28">
        <f>SUM(L8:L10)</f>
        <v>25</v>
      </c>
      <c r="M7" s="28">
        <f t="shared" ref="M7:N7" si="1">SUM(M8:M10)</f>
        <v>31</v>
      </c>
      <c r="N7" s="28">
        <f t="shared" si="1"/>
        <v>27</v>
      </c>
    </row>
    <row r="8" spans="1:14" hidden="1" outlineLevel="1" x14ac:dyDescent="0.2">
      <c r="A8" s="9" t="s">
        <v>31</v>
      </c>
      <c r="B8" s="1" t="s">
        <v>32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31.4</v>
      </c>
      <c r="I8" s="10">
        <v>31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33</v>
      </c>
      <c r="B9" s="1" t="s">
        <v>34</v>
      </c>
      <c r="C9" s="10">
        <v>24.8</v>
      </c>
      <c r="D9" s="10">
        <v>42.2</v>
      </c>
      <c r="E9" s="10">
        <v>28.8</v>
      </c>
      <c r="F9" s="10">
        <v>32.5</v>
      </c>
      <c r="G9" s="10">
        <v>27</v>
      </c>
      <c r="H9" s="10">
        <v>0</v>
      </c>
      <c r="I9" s="10">
        <v>0</v>
      </c>
      <c r="J9" s="10">
        <v>28</v>
      </c>
      <c r="K9" s="10">
        <v>30</v>
      </c>
      <c r="L9" s="10">
        <v>25</v>
      </c>
      <c r="M9" s="10">
        <v>31</v>
      </c>
      <c r="N9" s="10">
        <v>27</v>
      </c>
    </row>
    <row r="10" spans="1:14" hidden="1" outlineLevel="1" x14ac:dyDescent="0.2">
      <c r="A10" s="9" t="s">
        <v>35</v>
      </c>
      <c r="B10" s="1" t="s">
        <v>36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collapsed="1" x14ac:dyDescent="0.2">
      <c r="A11" s="9" t="s">
        <v>37</v>
      </c>
      <c r="B11" s="1" t="s">
        <v>38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28">
        <v>0</v>
      </c>
      <c r="K11" s="28">
        <v>0</v>
      </c>
      <c r="L11" s="28">
        <v>0</v>
      </c>
      <c r="M11" s="28">
        <v>0</v>
      </c>
      <c r="N11" s="28">
        <v>0</v>
      </c>
    </row>
    <row r="12" spans="1:14" x14ac:dyDescent="0.2">
      <c r="A12" s="9" t="s">
        <v>39</v>
      </c>
      <c r="B12" s="1" t="s">
        <v>40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</row>
    <row r="13" spans="1:14" x14ac:dyDescent="0.2">
      <c r="A13" s="9" t="s">
        <v>41</v>
      </c>
      <c r="B13" s="1" t="s">
        <v>42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</row>
    <row r="14" spans="1:14" x14ac:dyDescent="0.2">
      <c r="A14" s="9" t="s">
        <v>45</v>
      </c>
      <c r="B14" s="1" t="s">
        <v>46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28">
        <v>0</v>
      </c>
      <c r="K14" s="28">
        <v>0</v>
      </c>
      <c r="L14" s="28">
        <v>0</v>
      </c>
      <c r="M14" s="28">
        <v>0</v>
      </c>
      <c r="N14" s="28">
        <v>0</v>
      </c>
    </row>
    <row r="15" spans="1:14" x14ac:dyDescent="0.2">
      <c r="A15" s="12"/>
      <c r="B15" s="12" t="s">
        <v>47</v>
      </c>
      <c r="C15" s="29">
        <f t="shared" ref="C15:I15" si="2">+C7+C11+C12+C13+C14</f>
        <v>24.8</v>
      </c>
      <c r="D15" s="29">
        <f t="shared" si="2"/>
        <v>42.2</v>
      </c>
      <c r="E15" s="29">
        <f t="shared" si="2"/>
        <v>28.8</v>
      </c>
      <c r="F15" s="29">
        <f t="shared" si="2"/>
        <v>32.5</v>
      </c>
      <c r="G15" s="29">
        <f t="shared" si="2"/>
        <v>27</v>
      </c>
      <c r="H15" s="29">
        <f t="shared" si="2"/>
        <v>31.4</v>
      </c>
      <c r="I15" s="29">
        <f t="shared" si="2"/>
        <v>31</v>
      </c>
      <c r="J15" s="29">
        <f>+J7+J11+J12+J13+J14</f>
        <v>28</v>
      </c>
      <c r="K15" s="29">
        <f t="shared" ref="K15:N15" si="3">+K7+K11+K12+K13+K14</f>
        <v>30</v>
      </c>
      <c r="L15" s="29">
        <f t="shared" si="3"/>
        <v>25</v>
      </c>
      <c r="M15" s="29">
        <f t="shared" si="3"/>
        <v>31</v>
      </c>
      <c r="N15" s="29">
        <f t="shared" si="3"/>
        <v>27</v>
      </c>
    </row>
    <row r="16" spans="1:14" x14ac:dyDescent="0.2">
      <c r="A16" s="9" t="s">
        <v>48</v>
      </c>
      <c r="B16" s="1" t="s">
        <v>49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</row>
    <row r="17" spans="1:14" x14ac:dyDescent="0.2">
      <c r="A17" s="9" t="s">
        <v>60</v>
      </c>
      <c r="B17" s="1" t="s">
        <v>61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</row>
    <row r="18" spans="1:14" x14ac:dyDescent="0.2">
      <c r="A18" s="9" t="s">
        <v>62</v>
      </c>
      <c r="B18" s="1" t="s">
        <v>63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</row>
    <row r="19" spans="1:14" x14ac:dyDescent="0.2">
      <c r="A19" s="9" t="s">
        <v>64</v>
      </c>
      <c r="B19" s="1" t="s">
        <v>65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</row>
    <row r="20" spans="1:14" x14ac:dyDescent="0.2">
      <c r="A20" s="9" t="s">
        <v>68</v>
      </c>
      <c r="B20" s="1" t="s">
        <v>69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</row>
    <row r="21" spans="1:14" x14ac:dyDescent="0.2">
      <c r="A21" s="3"/>
      <c r="B21" s="3" t="s">
        <v>72</v>
      </c>
      <c r="C21" s="30">
        <f t="shared" ref="C21:I21" si="4">+C16+C17+C18+C19+C20</f>
        <v>0</v>
      </c>
      <c r="D21" s="30">
        <f t="shared" si="4"/>
        <v>0</v>
      </c>
      <c r="E21" s="30">
        <f t="shared" si="4"/>
        <v>0</v>
      </c>
      <c r="F21" s="30">
        <f t="shared" si="4"/>
        <v>0</v>
      </c>
      <c r="G21" s="30">
        <f t="shared" si="4"/>
        <v>0</v>
      </c>
      <c r="H21" s="30">
        <f t="shared" si="4"/>
        <v>0</v>
      </c>
      <c r="I21" s="30">
        <f t="shared" si="4"/>
        <v>0</v>
      </c>
      <c r="J21" s="30">
        <f>+J16+J17+J18+J19+J20</f>
        <v>0</v>
      </c>
      <c r="K21" s="30">
        <f t="shared" ref="K21:N21" si="5">+K16+K17+K18+K19+K20</f>
        <v>0</v>
      </c>
      <c r="L21" s="30">
        <f t="shared" si="5"/>
        <v>0</v>
      </c>
      <c r="M21" s="30">
        <f t="shared" si="5"/>
        <v>0</v>
      </c>
      <c r="N21" s="30">
        <f t="shared" si="5"/>
        <v>0</v>
      </c>
    </row>
    <row r="22" spans="1:14" x14ac:dyDescent="0.2">
      <c r="A22" s="12"/>
      <c r="B22" s="12" t="s">
        <v>73</v>
      </c>
      <c r="C22" s="29">
        <f t="shared" ref="C22:I22" si="6">+C15-C21</f>
        <v>24.8</v>
      </c>
      <c r="D22" s="29">
        <f t="shared" si="6"/>
        <v>42.2</v>
      </c>
      <c r="E22" s="29">
        <f t="shared" si="6"/>
        <v>28.8</v>
      </c>
      <c r="F22" s="29">
        <f t="shared" si="6"/>
        <v>32.5</v>
      </c>
      <c r="G22" s="29">
        <f t="shared" si="6"/>
        <v>27</v>
      </c>
      <c r="H22" s="29">
        <f t="shared" si="6"/>
        <v>31.4</v>
      </c>
      <c r="I22" s="29">
        <f t="shared" si="6"/>
        <v>31</v>
      </c>
      <c r="J22" s="29">
        <f>+J15-J21</f>
        <v>28</v>
      </c>
      <c r="K22" s="29">
        <f t="shared" ref="K22:N22" si="7">+K15-K21</f>
        <v>30</v>
      </c>
      <c r="L22" s="29">
        <f t="shared" si="7"/>
        <v>25</v>
      </c>
      <c r="M22" s="29">
        <f t="shared" si="7"/>
        <v>31</v>
      </c>
      <c r="N22" s="29">
        <f t="shared" si="7"/>
        <v>27</v>
      </c>
    </row>
    <row r="23" spans="1:14" x14ac:dyDescent="0.2">
      <c r="A23" s="9" t="s">
        <v>74</v>
      </c>
      <c r="B23" s="1" t="s">
        <v>74</v>
      </c>
      <c r="C23" s="10" t="s">
        <v>74</v>
      </c>
      <c r="D23" s="10" t="s">
        <v>74</v>
      </c>
      <c r="E23" s="10" t="s">
        <v>74</v>
      </c>
      <c r="F23" s="10" t="s">
        <v>74</v>
      </c>
      <c r="G23" s="10" t="s">
        <v>74</v>
      </c>
      <c r="H23" s="10" t="s">
        <v>74</v>
      </c>
      <c r="I23" s="10" t="s">
        <v>74</v>
      </c>
      <c r="J23" s="10" t="s">
        <v>74</v>
      </c>
      <c r="K23" s="10" t="s">
        <v>74</v>
      </c>
      <c r="L23" s="10" t="s">
        <v>74</v>
      </c>
      <c r="M23" s="10" t="s">
        <v>74</v>
      </c>
      <c r="N23" s="10" t="s">
        <v>74</v>
      </c>
    </row>
    <row r="24" spans="1:14" x14ac:dyDescent="0.2">
      <c r="A24" s="9" t="s">
        <v>75</v>
      </c>
      <c r="B24" s="1" t="s">
        <v>76</v>
      </c>
      <c r="C24" s="28">
        <f t="shared" ref="C24:I24" si="8">SUM(C25:C39)</f>
        <v>8.1999999999999993</v>
      </c>
      <c r="D24" s="28">
        <f t="shared" si="8"/>
        <v>5.4</v>
      </c>
      <c r="E24" s="28">
        <f t="shared" si="8"/>
        <v>10.700000000000001</v>
      </c>
      <c r="F24" s="28">
        <f t="shared" si="8"/>
        <v>8.2999999999999972</v>
      </c>
      <c r="G24" s="28">
        <f t="shared" si="8"/>
        <v>8.8999999999999986</v>
      </c>
      <c r="H24" s="28">
        <f t="shared" si="8"/>
        <v>18.2</v>
      </c>
      <c r="I24" s="28">
        <f t="shared" si="8"/>
        <v>20.3</v>
      </c>
      <c r="J24" s="28">
        <f>SUM(J25:J39)</f>
        <v>8.2999999999999972</v>
      </c>
      <c r="K24" s="28">
        <f t="shared" ref="K24:N24" si="9">SUM(K25:K39)</f>
        <v>8.8999999999999986</v>
      </c>
      <c r="L24" s="28">
        <f t="shared" si="9"/>
        <v>8.2999999999999972</v>
      </c>
      <c r="M24" s="28">
        <f t="shared" si="9"/>
        <v>8.8999999999999986</v>
      </c>
      <c r="N24" s="28">
        <f t="shared" si="9"/>
        <v>18.2</v>
      </c>
    </row>
    <row r="25" spans="1:14" hidden="1" outlineLevel="1" x14ac:dyDescent="0.2">
      <c r="A25" s="9" t="s">
        <v>77</v>
      </c>
      <c r="B25" s="1" t="s">
        <v>78</v>
      </c>
      <c r="C25" s="10">
        <v>2.1</v>
      </c>
      <c r="D25" s="10">
        <v>1.1000000000000001</v>
      </c>
      <c r="E25" s="10">
        <v>2.1</v>
      </c>
      <c r="F25" s="10">
        <v>7.1</v>
      </c>
      <c r="G25" s="10">
        <v>5.2</v>
      </c>
      <c r="H25" s="10">
        <v>6</v>
      </c>
      <c r="I25" s="10">
        <v>5.8</v>
      </c>
      <c r="J25" s="10">
        <v>7.1</v>
      </c>
      <c r="K25" s="10">
        <v>5.2</v>
      </c>
      <c r="L25" s="10">
        <v>7.1</v>
      </c>
      <c r="M25" s="10">
        <v>5.2</v>
      </c>
      <c r="N25" s="10">
        <v>6</v>
      </c>
    </row>
    <row r="26" spans="1:14" hidden="1" outlineLevel="1" x14ac:dyDescent="0.2">
      <c r="A26" s="9" t="s">
        <v>79</v>
      </c>
      <c r="B26" s="1" t="s">
        <v>80</v>
      </c>
      <c r="C26" s="10">
        <v>0</v>
      </c>
      <c r="D26" s="10">
        <v>0</v>
      </c>
      <c r="E26" s="10">
        <v>0</v>
      </c>
      <c r="F26" s="10">
        <v>0.4</v>
      </c>
      <c r="G26" s="10">
        <v>0.2</v>
      </c>
      <c r="H26" s="10">
        <v>0.2</v>
      </c>
      <c r="I26" s="10">
        <v>0.1</v>
      </c>
      <c r="J26" s="10">
        <v>0.4</v>
      </c>
      <c r="K26" s="10">
        <v>0.2</v>
      </c>
      <c r="L26" s="10">
        <v>0.4</v>
      </c>
      <c r="M26" s="10">
        <v>0.2</v>
      </c>
      <c r="N26" s="10">
        <v>0.2</v>
      </c>
    </row>
    <row r="27" spans="1:14" hidden="1" outlineLevel="1" x14ac:dyDescent="0.2">
      <c r="A27" s="9" t="s">
        <v>81</v>
      </c>
      <c r="B27" s="1" t="s">
        <v>82</v>
      </c>
      <c r="C27" s="10">
        <v>0.4</v>
      </c>
      <c r="D27" s="10">
        <v>0.4</v>
      </c>
      <c r="E27" s="10">
        <v>0.4</v>
      </c>
      <c r="F27" s="10">
        <v>1.7</v>
      </c>
      <c r="G27" s="10">
        <v>0.9</v>
      </c>
      <c r="H27" s="10">
        <v>1.1000000000000001</v>
      </c>
      <c r="I27" s="10">
        <v>1.1000000000000001</v>
      </c>
      <c r="J27" s="10">
        <v>1.7</v>
      </c>
      <c r="K27" s="10">
        <v>0.9</v>
      </c>
      <c r="L27" s="10">
        <v>1.7</v>
      </c>
      <c r="M27" s="10">
        <v>0.9</v>
      </c>
      <c r="N27" s="10">
        <v>1.1000000000000001</v>
      </c>
    </row>
    <row r="28" spans="1:14" hidden="1" outlineLevel="1" x14ac:dyDescent="0.2">
      <c r="A28" s="9" t="s">
        <v>83</v>
      </c>
      <c r="B28" s="1" t="s">
        <v>84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hidden="1" outlineLevel="1" x14ac:dyDescent="0.2">
      <c r="A29" s="9" t="s">
        <v>85</v>
      </c>
      <c r="B29" s="1" t="s">
        <v>86</v>
      </c>
      <c r="C29" s="10">
        <v>0.1</v>
      </c>
      <c r="D29" s="10">
        <v>0</v>
      </c>
      <c r="E29" s="10">
        <v>0.1</v>
      </c>
      <c r="F29" s="10">
        <v>0</v>
      </c>
      <c r="G29" s="10">
        <v>0.1</v>
      </c>
      <c r="H29" s="10">
        <v>0.4</v>
      </c>
      <c r="I29" s="10">
        <v>0.8</v>
      </c>
      <c r="J29" s="10">
        <v>0</v>
      </c>
      <c r="K29" s="10">
        <v>0.1</v>
      </c>
      <c r="L29" s="10">
        <v>0</v>
      </c>
      <c r="M29" s="10">
        <v>0.1</v>
      </c>
      <c r="N29" s="10">
        <v>0.4</v>
      </c>
    </row>
    <row r="30" spans="1:14" hidden="1" outlineLevel="1" x14ac:dyDescent="0.2">
      <c r="A30" s="9" t="s">
        <v>87</v>
      </c>
      <c r="B30" s="1" t="s">
        <v>88</v>
      </c>
      <c r="C30" s="10">
        <v>0.4</v>
      </c>
      <c r="D30" s="10">
        <v>0.2</v>
      </c>
      <c r="E30" s="10">
        <v>0.2</v>
      </c>
      <c r="F30" s="10">
        <v>0.6</v>
      </c>
      <c r="G30" s="10">
        <v>0.4</v>
      </c>
      <c r="H30" s="10">
        <v>0.5</v>
      </c>
      <c r="I30" s="10">
        <v>0.5</v>
      </c>
      <c r="J30" s="10">
        <v>0.6</v>
      </c>
      <c r="K30" s="10">
        <v>0.4</v>
      </c>
      <c r="L30" s="10">
        <v>0.6</v>
      </c>
      <c r="M30" s="10">
        <v>0.4</v>
      </c>
      <c r="N30" s="10">
        <v>0.5</v>
      </c>
    </row>
    <row r="31" spans="1:14" hidden="1" outlineLevel="1" x14ac:dyDescent="0.2">
      <c r="A31" s="9" t="s">
        <v>89</v>
      </c>
      <c r="B31" s="1" t="s">
        <v>90</v>
      </c>
      <c r="C31" s="10">
        <v>0.2</v>
      </c>
      <c r="D31" s="10">
        <v>0.2</v>
      </c>
      <c r="E31" s="10">
        <v>0.2</v>
      </c>
      <c r="F31" s="10">
        <v>0.6</v>
      </c>
      <c r="G31" s="10">
        <v>0.6</v>
      </c>
      <c r="H31" s="10">
        <v>0.6</v>
      </c>
      <c r="I31" s="10">
        <v>0.6</v>
      </c>
      <c r="J31" s="10">
        <v>0.6</v>
      </c>
      <c r="K31" s="10">
        <v>0.6</v>
      </c>
      <c r="L31" s="10">
        <v>0.6</v>
      </c>
      <c r="M31" s="10">
        <v>0.6</v>
      </c>
      <c r="N31" s="10">
        <v>0.6</v>
      </c>
    </row>
    <row r="32" spans="1:14" hidden="1" outlineLevel="1" x14ac:dyDescent="0.2">
      <c r="A32" s="9" t="s">
        <v>93</v>
      </c>
      <c r="B32" s="1" t="s">
        <v>94</v>
      </c>
      <c r="C32" s="10">
        <v>0.3</v>
      </c>
      <c r="D32" s="10">
        <v>0.2</v>
      </c>
      <c r="E32" s="10">
        <v>0.2</v>
      </c>
      <c r="F32" s="10">
        <v>1</v>
      </c>
      <c r="G32" s="10">
        <v>0.4</v>
      </c>
      <c r="H32" s="10">
        <v>0.5</v>
      </c>
      <c r="I32" s="10">
        <v>0.9</v>
      </c>
      <c r="J32" s="10">
        <v>1</v>
      </c>
      <c r="K32" s="10">
        <v>0.4</v>
      </c>
      <c r="L32" s="10">
        <v>1</v>
      </c>
      <c r="M32" s="10">
        <v>0.4</v>
      </c>
      <c r="N32" s="10">
        <v>0.5</v>
      </c>
    </row>
    <row r="33" spans="1:14" hidden="1" outlineLevel="1" x14ac:dyDescent="0.2">
      <c r="A33" s="9" t="s">
        <v>95</v>
      </c>
      <c r="B33" s="1" t="s">
        <v>96</v>
      </c>
      <c r="C33" s="10">
        <v>0</v>
      </c>
      <c r="D33" s="10">
        <v>0</v>
      </c>
      <c r="E33" s="10">
        <v>0</v>
      </c>
      <c r="F33" s="10">
        <v>0.2</v>
      </c>
      <c r="G33" s="10">
        <v>0.1</v>
      </c>
      <c r="H33" s="10">
        <v>0</v>
      </c>
      <c r="I33" s="10">
        <v>0.1</v>
      </c>
      <c r="J33" s="10">
        <v>0.2</v>
      </c>
      <c r="K33" s="10">
        <v>0.1</v>
      </c>
      <c r="L33" s="10">
        <v>0.2</v>
      </c>
      <c r="M33" s="10">
        <v>0.1</v>
      </c>
      <c r="N33" s="10">
        <v>0</v>
      </c>
    </row>
    <row r="34" spans="1:14" hidden="1" outlineLevel="1" x14ac:dyDescent="0.2">
      <c r="A34" s="9" t="s">
        <v>97</v>
      </c>
      <c r="B34" s="1" t="s">
        <v>98</v>
      </c>
      <c r="C34" s="10">
        <v>0.2</v>
      </c>
      <c r="D34" s="10">
        <v>1</v>
      </c>
      <c r="E34" s="10">
        <v>-0.3</v>
      </c>
      <c r="F34" s="10">
        <v>-0.7</v>
      </c>
      <c r="G34" s="10">
        <v>0.7</v>
      </c>
      <c r="H34" s="10">
        <v>1.1000000000000001</v>
      </c>
      <c r="I34" s="10">
        <v>0.6</v>
      </c>
      <c r="J34" s="10">
        <v>-0.7</v>
      </c>
      <c r="K34" s="10">
        <v>0.7</v>
      </c>
      <c r="L34" s="10">
        <v>-0.7</v>
      </c>
      <c r="M34" s="10">
        <v>0.7</v>
      </c>
      <c r="N34" s="10">
        <v>1.1000000000000001</v>
      </c>
    </row>
    <row r="35" spans="1:14" hidden="1" outlineLevel="1" x14ac:dyDescent="0.2">
      <c r="A35" s="9" t="s">
        <v>99</v>
      </c>
      <c r="B35" s="1" t="s">
        <v>100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</row>
    <row r="36" spans="1:14" hidden="1" outlineLevel="1" x14ac:dyDescent="0.2">
      <c r="A36" s="9" t="s">
        <v>101</v>
      </c>
      <c r="B36" s="1" t="s">
        <v>102</v>
      </c>
      <c r="C36" s="10">
        <v>0</v>
      </c>
      <c r="D36" s="10">
        <v>0</v>
      </c>
      <c r="E36" s="10">
        <v>0</v>
      </c>
      <c r="F36" s="10">
        <v>0</v>
      </c>
      <c r="G36" s="10">
        <v>0.1</v>
      </c>
      <c r="H36" s="10">
        <v>0</v>
      </c>
      <c r="I36" s="10">
        <v>0</v>
      </c>
      <c r="J36" s="10">
        <v>0</v>
      </c>
      <c r="K36" s="10">
        <v>0.1</v>
      </c>
      <c r="L36" s="10">
        <v>0</v>
      </c>
      <c r="M36" s="10">
        <v>0.1</v>
      </c>
      <c r="N36" s="10">
        <v>0</v>
      </c>
    </row>
    <row r="37" spans="1:14" hidden="1" outlineLevel="1" x14ac:dyDescent="0.2">
      <c r="A37" s="9" t="s">
        <v>103</v>
      </c>
      <c r="B37" s="1" t="s">
        <v>104</v>
      </c>
      <c r="C37" s="10">
        <v>0</v>
      </c>
      <c r="D37" s="10">
        <v>0.2</v>
      </c>
      <c r="E37" s="10">
        <v>0.2</v>
      </c>
      <c r="F37" s="10">
        <v>0.2</v>
      </c>
      <c r="G37" s="10">
        <v>0.2</v>
      </c>
      <c r="H37" s="10">
        <v>0.5</v>
      </c>
      <c r="I37" s="10">
        <v>0.5</v>
      </c>
      <c r="J37" s="10">
        <v>0.2</v>
      </c>
      <c r="K37" s="10">
        <v>0.2</v>
      </c>
      <c r="L37" s="10">
        <v>0.2</v>
      </c>
      <c r="M37" s="10">
        <v>0.2</v>
      </c>
      <c r="N37" s="10">
        <v>0.5</v>
      </c>
    </row>
    <row r="38" spans="1:14" hidden="1" outlineLevel="1" x14ac:dyDescent="0.2">
      <c r="A38" s="9" t="s">
        <v>105</v>
      </c>
      <c r="B38" s="1" t="s">
        <v>106</v>
      </c>
      <c r="C38" s="10">
        <v>4.3</v>
      </c>
      <c r="D38" s="10">
        <v>2</v>
      </c>
      <c r="E38" s="10">
        <v>7.6</v>
      </c>
      <c r="F38" s="10">
        <v>-2.9</v>
      </c>
      <c r="G38" s="10">
        <v>-0.1</v>
      </c>
      <c r="H38" s="10">
        <v>6.8</v>
      </c>
      <c r="I38" s="10">
        <v>8.8000000000000007</v>
      </c>
      <c r="J38" s="10">
        <v>-2.9</v>
      </c>
      <c r="K38" s="10">
        <v>-0.1</v>
      </c>
      <c r="L38" s="10">
        <v>-2.9</v>
      </c>
      <c r="M38" s="10">
        <v>-0.1</v>
      </c>
      <c r="N38" s="10">
        <v>6.8</v>
      </c>
    </row>
    <row r="39" spans="1:14" hidden="1" outlineLevel="1" x14ac:dyDescent="0.2">
      <c r="A39" s="9" t="s">
        <v>107</v>
      </c>
      <c r="B39" s="1" t="s">
        <v>108</v>
      </c>
      <c r="C39" s="10">
        <v>0.2</v>
      </c>
      <c r="D39" s="10">
        <v>0.1</v>
      </c>
      <c r="E39" s="10">
        <v>0</v>
      </c>
      <c r="F39" s="10">
        <v>0.1</v>
      </c>
      <c r="G39" s="10">
        <v>0.1</v>
      </c>
      <c r="H39" s="10">
        <v>0.5</v>
      </c>
      <c r="I39" s="10">
        <v>0.5</v>
      </c>
      <c r="J39" s="10">
        <v>0.1</v>
      </c>
      <c r="K39" s="10">
        <v>0.1</v>
      </c>
      <c r="L39" s="10">
        <v>0.1</v>
      </c>
      <c r="M39" s="10">
        <v>0.1</v>
      </c>
      <c r="N39" s="10">
        <v>0.5</v>
      </c>
    </row>
    <row r="40" spans="1:14" collapsed="1" x14ac:dyDescent="0.2">
      <c r="A40" s="9" t="s">
        <v>111</v>
      </c>
      <c r="B40" s="1" t="s">
        <v>112</v>
      </c>
      <c r="C40" s="28">
        <f t="shared" ref="C40:I40" si="10">SUM(C41:C43)</f>
        <v>0</v>
      </c>
      <c r="D40" s="28">
        <f t="shared" si="10"/>
        <v>0.1</v>
      </c>
      <c r="E40" s="28">
        <f t="shared" si="10"/>
        <v>0</v>
      </c>
      <c r="F40" s="28">
        <f t="shared" si="10"/>
        <v>0</v>
      </c>
      <c r="G40" s="28">
        <f t="shared" si="10"/>
        <v>0</v>
      </c>
      <c r="H40" s="28">
        <f t="shared" si="10"/>
        <v>0.1</v>
      </c>
      <c r="I40" s="28">
        <f t="shared" si="10"/>
        <v>0</v>
      </c>
      <c r="J40" s="28">
        <f>SUM(J41:J43)</f>
        <v>0.1</v>
      </c>
      <c r="K40" s="28">
        <f t="shared" ref="K40:N40" si="11">SUM(K41:K43)</f>
        <v>0</v>
      </c>
      <c r="L40" s="28">
        <f t="shared" si="11"/>
        <v>0.1</v>
      </c>
      <c r="M40" s="28">
        <f t="shared" si="11"/>
        <v>0.1</v>
      </c>
      <c r="N40" s="28">
        <f t="shared" si="11"/>
        <v>0</v>
      </c>
    </row>
    <row r="41" spans="1:14" hidden="1" outlineLevel="1" x14ac:dyDescent="0.2">
      <c r="A41" s="9" t="s">
        <v>113</v>
      </c>
      <c r="B41" s="1" t="s">
        <v>114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0.1</v>
      </c>
      <c r="I41" s="10">
        <v>0</v>
      </c>
      <c r="J41" s="10">
        <v>0.1</v>
      </c>
      <c r="K41" s="10">
        <v>0</v>
      </c>
      <c r="L41" s="10">
        <v>0.1</v>
      </c>
      <c r="M41" s="10">
        <v>0.1</v>
      </c>
      <c r="N41" s="10">
        <v>0</v>
      </c>
    </row>
    <row r="42" spans="1:14" hidden="1" outlineLevel="1" x14ac:dyDescent="0.2">
      <c r="A42" s="9" t="s">
        <v>311</v>
      </c>
      <c r="B42" s="1" t="s">
        <v>312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hidden="1" outlineLevel="1" x14ac:dyDescent="0.2">
      <c r="A43" s="9" t="s">
        <v>117</v>
      </c>
      <c r="B43" s="1" t="s">
        <v>118</v>
      </c>
      <c r="C43" s="10">
        <v>0</v>
      </c>
      <c r="D43" s="10">
        <v>0.1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collapsed="1" x14ac:dyDescent="0.2">
      <c r="A44" s="9" t="s">
        <v>119</v>
      </c>
      <c r="B44" s="1" t="s">
        <v>120</v>
      </c>
      <c r="C44" s="28">
        <f t="shared" ref="C44:I44" si="12">+C45+C46</f>
        <v>0.1</v>
      </c>
      <c r="D44" s="28">
        <f t="shared" si="12"/>
        <v>0.1</v>
      </c>
      <c r="E44" s="28">
        <f t="shared" si="12"/>
        <v>0.1</v>
      </c>
      <c r="F44" s="28">
        <f t="shared" si="12"/>
        <v>0.1</v>
      </c>
      <c r="G44" s="28">
        <f t="shared" si="12"/>
        <v>0.1</v>
      </c>
      <c r="H44" s="28">
        <f t="shared" si="12"/>
        <v>0.1</v>
      </c>
      <c r="I44" s="28">
        <f t="shared" si="12"/>
        <v>0.1</v>
      </c>
      <c r="J44" s="28">
        <f>+J45+J46</f>
        <v>0.1</v>
      </c>
      <c r="K44" s="28">
        <f t="shared" ref="K44:N44" si="13">+K45+K46</f>
        <v>0.1</v>
      </c>
      <c r="L44" s="28">
        <f t="shared" si="13"/>
        <v>0.1</v>
      </c>
      <c r="M44" s="28">
        <f t="shared" si="13"/>
        <v>0.1</v>
      </c>
      <c r="N44" s="28">
        <f t="shared" si="13"/>
        <v>0.1</v>
      </c>
    </row>
    <row r="45" spans="1:14" hidden="1" outlineLevel="1" x14ac:dyDescent="0.2">
      <c r="A45" s="9" t="s">
        <v>123</v>
      </c>
      <c r="B45" s="1" t="s">
        <v>124</v>
      </c>
      <c r="C45" s="10">
        <v>0.1</v>
      </c>
      <c r="D45" s="10">
        <v>0.1</v>
      </c>
      <c r="E45" s="10">
        <v>0.1</v>
      </c>
      <c r="F45" s="10">
        <v>0.1</v>
      </c>
      <c r="G45" s="10">
        <v>0.1</v>
      </c>
      <c r="H45" s="10">
        <v>0.1</v>
      </c>
      <c r="I45" s="10">
        <v>0.1</v>
      </c>
      <c r="J45" s="10">
        <v>0.1</v>
      </c>
      <c r="K45" s="10">
        <v>0.1</v>
      </c>
      <c r="L45" s="10">
        <v>0.1</v>
      </c>
      <c r="M45" s="10">
        <v>0.1</v>
      </c>
      <c r="N45" s="10">
        <v>0.1</v>
      </c>
    </row>
    <row r="46" spans="1:14" hidden="1" outlineLevel="1" x14ac:dyDescent="0.2">
      <c r="A46" s="9" t="s">
        <v>125</v>
      </c>
      <c r="B46" s="1" t="s">
        <v>126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collapsed="1" x14ac:dyDescent="0.2">
      <c r="A47" s="9" t="s">
        <v>127</v>
      </c>
      <c r="B47" s="1" t="s">
        <v>128</v>
      </c>
      <c r="C47" s="28">
        <f t="shared" ref="C47:I47" si="14">SUM(C48:C50)</f>
        <v>0</v>
      </c>
      <c r="D47" s="28">
        <f t="shared" si="14"/>
        <v>0.1</v>
      </c>
      <c r="E47" s="28">
        <f t="shared" si="14"/>
        <v>0.3</v>
      </c>
      <c r="F47" s="28">
        <f t="shared" si="14"/>
        <v>-0.19999999999999998</v>
      </c>
      <c r="G47" s="28">
        <f t="shared" si="14"/>
        <v>0</v>
      </c>
      <c r="H47" s="28">
        <f t="shared" si="14"/>
        <v>0.2</v>
      </c>
      <c r="I47" s="28">
        <f t="shared" si="14"/>
        <v>0.60000000000000009</v>
      </c>
      <c r="J47" s="28">
        <f>SUM(J48:J50)</f>
        <v>0.2</v>
      </c>
      <c r="K47" s="28">
        <f t="shared" ref="K47:N47" si="15">SUM(K48:K50)</f>
        <v>0.60000000000000009</v>
      </c>
      <c r="L47" s="28">
        <f t="shared" si="15"/>
        <v>0.2</v>
      </c>
      <c r="M47" s="28">
        <f t="shared" si="15"/>
        <v>0.2</v>
      </c>
      <c r="N47" s="28">
        <f t="shared" si="15"/>
        <v>0.60000000000000009</v>
      </c>
    </row>
    <row r="48" spans="1:14" hidden="1" outlineLevel="1" x14ac:dyDescent="0.2">
      <c r="A48" s="9" t="s">
        <v>317</v>
      </c>
      <c r="B48" s="1" t="s">
        <v>318</v>
      </c>
      <c r="C48" s="10">
        <v>0</v>
      </c>
      <c r="D48" s="10">
        <v>0</v>
      </c>
      <c r="E48" s="10">
        <v>0</v>
      </c>
      <c r="F48" s="10">
        <v>0.1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hidden="1" outlineLevel="1" x14ac:dyDescent="0.2">
      <c r="A49" s="9" t="s">
        <v>129</v>
      </c>
      <c r="B49" s="1" t="s">
        <v>130</v>
      </c>
      <c r="C49" s="10">
        <v>0</v>
      </c>
      <c r="D49" s="10">
        <v>0.1</v>
      </c>
      <c r="E49" s="10">
        <v>0.3</v>
      </c>
      <c r="F49" s="10">
        <v>-0.3</v>
      </c>
      <c r="G49" s="10">
        <v>0</v>
      </c>
      <c r="H49" s="10">
        <v>0.2</v>
      </c>
      <c r="I49" s="10">
        <v>0.4</v>
      </c>
      <c r="J49" s="10">
        <v>0.2</v>
      </c>
      <c r="K49" s="10">
        <v>0.4</v>
      </c>
      <c r="L49" s="10">
        <v>0.2</v>
      </c>
      <c r="M49" s="10">
        <v>0.2</v>
      </c>
      <c r="N49" s="10">
        <v>0.4</v>
      </c>
    </row>
    <row r="50" spans="1:14" hidden="1" outlineLevel="1" x14ac:dyDescent="0.2">
      <c r="A50" s="9" t="s">
        <v>319</v>
      </c>
      <c r="B50" s="1" t="s">
        <v>320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0.2</v>
      </c>
      <c r="J50" s="10">
        <v>0</v>
      </c>
      <c r="K50" s="10">
        <v>0.2</v>
      </c>
      <c r="L50" s="10">
        <v>0</v>
      </c>
      <c r="M50" s="10">
        <v>0</v>
      </c>
      <c r="N50" s="10">
        <v>0.2</v>
      </c>
    </row>
    <row r="51" spans="1:14" collapsed="1" x14ac:dyDescent="0.2">
      <c r="A51" s="9" t="s">
        <v>133</v>
      </c>
      <c r="B51" s="1" t="s">
        <v>134</v>
      </c>
      <c r="C51" s="28">
        <f t="shared" ref="C51:I51" si="16">+C52</f>
        <v>0.7</v>
      </c>
      <c r="D51" s="28">
        <f t="shared" si="16"/>
        <v>1.1000000000000001</v>
      </c>
      <c r="E51" s="28">
        <f t="shared" si="16"/>
        <v>-1.1000000000000001</v>
      </c>
      <c r="F51" s="28">
        <f t="shared" si="16"/>
        <v>0</v>
      </c>
      <c r="G51" s="28">
        <f t="shared" si="16"/>
        <v>0</v>
      </c>
      <c r="H51" s="28">
        <f t="shared" si="16"/>
        <v>1</v>
      </c>
      <c r="I51" s="28">
        <f t="shared" si="16"/>
        <v>1</v>
      </c>
      <c r="J51" s="28">
        <f>+J52</f>
        <v>1</v>
      </c>
      <c r="K51" s="28">
        <f t="shared" ref="K51:N51" si="17">+K52</f>
        <v>1</v>
      </c>
      <c r="L51" s="28">
        <f t="shared" si="17"/>
        <v>1</v>
      </c>
      <c r="M51" s="28">
        <f t="shared" si="17"/>
        <v>1</v>
      </c>
      <c r="N51" s="28">
        <f t="shared" si="17"/>
        <v>1</v>
      </c>
    </row>
    <row r="52" spans="1:14" hidden="1" outlineLevel="1" x14ac:dyDescent="0.2">
      <c r="A52" s="9" t="s">
        <v>335</v>
      </c>
      <c r="B52" s="1" t="s">
        <v>336</v>
      </c>
      <c r="C52" s="10">
        <v>0.7</v>
      </c>
      <c r="D52" s="10">
        <v>1.1000000000000001</v>
      </c>
      <c r="E52" s="10">
        <v>-1.1000000000000001</v>
      </c>
      <c r="F52" s="10">
        <v>0</v>
      </c>
      <c r="G52" s="10">
        <v>0</v>
      </c>
      <c r="H52" s="10">
        <v>1</v>
      </c>
      <c r="I52" s="10">
        <v>1</v>
      </c>
      <c r="J52" s="10">
        <v>1</v>
      </c>
      <c r="K52" s="10">
        <v>1</v>
      </c>
      <c r="L52" s="10">
        <v>1</v>
      </c>
      <c r="M52" s="10">
        <v>1</v>
      </c>
      <c r="N52" s="10">
        <v>1</v>
      </c>
    </row>
    <row r="53" spans="1:14" collapsed="1" x14ac:dyDescent="0.2">
      <c r="A53" s="9" t="s">
        <v>137</v>
      </c>
      <c r="B53" s="1" t="s">
        <v>138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28">
        <v>0</v>
      </c>
      <c r="K53" s="28">
        <v>0</v>
      </c>
      <c r="L53" s="28">
        <v>0</v>
      </c>
      <c r="M53" s="28">
        <v>0</v>
      </c>
      <c r="N53" s="28">
        <v>0</v>
      </c>
    </row>
    <row r="54" spans="1:14" x14ac:dyDescent="0.2">
      <c r="A54" s="9" t="s">
        <v>139</v>
      </c>
      <c r="B54" s="1" t="s">
        <v>140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28">
        <v>0</v>
      </c>
      <c r="K54" s="28">
        <v>0</v>
      </c>
      <c r="L54" s="28">
        <v>0</v>
      </c>
      <c r="M54" s="28">
        <v>0</v>
      </c>
      <c r="N54" s="28">
        <v>0</v>
      </c>
    </row>
    <row r="55" spans="1:14" x14ac:dyDescent="0.2">
      <c r="A55" s="9" t="s">
        <v>141</v>
      </c>
      <c r="B55" s="1" t="s">
        <v>142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28">
        <v>0</v>
      </c>
      <c r="K55" s="28">
        <v>0</v>
      </c>
      <c r="L55" s="28">
        <v>0</v>
      </c>
      <c r="M55" s="28">
        <v>0</v>
      </c>
      <c r="N55" s="28">
        <v>0</v>
      </c>
    </row>
    <row r="56" spans="1:14" x14ac:dyDescent="0.2">
      <c r="A56" s="9" t="s">
        <v>143</v>
      </c>
      <c r="B56" s="1" t="s">
        <v>144</v>
      </c>
      <c r="C56" s="28">
        <f t="shared" ref="C56:I56" si="18">+C57</f>
        <v>0</v>
      </c>
      <c r="D56" s="28">
        <f t="shared" si="18"/>
        <v>0</v>
      </c>
      <c r="E56" s="28">
        <f t="shared" si="18"/>
        <v>0</v>
      </c>
      <c r="F56" s="28">
        <f t="shared" si="18"/>
        <v>0</v>
      </c>
      <c r="G56" s="28">
        <f t="shared" si="18"/>
        <v>0.1</v>
      </c>
      <c r="H56" s="28">
        <f t="shared" si="18"/>
        <v>0</v>
      </c>
      <c r="I56" s="28">
        <f t="shared" si="18"/>
        <v>0</v>
      </c>
      <c r="J56" s="28">
        <f>+J57</f>
        <v>0.1</v>
      </c>
      <c r="K56" s="28">
        <f t="shared" ref="K56:N56" si="19">+K57</f>
        <v>0</v>
      </c>
      <c r="L56" s="28">
        <f t="shared" si="19"/>
        <v>0.1</v>
      </c>
      <c r="M56" s="28">
        <f t="shared" si="19"/>
        <v>0</v>
      </c>
      <c r="N56" s="28">
        <f t="shared" si="19"/>
        <v>0</v>
      </c>
    </row>
    <row r="57" spans="1:14" hidden="1" outlineLevel="1" x14ac:dyDescent="0.2">
      <c r="A57" s="9" t="s">
        <v>355</v>
      </c>
      <c r="B57" s="1" t="s">
        <v>356</v>
      </c>
      <c r="C57" s="10">
        <v>0</v>
      </c>
      <c r="D57" s="10">
        <v>0</v>
      </c>
      <c r="E57" s="10">
        <v>0</v>
      </c>
      <c r="F57" s="10">
        <v>0</v>
      </c>
      <c r="G57" s="10">
        <v>0.1</v>
      </c>
      <c r="H57" s="10">
        <v>0</v>
      </c>
      <c r="I57" s="10">
        <v>0</v>
      </c>
      <c r="J57" s="10">
        <v>0.1</v>
      </c>
      <c r="K57" s="10">
        <v>0</v>
      </c>
      <c r="L57" s="10">
        <v>0.1</v>
      </c>
      <c r="M57" s="10">
        <v>0</v>
      </c>
      <c r="N57" s="10">
        <v>0</v>
      </c>
    </row>
    <row r="58" spans="1:14" collapsed="1" x14ac:dyDescent="0.2">
      <c r="A58" s="9" t="s">
        <v>157</v>
      </c>
      <c r="B58" s="1" t="s">
        <v>158</v>
      </c>
      <c r="C58" s="28">
        <f t="shared" ref="C58:I58" si="20">+C59</f>
        <v>0.6</v>
      </c>
      <c r="D58" s="28">
        <f t="shared" si="20"/>
        <v>0.9</v>
      </c>
      <c r="E58" s="28">
        <f t="shared" si="20"/>
        <v>-0.3</v>
      </c>
      <c r="F58" s="28">
        <f t="shared" si="20"/>
        <v>-0.4</v>
      </c>
      <c r="G58" s="28">
        <f t="shared" si="20"/>
        <v>0.6</v>
      </c>
      <c r="H58" s="28">
        <f t="shared" si="20"/>
        <v>-0.6</v>
      </c>
      <c r="I58" s="28">
        <f t="shared" si="20"/>
        <v>0.7</v>
      </c>
      <c r="J58" s="28">
        <f>+J59</f>
        <v>0.6</v>
      </c>
      <c r="K58" s="28">
        <f t="shared" ref="K58:N58" si="21">+K59</f>
        <v>-0.6</v>
      </c>
      <c r="L58" s="28">
        <f t="shared" si="21"/>
        <v>0.6</v>
      </c>
      <c r="M58" s="28">
        <f t="shared" si="21"/>
        <v>-0.6</v>
      </c>
      <c r="N58" s="28">
        <f t="shared" si="21"/>
        <v>0.7</v>
      </c>
    </row>
    <row r="59" spans="1:14" hidden="1" outlineLevel="1" x14ac:dyDescent="0.2">
      <c r="A59" s="9" t="s">
        <v>159</v>
      </c>
      <c r="B59" s="1" t="s">
        <v>160</v>
      </c>
      <c r="C59" s="10">
        <v>0.6</v>
      </c>
      <c r="D59" s="10">
        <v>0.9</v>
      </c>
      <c r="E59" s="10">
        <v>-0.3</v>
      </c>
      <c r="F59" s="10">
        <v>-0.4</v>
      </c>
      <c r="G59" s="10">
        <v>0.6</v>
      </c>
      <c r="H59" s="10">
        <v>-0.6</v>
      </c>
      <c r="I59" s="10">
        <v>0.7</v>
      </c>
      <c r="J59" s="10">
        <v>0.6</v>
      </c>
      <c r="K59" s="10">
        <v>-0.6</v>
      </c>
      <c r="L59" s="10">
        <v>0.6</v>
      </c>
      <c r="M59" s="10">
        <v>-0.6</v>
      </c>
      <c r="N59" s="10">
        <v>0.7</v>
      </c>
    </row>
    <row r="60" spans="1:14" collapsed="1" x14ac:dyDescent="0.2">
      <c r="A60" s="3"/>
      <c r="B60" s="3" t="s">
        <v>165</v>
      </c>
      <c r="C60" s="30">
        <f t="shared" ref="C60:I60" si="22">+C24+C40+C44+C47+C51+C53+C54+C55+C56+C58</f>
        <v>9.5999999999999979</v>
      </c>
      <c r="D60" s="30">
        <f t="shared" si="22"/>
        <v>7.6999999999999993</v>
      </c>
      <c r="E60" s="30">
        <f t="shared" si="22"/>
        <v>9.7000000000000011</v>
      </c>
      <c r="F60" s="30">
        <f t="shared" si="22"/>
        <v>7.7999999999999972</v>
      </c>
      <c r="G60" s="30">
        <f t="shared" si="22"/>
        <v>9.6999999999999975</v>
      </c>
      <c r="H60" s="30">
        <f t="shared" si="22"/>
        <v>19</v>
      </c>
      <c r="I60" s="30">
        <f t="shared" si="22"/>
        <v>22.700000000000003</v>
      </c>
      <c r="J60" s="30">
        <f>+J24+J40+J44+J47+J51+J53+J54+J55+J56+J58</f>
        <v>10.399999999999995</v>
      </c>
      <c r="K60" s="30">
        <f t="shared" ref="K60:N60" si="23">+K24+K40+K44+K47+K51+K53+K54+K55+K56+K58</f>
        <v>9.9999999999999982</v>
      </c>
      <c r="L60" s="30">
        <f t="shared" si="23"/>
        <v>10.399999999999995</v>
      </c>
      <c r="M60" s="30">
        <f t="shared" si="23"/>
        <v>9.6999999999999975</v>
      </c>
      <c r="N60" s="30">
        <f t="shared" si="23"/>
        <v>20.6</v>
      </c>
    </row>
    <row r="61" spans="1:14" x14ac:dyDescent="0.2">
      <c r="A61" s="12"/>
      <c r="B61" s="12" t="s">
        <v>166</v>
      </c>
      <c r="C61" s="29">
        <f t="shared" ref="C61:I61" si="24">+C22-C60</f>
        <v>15.200000000000003</v>
      </c>
      <c r="D61" s="29">
        <f t="shared" si="24"/>
        <v>34.5</v>
      </c>
      <c r="E61" s="29">
        <f t="shared" si="24"/>
        <v>19.100000000000001</v>
      </c>
      <c r="F61" s="29">
        <f t="shared" si="24"/>
        <v>24.700000000000003</v>
      </c>
      <c r="G61" s="29">
        <f t="shared" si="24"/>
        <v>17.300000000000004</v>
      </c>
      <c r="H61" s="29">
        <f t="shared" si="24"/>
        <v>12.399999999999999</v>
      </c>
      <c r="I61" s="29">
        <f t="shared" si="24"/>
        <v>8.2999999999999972</v>
      </c>
      <c r="J61" s="29">
        <f>+J22-J60</f>
        <v>17.600000000000005</v>
      </c>
      <c r="K61" s="29">
        <f t="shared" ref="K61:N61" si="25">+K22-K60</f>
        <v>20</v>
      </c>
      <c r="L61" s="29">
        <f t="shared" si="25"/>
        <v>14.600000000000005</v>
      </c>
      <c r="M61" s="29">
        <f t="shared" si="25"/>
        <v>21.300000000000004</v>
      </c>
      <c r="N61" s="29">
        <f t="shared" si="25"/>
        <v>6.3999999999999986</v>
      </c>
    </row>
    <row r="62" spans="1:14" x14ac:dyDescent="0.2">
      <c r="A62" s="9" t="s">
        <v>167</v>
      </c>
      <c r="B62" s="1" t="s">
        <v>168</v>
      </c>
      <c r="C62" s="28">
        <f t="shared" ref="C62:I62" si="26">SUM(C63:C66)</f>
        <v>0</v>
      </c>
      <c r="D62" s="28">
        <f t="shared" si="26"/>
        <v>0</v>
      </c>
      <c r="E62" s="28">
        <f t="shared" si="26"/>
        <v>0</v>
      </c>
      <c r="F62" s="28">
        <f t="shared" si="26"/>
        <v>0</v>
      </c>
      <c r="G62" s="28">
        <f t="shared" si="26"/>
        <v>0</v>
      </c>
      <c r="H62" s="28">
        <f t="shared" si="26"/>
        <v>12.6</v>
      </c>
      <c r="I62" s="28">
        <f t="shared" si="26"/>
        <v>19.8</v>
      </c>
      <c r="J62" s="28">
        <f>SUM(J63:J66)</f>
        <v>12.6</v>
      </c>
      <c r="K62" s="28">
        <f t="shared" ref="K62:N62" si="27">SUM(K63:K66)</f>
        <v>19.8</v>
      </c>
      <c r="L62" s="28">
        <f t="shared" si="27"/>
        <v>12.6</v>
      </c>
      <c r="M62" s="28">
        <f t="shared" si="27"/>
        <v>19.8</v>
      </c>
      <c r="N62" s="28">
        <f t="shared" si="27"/>
        <v>19.8</v>
      </c>
    </row>
    <row r="63" spans="1:14" hidden="1" outlineLevel="1" x14ac:dyDescent="0.2">
      <c r="A63" s="9" t="s">
        <v>169</v>
      </c>
      <c r="B63" s="1" t="s">
        <v>170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0.6</v>
      </c>
      <c r="I63" s="10">
        <v>1.3</v>
      </c>
      <c r="J63" s="10">
        <v>0.6</v>
      </c>
      <c r="K63" s="10">
        <v>1.3</v>
      </c>
      <c r="L63" s="10">
        <v>0.6</v>
      </c>
      <c r="M63" s="10">
        <v>1.3</v>
      </c>
      <c r="N63" s="10">
        <v>1.3</v>
      </c>
    </row>
    <row r="64" spans="1:14" hidden="1" outlineLevel="1" x14ac:dyDescent="0.2">
      <c r="A64" s="9" t="s">
        <v>171</v>
      </c>
      <c r="B64" s="1" t="s">
        <v>172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1</v>
      </c>
      <c r="I64" s="10">
        <v>4.9000000000000004</v>
      </c>
      <c r="J64" s="10">
        <v>1</v>
      </c>
      <c r="K64" s="10">
        <v>4.9000000000000004</v>
      </c>
      <c r="L64" s="10">
        <v>1</v>
      </c>
      <c r="M64" s="10">
        <v>4.9000000000000004</v>
      </c>
      <c r="N64" s="10">
        <v>4.9000000000000004</v>
      </c>
    </row>
    <row r="65" spans="1:14" hidden="1" outlineLevel="1" x14ac:dyDescent="0.2">
      <c r="A65" s="9" t="s">
        <v>175</v>
      </c>
      <c r="B65" s="1" t="s">
        <v>176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10.3</v>
      </c>
      <c r="I65" s="10">
        <v>12.8</v>
      </c>
      <c r="J65" s="10">
        <v>10.3</v>
      </c>
      <c r="K65" s="10">
        <v>12.8</v>
      </c>
      <c r="L65" s="10">
        <v>10.3</v>
      </c>
      <c r="M65" s="10">
        <v>12.8</v>
      </c>
      <c r="N65" s="10">
        <v>12.8</v>
      </c>
    </row>
    <row r="66" spans="1:14" hidden="1" outlineLevel="1" x14ac:dyDescent="0.2">
      <c r="A66" s="9" t="s">
        <v>177</v>
      </c>
      <c r="B66" s="1" t="s">
        <v>178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0.7</v>
      </c>
      <c r="I66" s="10">
        <v>0.8</v>
      </c>
      <c r="J66" s="10">
        <v>0.7</v>
      </c>
      <c r="K66" s="10">
        <v>0.8</v>
      </c>
      <c r="L66" s="10">
        <v>0.7</v>
      </c>
      <c r="M66" s="10">
        <v>0.8</v>
      </c>
      <c r="N66" s="10">
        <v>0.8</v>
      </c>
    </row>
    <row r="67" spans="1:14" collapsed="1" x14ac:dyDescent="0.2">
      <c r="A67" s="9" t="s">
        <v>200</v>
      </c>
      <c r="B67" s="1" t="s">
        <v>201</v>
      </c>
      <c r="C67" s="28">
        <f t="shared" ref="C67:I67" si="28">SUM(C68:C69)</f>
        <v>0</v>
      </c>
      <c r="D67" s="28">
        <f t="shared" si="28"/>
        <v>0</v>
      </c>
      <c r="E67" s="28">
        <f t="shared" si="28"/>
        <v>0</v>
      </c>
      <c r="F67" s="28">
        <f t="shared" si="28"/>
        <v>1.2</v>
      </c>
      <c r="G67" s="28">
        <f t="shared" si="28"/>
        <v>0.9</v>
      </c>
      <c r="H67" s="28">
        <f t="shared" si="28"/>
        <v>0.9</v>
      </c>
      <c r="I67" s="28">
        <f t="shared" si="28"/>
        <v>1.1000000000000001</v>
      </c>
      <c r="J67" s="28">
        <f>SUM(J68:J69)</f>
        <v>1.2</v>
      </c>
      <c r="K67" s="28">
        <f t="shared" ref="K67:N67" si="29">SUM(K68:K69)</f>
        <v>1.2</v>
      </c>
      <c r="L67" s="28">
        <f t="shared" si="29"/>
        <v>0.9</v>
      </c>
      <c r="M67" s="28">
        <f t="shared" si="29"/>
        <v>0.9</v>
      </c>
      <c r="N67" s="28">
        <f t="shared" si="29"/>
        <v>1.1000000000000001</v>
      </c>
    </row>
    <row r="68" spans="1:14" hidden="1" outlineLevel="1" x14ac:dyDescent="0.2">
      <c r="A68" s="9" t="s">
        <v>218</v>
      </c>
      <c r="B68" s="1" t="s">
        <v>219</v>
      </c>
      <c r="C68" s="10">
        <v>0</v>
      </c>
      <c r="D68" s="10">
        <v>0</v>
      </c>
      <c r="E68" s="10">
        <v>0</v>
      </c>
      <c r="F68" s="10">
        <v>1.2</v>
      </c>
      <c r="G68" s="10">
        <v>0.9</v>
      </c>
      <c r="H68" s="10">
        <v>0.9</v>
      </c>
      <c r="I68" s="10">
        <v>1.1000000000000001</v>
      </c>
      <c r="J68" s="10">
        <v>1.2</v>
      </c>
      <c r="K68" s="10">
        <v>1.2</v>
      </c>
      <c r="L68" s="10">
        <v>0.9</v>
      </c>
      <c r="M68" s="10">
        <v>0.9</v>
      </c>
      <c r="N68" s="10">
        <v>1.1000000000000001</v>
      </c>
    </row>
    <row r="69" spans="1:14" hidden="1" outlineLevel="1" x14ac:dyDescent="0.2">
      <c r="A69" s="9" t="s">
        <v>220</v>
      </c>
      <c r="B69" s="1" t="s">
        <v>221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</row>
    <row r="70" spans="1:14" collapsed="1" x14ac:dyDescent="0.2">
      <c r="A70" s="9" t="s">
        <v>226</v>
      </c>
      <c r="B70" s="1" t="s">
        <v>227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28">
        <v>0</v>
      </c>
      <c r="K70" s="28">
        <v>0</v>
      </c>
      <c r="L70" s="28">
        <v>0</v>
      </c>
      <c r="M70" s="28">
        <v>0</v>
      </c>
      <c r="N70" s="28">
        <v>0</v>
      </c>
    </row>
    <row r="71" spans="1:14" x14ac:dyDescent="0.2">
      <c r="A71" s="9" t="s">
        <v>228</v>
      </c>
      <c r="B71" s="1" t="s">
        <v>229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28">
        <v>0</v>
      </c>
      <c r="K71" s="28">
        <v>0</v>
      </c>
      <c r="L71" s="28">
        <v>0</v>
      </c>
      <c r="M71" s="28">
        <v>0</v>
      </c>
      <c r="N71" s="28">
        <v>0</v>
      </c>
    </row>
    <row r="72" spans="1:14" x14ac:dyDescent="0.2">
      <c r="A72" s="9" t="s">
        <v>230</v>
      </c>
      <c r="B72" s="1" t="s">
        <v>231</v>
      </c>
      <c r="C72" s="28">
        <f t="shared" ref="C72:I72" si="30">+C73+C74</f>
        <v>0</v>
      </c>
      <c r="D72" s="28">
        <f t="shared" si="30"/>
        <v>0</v>
      </c>
      <c r="E72" s="28">
        <f t="shared" si="30"/>
        <v>0</v>
      </c>
      <c r="F72" s="28">
        <f t="shared" si="30"/>
        <v>5.9</v>
      </c>
      <c r="G72" s="28">
        <f t="shared" si="30"/>
        <v>4.3</v>
      </c>
      <c r="H72" s="28">
        <f t="shared" si="30"/>
        <v>4.9000000000000004</v>
      </c>
      <c r="I72" s="28">
        <f t="shared" si="30"/>
        <v>6.2</v>
      </c>
      <c r="J72" s="28">
        <f>+J73+J74</f>
        <v>5.9</v>
      </c>
      <c r="K72" s="28">
        <f t="shared" ref="K72:N72" si="31">+K73+K74</f>
        <v>5.9</v>
      </c>
      <c r="L72" s="28">
        <f t="shared" si="31"/>
        <v>4.3</v>
      </c>
      <c r="M72" s="28">
        <f t="shared" si="31"/>
        <v>4.9000000000000004</v>
      </c>
      <c r="N72" s="28">
        <f t="shared" si="31"/>
        <v>6.2</v>
      </c>
    </row>
    <row r="73" spans="1:14" hidden="1" outlineLevel="1" x14ac:dyDescent="0.2">
      <c r="A73" s="9" t="s">
        <v>232</v>
      </c>
      <c r="B73" s="1" t="s">
        <v>233</v>
      </c>
      <c r="C73" s="10">
        <v>0</v>
      </c>
      <c r="D73" s="10">
        <v>0</v>
      </c>
      <c r="E73" s="10">
        <v>0</v>
      </c>
      <c r="F73" s="10">
        <v>5.9</v>
      </c>
      <c r="G73" s="10">
        <v>4.7</v>
      </c>
      <c r="H73" s="10">
        <v>4.9000000000000004</v>
      </c>
      <c r="I73" s="10">
        <v>6.2</v>
      </c>
      <c r="J73" s="10">
        <v>5.9</v>
      </c>
      <c r="K73" s="10">
        <v>5.9</v>
      </c>
      <c r="L73" s="10">
        <v>4.7</v>
      </c>
      <c r="M73" s="10">
        <v>4.9000000000000004</v>
      </c>
      <c r="N73" s="10">
        <v>6.2</v>
      </c>
    </row>
    <row r="74" spans="1:14" hidden="1" outlineLevel="1" x14ac:dyDescent="0.2">
      <c r="A74" s="9" t="s">
        <v>234</v>
      </c>
      <c r="B74" s="1" t="s">
        <v>235</v>
      </c>
      <c r="C74" s="10">
        <v>0</v>
      </c>
      <c r="D74" s="10">
        <v>0</v>
      </c>
      <c r="E74" s="10">
        <v>0</v>
      </c>
      <c r="F74" s="10">
        <v>0</v>
      </c>
      <c r="G74" s="10">
        <v>-0.4</v>
      </c>
      <c r="H74" s="10">
        <v>0</v>
      </c>
      <c r="I74" s="10">
        <v>0</v>
      </c>
      <c r="J74" s="10">
        <v>0</v>
      </c>
      <c r="K74" s="10">
        <v>0</v>
      </c>
      <c r="L74" s="10">
        <v>-0.4</v>
      </c>
      <c r="M74" s="10">
        <v>0</v>
      </c>
      <c r="N74" s="10">
        <v>0</v>
      </c>
    </row>
    <row r="75" spans="1:14" collapsed="1" x14ac:dyDescent="0.2">
      <c r="A75" s="3"/>
      <c r="B75" s="3" t="s">
        <v>236</v>
      </c>
      <c r="C75" s="30">
        <f t="shared" ref="C75:I75" si="32">+C62+C67+C70+C71+C72</f>
        <v>0</v>
      </c>
      <c r="D75" s="30">
        <f t="shared" si="32"/>
        <v>0</v>
      </c>
      <c r="E75" s="30">
        <f t="shared" si="32"/>
        <v>0</v>
      </c>
      <c r="F75" s="30">
        <f t="shared" si="32"/>
        <v>7.1000000000000005</v>
      </c>
      <c r="G75" s="30">
        <f t="shared" si="32"/>
        <v>5.2</v>
      </c>
      <c r="H75" s="30">
        <f t="shared" si="32"/>
        <v>18.399999999999999</v>
      </c>
      <c r="I75" s="30">
        <f t="shared" si="32"/>
        <v>27.1</v>
      </c>
      <c r="J75" s="30">
        <f>+J62+J67+J70+J71+J72</f>
        <v>19.7</v>
      </c>
      <c r="K75" s="30">
        <f t="shared" ref="K75:N75" si="33">+K62+K67+K70+K71+K72</f>
        <v>26.9</v>
      </c>
      <c r="L75" s="30">
        <f t="shared" si="33"/>
        <v>17.8</v>
      </c>
      <c r="M75" s="30">
        <f t="shared" si="33"/>
        <v>25.6</v>
      </c>
      <c r="N75" s="30">
        <f t="shared" si="33"/>
        <v>27.1</v>
      </c>
    </row>
    <row r="76" spans="1:14" x14ac:dyDescent="0.2">
      <c r="A76" s="12"/>
      <c r="B76" s="12" t="s">
        <v>237</v>
      </c>
      <c r="C76" s="29">
        <f t="shared" ref="C76:I76" si="34">+C61-C75</f>
        <v>15.200000000000003</v>
      </c>
      <c r="D76" s="29">
        <f t="shared" si="34"/>
        <v>34.5</v>
      </c>
      <c r="E76" s="29">
        <f t="shared" si="34"/>
        <v>19.100000000000001</v>
      </c>
      <c r="F76" s="29">
        <f t="shared" si="34"/>
        <v>17.600000000000001</v>
      </c>
      <c r="G76" s="29">
        <f t="shared" si="34"/>
        <v>12.100000000000005</v>
      </c>
      <c r="H76" s="29">
        <f t="shared" si="34"/>
        <v>-6</v>
      </c>
      <c r="I76" s="29">
        <f t="shared" si="34"/>
        <v>-18.800000000000004</v>
      </c>
      <c r="J76" s="29">
        <f>+J61-J75</f>
        <v>-2.0999999999999943</v>
      </c>
      <c r="K76" s="29">
        <f t="shared" ref="K76:N76" si="35">+K61-K75</f>
        <v>-6.8999999999999986</v>
      </c>
      <c r="L76" s="29">
        <f t="shared" si="35"/>
        <v>-3.1999999999999957</v>
      </c>
      <c r="M76" s="29">
        <f t="shared" si="35"/>
        <v>-4.2999999999999972</v>
      </c>
      <c r="N76" s="29">
        <f t="shared" si="35"/>
        <v>-20.700000000000003</v>
      </c>
    </row>
    <row r="77" spans="1:14" x14ac:dyDescent="0.2">
      <c r="A77" s="9" t="s">
        <v>238</v>
      </c>
      <c r="B77" s="1" t="s">
        <v>239</v>
      </c>
      <c r="C77" s="28">
        <f t="shared" ref="C77:I77" si="36">SUM(C78:C80)</f>
        <v>0.1</v>
      </c>
      <c r="D77" s="28">
        <f t="shared" si="36"/>
        <v>0.3</v>
      </c>
      <c r="E77" s="28">
        <f t="shared" si="36"/>
        <v>0.2</v>
      </c>
      <c r="F77" s="28">
        <f t="shared" si="36"/>
        <v>0.2</v>
      </c>
      <c r="G77" s="28">
        <f t="shared" si="36"/>
        <v>0.2</v>
      </c>
      <c r="H77" s="28">
        <f t="shared" si="36"/>
        <v>0.1</v>
      </c>
      <c r="I77" s="28">
        <f t="shared" si="36"/>
        <v>0.2</v>
      </c>
      <c r="J77" s="28">
        <f>SUM(J78:J80)</f>
        <v>0.2</v>
      </c>
      <c r="K77" s="28">
        <f t="shared" ref="K77:N77" si="37">SUM(K78:K80)</f>
        <v>0.2</v>
      </c>
      <c r="L77" s="28">
        <f t="shared" si="37"/>
        <v>0.2</v>
      </c>
      <c r="M77" s="28">
        <f t="shared" si="37"/>
        <v>0.1</v>
      </c>
      <c r="N77" s="28">
        <f t="shared" si="37"/>
        <v>0.2</v>
      </c>
    </row>
    <row r="78" spans="1:14" hidden="1" outlineLevel="1" x14ac:dyDescent="0.2">
      <c r="A78" s="9" t="s">
        <v>240</v>
      </c>
      <c r="B78" s="1" t="s">
        <v>241</v>
      </c>
      <c r="C78" s="10">
        <v>0.1</v>
      </c>
      <c r="D78" s="10">
        <v>0.3</v>
      </c>
      <c r="E78" s="10">
        <v>0.2</v>
      </c>
      <c r="F78" s="10">
        <v>0.2</v>
      </c>
      <c r="G78" s="10">
        <v>0.2</v>
      </c>
      <c r="H78" s="10">
        <v>0.1</v>
      </c>
      <c r="I78" s="10">
        <v>0.2</v>
      </c>
      <c r="J78" s="10">
        <v>0.2</v>
      </c>
      <c r="K78" s="10">
        <v>0.2</v>
      </c>
      <c r="L78" s="10">
        <v>0.2</v>
      </c>
      <c r="M78" s="10">
        <v>0.1</v>
      </c>
      <c r="N78" s="10">
        <v>0.2</v>
      </c>
    </row>
    <row r="79" spans="1:14" hidden="1" outlineLevel="1" x14ac:dyDescent="0.2">
      <c r="A79" s="9" t="s">
        <v>359</v>
      </c>
      <c r="B79" s="1" t="s">
        <v>360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</row>
    <row r="80" spans="1:14" hidden="1" outlineLevel="1" x14ac:dyDescent="0.2">
      <c r="A80" s="9" t="s">
        <v>361</v>
      </c>
      <c r="B80" s="1" t="s">
        <v>362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</row>
    <row r="81" spans="1:14" collapsed="1" x14ac:dyDescent="0.2">
      <c r="A81" s="9" t="s">
        <v>244</v>
      </c>
      <c r="B81" s="1" t="s">
        <v>245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28">
        <v>0</v>
      </c>
      <c r="K81" s="28">
        <v>0</v>
      </c>
      <c r="L81" s="28">
        <v>0</v>
      </c>
      <c r="M81" s="28">
        <v>0</v>
      </c>
      <c r="N81" s="28">
        <v>0</v>
      </c>
    </row>
    <row r="82" spans="1:14" x14ac:dyDescent="0.2">
      <c r="A82" s="12"/>
      <c r="B82" s="12" t="s">
        <v>246</v>
      </c>
      <c r="C82" s="29">
        <f t="shared" ref="C82:I82" si="38">+C76-(C77+C81)</f>
        <v>15.100000000000003</v>
      </c>
      <c r="D82" s="29">
        <f t="shared" si="38"/>
        <v>34.200000000000003</v>
      </c>
      <c r="E82" s="29">
        <f t="shared" si="38"/>
        <v>18.900000000000002</v>
      </c>
      <c r="F82" s="29">
        <f t="shared" si="38"/>
        <v>17.400000000000002</v>
      </c>
      <c r="G82" s="29">
        <f t="shared" si="38"/>
        <v>11.900000000000006</v>
      </c>
      <c r="H82" s="29">
        <f t="shared" si="38"/>
        <v>-6.1</v>
      </c>
      <c r="I82" s="29">
        <f t="shared" si="38"/>
        <v>-19.000000000000004</v>
      </c>
      <c r="J82" s="29">
        <f>+J76-(J77+J81)</f>
        <v>-2.2999999999999945</v>
      </c>
      <c r="K82" s="29">
        <f t="shared" ref="K82:N82" si="39">+K76-(K77+K81)</f>
        <v>-7.0999999999999988</v>
      </c>
      <c r="L82" s="29">
        <f t="shared" si="39"/>
        <v>-3.3999999999999959</v>
      </c>
      <c r="M82" s="29">
        <f t="shared" si="39"/>
        <v>-4.3999999999999968</v>
      </c>
      <c r="N82" s="29">
        <f t="shared" si="39"/>
        <v>-20.900000000000002</v>
      </c>
    </row>
    <row r="83" spans="1:14" x14ac:dyDescent="0.2">
      <c r="A83" s="9" t="s">
        <v>74</v>
      </c>
      <c r="B83" s="1" t="s">
        <v>74</v>
      </c>
      <c r="C83" s="15" t="s">
        <v>74</v>
      </c>
      <c r="D83" s="15" t="s">
        <v>74</v>
      </c>
      <c r="E83" s="15" t="s">
        <v>74</v>
      </c>
      <c r="F83" s="15" t="s">
        <v>74</v>
      </c>
      <c r="G83" s="15" t="s">
        <v>74</v>
      </c>
      <c r="H83" s="15" t="s">
        <v>74</v>
      </c>
      <c r="I83" s="15" t="s">
        <v>74</v>
      </c>
      <c r="J83" s="15" t="s">
        <v>74</v>
      </c>
      <c r="K83" s="15" t="s">
        <v>74</v>
      </c>
      <c r="L83" s="15" t="s">
        <v>74</v>
      </c>
      <c r="M83" s="15" t="s">
        <v>74</v>
      </c>
      <c r="N83" s="15" t="s">
        <v>74</v>
      </c>
    </row>
    <row r="84" spans="1:14" x14ac:dyDescent="0.2">
      <c r="A84" s="12"/>
      <c r="B84" s="12" t="s">
        <v>247</v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</row>
    <row r="85" spans="1:14" x14ac:dyDescent="0.2">
      <c r="A85" s="9" t="s">
        <v>248</v>
      </c>
      <c r="B85" s="1" t="s">
        <v>249</v>
      </c>
      <c r="C85" s="15">
        <v>1</v>
      </c>
      <c r="D85" s="15">
        <v>2</v>
      </c>
      <c r="E85" s="15">
        <v>2</v>
      </c>
      <c r="F85" s="15">
        <v>2</v>
      </c>
      <c r="G85" s="15">
        <v>2</v>
      </c>
      <c r="H85" s="15">
        <v>3</v>
      </c>
      <c r="I85" s="15">
        <v>3</v>
      </c>
      <c r="J85" s="15">
        <v>2</v>
      </c>
      <c r="K85" s="15">
        <v>2</v>
      </c>
      <c r="L85" s="15">
        <v>2</v>
      </c>
      <c r="M85" s="15">
        <v>3</v>
      </c>
      <c r="N85" s="15">
        <v>3</v>
      </c>
    </row>
    <row r="86" spans="1:14" hidden="1" outlineLevel="1" x14ac:dyDescent="0.2">
      <c r="A86" s="9" t="s">
        <v>250</v>
      </c>
      <c r="B86" s="1" t="s">
        <v>251</v>
      </c>
      <c r="C86" s="15">
        <v>1</v>
      </c>
      <c r="D86" s="15">
        <v>2</v>
      </c>
      <c r="E86" s="15">
        <v>2</v>
      </c>
      <c r="F86" s="15">
        <v>2</v>
      </c>
      <c r="G86" s="15">
        <v>2</v>
      </c>
      <c r="H86" s="15">
        <v>3</v>
      </c>
      <c r="I86" s="15">
        <v>3</v>
      </c>
      <c r="J86" s="15">
        <v>2</v>
      </c>
      <c r="K86" s="15">
        <v>2</v>
      </c>
      <c r="L86" s="15">
        <v>2</v>
      </c>
      <c r="M86" s="15">
        <v>3</v>
      </c>
      <c r="N86" s="15">
        <v>3</v>
      </c>
    </row>
    <row r="87" spans="1:14" collapsed="1" x14ac:dyDescent="0.2">
      <c r="A87" s="9" t="s">
        <v>252</v>
      </c>
      <c r="B87" s="1" t="s">
        <v>253</v>
      </c>
      <c r="C87" s="15">
        <v>1</v>
      </c>
      <c r="D87" s="15">
        <v>4</v>
      </c>
      <c r="E87" s="15">
        <v>4</v>
      </c>
      <c r="F87" s="15">
        <v>4.5</v>
      </c>
      <c r="G87" s="15">
        <v>4.4000000000000004</v>
      </c>
      <c r="H87" s="15">
        <v>5.4</v>
      </c>
      <c r="I87" s="15">
        <v>5.4</v>
      </c>
      <c r="J87" s="15">
        <v>4.5</v>
      </c>
      <c r="K87" s="15">
        <v>4.5</v>
      </c>
      <c r="L87" s="15">
        <v>4.4000000000000004</v>
      </c>
      <c r="M87" s="15">
        <v>5.4</v>
      </c>
      <c r="N87" s="15">
        <v>5.4</v>
      </c>
    </row>
    <row r="88" spans="1:14" hidden="1" outlineLevel="1" x14ac:dyDescent="0.2">
      <c r="A88" s="9" t="s">
        <v>254</v>
      </c>
      <c r="B88" s="1" t="s">
        <v>255</v>
      </c>
      <c r="C88" s="15">
        <v>1</v>
      </c>
      <c r="D88" s="15">
        <v>4</v>
      </c>
      <c r="E88" s="15">
        <v>4</v>
      </c>
      <c r="F88" s="15">
        <v>4.5</v>
      </c>
      <c r="G88" s="15">
        <v>4.4000000000000004</v>
      </c>
      <c r="H88" s="15">
        <v>5.4</v>
      </c>
      <c r="I88" s="15">
        <v>5.4</v>
      </c>
      <c r="J88" s="15">
        <v>4.5</v>
      </c>
      <c r="K88" s="15">
        <v>4.5</v>
      </c>
      <c r="L88" s="15">
        <v>4.4000000000000004</v>
      </c>
      <c r="M88" s="15">
        <v>5.4</v>
      </c>
      <c r="N88" s="15">
        <v>5.4</v>
      </c>
    </row>
    <row r="89" spans="1:14" collapsed="1" x14ac:dyDescent="0.2">
      <c r="A89" s="9" t="s">
        <v>256</v>
      </c>
      <c r="B89" s="1" t="s">
        <v>257</v>
      </c>
      <c r="C89" s="15">
        <v>0</v>
      </c>
      <c r="D89" s="15">
        <v>0</v>
      </c>
      <c r="E89" s="15">
        <v>0</v>
      </c>
      <c r="F89" s="15">
        <v>0.6</v>
      </c>
      <c r="G89" s="15">
        <v>0.4</v>
      </c>
      <c r="H89" s="15">
        <v>0.4</v>
      </c>
      <c r="I89" s="15">
        <v>0.4</v>
      </c>
      <c r="J89" s="15">
        <v>0.6</v>
      </c>
      <c r="K89" s="15">
        <v>0.6</v>
      </c>
      <c r="L89" s="15">
        <v>0.4</v>
      </c>
      <c r="M89" s="15">
        <v>0.4</v>
      </c>
      <c r="N89" s="15">
        <v>0.4</v>
      </c>
    </row>
    <row r="90" spans="1:14" hidden="1" outlineLevel="1" x14ac:dyDescent="0.2">
      <c r="A90" s="9" t="s">
        <v>258</v>
      </c>
      <c r="B90" s="1" t="s">
        <v>259</v>
      </c>
      <c r="C90" s="15">
        <v>0</v>
      </c>
      <c r="D90" s="15">
        <v>0</v>
      </c>
      <c r="E90" s="15">
        <v>0</v>
      </c>
      <c r="F90" s="15">
        <v>0.6</v>
      </c>
      <c r="G90" s="15">
        <v>0.4</v>
      </c>
      <c r="H90" s="15">
        <v>0.4</v>
      </c>
      <c r="I90" s="15">
        <v>0.4</v>
      </c>
      <c r="J90" s="15">
        <v>0.6</v>
      </c>
      <c r="K90" s="15">
        <v>0.6</v>
      </c>
      <c r="L90" s="15">
        <v>0.4</v>
      </c>
      <c r="M90" s="15">
        <v>0.4</v>
      </c>
      <c r="N90" s="15">
        <v>0.4</v>
      </c>
    </row>
    <row r="91" spans="1:14" collapsed="1" x14ac:dyDescent="0.2">
      <c r="A91" s="9" t="s">
        <v>260</v>
      </c>
      <c r="B91" s="1" t="s">
        <v>261</v>
      </c>
      <c r="C91" s="15">
        <v>0</v>
      </c>
      <c r="D91" s="15">
        <v>2</v>
      </c>
      <c r="E91" s="15">
        <v>2</v>
      </c>
      <c r="F91" s="15">
        <v>2</v>
      </c>
      <c r="G91" s="15">
        <v>2</v>
      </c>
      <c r="H91" s="15">
        <v>3</v>
      </c>
      <c r="I91" s="15">
        <v>3</v>
      </c>
      <c r="J91" s="15">
        <v>2</v>
      </c>
      <c r="K91" s="15">
        <v>2</v>
      </c>
      <c r="L91" s="15">
        <v>2</v>
      </c>
      <c r="M91" s="15">
        <v>3</v>
      </c>
      <c r="N91" s="15">
        <v>3</v>
      </c>
    </row>
    <row r="92" spans="1:14" hidden="1" outlineLevel="1" x14ac:dyDescent="0.2">
      <c r="A92" s="9" t="s">
        <v>262</v>
      </c>
      <c r="B92" s="1" t="s">
        <v>263</v>
      </c>
      <c r="C92" s="15">
        <v>0</v>
      </c>
      <c r="D92" s="15">
        <v>2</v>
      </c>
      <c r="E92" s="15">
        <v>2</v>
      </c>
      <c r="F92" s="15">
        <v>2</v>
      </c>
      <c r="G92" s="15">
        <v>2</v>
      </c>
      <c r="H92" s="15">
        <v>3</v>
      </c>
      <c r="I92" s="15">
        <v>3</v>
      </c>
      <c r="J92" s="15">
        <v>2</v>
      </c>
      <c r="K92" s="15">
        <v>2</v>
      </c>
      <c r="L92" s="15">
        <v>2</v>
      </c>
      <c r="M92" s="15">
        <v>3</v>
      </c>
      <c r="N92" s="15">
        <v>3</v>
      </c>
    </row>
    <row r="93" spans="1:14" collapsed="1" x14ac:dyDescent="0.2">
      <c r="A93" s="9" t="s">
        <v>264</v>
      </c>
      <c r="B93" s="1" t="s">
        <v>265</v>
      </c>
      <c r="C93" s="15">
        <v>0</v>
      </c>
      <c r="D93" s="15">
        <v>2</v>
      </c>
      <c r="E93" s="15">
        <v>2</v>
      </c>
      <c r="F93" s="15">
        <v>2</v>
      </c>
      <c r="G93" s="15">
        <v>2</v>
      </c>
      <c r="H93" s="15">
        <v>2</v>
      </c>
      <c r="I93" s="15">
        <v>2</v>
      </c>
      <c r="J93" s="15">
        <v>2</v>
      </c>
      <c r="K93" s="15">
        <v>2</v>
      </c>
      <c r="L93" s="15">
        <v>2</v>
      </c>
      <c r="M93" s="15">
        <v>2</v>
      </c>
      <c r="N93" s="15">
        <v>2</v>
      </c>
    </row>
    <row r="94" spans="1:14" hidden="1" outlineLevel="1" x14ac:dyDescent="0.2">
      <c r="A94" s="9" t="s">
        <v>266</v>
      </c>
      <c r="B94" s="1" t="s">
        <v>267</v>
      </c>
      <c r="C94" s="15">
        <v>0</v>
      </c>
      <c r="D94" s="15">
        <v>2</v>
      </c>
      <c r="E94" s="15">
        <v>2</v>
      </c>
      <c r="F94" s="15">
        <v>2</v>
      </c>
      <c r="G94" s="15">
        <v>2</v>
      </c>
      <c r="H94" s="15">
        <v>2</v>
      </c>
      <c r="I94" s="15">
        <v>2</v>
      </c>
      <c r="J94" s="15">
        <v>2</v>
      </c>
      <c r="K94" s="15">
        <v>2</v>
      </c>
      <c r="L94" s="15">
        <v>2</v>
      </c>
      <c r="M94" s="15">
        <v>2</v>
      </c>
      <c r="N94" s="15">
        <v>2</v>
      </c>
    </row>
    <row r="95" spans="1:14" collapsed="1" x14ac:dyDescent="0.2">
      <c r="A95" s="9" t="s">
        <v>268</v>
      </c>
      <c r="B95" s="1" t="s">
        <v>269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">
      <c r="A96" s="9" t="s">
        <v>270</v>
      </c>
      <c r="B96" s="1" t="s">
        <v>271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">
      <c r="A97" s="9" t="s">
        <v>272</v>
      </c>
      <c r="B97" s="1" t="s">
        <v>273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">
      <c r="A98" s="9" t="s">
        <v>274</v>
      </c>
      <c r="B98" s="1" t="s">
        <v>275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">
      <c r="A99" s="9" t="s">
        <v>276</v>
      </c>
      <c r="B99" s="1" t="s">
        <v>277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">
      <c r="A100" s="9" t="s">
        <v>280</v>
      </c>
      <c r="B100" s="1" t="s">
        <v>281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">
      <c r="A101" s="9" t="s">
        <v>284</v>
      </c>
      <c r="B101" s="1" t="s">
        <v>285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">
      <c r="A102" s="9" t="s">
        <v>288</v>
      </c>
      <c r="B102" s="1" t="s">
        <v>289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">
      <c r="A103" s="3"/>
      <c r="B103" s="3" t="s">
        <v>290</v>
      </c>
      <c r="C103" s="17">
        <v>24.8</v>
      </c>
      <c r="D103" s="17">
        <v>10.5</v>
      </c>
      <c r="E103" s="17">
        <v>7.2</v>
      </c>
      <c r="F103" s="17">
        <v>7.2</v>
      </c>
      <c r="G103" s="17">
        <v>6.1</v>
      </c>
      <c r="H103" s="17">
        <v>5.8</v>
      </c>
      <c r="I103" s="17">
        <v>5.7</v>
      </c>
      <c r="J103" s="17">
        <v>7.2</v>
      </c>
      <c r="K103" s="17">
        <v>7.2</v>
      </c>
      <c r="L103" s="17">
        <v>6.1</v>
      </c>
      <c r="M103" s="17">
        <v>5.8</v>
      </c>
      <c r="N103" s="17">
        <v>5.7</v>
      </c>
    </row>
    <row r="104" spans="1:14" x14ac:dyDescent="0.2">
      <c r="A104" s="3"/>
      <c r="B104" s="3" t="s">
        <v>291</v>
      </c>
      <c r="C104" s="17" t="s">
        <v>292</v>
      </c>
      <c r="D104" s="17" t="s">
        <v>292</v>
      </c>
      <c r="E104" s="17" t="s">
        <v>292</v>
      </c>
      <c r="F104" s="17" t="s">
        <v>292</v>
      </c>
      <c r="G104" s="17" t="s">
        <v>292</v>
      </c>
      <c r="H104" s="17" t="s">
        <v>292</v>
      </c>
      <c r="I104" s="17" t="s">
        <v>292</v>
      </c>
      <c r="J104" s="17" t="s">
        <v>292</v>
      </c>
      <c r="K104" s="17" t="s">
        <v>292</v>
      </c>
      <c r="L104" s="17" t="s">
        <v>292</v>
      </c>
      <c r="M104" s="17" t="s">
        <v>292</v>
      </c>
      <c r="N104" s="17" t="s">
        <v>292</v>
      </c>
    </row>
    <row r="105" spans="1:14" x14ac:dyDescent="0.2">
      <c r="A105" s="3"/>
      <c r="B105" s="3" t="s">
        <v>293</v>
      </c>
      <c r="C105" s="17" t="s">
        <v>292</v>
      </c>
      <c r="D105" s="17" t="s">
        <v>292</v>
      </c>
      <c r="E105" s="17" t="s">
        <v>292</v>
      </c>
      <c r="F105" s="17" t="s">
        <v>292</v>
      </c>
      <c r="G105" s="17" t="s">
        <v>292</v>
      </c>
      <c r="H105" s="17" t="s">
        <v>292</v>
      </c>
      <c r="I105" s="17" t="s">
        <v>292</v>
      </c>
      <c r="J105" s="17" t="s">
        <v>292</v>
      </c>
      <c r="K105" s="17" t="s">
        <v>292</v>
      </c>
      <c r="L105" s="17" t="s">
        <v>292</v>
      </c>
      <c r="M105" s="17" t="s">
        <v>292</v>
      </c>
      <c r="N105" s="17" t="s">
        <v>292</v>
      </c>
    </row>
    <row r="106" spans="1:14" x14ac:dyDescent="0.2">
      <c r="A106" s="3"/>
      <c r="B106" s="3" t="s">
        <v>294</v>
      </c>
      <c r="C106" s="17">
        <v>0</v>
      </c>
      <c r="D106" s="17">
        <v>0</v>
      </c>
      <c r="E106" s="17">
        <v>0</v>
      </c>
      <c r="F106" s="17">
        <v>0</v>
      </c>
      <c r="G106" s="17">
        <v>0</v>
      </c>
      <c r="H106" s="17">
        <v>0</v>
      </c>
      <c r="I106" s="17">
        <v>0</v>
      </c>
      <c r="J106" s="17">
        <v>0</v>
      </c>
      <c r="K106" s="17">
        <v>0</v>
      </c>
      <c r="L106" s="17">
        <v>0</v>
      </c>
      <c r="M106" s="17">
        <v>0</v>
      </c>
      <c r="N106" s="17">
        <v>0</v>
      </c>
    </row>
    <row r="107" spans="1:14" x14ac:dyDescent="0.2">
      <c r="A107" s="12"/>
      <c r="B107" s="12" t="s">
        <v>295</v>
      </c>
      <c r="C107" s="16" t="s">
        <v>292</v>
      </c>
      <c r="D107" s="16" t="s">
        <v>292</v>
      </c>
      <c r="E107" s="16" t="s">
        <v>292</v>
      </c>
      <c r="F107" s="16" t="s">
        <v>292</v>
      </c>
      <c r="G107" s="16" t="s">
        <v>292</v>
      </c>
      <c r="H107" s="16" t="s">
        <v>292</v>
      </c>
      <c r="I107" s="16" t="s">
        <v>292</v>
      </c>
      <c r="J107" s="16" t="s">
        <v>292</v>
      </c>
      <c r="K107" s="16" t="s">
        <v>292</v>
      </c>
      <c r="L107" s="16" t="s">
        <v>292</v>
      </c>
      <c r="M107" s="16" t="s">
        <v>292</v>
      </c>
      <c r="N107" s="16" t="s">
        <v>292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FE37-D940-482A-8C75-B9D3FFDF5C16}">
  <sheetPr codeName="Hoja69">
    <tabColor theme="9" tint="-0.249977111117893"/>
  </sheetPr>
  <dimension ref="A1:N82"/>
  <sheetViews>
    <sheetView zoomScale="55" zoomScaleNormal="55" workbookViewId="0">
      <pane ySplit="6" topLeftCell="A7" activePane="bottomLeft" state="frozen"/>
      <selection activeCell="I54" sqref="I54"/>
      <selection pane="bottomLeft" activeCell="O71" sqref="O71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391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28">
        <f t="shared" ref="C7:I7" si="0">SUM(C8:C10)</f>
        <v>28</v>
      </c>
      <c r="D7" s="28">
        <f t="shared" si="0"/>
        <v>28.6</v>
      </c>
      <c r="E7" s="28">
        <f t="shared" si="0"/>
        <v>29.3</v>
      </c>
      <c r="F7" s="28">
        <f t="shared" si="0"/>
        <v>33.1</v>
      </c>
      <c r="G7" s="28">
        <f t="shared" si="0"/>
        <v>32.700000000000003</v>
      </c>
      <c r="H7" s="28">
        <f t="shared" si="0"/>
        <v>39</v>
      </c>
      <c r="I7" s="28">
        <f t="shared" si="0"/>
        <v>34.5</v>
      </c>
      <c r="J7" s="28">
        <f>SUM(J8:J10)</f>
        <v>26</v>
      </c>
      <c r="K7" s="28">
        <f t="shared" ref="K7:N7" si="1">SUM(K8:K10)</f>
        <v>32</v>
      </c>
      <c r="L7" s="28">
        <f t="shared" si="1"/>
        <v>37</v>
      </c>
      <c r="M7" s="28">
        <f t="shared" si="1"/>
        <v>37</v>
      </c>
      <c r="N7" s="28">
        <f t="shared" si="1"/>
        <v>34</v>
      </c>
    </row>
    <row r="8" spans="1:14" hidden="1" outlineLevel="1" x14ac:dyDescent="0.2">
      <c r="A8" s="9" t="s">
        <v>31</v>
      </c>
      <c r="B8" s="1" t="s">
        <v>32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39</v>
      </c>
      <c r="I8" s="10">
        <v>34.5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33</v>
      </c>
      <c r="B9" s="1" t="s">
        <v>34</v>
      </c>
      <c r="C9" s="10">
        <v>28</v>
      </c>
      <c r="D9" s="10">
        <v>28.6</v>
      </c>
      <c r="E9" s="10">
        <v>29.3</v>
      </c>
      <c r="F9" s="10">
        <v>33.1</v>
      </c>
      <c r="G9" s="10">
        <v>32.700000000000003</v>
      </c>
      <c r="H9" s="10">
        <v>0</v>
      </c>
      <c r="I9" s="10">
        <v>0</v>
      </c>
      <c r="J9" s="10">
        <v>26</v>
      </c>
      <c r="K9" s="10">
        <v>32</v>
      </c>
      <c r="L9" s="10">
        <v>37</v>
      </c>
      <c r="M9" s="10">
        <v>37</v>
      </c>
      <c r="N9" s="10">
        <v>34</v>
      </c>
    </row>
    <row r="10" spans="1:14" hidden="1" outlineLevel="1" x14ac:dyDescent="0.2">
      <c r="A10" s="9" t="s">
        <v>35</v>
      </c>
      <c r="B10" s="1" t="s">
        <v>36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collapsed="1" x14ac:dyDescent="0.2">
      <c r="A11" s="9" t="s">
        <v>37</v>
      </c>
      <c r="B11" s="1" t="s">
        <v>38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28">
        <v>0</v>
      </c>
      <c r="K11" s="28">
        <v>0</v>
      </c>
      <c r="L11" s="28">
        <v>0</v>
      </c>
      <c r="M11" s="28">
        <v>0</v>
      </c>
      <c r="N11" s="28">
        <v>0</v>
      </c>
    </row>
    <row r="12" spans="1:14" x14ac:dyDescent="0.2">
      <c r="A12" s="9" t="s">
        <v>39</v>
      </c>
      <c r="B12" s="1" t="s">
        <v>40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</row>
    <row r="13" spans="1:14" x14ac:dyDescent="0.2">
      <c r="A13" s="9" t="s">
        <v>41</v>
      </c>
      <c r="B13" s="1" t="s">
        <v>42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</row>
    <row r="14" spans="1:14" x14ac:dyDescent="0.2">
      <c r="A14" s="9" t="s">
        <v>45</v>
      </c>
      <c r="B14" s="1" t="s">
        <v>46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28">
        <v>0</v>
      </c>
      <c r="K14" s="28">
        <v>0</v>
      </c>
      <c r="L14" s="28">
        <v>0</v>
      </c>
      <c r="M14" s="28">
        <v>0</v>
      </c>
      <c r="N14" s="28">
        <v>0</v>
      </c>
    </row>
    <row r="15" spans="1:14" x14ac:dyDescent="0.2">
      <c r="A15" s="12"/>
      <c r="B15" s="12" t="s">
        <v>47</v>
      </c>
      <c r="C15" s="29">
        <f t="shared" ref="C15:I15" si="2">+C7+C11+C12+C13+C14</f>
        <v>28</v>
      </c>
      <c r="D15" s="29">
        <f t="shared" si="2"/>
        <v>28.6</v>
      </c>
      <c r="E15" s="29">
        <f t="shared" si="2"/>
        <v>29.3</v>
      </c>
      <c r="F15" s="29">
        <f t="shared" si="2"/>
        <v>33.1</v>
      </c>
      <c r="G15" s="29">
        <f t="shared" si="2"/>
        <v>32.700000000000003</v>
      </c>
      <c r="H15" s="29">
        <f t="shared" si="2"/>
        <v>39</v>
      </c>
      <c r="I15" s="29">
        <f t="shared" si="2"/>
        <v>34.5</v>
      </c>
      <c r="J15" s="29">
        <f>+J7+J11+J12+J13+J14</f>
        <v>26</v>
      </c>
      <c r="K15" s="29">
        <f t="shared" ref="K15:N15" si="3">+K7+K11+K12+K13+K14</f>
        <v>32</v>
      </c>
      <c r="L15" s="29">
        <f t="shared" si="3"/>
        <v>37</v>
      </c>
      <c r="M15" s="29">
        <f t="shared" si="3"/>
        <v>37</v>
      </c>
      <c r="N15" s="29">
        <f t="shared" si="3"/>
        <v>34</v>
      </c>
    </row>
    <row r="16" spans="1:14" x14ac:dyDescent="0.2">
      <c r="A16" s="9" t="s">
        <v>48</v>
      </c>
      <c r="B16" s="1" t="s">
        <v>49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</row>
    <row r="17" spans="1:14" x14ac:dyDescent="0.2">
      <c r="A17" s="9" t="s">
        <v>60</v>
      </c>
      <c r="B17" s="1" t="s">
        <v>61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</row>
    <row r="18" spans="1:14" x14ac:dyDescent="0.2">
      <c r="A18" s="9" t="s">
        <v>62</v>
      </c>
      <c r="B18" s="1" t="s">
        <v>63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</row>
    <row r="19" spans="1:14" x14ac:dyDescent="0.2">
      <c r="A19" s="9" t="s">
        <v>64</v>
      </c>
      <c r="B19" s="1" t="s">
        <v>65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</row>
    <row r="20" spans="1:14" x14ac:dyDescent="0.2">
      <c r="A20" s="9" t="s">
        <v>68</v>
      </c>
      <c r="B20" s="1" t="s">
        <v>69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28"/>
      <c r="K20" s="28"/>
      <c r="L20" s="28"/>
      <c r="M20" s="28"/>
      <c r="N20" s="28"/>
    </row>
    <row r="21" spans="1:14" x14ac:dyDescent="0.2">
      <c r="A21" s="3"/>
      <c r="B21" s="3" t="s">
        <v>72</v>
      </c>
      <c r="C21" s="30">
        <f t="shared" ref="C21:I21" si="4">+C16+C17+C18+C19+C20</f>
        <v>0</v>
      </c>
      <c r="D21" s="30">
        <f t="shared" si="4"/>
        <v>0</v>
      </c>
      <c r="E21" s="30">
        <f t="shared" si="4"/>
        <v>0</v>
      </c>
      <c r="F21" s="30">
        <f t="shared" si="4"/>
        <v>0</v>
      </c>
      <c r="G21" s="30">
        <f t="shared" si="4"/>
        <v>0</v>
      </c>
      <c r="H21" s="30">
        <f t="shared" si="4"/>
        <v>0</v>
      </c>
      <c r="I21" s="30">
        <f t="shared" si="4"/>
        <v>0</v>
      </c>
      <c r="J21" s="30">
        <f>+J16+J17+J18+J19+J20</f>
        <v>0</v>
      </c>
      <c r="K21" s="30">
        <f t="shared" ref="K21:N21" si="5">+K16+K17+K18+K19+K20</f>
        <v>0</v>
      </c>
      <c r="L21" s="30">
        <f t="shared" si="5"/>
        <v>0</v>
      </c>
      <c r="M21" s="30">
        <f t="shared" si="5"/>
        <v>0</v>
      </c>
      <c r="N21" s="30">
        <f t="shared" si="5"/>
        <v>0</v>
      </c>
    </row>
    <row r="22" spans="1:14" x14ac:dyDescent="0.2">
      <c r="A22" s="12"/>
      <c r="B22" s="12" t="s">
        <v>73</v>
      </c>
      <c r="C22" s="29">
        <f t="shared" ref="C22:I22" si="6">+C15-C21</f>
        <v>28</v>
      </c>
      <c r="D22" s="29">
        <f t="shared" si="6"/>
        <v>28.6</v>
      </c>
      <c r="E22" s="29">
        <f t="shared" si="6"/>
        <v>29.3</v>
      </c>
      <c r="F22" s="29">
        <f t="shared" si="6"/>
        <v>33.1</v>
      </c>
      <c r="G22" s="29">
        <f t="shared" si="6"/>
        <v>32.700000000000003</v>
      </c>
      <c r="H22" s="29">
        <f t="shared" si="6"/>
        <v>39</v>
      </c>
      <c r="I22" s="29">
        <f t="shared" si="6"/>
        <v>34.5</v>
      </c>
      <c r="J22" s="29">
        <f>+J15-J21</f>
        <v>26</v>
      </c>
      <c r="K22" s="29">
        <f t="shared" ref="K22:N22" si="7">+K15-K21</f>
        <v>32</v>
      </c>
      <c r="L22" s="29">
        <f t="shared" si="7"/>
        <v>37</v>
      </c>
      <c r="M22" s="29">
        <f t="shared" si="7"/>
        <v>37</v>
      </c>
      <c r="N22" s="29">
        <f t="shared" si="7"/>
        <v>34</v>
      </c>
    </row>
    <row r="23" spans="1:14" x14ac:dyDescent="0.2">
      <c r="A23" s="9" t="s">
        <v>74</v>
      </c>
      <c r="B23" s="1" t="s">
        <v>74</v>
      </c>
      <c r="C23" s="10" t="s">
        <v>74</v>
      </c>
      <c r="D23" s="10" t="s">
        <v>74</v>
      </c>
      <c r="E23" s="10" t="s">
        <v>74</v>
      </c>
      <c r="F23" s="10" t="s">
        <v>74</v>
      </c>
      <c r="G23" s="10" t="s">
        <v>74</v>
      </c>
      <c r="H23" s="10" t="s">
        <v>74</v>
      </c>
      <c r="I23" s="10" t="s">
        <v>74</v>
      </c>
      <c r="J23" s="10" t="s">
        <v>74</v>
      </c>
      <c r="K23" s="10" t="s">
        <v>74</v>
      </c>
      <c r="L23" s="10" t="s">
        <v>74</v>
      </c>
      <c r="M23" s="10" t="s">
        <v>74</v>
      </c>
      <c r="N23" s="10" t="s">
        <v>74</v>
      </c>
    </row>
    <row r="24" spans="1:14" x14ac:dyDescent="0.2">
      <c r="A24" s="9" t="s">
        <v>75</v>
      </c>
      <c r="B24" s="1" t="s">
        <v>76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</row>
    <row r="25" spans="1:14" x14ac:dyDescent="0.2">
      <c r="A25" s="9" t="s">
        <v>111</v>
      </c>
      <c r="B25" s="1" t="s">
        <v>112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</row>
    <row r="26" spans="1:14" x14ac:dyDescent="0.2">
      <c r="A26" s="9" t="s">
        <v>119</v>
      </c>
      <c r="B26" s="1" t="s">
        <v>120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</row>
    <row r="27" spans="1:14" x14ac:dyDescent="0.2">
      <c r="A27" s="9" t="s">
        <v>127</v>
      </c>
      <c r="B27" s="1" t="s">
        <v>128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0.7</v>
      </c>
      <c r="I27" s="10">
        <v>0</v>
      </c>
      <c r="J27" s="28">
        <f>+J28</f>
        <v>0</v>
      </c>
      <c r="K27" s="28">
        <f t="shared" ref="K27:N27" si="8">+K28</f>
        <v>0</v>
      </c>
      <c r="L27" s="28">
        <f t="shared" si="8"/>
        <v>0</v>
      </c>
      <c r="M27" s="28">
        <f t="shared" si="8"/>
        <v>0</v>
      </c>
      <c r="N27" s="28">
        <f t="shared" si="8"/>
        <v>0</v>
      </c>
    </row>
    <row r="28" spans="1:14" hidden="1" outlineLevel="1" x14ac:dyDescent="0.2">
      <c r="A28" s="9" t="s">
        <v>129</v>
      </c>
      <c r="B28" s="1" t="s">
        <v>130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0.7</v>
      </c>
      <c r="I28" s="10">
        <v>0</v>
      </c>
      <c r="J28" s="10"/>
      <c r="K28" s="10"/>
      <c r="L28" s="10"/>
      <c r="M28" s="10"/>
      <c r="N28" s="10"/>
    </row>
    <row r="29" spans="1:14" collapsed="1" x14ac:dyDescent="0.2">
      <c r="A29" s="9" t="s">
        <v>133</v>
      </c>
      <c r="B29" s="1" t="s">
        <v>134</v>
      </c>
      <c r="C29" s="28">
        <f t="shared" ref="C29:I29" si="9">+C30+C31</f>
        <v>0</v>
      </c>
      <c r="D29" s="28">
        <f t="shared" si="9"/>
        <v>0</v>
      </c>
      <c r="E29" s="28">
        <f t="shared" si="9"/>
        <v>0</v>
      </c>
      <c r="F29" s="28">
        <f t="shared" si="9"/>
        <v>1</v>
      </c>
      <c r="G29" s="28">
        <f t="shared" si="9"/>
        <v>1.8</v>
      </c>
      <c r="H29" s="28">
        <f t="shared" si="9"/>
        <v>2.2000000000000002</v>
      </c>
      <c r="I29" s="28">
        <f t="shared" si="9"/>
        <v>2.7</v>
      </c>
      <c r="J29" s="28">
        <f>+J30+J31</f>
        <v>0</v>
      </c>
      <c r="K29" s="28">
        <f t="shared" ref="K29:N29" si="10">+K30+K31</f>
        <v>0</v>
      </c>
      <c r="L29" s="28">
        <f t="shared" si="10"/>
        <v>0</v>
      </c>
      <c r="M29" s="28">
        <f t="shared" si="10"/>
        <v>0</v>
      </c>
      <c r="N29" s="28">
        <f t="shared" si="10"/>
        <v>0</v>
      </c>
    </row>
    <row r="30" spans="1:14" hidden="1" outlineLevel="1" x14ac:dyDescent="0.2">
      <c r="A30" s="9" t="s">
        <v>327</v>
      </c>
      <c r="B30" s="1" t="s">
        <v>328</v>
      </c>
      <c r="C30" s="10">
        <v>0</v>
      </c>
      <c r="D30" s="10">
        <v>0</v>
      </c>
      <c r="E30" s="10">
        <v>0</v>
      </c>
      <c r="F30" s="10">
        <v>1</v>
      </c>
      <c r="G30" s="10">
        <v>1</v>
      </c>
      <c r="H30" s="10">
        <v>1.4</v>
      </c>
      <c r="I30" s="10">
        <v>2</v>
      </c>
      <c r="J30" s="10"/>
      <c r="K30" s="10"/>
      <c r="L30" s="10"/>
      <c r="M30" s="10"/>
      <c r="N30" s="10"/>
    </row>
    <row r="31" spans="1:14" hidden="1" outlineLevel="1" x14ac:dyDescent="0.2">
      <c r="A31" s="9" t="s">
        <v>329</v>
      </c>
      <c r="B31" s="1" t="s">
        <v>330</v>
      </c>
      <c r="C31" s="10">
        <v>0</v>
      </c>
      <c r="D31" s="10">
        <v>0</v>
      </c>
      <c r="E31" s="10">
        <v>0</v>
      </c>
      <c r="F31" s="10">
        <v>0</v>
      </c>
      <c r="G31" s="10">
        <v>0.8</v>
      </c>
      <c r="H31" s="10">
        <v>0.8</v>
      </c>
      <c r="I31" s="10">
        <v>0.7</v>
      </c>
      <c r="J31" s="10"/>
      <c r="K31" s="10"/>
      <c r="L31" s="10"/>
      <c r="M31" s="10"/>
      <c r="N31" s="10"/>
    </row>
    <row r="32" spans="1:14" collapsed="1" x14ac:dyDescent="0.2">
      <c r="A32" s="9" t="s">
        <v>137</v>
      </c>
      <c r="B32" s="1" t="s">
        <v>138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28">
        <v>0</v>
      </c>
      <c r="K32" s="28">
        <v>0</v>
      </c>
      <c r="L32" s="28">
        <v>0</v>
      </c>
      <c r="M32" s="28">
        <v>0</v>
      </c>
      <c r="N32" s="28">
        <v>0</v>
      </c>
    </row>
    <row r="33" spans="1:14" x14ac:dyDescent="0.2">
      <c r="A33" s="9" t="s">
        <v>139</v>
      </c>
      <c r="B33" s="1" t="s">
        <v>140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28">
        <v>0</v>
      </c>
      <c r="K33" s="28">
        <v>0</v>
      </c>
      <c r="L33" s="28">
        <v>0</v>
      </c>
      <c r="M33" s="28">
        <v>0</v>
      </c>
      <c r="N33" s="28">
        <v>0</v>
      </c>
    </row>
    <row r="34" spans="1:14" x14ac:dyDescent="0.2">
      <c r="A34" s="9" t="s">
        <v>141</v>
      </c>
      <c r="B34" s="1" t="s">
        <v>142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28">
        <v>0</v>
      </c>
      <c r="K34" s="28">
        <v>0</v>
      </c>
      <c r="L34" s="28">
        <v>0</v>
      </c>
      <c r="M34" s="28">
        <v>0</v>
      </c>
      <c r="N34" s="28">
        <v>0</v>
      </c>
    </row>
    <row r="35" spans="1:14" x14ac:dyDescent="0.2">
      <c r="A35" s="9" t="s">
        <v>143</v>
      </c>
      <c r="B35" s="1" t="s">
        <v>144</v>
      </c>
      <c r="C35" s="28">
        <f t="shared" ref="C35:I35" si="11">SUM(C36:C42)</f>
        <v>0</v>
      </c>
      <c r="D35" s="28">
        <f t="shared" si="11"/>
        <v>0</v>
      </c>
      <c r="E35" s="28">
        <f t="shared" si="11"/>
        <v>0</v>
      </c>
      <c r="F35" s="28">
        <f t="shared" si="11"/>
        <v>16</v>
      </c>
      <c r="G35" s="28">
        <f t="shared" si="11"/>
        <v>9.7999999999999989</v>
      </c>
      <c r="H35" s="28">
        <f t="shared" si="11"/>
        <v>17.900000000000002</v>
      </c>
      <c r="I35" s="28">
        <f t="shared" si="11"/>
        <v>17.399999999999999</v>
      </c>
      <c r="J35" s="28">
        <f>SUM(J36:J42)</f>
        <v>16</v>
      </c>
      <c r="K35" s="28">
        <f t="shared" ref="K35:N35" si="12">SUM(K36:K42)</f>
        <v>16</v>
      </c>
      <c r="L35" s="28">
        <f t="shared" si="12"/>
        <v>9.7999999999999989</v>
      </c>
      <c r="M35" s="28">
        <f t="shared" si="12"/>
        <v>17.900000000000002</v>
      </c>
      <c r="N35" s="28">
        <f t="shared" si="12"/>
        <v>17.399999999999999</v>
      </c>
    </row>
    <row r="36" spans="1:14" hidden="1" outlineLevel="1" x14ac:dyDescent="0.2">
      <c r="A36" s="9" t="s">
        <v>145</v>
      </c>
      <c r="B36" s="1" t="s">
        <v>146</v>
      </c>
      <c r="C36" s="10">
        <v>0</v>
      </c>
      <c r="D36" s="10">
        <v>0</v>
      </c>
      <c r="E36" s="10">
        <v>0</v>
      </c>
      <c r="F36" s="10">
        <v>13.9</v>
      </c>
      <c r="G36" s="10">
        <v>7.3</v>
      </c>
      <c r="H36" s="10">
        <v>13.8</v>
      </c>
      <c r="I36" s="10">
        <v>5.6</v>
      </c>
      <c r="J36" s="10">
        <v>13.9</v>
      </c>
      <c r="K36" s="10">
        <v>13.9</v>
      </c>
      <c r="L36" s="10">
        <v>7.3</v>
      </c>
      <c r="M36" s="10">
        <v>13.8</v>
      </c>
      <c r="N36" s="10">
        <v>5.6</v>
      </c>
    </row>
    <row r="37" spans="1:14" hidden="1" outlineLevel="1" x14ac:dyDescent="0.2">
      <c r="A37" s="9" t="s">
        <v>147</v>
      </c>
      <c r="B37" s="1" t="s">
        <v>148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0.2</v>
      </c>
      <c r="I37" s="10">
        <v>0</v>
      </c>
      <c r="J37" s="10">
        <v>0</v>
      </c>
      <c r="K37" s="10">
        <v>0</v>
      </c>
      <c r="L37" s="10">
        <v>0</v>
      </c>
      <c r="M37" s="10">
        <v>0.2</v>
      </c>
      <c r="N37" s="10">
        <v>0</v>
      </c>
    </row>
    <row r="38" spans="1:14" hidden="1" outlineLevel="1" x14ac:dyDescent="0.2">
      <c r="A38" s="9" t="s">
        <v>149</v>
      </c>
      <c r="B38" s="1" t="s">
        <v>150</v>
      </c>
      <c r="C38" s="10">
        <v>0</v>
      </c>
      <c r="D38" s="10">
        <v>0</v>
      </c>
      <c r="E38" s="10">
        <v>0</v>
      </c>
      <c r="F38" s="10">
        <v>0.9</v>
      </c>
      <c r="G38" s="10">
        <v>1.1000000000000001</v>
      </c>
      <c r="H38" s="10">
        <v>1</v>
      </c>
      <c r="I38" s="10">
        <v>0.9</v>
      </c>
      <c r="J38" s="10">
        <v>0.9</v>
      </c>
      <c r="K38" s="10">
        <v>0.9</v>
      </c>
      <c r="L38" s="10">
        <v>1.1000000000000001</v>
      </c>
      <c r="M38" s="10">
        <v>1</v>
      </c>
      <c r="N38" s="10">
        <v>0.9</v>
      </c>
    </row>
    <row r="39" spans="1:14" hidden="1" outlineLevel="1" x14ac:dyDescent="0.2">
      <c r="A39" s="9" t="s">
        <v>151</v>
      </c>
      <c r="B39" s="1" t="s">
        <v>152</v>
      </c>
      <c r="C39" s="10">
        <v>0</v>
      </c>
      <c r="D39" s="10">
        <v>0</v>
      </c>
      <c r="E39" s="10">
        <v>0</v>
      </c>
      <c r="F39" s="10">
        <v>0</v>
      </c>
      <c r="G39" s="10">
        <v>0.1</v>
      </c>
      <c r="H39" s="10">
        <v>0.1</v>
      </c>
      <c r="I39" s="10">
        <v>0.1</v>
      </c>
      <c r="J39" s="10">
        <v>0</v>
      </c>
      <c r="K39" s="10">
        <v>0</v>
      </c>
      <c r="L39" s="10">
        <v>0.1</v>
      </c>
      <c r="M39" s="10">
        <v>0.1</v>
      </c>
      <c r="N39" s="10">
        <v>0.1</v>
      </c>
    </row>
    <row r="40" spans="1:14" hidden="1" outlineLevel="1" x14ac:dyDescent="0.2">
      <c r="A40" s="9" t="s">
        <v>355</v>
      </c>
      <c r="B40" s="1" t="s">
        <v>356</v>
      </c>
      <c r="C40" s="10">
        <v>0</v>
      </c>
      <c r="D40" s="10">
        <v>0</v>
      </c>
      <c r="E40" s="10">
        <v>0</v>
      </c>
      <c r="F40" s="10">
        <v>0</v>
      </c>
      <c r="G40" s="10">
        <v>0.1</v>
      </c>
      <c r="H40" s="10">
        <v>0.1</v>
      </c>
      <c r="I40" s="10">
        <v>0.1</v>
      </c>
      <c r="J40" s="10">
        <v>0</v>
      </c>
      <c r="K40" s="10">
        <v>0</v>
      </c>
      <c r="L40" s="10">
        <v>0.1</v>
      </c>
      <c r="M40" s="10">
        <v>0.1</v>
      </c>
      <c r="N40" s="10">
        <v>0.1</v>
      </c>
    </row>
    <row r="41" spans="1:14" hidden="1" outlineLevel="1" x14ac:dyDescent="0.2">
      <c r="A41" s="9" t="s">
        <v>153</v>
      </c>
      <c r="B41" s="1" t="s">
        <v>154</v>
      </c>
      <c r="C41" s="10">
        <v>0</v>
      </c>
      <c r="D41" s="10">
        <v>0</v>
      </c>
      <c r="E41" s="10">
        <v>0</v>
      </c>
      <c r="F41" s="10">
        <v>0.6</v>
      </c>
      <c r="G41" s="10">
        <v>0.6</v>
      </c>
      <c r="H41" s="10">
        <v>2.1</v>
      </c>
      <c r="I41" s="10">
        <v>1.7</v>
      </c>
      <c r="J41" s="10">
        <v>0.6</v>
      </c>
      <c r="K41" s="10">
        <v>0.6</v>
      </c>
      <c r="L41" s="10">
        <v>0.6</v>
      </c>
      <c r="M41" s="10">
        <v>2.1</v>
      </c>
      <c r="N41" s="10">
        <v>1.7</v>
      </c>
    </row>
    <row r="42" spans="1:14" hidden="1" outlineLevel="1" x14ac:dyDescent="0.2">
      <c r="A42" s="9" t="s">
        <v>155</v>
      </c>
      <c r="B42" s="1" t="s">
        <v>156</v>
      </c>
      <c r="C42" s="10">
        <v>0</v>
      </c>
      <c r="D42" s="10">
        <v>0</v>
      </c>
      <c r="E42" s="10">
        <v>0</v>
      </c>
      <c r="F42" s="10">
        <v>0.6</v>
      </c>
      <c r="G42" s="10">
        <v>0.6</v>
      </c>
      <c r="H42" s="10">
        <v>0.6</v>
      </c>
      <c r="I42" s="10">
        <v>9</v>
      </c>
      <c r="J42" s="10">
        <v>0.6</v>
      </c>
      <c r="K42" s="10">
        <v>0.6</v>
      </c>
      <c r="L42" s="10">
        <v>0.6</v>
      </c>
      <c r="M42" s="10">
        <v>0.6</v>
      </c>
      <c r="N42" s="10">
        <v>9</v>
      </c>
    </row>
    <row r="43" spans="1:14" collapsed="1" x14ac:dyDescent="0.2">
      <c r="A43" s="9" t="s">
        <v>157</v>
      </c>
      <c r="B43" s="1" t="s">
        <v>158</v>
      </c>
      <c r="C43" s="28">
        <f t="shared" ref="C43:I43" si="13">+C44</f>
        <v>0.7</v>
      </c>
      <c r="D43" s="28">
        <f t="shared" si="13"/>
        <v>0.6</v>
      </c>
      <c r="E43" s="28">
        <f t="shared" si="13"/>
        <v>0</v>
      </c>
      <c r="F43" s="28">
        <f t="shared" si="13"/>
        <v>-0.5</v>
      </c>
      <c r="G43" s="28">
        <f t="shared" si="13"/>
        <v>0</v>
      </c>
      <c r="H43" s="28">
        <f t="shared" si="13"/>
        <v>0.1</v>
      </c>
      <c r="I43" s="28">
        <f t="shared" si="13"/>
        <v>0.7</v>
      </c>
      <c r="J43" s="28">
        <f>+J44</f>
        <v>0</v>
      </c>
      <c r="K43" s="28">
        <f t="shared" ref="K43:N43" si="14">+K44</f>
        <v>-0.5</v>
      </c>
      <c r="L43" s="28">
        <f t="shared" si="14"/>
        <v>0</v>
      </c>
      <c r="M43" s="28">
        <f t="shared" si="14"/>
        <v>0.1</v>
      </c>
      <c r="N43" s="28">
        <f t="shared" si="14"/>
        <v>0.7</v>
      </c>
    </row>
    <row r="44" spans="1:14" hidden="1" outlineLevel="1" x14ac:dyDescent="0.2">
      <c r="A44" s="9" t="s">
        <v>159</v>
      </c>
      <c r="B44" s="1" t="s">
        <v>160</v>
      </c>
      <c r="C44" s="10">
        <v>0.7</v>
      </c>
      <c r="D44" s="10">
        <v>0.6</v>
      </c>
      <c r="E44" s="10">
        <v>0</v>
      </c>
      <c r="F44" s="10">
        <v>-0.5</v>
      </c>
      <c r="G44" s="10">
        <v>0</v>
      </c>
      <c r="H44" s="10">
        <v>0.1</v>
      </c>
      <c r="I44" s="10">
        <v>0.7</v>
      </c>
      <c r="J44" s="10">
        <v>0</v>
      </c>
      <c r="K44" s="10">
        <v>-0.5</v>
      </c>
      <c r="L44" s="10">
        <v>0</v>
      </c>
      <c r="M44" s="10">
        <v>0.1</v>
      </c>
      <c r="N44" s="10">
        <v>0.7</v>
      </c>
    </row>
    <row r="45" spans="1:14" collapsed="1" x14ac:dyDescent="0.2">
      <c r="A45" s="3"/>
      <c r="B45" s="3" t="s">
        <v>165</v>
      </c>
      <c r="C45" s="30">
        <f t="shared" ref="C45:I45" si="15">+C24+C25+C26+C27+C29+C32+C33+C34+C35+C43</f>
        <v>0.7</v>
      </c>
      <c r="D45" s="30">
        <f t="shared" si="15"/>
        <v>0.6</v>
      </c>
      <c r="E45" s="30">
        <f t="shared" si="15"/>
        <v>0</v>
      </c>
      <c r="F45" s="30">
        <f t="shared" si="15"/>
        <v>16.5</v>
      </c>
      <c r="G45" s="30">
        <f t="shared" si="15"/>
        <v>11.6</v>
      </c>
      <c r="H45" s="30">
        <f t="shared" si="15"/>
        <v>20.900000000000006</v>
      </c>
      <c r="I45" s="30">
        <f t="shared" si="15"/>
        <v>20.799999999999997</v>
      </c>
      <c r="J45" s="30">
        <f>+J24+J25+J26+J27+J29+J32+J33+J34+J35+J43</f>
        <v>16</v>
      </c>
      <c r="K45" s="30">
        <f t="shared" ref="K45:N45" si="16">+K24+K25+K26+K27+K29+K32+K33+K34+K35+K43</f>
        <v>15.5</v>
      </c>
      <c r="L45" s="30">
        <f t="shared" si="16"/>
        <v>9.7999999999999989</v>
      </c>
      <c r="M45" s="30">
        <f t="shared" si="16"/>
        <v>18.000000000000004</v>
      </c>
      <c r="N45" s="30">
        <f t="shared" si="16"/>
        <v>18.099999999999998</v>
      </c>
    </row>
    <row r="46" spans="1:14" x14ac:dyDescent="0.2">
      <c r="A46" s="12"/>
      <c r="B46" s="12" t="s">
        <v>166</v>
      </c>
      <c r="C46" s="29">
        <f t="shared" ref="C46:I46" si="17">+C22-C45</f>
        <v>27.3</v>
      </c>
      <c r="D46" s="29">
        <f t="shared" si="17"/>
        <v>28</v>
      </c>
      <c r="E46" s="29">
        <f t="shared" si="17"/>
        <v>29.3</v>
      </c>
      <c r="F46" s="29">
        <f t="shared" si="17"/>
        <v>16.600000000000001</v>
      </c>
      <c r="G46" s="29">
        <f t="shared" si="17"/>
        <v>21.1</v>
      </c>
      <c r="H46" s="29">
        <f t="shared" si="17"/>
        <v>18.099999999999994</v>
      </c>
      <c r="I46" s="29">
        <f t="shared" si="17"/>
        <v>13.700000000000003</v>
      </c>
      <c r="J46" s="29">
        <f>+J22-J45</f>
        <v>10</v>
      </c>
      <c r="K46" s="29">
        <f t="shared" ref="K46:N46" si="18">+K22-K45</f>
        <v>16.5</v>
      </c>
      <c r="L46" s="29">
        <f t="shared" si="18"/>
        <v>27.200000000000003</v>
      </c>
      <c r="M46" s="29">
        <f t="shared" si="18"/>
        <v>18.999999999999996</v>
      </c>
      <c r="N46" s="29">
        <f t="shared" si="18"/>
        <v>15.900000000000002</v>
      </c>
    </row>
    <row r="47" spans="1:14" x14ac:dyDescent="0.2">
      <c r="A47" s="9" t="s">
        <v>167</v>
      </c>
      <c r="B47" s="1" t="s">
        <v>168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28">
        <v>0</v>
      </c>
      <c r="K47" s="28">
        <v>0</v>
      </c>
      <c r="L47" s="28">
        <v>0</v>
      </c>
      <c r="M47" s="28">
        <v>0</v>
      </c>
      <c r="N47" s="28">
        <v>0</v>
      </c>
    </row>
    <row r="48" spans="1:14" x14ac:dyDescent="0.2">
      <c r="A48" s="9" t="s">
        <v>200</v>
      </c>
      <c r="B48" s="1" t="s">
        <v>201</v>
      </c>
      <c r="C48" s="28">
        <f t="shared" ref="C48:I48" si="19">SUM(C49:C50)</f>
        <v>0</v>
      </c>
      <c r="D48" s="28">
        <f t="shared" si="19"/>
        <v>0</v>
      </c>
      <c r="E48" s="28">
        <f t="shared" si="19"/>
        <v>0</v>
      </c>
      <c r="F48" s="28">
        <f t="shared" si="19"/>
        <v>0</v>
      </c>
      <c r="G48" s="28">
        <f t="shared" si="19"/>
        <v>0</v>
      </c>
      <c r="H48" s="28">
        <f t="shared" si="19"/>
        <v>0</v>
      </c>
      <c r="I48" s="28">
        <f t="shared" si="19"/>
        <v>0</v>
      </c>
      <c r="J48" s="28">
        <f>SUM(J49:J50)</f>
        <v>0</v>
      </c>
      <c r="K48" s="28">
        <f t="shared" ref="K48:N48" si="20">SUM(K49:K50)</f>
        <v>0</v>
      </c>
      <c r="L48" s="28">
        <f t="shared" si="20"/>
        <v>0</v>
      </c>
      <c r="M48" s="28">
        <f t="shared" si="20"/>
        <v>0</v>
      </c>
      <c r="N48" s="28">
        <f t="shared" si="20"/>
        <v>0</v>
      </c>
    </row>
    <row r="49" spans="1:14" hidden="1" outlineLevel="1" x14ac:dyDescent="0.2">
      <c r="A49" s="9" t="s">
        <v>220</v>
      </c>
      <c r="B49" s="1" t="s">
        <v>221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hidden="1" outlineLevel="1" x14ac:dyDescent="0.2">
      <c r="A50" s="9" t="s">
        <v>222</v>
      </c>
      <c r="B50" s="1" t="s">
        <v>223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</row>
    <row r="51" spans="1:14" collapsed="1" x14ac:dyDescent="0.2">
      <c r="A51" s="9" t="s">
        <v>226</v>
      </c>
      <c r="B51" s="1" t="s">
        <v>227</v>
      </c>
      <c r="C51" s="28">
        <v>0</v>
      </c>
      <c r="D51" s="28">
        <v>0</v>
      </c>
      <c r="E51" s="28">
        <v>0</v>
      </c>
      <c r="F51" s="28">
        <v>0</v>
      </c>
      <c r="G51" s="28">
        <v>0</v>
      </c>
      <c r="H51" s="28">
        <v>0</v>
      </c>
      <c r="I51" s="28">
        <v>0</v>
      </c>
      <c r="J51" s="28">
        <v>0</v>
      </c>
      <c r="K51" s="28">
        <v>0</v>
      </c>
      <c r="L51" s="28">
        <v>0</v>
      </c>
      <c r="M51" s="28">
        <v>0</v>
      </c>
      <c r="N51" s="28">
        <v>0</v>
      </c>
    </row>
    <row r="52" spans="1:14" x14ac:dyDescent="0.2">
      <c r="A52" s="9" t="s">
        <v>228</v>
      </c>
      <c r="B52" s="1" t="s">
        <v>229</v>
      </c>
      <c r="C52" s="28">
        <v>0</v>
      </c>
      <c r="D52" s="28">
        <v>0</v>
      </c>
      <c r="E52" s="28">
        <v>0</v>
      </c>
      <c r="F52" s="28">
        <v>0</v>
      </c>
      <c r="G52" s="28">
        <v>0</v>
      </c>
      <c r="H52" s="28">
        <v>0</v>
      </c>
      <c r="I52" s="28">
        <v>0</v>
      </c>
      <c r="J52" s="28">
        <v>0</v>
      </c>
      <c r="K52" s="28">
        <v>0</v>
      </c>
      <c r="L52" s="28">
        <v>0</v>
      </c>
      <c r="M52" s="28">
        <v>0</v>
      </c>
      <c r="N52" s="28">
        <v>0</v>
      </c>
    </row>
    <row r="53" spans="1:14" x14ac:dyDescent="0.2">
      <c r="A53" s="9" t="s">
        <v>230</v>
      </c>
      <c r="B53" s="1" t="s">
        <v>231</v>
      </c>
      <c r="C53" s="28">
        <v>0</v>
      </c>
      <c r="D53" s="28">
        <v>0</v>
      </c>
      <c r="E53" s="28">
        <v>0</v>
      </c>
      <c r="F53" s="28">
        <v>0</v>
      </c>
      <c r="G53" s="28">
        <v>0</v>
      </c>
      <c r="H53" s="28">
        <v>0</v>
      </c>
      <c r="I53" s="28">
        <v>0</v>
      </c>
      <c r="J53" s="28">
        <f>+J54</f>
        <v>0</v>
      </c>
      <c r="K53" s="28">
        <f t="shared" ref="K53:N53" si="21">+K54</f>
        <v>0</v>
      </c>
      <c r="L53" s="28">
        <f t="shared" si="21"/>
        <v>0</v>
      </c>
      <c r="M53" s="28">
        <f t="shared" si="21"/>
        <v>0</v>
      </c>
      <c r="N53" s="28">
        <f t="shared" si="21"/>
        <v>0</v>
      </c>
    </row>
    <row r="54" spans="1:14" hidden="1" outlineLevel="1" x14ac:dyDescent="0.2">
      <c r="A54" s="9" t="s">
        <v>232</v>
      </c>
      <c r="B54" s="1" t="s">
        <v>233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collapsed="1" x14ac:dyDescent="0.2">
      <c r="A55" s="3"/>
      <c r="B55" s="3" t="s">
        <v>236</v>
      </c>
      <c r="C55" s="30">
        <f t="shared" ref="C55:I55" si="22">+C47+C48+C51+C52+C53</f>
        <v>0</v>
      </c>
      <c r="D55" s="30">
        <f t="shared" si="22"/>
        <v>0</v>
      </c>
      <c r="E55" s="30">
        <f t="shared" si="22"/>
        <v>0</v>
      </c>
      <c r="F55" s="30">
        <f t="shared" si="22"/>
        <v>0</v>
      </c>
      <c r="G55" s="30">
        <f t="shared" si="22"/>
        <v>0</v>
      </c>
      <c r="H55" s="30">
        <f t="shared" si="22"/>
        <v>0</v>
      </c>
      <c r="I55" s="30">
        <f t="shared" si="22"/>
        <v>0</v>
      </c>
      <c r="J55" s="30">
        <f>+J47+J48+J51+J52+J53</f>
        <v>0</v>
      </c>
      <c r="K55" s="30">
        <f t="shared" ref="K55:N55" si="23">+K47+K48+K51+K52+K53</f>
        <v>0</v>
      </c>
      <c r="L55" s="30">
        <f t="shared" si="23"/>
        <v>0</v>
      </c>
      <c r="M55" s="30">
        <f t="shared" si="23"/>
        <v>0</v>
      </c>
      <c r="N55" s="30">
        <f t="shared" si="23"/>
        <v>0</v>
      </c>
    </row>
    <row r="56" spans="1:14" x14ac:dyDescent="0.2">
      <c r="A56" s="12"/>
      <c r="B56" s="12" t="s">
        <v>237</v>
      </c>
      <c r="C56" s="29">
        <f t="shared" ref="C56:I56" si="24">+C46-C55</f>
        <v>27.3</v>
      </c>
      <c r="D56" s="29">
        <f t="shared" si="24"/>
        <v>28</v>
      </c>
      <c r="E56" s="29">
        <f t="shared" si="24"/>
        <v>29.3</v>
      </c>
      <c r="F56" s="29">
        <f t="shared" si="24"/>
        <v>16.600000000000001</v>
      </c>
      <c r="G56" s="29">
        <f t="shared" si="24"/>
        <v>21.1</v>
      </c>
      <c r="H56" s="29">
        <f t="shared" si="24"/>
        <v>18.099999999999994</v>
      </c>
      <c r="I56" s="29">
        <f t="shared" si="24"/>
        <v>13.700000000000003</v>
      </c>
      <c r="J56" s="29">
        <f>+J46-J55</f>
        <v>10</v>
      </c>
      <c r="K56" s="29">
        <f t="shared" ref="K56:N56" si="25">+K46-K55</f>
        <v>16.5</v>
      </c>
      <c r="L56" s="29">
        <f t="shared" si="25"/>
        <v>27.200000000000003</v>
      </c>
      <c r="M56" s="29">
        <f t="shared" si="25"/>
        <v>18.999999999999996</v>
      </c>
      <c r="N56" s="29">
        <f t="shared" si="25"/>
        <v>15.900000000000002</v>
      </c>
    </row>
    <row r="57" spans="1:14" x14ac:dyDescent="0.2">
      <c r="A57" s="9" t="s">
        <v>238</v>
      </c>
      <c r="B57" s="1" t="s">
        <v>239</v>
      </c>
      <c r="C57" s="10">
        <v>0.1</v>
      </c>
      <c r="D57" s="10">
        <v>0.3</v>
      </c>
      <c r="E57" s="10">
        <v>0.3</v>
      </c>
      <c r="F57" s="10">
        <v>0.2</v>
      </c>
      <c r="G57" s="10">
        <v>0.1</v>
      </c>
      <c r="H57" s="10">
        <v>0.1</v>
      </c>
      <c r="I57" s="10">
        <v>0.2</v>
      </c>
      <c r="J57" s="28">
        <f>+J58</f>
        <v>0.3</v>
      </c>
      <c r="K57" s="28">
        <f t="shared" ref="K57:N57" si="26">+K58</f>
        <v>0.2</v>
      </c>
      <c r="L57" s="28">
        <f t="shared" si="26"/>
        <v>0.1</v>
      </c>
      <c r="M57" s="28">
        <f t="shared" si="26"/>
        <v>0.1</v>
      </c>
      <c r="N57" s="28">
        <f t="shared" si="26"/>
        <v>0.2</v>
      </c>
    </row>
    <row r="58" spans="1:14" hidden="1" outlineLevel="1" x14ac:dyDescent="0.2">
      <c r="A58" s="9" t="s">
        <v>240</v>
      </c>
      <c r="B58" s="1" t="s">
        <v>241</v>
      </c>
      <c r="C58" s="10">
        <v>0.1</v>
      </c>
      <c r="D58" s="10">
        <v>0.3</v>
      </c>
      <c r="E58" s="10">
        <v>0.3</v>
      </c>
      <c r="F58" s="10">
        <v>0.2</v>
      </c>
      <c r="G58" s="10">
        <v>0.1</v>
      </c>
      <c r="H58" s="10">
        <v>0.1</v>
      </c>
      <c r="I58" s="10">
        <v>0.2</v>
      </c>
      <c r="J58" s="10">
        <v>0.3</v>
      </c>
      <c r="K58" s="10">
        <v>0.2</v>
      </c>
      <c r="L58" s="10">
        <v>0.1</v>
      </c>
      <c r="M58" s="10">
        <v>0.1</v>
      </c>
      <c r="N58" s="10">
        <v>0.2</v>
      </c>
    </row>
    <row r="59" spans="1:14" collapsed="1" x14ac:dyDescent="0.2">
      <c r="A59" s="9" t="s">
        <v>244</v>
      </c>
      <c r="B59" s="1" t="s">
        <v>245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28">
        <v>0</v>
      </c>
      <c r="K59" s="28">
        <v>0</v>
      </c>
      <c r="L59" s="28">
        <v>0</v>
      </c>
      <c r="M59" s="28">
        <v>0</v>
      </c>
      <c r="N59" s="28">
        <v>0</v>
      </c>
    </row>
    <row r="60" spans="1:14" x14ac:dyDescent="0.2">
      <c r="A60" s="12"/>
      <c r="B60" s="12" t="s">
        <v>246</v>
      </c>
      <c r="C60" s="29">
        <f t="shared" ref="C60:I60" si="27">+C56-(C57+C59)</f>
        <v>27.2</v>
      </c>
      <c r="D60" s="29">
        <f t="shared" si="27"/>
        <v>27.7</v>
      </c>
      <c r="E60" s="29">
        <f t="shared" si="27"/>
        <v>29</v>
      </c>
      <c r="F60" s="29">
        <f t="shared" si="27"/>
        <v>16.400000000000002</v>
      </c>
      <c r="G60" s="29">
        <f t="shared" si="27"/>
        <v>21</v>
      </c>
      <c r="H60" s="29">
        <f t="shared" si="27"/>
        <v>17.999999999999993</v>
      </c>
      <c r="I60" s="29">
        <f t="shared" si="27"/>
        <v>13.500000000000004</v>
      </c>
      <c r="J60" s="29">
        <f>+J56-(J57+J59)</f>
        <v>9.6999999999999993</v>
      </c>
      <c r="K60" s="29">
        <f t="shared" ref="K60:N60" si="28">+K56-(K57+K59)</f>
        <v>16.3</v>
      </c>
      <c r="L60" s="29">
        <f t="shared" si="28"/>
        <v>27.1</v>
      </c>
      <c r="M60" s="29">
        <f t="shared" si="28"/>
        <v>18.899999999999995</v>
      </c>
      <c r="N60" s="29">
        <f t="shared" si="28"/>
        <v>15.700000000000003</v>
      </c>
    </row>
    <row r="61" spans="1:14" x14ac:dyDescent="0.2">
      <c r="A61" s="9" t="s">
        <v>74</v>
      </c>
      <c r="B61" s="1" t="s">
        <v>74</v>
      </c>
      <c r="C61" s="15" t="s">
        <v>74</v>
      </c>
      <c r="D61" s="15" t="s">
        <v>74</v>
      </c>
      <c r="E61" s="15" t="s">
        <v>74</v>
      </c>
      <c r="F61" s="15"/>
      <c r="G61" s="15"/>
      <c r="H61" s="15" t="s">
        <v>74</v>
      </c>
      <c r="I61" s="15" t="s">
        <v>74</v>
      </c>
      <c r="J61" s="15" t="s">
        <v>74</v>
      </c>
      <c r="K61" s="15" t="s">
        <v>74</v>
      </c>
      <c r="L61" s="15" t="s">
        <v>74</v>
      </c>
      <c r="M61" s="15" t="s">
        <v>74</v>
      </c>
      <c r="N61" s="15" t="s">
        <v>74</v>
      </c>
    </row>
    <row r="62" spans="1:14" x14ac:dyDescent="0.2">
      <c r="A62" s="12"/>
      <c r="B62" s="12" t="s">
        <v>247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</row>
    <row r="63" spans="1:14" x14ac:dyDescent="0.2">
      <c r="A63" s="9" t="s">
        <v>248</v>
      </c>
      <c r="B63" s="1" t="s">
        <v>249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">
      <c r="A64" s="9" t="s">
        <v>252</v>
      </c>
      <c r="B64" s="1" t="s">
        <v>253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">
      <c r="A65" s="9" t="s">
        <v>256</v>
      </c>
      <c r="B65" s="1" t="s">
        <v>257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">
      <c r="A66" s="9" t="s">
        <v>260</v>
      </c>
      <c r="B66" s="1" t="s">
        <v>261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">
      <c r="A67" s="9" t="s">
        <v>264</v>
      </c>
      <c r="B67" s="1" t="s">
        <v>265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">
      <c r="A68" s="9" t="s">
        <v>268</v>
      </c>
      <c r="B68" s="1" t="s">
        <v>269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">
      <c r="A69" s="9" t="s">
        <v>270</v>
      </c>
      <c r="B69" s="1" t="s">
        <v>271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">
      <c r="A70" s="9" t="s">
        <v>272</v>
      </c>
      <c r="B70" s="1" t="s">
        <v>273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">
      <c r="A71" s="9" t="s">
        <v>274</v>
      </c>
      <c r="B71" s="1" t="s">
        <v>275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">
      <c r="A72" s="9" t="s">
        <v>276</v>
      </c>
      <c r="B72" s="1" t="s">
        <v>277</v>
      </c>
      <c r="C72" s="15">
        <v>500</v>
      </c>
      <c r="D72" s="15">
        <v>500</v>
      </c>
      <c r="E72" s="15">
        <v>500</v>
      </c>
      <c r="F72" s="15">
        <v>500</v>
      </c>
      <c r="G72" s="15">
        <v>500</v>
      </c>
      <c r="H72" s="15">
        <v>500</v>
      </c>
      <c r="I72" s="15">
        <v>500</v>
      </c>
      <c r="J72" s="15">
        <v>500</v>
      </c>
      <c r="K72" s="15">
        <v>500</v>
      </c>
      <c r="L72" s="15">
        <v>500</v>
      </c>
      <c r="M72" s="15">
        <v>500</v>
      </c>
      <c r="N72" s="15">
        <v>500</v>
      </c>
    </row>
    <row r="73" spans="1:14" hidden="1" outlineLevel="1" x14ac:dyDescent="0.2">
      <c r="A73" s="9" t="s">
        <v>278</v>
      </c>
      <c r="B73" s="1" t="s">
        <v>279</v>
      </c>
      <c r="C73" s="15">
        <v>500</v>
      </c>
      <c r="D73" s="15">
        <v>500</v>
      </c>
      <c r="E73" s="15">
        <v>500</v>
      </c>
      <c r="F73" s="15">
        <v>500</v>
      </c>
      <c r="G73" s="15">
        <v>500</v>
      </c>
      <c r="H73" s="15">
        <v>500</v>
      </c>
      <c r="I73" s="15">
        <v>500</v>
      </c>
      <c r="J73" s="15">
        <v>500</v>
      </c>
      <c r="K73" s="15">
        <v>500</v>
      </c>
      <c r="L73" s="15">
        <v>500</v>
      </c>
      <c r="M73" s="15">
        <v>500</v>
      </c>
      <c r="N73" s="15">
        <v>500</v>
      </c>
    </row>
    <row r="74" spans="1:14" collapsed="1" x14ac:dyDescent="0.2">
      <c r="A74" s="9" t="s">
        <v>280</v>
      </c>
      <c r="B74" s="1" t="s">
        <v>281</v>
      </c>
      <c r="C74" s="15">
        <v>500</v>
      </c>
      <c r="D74" s="15">
        <v>500</v>
      </c>
      <c r="E74" s="15">
        <v>500</v>
      </c>
      <c r="F74" s="15">
        <v>500</v>
      </c>
      <c r="G74" s="15">
        <v>500</v>
      </c>
      <c r="H74" s="15">
        <v>500</v>
      </c>
      <c r="I74" s="15">
        <v>500</v>
      </c>
      <c r="J74" s="15">
        <v>500</v>
      </c>
      <c r="K74" s="15">
        <v>500</v>
      </c>
      <c r="L74" s="15">
        <v>500</v>
      </c>
      <c r="M74" s="15">
        <v>500</v>
      </c>
      <c r="N74" s="15">
        <v>500</v>
      </c>
    </row>
    <row r="75" spans="1:14" hidden="1" outlineLevel="1" x14ac:dyDescent="0.2">
      <c r="A75" s="9" t="s">
        <v>282</v>
      </c>
      <c r="B75" s="1" t="s">
        <v>283</v>
      </c>
      <c r="C75" s="15">
        <v>500</v>
      </c>
      <c r="D75" s="15">
        <v>500</v>
      </c>
      <c r="E75" s="15">
        <v>500</v>
      </c>
      <c r="F75" s="15">
        <v>500</v>
      </c>
      <c r="G75" s="15">
        <v>500</v>
      </c>
      <c r="H75" s="15">
        <v>500</v>
      </c>
      <c r="I75" s="15">
        <v>500</v>
      </c>
      <c r="J75" s="15">
        <v>500</v>
      </c>
      <c r="K75" s="15">
        <v>500</v>
      </c>
      <c r="L75" s="15">
        <v>500</v>
      </c>
      <c r="M75" s="15">
        <v>500</v>
      </c>
      <c r="N75" s="15">
        <v>500</v>
      </c>
    </row>
    <row r="76" spans="1:14" collapsed="1" x14ac:dyDescent="0.2">
      <c r="A76" s="9" t="s">
        <v>284</v>
      </c>
      <c r="B76" s="1" t="s">
        <v>285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">
      <c r="A77" s="9" t="s">
        <v>288</v>
      </c>
      <c r="B77" s="1" t="s">
        <v>289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">
      <c r="A78" s="3"/>
      <c r="B78" s="3" t="s">
        <v>290</v>
      </c>
      <c r="C78" s="17" t="s">
        <v>292</v>
      </c>
      <c r="D78" s="17" t="s">
        <v>292</v>
      </c>
      <c r="E78" s="17" t="s">
        <v>292</v>
      </c>
      <c r="F78" s="17" t="s">
        <v>292</v>
      </c>
      <c r="G78" s="17" t="s">
        <v>292</v>
      </c>
      <c r="H78" s="17" t="s">
        <v>292</v>
      </c>
      <c r="I78" s="17" t="s">
        <v>292</v>
      </c>
      <c r="J78" s="17" t="s">
        <v>292</v>
      </c>
      <c r="K78" s="17" t="s">
        <v>292</v>
      </c>
      <c r="L78" s="17" t="s">
        <v>292</v>
      </c>
      <c r="M78" s="17" t="s">
        <v>292</v>
      </c>
      <c r="N78" s="17" t="s">
        <v>292</v>
      </c>
    </row>
    <row r="79" spans="1:14" x14ac:dyDescent="0.2">
      <c r="A79" s="3"/>
      <c r="B79" s="3" t="s">
        <v>291</v>
      </c>
      <c r="C79" s="17" t="s">
        <v>292</v>
      </c>
      <c r="D79" s="17" t="s">
        <v>292</v>
      </c>
      <c r="E79" s="17" t="s">
        <v>292</v>
      </c>
      <c r="F79" s="17" t="s">
        <v>292</v>
      </c>
      <c r="G79" s="17" t="s">
        <v>292</v>
      </c>
      <c r="H79" s="17" t="s">
        <v>292</v>
      </c>
      <c r="I79" s="17" t="s">
        <v>292</v>
      </c>
      <c r="J79" s="17" t="s">
        <v>292</v>
      </c>
      <c r="K79" s="17" t="s">
        <v>292</v>
      </c>
      <c r="L79" s="17" t="s">
        <v>292</v>
      </c>
      <c r="M79" s="17" t="s">
        <v>292</v>
      </c>
      <c r="N79" s="17" t="s">
        <v>292</v>
      </c>
    </row>
    <row r="80" spans="1:14" x14ac:dyDescent="0.2">
      <c r="A80" s="3"/>
      <c r="B80" s="3" t="s">
        <v>293</v>
      </c>
      <c r="C80" s="17" t="s">
        <v>292</v>
      </c>
      <c r="D80" s="17" t="s">
        <v>292</v>
      </c>
      <c r="E80" s="17" t="s">
        <v>292</v>
      </c>
      <c r="F80" s="17" t="s">
        <v>292</v>
      </c>
      <c r="G80" s="17" t="s">
        <v>292</v>
      </c>
      <c r="H80" s="17" t="s">
        <v>292</v>
      </c>
      <c r="I80" s="17" t="s">
        <v>292</v>
      </c>
      <c r="J80" s="17" t="s">
        <v>292</v>
      </c>
      <c r="K80" s="17" t="s">
        <v>292</v>
      </c>
      <c r="L80" s="17" t="s">
        <v>292</v>
      </c>
      <c r="M80" s="17" t="s">
        <v>292</v>
      </c>
      <c r="N80" s="17" t="s">
        <v>292</v>
      </c>
    </row>
    <row r="81" spans="1:14" x14ac:dyDescent="0.2">
      <c r="A81" s="3"/>
      <c r="B81" s="3" t="s">
        <v>294</v>
      </c>
      <c r="C81" s="17" t="s">
        <v>292</v>
      </c>
      <c r="D81" s="17" t="s">
        <v>292</v>
      </c>
      <c r="E81" s="17" t="s">
        <v>292</v>
      </c>
      <c r="F81" s="17" t="s">
        <v>292</v>
      </c>
      <c r="G81" s="17" t="s">
        <v>292</v>
      </c>
      <c r="H81" s="17" t="s">
        <v>292</v>
      </c>
      <c r="I81" s="17" t="s">
        <v>292</v>
      </c>
      <c r="J81" s="17" t="s">
        <v>292</v>
      </c>
      <c r="K81" s="17" t="s">
        <v>292</v>
      </c>
      <c r="L81" s="17" t="s">
        <v>292</v>
      </c>
      <c r="M81" s="17" t="s">
        <v>292</v>
      </c>
      <c r="N81" s="17" t="s">
        <v>292</v>
      </c>
    </row>
    <row r="82" spans="1:14" x14ac:dyDescent="0.2">
      <c r="A82" s="12"/>
      <c r="B82" s="12" t="s">
        <v>295</v>
      </c>
      <c r="C82" s="16" t="s">
        <v>292</v>
      </c>
      <c r="D82" s="16" t="s">
        <v>292</v>
      </c>
      <c r="E82" s="16" t="s">
        <v>292</v>
      </c>
      <c r="F82" s="16" t="s">
        <v>292</v>
      </c>
      <c r="G82" s="16" t="s">
        <v>292</v>
      </c>
      <c r="H82" s="16" t="s">
        <v>292</v>
      </c>
      <c r="I82" s="16" t="s">
        <v>292</v>
      </c>
      <c r="J82" s="16" t="s">
        <v>292</v>
      </c>
      <c r="K82" s="16" t="s">
        <v>292</v>
      </c>
      <c r="L82" s="16" t="s">
        <v>292</v>
      </c>
      <c r="M82" s="16" t="s">
        <v>292</v>
      </c>
      <c r="N82" s="16" t="s">
        <v>292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ZARA PE83</vt:lpstr>
      <vt:lpstr>Centre DW1</vt:lpstr>
      <vt:lpstr>Centre WP1</vt:lpstr>
      <vt:lpstr>Centre WR1</vt:lpstr>
      <vt:lpstr>Centre WV1</vt:lpstr>
      <vt:lpstr>APPLE PE83</vt:lpstr>
      <vt:lpstr>Centre DW5</vt:lpstr>
      <vt:lpstr>Centre WP5</vt:lpstr>
      <vt:lpstr>Centre WR5</vt:lpstr>
      <vt:lpstr>LG PE83</vt:lpstr>
      <vt:lpstr>Centre DW11</vt:lpstr>
      <vt:lpstr>Centre WP11</vt:lpstr>
      <vt:lpstr>Centre WR11</vt:lpstr>
      <vt:lpstr>Centre WV11</vt:lpstr>
      <vt:lpstr>BOSCH PE83</vt:lpstr>
      <vt:lpstr>Centre DW13</vt:lpstr>
      <vt:lpstr>Centre WR13</vt:lpstr>
      <vt:lpstr>Centre WP13</vt:lpstr>
      <vt:lpstr>HUAWEI PE83</vt:lpstr>
      <vt:lpstr>Centre DW14</vt:lpstr>
      <vt:lpstr>Centre WP14</vt:lpstr>
      <vt:lpstr>Centre WR14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David Garcia Rodriguez</dc:creator>
  <cp:lastModifiedBy>Ricardo David Garcia Rodriguez</cp:lastModifiedBy>
  <dcterms:created xsi:type="dcterms:W3CDTF">2023-11-03T19:55:30Z</dcterms:created>
  <dcterms:modified xsi:type="dcterms:W3CDTF">2023-11-10T23:03:29Z</dcterms:modified>
</cp:coreProperties>
</file>